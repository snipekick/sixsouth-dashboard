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rivers" sheetId="2" state="visible" r:id="rId2"/>
    <sheet name="Comps" sheetId="3" state="visible" r:id="rId3"/>
    <sheet name="BR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;(#,##0.00);&quot;-&quot;"/>
    <numFmt numFmtId="165" formatCode="0.0%;(0.0%);&quot;-&quot;"/>
    <numFmt numFmtId="166" formatCode="#,##0.0;(#,##0.0);&quot;-&quot;"/>
    <numFmt numFmtId="167" formatCode="0.00;(0.00);&quot;-&quot;"/>
    <numFmt numFmtId="168" formatCode="#,##0;(#,##0);&quot;-&quot;"/>
    <numFmt numFmtId="169" formatCode="0.0&quot;x&quot;;(0.0&quot;x&quot;);&quot;-&quot;"/>
    <numFmt numFmtId="170" formatCode="#,##0.000;(#,##0.000);&quot;-&quot;"/>
  </numFmts>
  <fonts count="8">
    <font>
      <name val="Calibri"/>
      <family val="2"/>
      <color theme="1"/>
      <sz val="11"/>
      <scheme val="minor"/>
    </font>
    <font>
      <b val="1"/>
    </font>
    <font>
      <color rgb="FF0000FF"/>
    </font>
    <font>
      <color rgb="FF6B7280"/>
    </font>
    <font>
      <b val="1"/>
      <sz val="12"/>
    </font>
    <font>
      <color rgb="FF000000"/>
    </font>
    <font>
      <color rgb="FF008000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168" fontId="6" fillId="0" borderId="0" pivotButton="0" quotePrefix="0" xfId="0"/>
    <xf numFmtId="165" fontId="6" fillId="0" borderId="0" pivotButton="0" quotePrefix="0" xfId="0"/>
    <xf numFmtId="169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6" fontId="5" fillId="0" borderId="0" pivotButton="0" quotePrefix="0" xfId="0"/>
    <xf numFmtId="164" fontId="6" fillId="0" borderId="0" pivotButton="0" quotePrefix="0" xfId="0"/>
    <xf numFmtId="164" fontId="5" fillId="0" borderId="0" pivotButton="0" quotePrefix="0" xfId="0"/>
    <xf numFmtId="165" fontId="5" fillId="0" borderId="0" pivotButton="0" quotePrefix="0" xfId="0"/>
    <xf numFmtId="167" fontId="5" fillId="0" borderId="0" pivotButton="0" quotePrefix="0" xfId="0"/>
    <xf numFmtId="168" fontId="2" fillId="0" borderId="0" pivotButton="0" quotePrefix="0" xfId="0"/>
    <xf numFmtId="168" fontId="5" fillId="0" borderId="0" pivotButton="0" quotePrefix="0" xfId="0"/>
    <xf numFmtId="169" fontId="2" fillId="0" borderId="0" pivotButton="0" quotePrefix="0" xfId="0"/>
    <xf numFmtId="169" fontId="5" fillId="0" borderId="0" pivotButton="0" quotePrefix="0" xfId="0"/>
    <xf numFmtId="170" fontId="2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8" fontId="0" fillId="0" borderId="0" pivotButton="0" quotePrefix="0" xfId="0"/>
    <xf numFmtId="170" fontId="0" fillId="0" borderId="0" pivotButton="0" quotePrefix="0" xfId="0"/>
    <xf numFmtId="168" fontId="1" fillId="0" borderId="0" pivotButton="0" quotePrefix="0" xfId="0"/>
    <xf numFmtId="165" fontId="1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Six South — Gold, copper &amp; base-metal miners industry model</t>
        </is>
      </c>
    </row>
    <row r="2">
      <c r="A2" s="2" t="inlineStr">
        <is>
          <t>Generated 2026-10-31T18:43:22+07:00 by the coverage engine. The engine (scripts/cov_engine.py) is the source of truth; this workbook is a live rendering of it.</t>
        </is>
      </c>
    </row>
    <row r="3">
      <c r="A3" s="2" t="inlineStr">
        <is>
          <t>Colour key: blue = input or hard-coded history; black = formula; green = link to another sheet.</t>
        </is>
      </c>
    </row>
    <row r="4">
      <c r="A4" s="2" t="inlineStr">
        <is>
          <t>Drivers: every deck variable these models read. Change one and every ticker tab and the Comps sheet recalculate (forecasts, cash flows, DCF value, base-case value, target, rating).</t>
        </is>
      </c>
    </row>
    <row r="5">
      <c r="A5" s="2" t="inlineStr">
        <is>
          <t>Scenario (bear/bull) and sensitivity tables need full model re-runs and are engine values.</t>
        </is>
      </c>
    </row>
    <row r="6">
      <c r="A6" s="2" t="inlineStr">
        <is>
          <t>Paper fund — research for education and process transparency, not investment advice.</t>
        </is>
      </c>
    </row>
    <row r="7">
      <c r="A7" s="2" t="inlineStr"/>
    </row>
    <row r="8">
      <c r="A8" s="1" t="inlineStr">
        <is>
          <t>Tickers:</t>
        </is>
      </c>
    </row>
    <row r="9">
      <c r="A9" t="inlineStr">
        <is>
          <t>BRMS.JK — PT Bumi Resources Minerals Tbk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</cols>
  <sheetData>
    <row r="1">
      <c r="A1" s="1" t="inlineStr">
        <is>
          <t>Driver decks (state/drivers) — edit a blue cell to flow it through every ticker tab</t>
        </is>
      </c>
    </row>
    <row r="3">
      <c r="A3" s="1" t="inlineStr">
        <is>
          <t>Variable</t>
        </is>
      </c>
      <c r="B3" s="1" t="inlineStr">
        <is>
          <t>Key</t>
        </is>
      </c>
      <c r="C3" s="1" t="inlineStr">
        <is>
          <t>Unit / status</t>
        </is>
      </c>
      <c r="D3" s="1" t="inlineStr">
        <is>
          <t>FY2022A</t>
        </is>
      </c>
      <c r="E3" s="1" t="inlineStr">
        <is>
          <t>FY2023A</t>
        </is>
      </c>
      <c r="F3" s="1" t="inlineStr">
        <is>
          <t>FY2024A</t>
        </is>
      </c>
      <c r="G3" s="1" t="inlineStr">
        <is>
          <t>FY2025A</t>
        </is>
      </c>
      <c r="H3" s="1" t="inlineStr">
        <is>
          <t>FY2026E</t>
        </is>
      </c>
      <c r="I3" s="1" t="inlineStr">
        <is>
          <t>FY2027E</t>
        </is>
      </c>
      <c r="J3" s="1" t="inlineStr">
        <is>
          <t>FY2028E</t>
        </is>
      </c>
      <c r="K3" s="1" t="inlineStr">
        <is>
          <t>FY2029E</t>
        </is>
      </c>
      <c r="L3" s="1" t="inlineStr">
        <is>
          <t>FY2030E</t>
        </is>
      </c>
      <c r="M3" s="1" t="inlineStr">
        <is>
          <t>FY2031E</t>
        </is>
      </c>
      <c r="N3" s="1" t="inlineStr">
        <is>
          <t>FY2032E</t>
        </is>
      </c>
      <c r="O3" s="1" t="inlineStr">
        <is>
          <t>FY2033E</t>
        </is>
      </c>
      <c r="P3" s="1" t="inlineStr">
        <is>
          <t>FY2034E</t>
        </is>
      </c>
      <c r="Q3" s="1" t="inlineStr">
        <is>
          <t>FY2035E</t>
        </is>
      </c>
      <c r="R3" s="1" t="inlineStr">
        <is>
          <t>FY2036E</t>
        </is>
      </c>
      <c r="S3" s="1" t="inlineStr">
        <is>
          <t>FY2037E</t>
        </is>
      </c>
      <c r="T3" s="1" t="inlineStr">
        <is>
          <t>FY2038E</t>
        </is>
      </c>
      <c r="U3" s="1" t="inlineStr">
        <is>
          <t>FY2039E</t>
        </is>
      </c>
      <c r="V3" s="1" t="inlineStr">
        <is>
          <t>FY2040E</t>
        </is>
      </c>
      <c r="W3" s="1" t="inlineStr">
        <is>
          <t>FY2041E</t>
        </is>
      </c>
      <c r="X3" s="1" t="inlineStr">
        <is>
          <t>FY2042E</t>
        </is>
      </c>
      <c r="Y3" s="1" t="inlineStr">
        <is>
          <t>FY2043E</t>
        </is>
      </c>
      <c r="Z3" s="1" t="inlineStr">
        <is>
          <t>FY2044E</t>
        </is>
      </c>
      <c r="AA3" s="1" t="inlineStr">
        <is>
          <t>FY2045E</t>
        </is>
      </c>
      <c r="AB3" s="1" t="inlineStr">
        <is>
          <t>FY2046E</t>
        </is>
      </c>
      <c r="AC3" s="1" t="inlineStr">
        <is>
          <t>FY2047E</t>
        </is>
      </c>
      <c r="AD3" s="1" t="inlineStr">
        <is>
          <t>FY2048E</t>
        </is>
      </c>
      <c r="AE3" s="1" t="inlineStr">
        <is>
          <t>FY2049E</t>
        </is>
      </c>
      <c r="AF3" s="1" t="inlineStr">
        <is>
          <t>FY2050E</t>
        </is>
      </c>
    </row>
    <row r="4">
      <c r="A4" t="inlineStr">
        <is>
          <t>IDR per USD</t>
        </is>
      </c>
      <c r="B4" t="inlineStr">
        <is>
          <t>m.usd_idr</t>
        </is>
      </c>
      <c r="C4" t="inlineStr">
        <is>
          <t>IDR/USD · reviewed</t>
        </is>
      </c>
      <c r="D4" s="3" t="n">
        <v>14843.1773</v>
      </c>
      <c r="E4" s="3" t="n">
        <v>15228.8</v>
      </c>
      <c r="F4" s="3" t="n">
        <v>15846.2378</v>
      </c>
      <c r="G4" s="3" t="n">
        <v>16448.0929</v>
      </c>
      <c r="H4" s="3" t="n">
        <v>17570</v>
      </c>
      <c r="I4" s="3" t="n">
        <v>18350</v>
      </c>
      <c r="J4" s="3" t="n">
        <v>18600</v>
      </c>
      <c r="K4" s="3" t="n">
        <v>18850</v>
      </c>
      <c r="L4" s="3" t="n">
        <v>19093.13725490196</v>
      </c>
      <c r="M4" s="3" t="n">
        <v>19186.73106497501</v>
      </c>
      <c r="N4" s="3" t="n">
        <v>19280.78366823469</v>
      </c>
      <c r="O4" s="3" t="n">
        <v>19375.29731366722</v>
      </c>
      <c r="P4" s="3" t="n">
        <v>19470.27426128323</v>
      </c>
      <c r="Q4" s="3" t="n">
        <v>19565.71678217187</v>
      </c>
      <c r="R4" s="3" t="n">
        <v>19661.62715855507</v>
      </c>
      <c r="S4" s="3" t="n">
        <v>19758.0076838421</v>
      </c>
      <c r="T4" s="3" t="n">
        <v>19854.86066268446</v>
      </c>
      <c r="U4" s="3" t="n">
        <v>19952.18841103096</v>
      </c>
      <c r="V4" s="3" t="n">
        <v>20049.99325618306</v>
      </c>
      <c r="W4" s="3" t="n">
        <v>20148.27753685063</v>
      </c>
      <c r="X4" s="3" t="n">
        <v>20247.04360320774</v>
      </c>
      <c r="Y4" s="3" t="n">
        <v>20346.29381694896</v>
      </c>
      <c r="Z4" s="3" t="n">
        <v>20446.03055134577</v>
      </c>
      <c r="AA4" s="3" t="n">
        <v>20546.25619130334</v>
      </c>
      <c r="AB4" s="3" t="n">
        <v>20646.97313341757</v>
      </c>
      <c r="AC4" s="3" t="n">
        <v>20748.18378603236</v>
      </c>
      <c r="AD4" s="3" t="n">
        <v>20849.89056929723</v>
      </c>
      <c r="AE4" s="3" t="n">
        <v>20952.09591522516</v>
      </c>
      <c r="AF4" s="3" t="n">
        <v>21054.80226775077</v>
      </c>
    </row>
    <row r="5">
      <c r="A5" t="inlineStr">
        <is>
          <t>Gold</t>
        </is>
      </c>
      <c r="B5" t="inlineStr">
        <is>
          <t>d.metals.gold</t>
        </is>
      </c>
      <c r="C5" t="inlineStr">
        <is>
          <t>USD/oz · reviewed</t>
        </is>
      </c>
      <c r="D5" s="3" t="n">
        <v>1805.1916</v>
      </c>
      <c r="E5" s="3" t="n">
        <v>1954.5195</v>
      </c>
      <c r="F5" s="3" t="n">
        <v>2404.7131</v>
      </c>
      <c r="G5" s="3" t="n">
        <v>3466.0889</v>
      </c>
      <c r="H5" s="3" t="n">
        <v>4493.75</v>
      </c>
      <c r="I5" s="3" t="n">
        <v>4300</v>
      </c>
      <c r="J5" s="3" t="n">
        <v>4300</v>
      </c>
      <c r="K5" s="3" t="n">
        <v>4300</v>
      </c>
      <c r="L5" s="3" t="n">
        <v>4386</v>
      </c>
      <c r="M5" s="3" t="n">
        <v>4473.72</v>
      </c>
      <c r="N5" s="3" t="n">
        <v>4563.1944</v>
      </c>
      <c r="O5" s="3" t="n">
        <v>4654.458288</v>
      </c>
      <c r="P5" s="3" t="n">
        <v>4747.54745376</v>
      </c>
      <c r="Q5" s="3" t="n">
        <v>4842.4984028352</v>
      </c>
      <c r="R5" s="3" t="n">
        <v>4939.348370891904</v>
      </c>
      <c r="S5" s="3" t="n">
        <v>5038.135338309743</v>
      </c>
      <c r="T5" s="3" t="n">
        <v>5138.898045075937</v>
      </c>
      <c r="U5" s="3" t="n">
        <v>5241.676005977457</v>
      </c>
      <c r="V5" s="3" t="n">
        <v>5346.509526097006</v>
      </c>
      <c r="W5" s="3" t="n">
        <v>5453.439716618946</v>
      </c>
      <c r="X5" s="3" t="n">
        <v>5562.508510951325</v>
      </c>
      <c r="Y5" s="3" t="n">
        <v>5673.758681170351</v>
      </c>
      <c r="Z5" s="3" t="n">
        <v>5787.233854793759</v>
      </c>
      <c r="AA5" s="3" t="n">
        <v>5902.978531889634</v>
      </c>
      <c r="AB5" s="3" t="n">
        <v>6021.038102527426</v>
      </c>
      <c r="AC5" s="3" t="n">
        <v>6141.458864577976</v>
      </c>
      <c r="AD5" s="3" t="n">
        <v>6264.288041869535</v>
      </c>
      <c r="AE5" s="3" t="n">
        <v>6389.573802706926</v>
      </c>
      <c r="AF5" s="3" t="n">
        <v>6517.365278761064</v>
      </c>
    </row>
    <row r="6">
      <c r="A6" t="inlineStr">
        <is>
          <t>Brent crude</t>
        </is>
      </c>
      <c r="B6" t="inlineStr">
        <is>
          <t>d.oil.brent</t>
        </is>
      </c>
      <c r="C6" t="inlineStr">
        <is>
          <t>USD/bbl · reviewed</t>
        </is>
      </c>
      <c r="D6" s="3" t="n">
        <v>98.9663</v>
      </c>
      <c r="E6" s="3" t="n">
        <v>82.1904</v>
      </c>
      <c r="F6" s="3" t="n">
        <v>79.82129999999999</v>
      </c>
      <c r="G6" s="3" t="n">
        <v>68.1015</v>
      </c>
      <c r="H6" s="3" t="n">
        <v>96</v>
      </c>
      <c r="I6" s="3" t="n">
        <v>84</v>
      </c>
      <c r="J6" s="3" t="n">
        <v>80</v>
      </c>
      <c r="K6" s="3" t="n">
        <v>78</v>
      </c>
      <c r="L6" s="3" t="n">
        <v>76.5</v>
      </c>
      <c r="M6" s="3" t="n">
        <v>78.03</v>
      </c>
      <c r="N6" s="3" t="n">
        <v>79.59060000000001</v>
      </c>
      <c r="O6" s="3" t="n">
        <v>81.182412</v>
      </c>
      <c r="P6" s="3" t="n">
        <v>82.80606024000001</v>
      </c>
      <c r="Q6" s="3" t="n">
        <v>84.46218144480001</v>
      </c>
      <c r="R6" s="3" t="n">
        <v>86.151425073696</v>
      </c>
      <c r="S6" s="3" t="n">
        <v>87.87445357516994</v>
      </c>
      <c r="T6" s="3" t="n">
        <v>89.63194264667332</v>
      </c>
      <c r="U6" s="3" t="n">
        <v>91.4245814996068</v>
      </c>
      <c r="V6" s="3" t="n">
        <v>93.25307312959893</v>
      </c>
      <c r="W6" s="3" t="n">
        <v>95.11813459219091</v>
      </c>
      <c r="X6" s="3" t="n">
        <v>97.02049728403475</v>
      </c>
      <c r="Y6" s="3" t="n">
        <v>98.96090722971543</v>
      </c>
      <c r="Z6" s="3" t="n">
        <v>100.9401253743097</v>
      </c>
      <c r="AA6" s="3" t="n">
        <v>102.9589278817959</v>
      </c>
      <c r="AB6" s="3" t="n">
        <v>105.0181064394319</v>
      </c>
      <c r="AC6" s="3" t="n">
        <v>107.1184685682205</v>
      </c>
      <c r="AD6" s="3" t="n">
        <v>109.2608379395849</v>
      </c>
      <c r="AE6" s="3" t="n">
        <v>111.4460546983766</v>
      </c>
      <c r="AF6" s="3" t="n">
        <v>113.6749757923441</v>
      </c>
    </row>
    <row r="8">
      <c r="A8" s="1" t="inlineStr">
        <is>
          <t>Cost-of-capital scalars (macro deck)</t>
        </is>
      </c>
    </row>
    <row r="9">
      <c r="A9" t="inlineStr">
        <is>
          <t>10-year Indonesian government bond yield (IDR)</t>
        </is>
      </c>
      <c r="B9" t="inlineStr">
        <is>
          <t>m.rf_idr</t>
        </is>
      </c>
      <c r="C9" s="4" t="n">
        <v>0.0745</v>
      </c>
      <c r="D9" s="5" t="inlineStr">
        <is>
          <t>investor.id — "Yield SUN 7,45%, Saatnya Borong atau Tunggu Lebih Tinggi?" (25 Okt 2026 20:58 WIB; deck source S3); corroborated by kalderanews S1 (10Y SUN 7.41%</t>
        </is>
      </c>
    </row>
    <row r="10">
      <c r="A10" t="inlineStr">
        <is>
          <t>10-year US Treasury yield</t>
        </is>
      </c>
      <c r="B10" t="inlineStr">
        <is>
          <t>m.rf_usd</t>
        </is>
      </c>
      <c r="C10" s="4" t="n">
        <v>0.04929</v>
      </c>
      <c r="D10" s="5" t="inlineStr">
        <is>
          <t>Yahoo Finance ^TNX (US 10-year Treasury yield)</t>
        </is>
      </c>
    </row>
    <row r="11">
      <c r="A11" t="inlineStr">
        <is>
          <t>Indonesia sovereign default spread (Damodaran)</t>
        </is>
      </c>
      <c r="B11" t="inlineStr">
        <is>
          <t>m.default_spread_id</t>
        </is>
      </c>
      <c r="C11" s="4" t="n">
        <v>0.0162</v>
      </c>
      <c r="D11" s="5" t="inlineStr">
        <is>
          <t>Damodaran country risk premiums (https://pages.stern.nyu.edu/~adamodar/New_Home_Page/datafile/ctryprem.html), page dated January 5, 2026, read 2026-10-31</t>
        </is>
      </c>
    </row>
    <row r="12">
      <c r="A12" t="inlineStr">
        <is>
          <t>Mature-market equity risk premium (Damodaran)</t>
        </is>
      </c>
      <c r="B12" t="inlineStr">
        <is>
          <t>m.erp_mature</t>
        </is>
      </c>
      <c r="C12" s="4" t="n">
        <v>0.0423</v>
      </c>
      <c r="D12" s="5" t="inlineStr">
        <is>
          <t>Damodaran country risk premiums (https://pages.stern.nyu.edu/~adamodar/New_Home_Page/datafile/ctryprem.html), page dated January 5, 2026, read 2026-10-31</t>
        </is>
      </c>
    </row>
    <row r="13">
      <c r="A13" t="inlineStr">
        <is>
          <t>Indonesia country risk premium (Damodaran)</t>
        </is>
      </c>
      <c r="B13" t="inlineStr">
        <is>
          <t>m.crp_id</t>
        </is>
      </c>
      <c r="C13" s="4" t="n">
        <v>0.0246</v>
      </c>
      <c r="D13" s="5" t="inlineStr">
        <is>
          <t>Damodaran country risk premiums (https://pages.stern.nyu.edu/~adamodar/New_Home_Page/datafile/ctryprem.html), page dated January 5, 2026, read 2026-10-31</t>
        </is>
      </c>
    </row>
    <row r="14">
      <c r="A14" t="inlineStr">
        <is>
          <t>House pre-tax corporate debt spread over the risk-free</t>
        </is>
      </c>
      <c r="B14" t="inlineStr">
        <is>
          <t>m.debt_spread_corp</t>
        </is>
      </c>
      <c r="C14" s="4" t="n">
        <v>0.02</v>
      </c>
      <c r="D14" s="5" t="inlineStr">
        <is>
          <t>SEED house assumption pending the macro desk: 200 bp over the risk-free rate for an average IDX corporate borrower</t>
        </is>
      </c>
    </row>
    <row r="15">
      <c r="A15" t="inlineStr">
        <is>
          <t>Indonesia statutory corporate income tax rate</t>
        </is>
      </c>
      <c r="B15" t="inlineStr">
        <is>
          <t>m.tax_rate_id</t>
        </is>
      </c>
      <c r="C15" s="4" t="n">
        <v>0.22</v>
      </c>
      <c r="D15" s="5" t="inlineStr">
        <is>
          <t>Law 7/2021 on Harmonisation of Tax Regulations (UU HPP): 22% corporate income tax from fiscal 2022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Rating</t>
        </is>
      </c>
      <c r="D1" s="1" t="inlineStr">
        <is>
          <t>Target (IDR)</t>
        </is>
      </c>
      <c r="E1" s="1" t="inlineStr">
        <is>
          <t>Price (IDR)</t>
        </is>
      </c>
      <c r="F1" s="1" t="inlineStr">
        <is>
          <t>Exp. 12m TR</t>
        </is>
      </c>
      <c r="G1" s="1" t="inlineStr">
        <is>
          <t>Value today</t>
        </is>
      </c>
      <c r="H1" s="1" t="inlineStr">
        <is>
          <t>P/E FY+0</t>
        </is>
      </c>
      <c r="I1" s="1" t="inlineStr">
        <is>
          <t>EV/EBITDA FY+0</t>
        </is>
      </c>
      <c r="J1" s="1" t="inlineStr">
        <is>
          <t>Div. yield FY+0</t>
        </is>
      </c>
    </row>
    <row r="2">
      <c r="A2" t="inlineStr">
        <is>
          <t>BRMS.JK</t>
        </is>
      </c>
      <c r="B2" t="inlineStr">
        <is>
          <t>PT Bumi Resources Minerals Tbk</t>
        </is>
      </c>
      <c r="C2" s="6">
        <f>'BRMS'!$C$160</f>
        <v/>
      </c>
      <c r="D2" s="7">
        <f>'BRMS'!$C$158</f>
        <v/>
      </c>
      <c r="E2" s="7">
        <f>'BRMS'!$C$102</f>
        <v/>
      </c>
      <c r="F2" s="8">
        <f>'BRMS'!$C$159</f>
        <v/>
      </c>
      <c r="G2" s="7">
        <f>'BRMS'!$C$139</f>
        <v/>
      </c>
      <c r="H2" s="9" t="n">
        <v>45.126904</v>
      </c>
      <c r="I2" s="9" t="n">
        <v>23.790173</v>
      </c>
      <c r="J2" s="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7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20" customWidth="1" min="2" max="2"/>
    <col width="14" customWidth="1" min="3" max="3"/>
  </cols>
  <sheetData>
    <row r="1">
      <c r="A1" s="11" t="inlineStr">
        <is>
          <t>PT Bumi Resources Minerals Tbk (BRMS.JK) — Gold, copper &amp; base-metal miners</t>
        </is>
      </c>
    </row>
    <row r="2">
      <c r="A2" s="5" t="inlineStr">
        <is>
          <t>Units: USD m; per-share in USD unless marked IDR. Model asof 2026-10-31 · data 2026-10-30</t>
        </is>
      </c>
    </row>
    <row r="4">
      <c r="A4" s="1" t="inlineStr">
        <is>
          <t>Line</t>
        </is>
      </c>
      <c r="C4" s="1" t="inlineStr">
        <is>
          <t>Scalar</t>
        </is>
      </c>
      <c r="D4" s="1" t="inlineStr">
        <is>
          <t>FY2022A</t>
        </is>
      </c>
      <c r="E4" s="1" t="inlineStr">
        <is>
          <t>FY2023A</t>
        </is>
      </c>
      <c r="F4" s="1" t="inlineStr">
        <is>
          <t>FY2024A</t>
        </is>
      </c>
      <c r="G4" s="1" t="inlineStr">
        <is>
          <t>FY2025A</t>
        </is>
      </c>
      <c r="H4" s="1" t="inlineStr">
        <is>
          <t>FY2026E</t>
        </is>
      </c>
      <c r="I4" s="1" t="inlineStr">
        <is>
          <t>FY2027E</t>
        </is>
      </c>
      <c r="J4" s="1" t="inlineStr">
        <is>
          <t>FY2028E</t>
        </is>
      </c>
      <c r="K4" s="1" t="inlineStr">
        <is>
          <t>FY2029E</t>
        </is>
      </c>
      <c r="L4" s="1" t="inlineStr">
        <is>
          <t>FY2030E</t>
        </is>
      </c>
      <c r="M4" s="1" t="inlineStr">
        <is>
          <t>FY2031E</t>
        </is>
      </c>
      <c r="N4" s="1" t="inlineStr">
        <is>
          <t>FY2032E</t>
        </is>
      </c>
      <c r="O4" s="1" t="inlineStr">
        <is>
          <t>FY2033E</t>
        </is>
      </c>
      <c r="P4" s="1" t="inlineStr">
        <is>
          <t>FY2034E</t>
        </is>
      </c>
      <c r="Q4" s="1" t="inlineStr">
        <is>
          <t>FY2035E</t>
        </is>
      </c>
      <c r="R4" s="1" t="inlineStr">
        <is>
          <t>FY2036E</t>
        </is>
      </c>
      <c r="S4" s="1" t="inlineStr">
        <is>
          <t>FY2037E</t>
        </is>
      </c>
      <c r="T4" s="1" t="inlineStr">
        <is>
          <t>FY2038E</t>
        </is>
      </c>
      <c r="U4" s="1" t="inlineStr">
        <is>
          <t>FY2039E</t>
        </is>
      </c>
      <c r="V4" s="1" t="inlineStr">
        <is>
          <t>FY2040E</t>
        </is>
      </c>
      <c r="W4" s="1" t="inlineStr">
        <is>
          <t>FY2041E</t>
        </is>
      </c>
      <c r="X4" s="1" t="inlineStr">
        <is>
          <t>FY2042E</t>
        </is>
      </c>
      <c r="Y4" s="1" t="inlineStr">
        <is>
          <t>FY2043E</t>
        </is>
      </c>
      <c r="Z4" s="1" t="inlineStr">
        <is>
          <t>FY2044E</t>
        </is>
      </c>
      <c r="AA4" s="1" t="inlineStr">
        <is>
          <t>FY2045E</t>
        </is>
      </c>
      <c r="AB4" s="1" t="inlineStr">
        <is>
          <t>FY2046E</t>
        </is>
      </c>
      <c r="AC4" s="1" t="inlineStr">
        <is>
          <t>FY2047E</t>
        </is>
      </c>
      <c r="AD4" s="1" t="inlineStr">
        <is>
          <t>FY2048E</t>
        </is>
      </c>
      <c r="AE4" s="1" t="inlineStr">
        <is>
          <t>FY2049E</t>
        </is>
      </c>
      <c r="AF4" s="1" t="inlineStr">
        <is>
          <t>FY2050E</t>
        </is>
      </c>
    </row>
    <row r="6">
      <c r="A6" s="1" t="inlineStr">
        <is>
          <t>PARAMETERS</t>
        </is>
      </c>
    </row>
    <row r="7">
      <c r="A7" t="inlineStr">
        <is>
          <t>horizon</t>
        </is>
      </c>
      <c r="C7" s="12" t="n">
        <v>25</v>
      </c>
    </row>
    <row r="8">
      <c r="A8" t="inlineStr">
        <is>
          <t>ps_factor</t>
        </is>
      </c>
      <c r="C8" s="12" t="n">
        <v>1</v>
      </c>
    </row>
    <row r="9">
      <c r="A9" t="inlineStr">
        <is>
          <t>reserves</t>
        </is>
      </c>
      <c r="C9" s="12" t="n">
        <v>3500</v>
      </c>
    </row>
    <row r="10">
      <c r="A10" t="inlineStr">
        <is>
          <t>unit_factor</t>
        </is>
      </c>
      <c r="C10" s="12" t="n">
        <v>0.001</v>
      </c>
    </row>
    <row r="11">
      <c r="A11" t="inlineStr">
        <is>
          <t>vp_factor</t>
        </is>
      </c>
      <c r="C11" s="12" t="n">
        <v>1</v>
      </c>
    </row>
    <row r="13">
      <c r="A13" s="1" t="inlineStr">
        <is>
          <t>INPUTS (company assumptions)</t>
        </is>
      </c>
    </row>
    <row r="14">
      <c r="A14" t="inlineStr">
        <is>
          <t>Sales volume plan</t>
        </is>
      </c>
      <c r="B14" t="inlineStr">
        <is>
          <t>a.volume</t>
        </is>
      </c>
      <c r="H14" s="13" t="n">
        <v>54.6</v>
      </c>
      <c r="I14" s="13" t="n">
        <v>80</v>
      </c>
      <c r="J14" s="13" t="n">
        <v>140</v>
      </c>
      <c r="K14" s="13" t="n">
        <v>165</v>
      </c>
      <c r="L14" s="13" t="n">
        <v>165</v>
      </c>
      <c r="M14" s="13" t="n">
        <v>165</v>
      </c>
      <c r="N14" s="13" t="n">
        <v>165</v>
      </c>
      <c r="O14" s="13" t="n">
        <v>165</v>
      </c>
      <c r="P14" s="13" t="n">
        <v>165</v>
      </c>
      <c r="Q14" s="13" t="n">
        <v>165</v>
      </c>
      <c r="R14" s="13" t="n">
        <v>165</v>
      </c>
      <c r="S14" s="13" t="n">
        <v>165</v>
      </c>
      <c r="T14" s="13" t="n">
        <v>165</v>
      </c>
      <c r="U14" s="13" t="n">
        <v>165</v>
      </c>
      <c r="V14" s="13" t="n">
        <v>165</v>
      </c>
      <c r="W14" s="13" t="n">
        <v>165</v>
      </c>
      <c r="X14" s="13" t="n">
        <v>165</v>
      </c>
      <c r="Y14" s="13" t="n">
        <v>165</v>
      </c>
      <c r="Z14" s="13" t="n">
        <v>165</v>
      </c>
      <c r="AA14" s="13" t="n">
        <v>165</v>
      </c>
      <c r="AB14" s="13" t="n">
        <v>165</v>
      </c>
      <c r="AC14" s="13" t="n">
        <v>165</v>
      </c>
      <c r="AD14" s="13" t="n">
        <v>165</v>
      </c>
      <c r="AE14" s="13" t="n">
        <v>165</v>
      </c>
      <c r="AF14" s="13" t="n">
        <v>165</v>
      </c>
    </row>
    <row r="15">
      <c r="A15" t="inlineStr">
        <is>
          <t>Realised price / benchmark</t>
        </is>
      </c>
      <c r="B15" t="inlineStr">
        <is>
          <t>a.realisation</t>
        </is>
      </c>
      <c r="H15" s="14" t="n">
        <v>0.9726</v>
      </c>
      <c r="I15" s="14" t="n">
        <v>0.9726</v>
      </c>
      <c r="J15" s="14" t="n">
        <v>0.9726</v>
      </c>
      <c r="K15" s="14" t="n">
        <v>0.9726</v>
      </c>
      <c r="L15" s="14" t="n">
        <v>0.9726</v>
      </c>
      <c r="M15" s="14" t="n">
        <v>0.9726</v>
      </c>
      <c r="N15" s="14" t="n">
        <v>0.9726</v>
      </c>
      <c r="O15" s="14" t="n">
        <v>0.9726</v>
      </c>
      <c r="P15" s="14" t="n">
        <v>0.9726</v>
      </c>
      <c r="Q15" s="14" t="n">
        <v>0.9726</v>
      </c>
      <c r="R15" s="14" t="n">
        <v>0.9726</v>
      </c>
      <c r="S15" s="14" t="n">
        <v>0.9726</v>
      </c>
      <c r="T15" s="14" t="n">
        <v>0.9726</v>
      </c>
      <c r="U15" s="14" t="n">
        <v>0.9726</v>
      </c>
      <c r="V15" s="14" t="n">
        <v>0.9726</v>
      </c>
      <c r="W15" s="14" t="n">
        <v>0.9726</v>
      </c>
      <c r="X15" s="14" t="n">
        <v>0.9726</v>
      </c>
      <c r="Y15" s="14" t="n">
        <v>0.9726</v>
      </c>
      <c r="Z15" s="14" t="n">
        <v>0.9726</v>
      </c>
      <c r="AA15" s="14" t="n">
        <v>0.9726</v>
      </c>
      <c r="AB15" s="14" t="n">
        <v>0.9726</v>
      </c>
      <c r="AC15" s="14" t="n">
        <v>0.9726</v>
      </c>
      <c r="AD15" s="14" t="n">
        <v>0.9726</v>
      </c>
      <c r="AE15" s="14" t="n">
        <v>0.9726</v>
      </c>
      <c r="AF15" s="14" t="n">
        <v>0.9726</v>
      </c>
    </row>
    <row r="16">
      <c r="A16" t="inlineStr">
        <is>
          <t>Share of volume under a price cap (e.g. DMO)</t>
        </is>
      </c>
      <c r="B16" t="inlineStr">
        <is>
          <t>a.capped_share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0</v>
      </c>
    </row>
    <row r="17">
      <c r="A17" t="inlineStr">
        <is>
          <t>Strip ratio (bcm per tonne) or cost-intensity factor</t>
        </is>
      </c>
      <c r="B17" t="inlineStr">
        <is>
          <t>a.strip_ratio</t>
        </is>
      </c>
      <c r="H17" s="14" t="n">
        <v>1</v>
      </c>
      <c r="I17" s="14" t="n">
        <v>1</v>
      </c>
      <c r="J17" s="14" t="n">
        <v>1</v>
      </c>
      <c r="K17" s="14" t="n">
        <v>1</v>
      </c>
      <c r="L17" s="14" t="n">
        <v>1</v>
      </c>
      <c r="M17" s="14" t="n">
        <v>1</v>
      </c>
      <c r="N17" s="14" t="n">
        <v>1</v>
      </c>
      <c r="O17" s="14" t="n">
        <v>1</v>
      </c>
      <c r="P17" s="14" t="n">
        <v>1</v>
      </c>
      <c r="Q17" s="14" t="n">
        <v>1</v>
      </c>
      <c r="R17" s="14" t="n">
        <v>1</v>
      </c>
      <c r="S17" s="14" t="n">
        <v>1</v>
      </c>
      <c r="T17" s="14" t="n">
        <v>1</v>
      </c>
      <c r="U17" s="14" t="n">
        <v>1</v>
      </c>
      <c r="V17" s="14" t="n">
        <v>1</v>
      </c>
      <c r="W17" s="14" t="n">
        <v>1</v>
      </c>
      <c r="X17" s="14" t="n">
        <v>1</v>
      </c>
      <c r="Y17" s="14" t="n">
        <v>1</v>
      </c>
      <c r="Z17" s="14" t="n">
        <v>1</v>
      </c>
      <c r="AA17" s="14" t="n">
        <v>1</v>
      </c>
      <c r="AB17" s="14" t="n">
        <v>1</v>
      </c>
      <c r="AC17" s="14" t="n">
        <v>1</v>
      </c>
      <c r="AD17" s="14" t="n">
        <v>1</v>
      </c>
      <c r="AE17" s="14" t="n">
        <v>1</v>
      </c>
      <c r="AF17" s="14" t="n">
        <v>1</v>
      </c>
    </row>
    <row r="18">
      <c r="A18" t="inlineStr">
        <is>
          <t>Mining cost per bcm (or per unit when intensity is 1)</t>
        </is>
      </c>
      <c r="B18" t="inlineStr">
        <is>
          <t>a.cost_per_bcm</t>
        </is>
      </c>
      <c r="H18" s="3" t="n">
        <v>503.4</v>
      </c>
      <c r="I18" s="3" t="n">
        <v>503.4</v>
      </c>
      <c r="J18" s="3" t="n">
        <v>503.4</v>
      </c>
      <c r="K18" s="3" t="n">
        <v>503.4</v>
      </c>
      <c r="L18" s="3" t="n">
        <v>503.4</v>
      </c>
      <c r="M18" s="3" t="n">
        <v>513.468</v>
      </c>
      <c r="N18" s="3" t="n">
        <v>523.73736</v>
      </c>
      <c r="O18" s="3" t="n">
        <v>534.2121072000001</v>
      </c>
      <c r="P18" s="3" t="n">
        <v>544.896349344</v>
      </c>
      <c r="Q18" s="3" t="n">
        <v>555.7942763308799</v>
      </c>
      <c r="R18" s="3" t="n">
        <v>566.9101618574977</v>
      </c>
      <c r="S18" s="3" t="n">
        <v>578.2483650946475</v>
      </c>
      <c r="T18" s="3" t="n">
        <v>589.8133323965405</v>
      </c>
      <c r="U18" s="3" t="n">
        <v>601.6095990444713</v>
      </c>
      <c r="V18" s="3" t="n">
        <v>613.6417910253608</v>
      </c>
      <c r="W18" s="3" t="n">
        <v>625.914626845868</v>
      </c>
      <c r="X18" s="3" t="n">
        <v>638.4329193827854</v>
      </c>
      <c r="Y18" s="3" t="n">
        <v>651.2015777704412</v>
      </c>
      <c r="Z18" s="3" t="n">
        <v>664.22560932585</v>
      </c>
      <c r="AA18" s="3" t="n">
        <v>677.5101215123669</v>
      </c>
      <c r="AB18" s="3" t="n">
        <v>691.0603239426143</v>
      </c>
      <c r="AC18" s="3" t="n">
        <v>704.8815304214667</v>
      </c>
      <c r="AD18" s="3" t="n">
        <v>718.979161029896</v>
      </c>
      <c r="AE18" s="3" t="n">
        <v>733.3587442504938</v>
      </c>
      <c r="AF18" s="3" t="n">
        <v>748.0259191355038</v>
      </c>
    </row>
    <row r="19">
      <c r="A19" t="inlineStr">
        <is>
          <t>Fuel share of mining cost</t>
        </is>
      </c>
      <c r="B19" t="inlineStr">
        <is>
          <t>a.fuel_share</t>
        </is>
      </c>
      <c r="C19" s="4" t="n">
        <v>0.3</v>
      </c>
    </row>
    <row r="20">
      <c r="A20" t="inlineStr">
        <is>
          <t>Other cash cost per unit (haul, barge, process)</t>
        </is>
      </c>
      <c r="B20" t="inlineStr">
        <is>
          <t>a.other_cost_unit</t>
        </is>
      </c>
      <c r="H20" s="3" t="n">
        <v>425.8</v>
      </c>
      <c r="I20" s="3" t="n">
        <v>425.8</v>
      </c>
      <c r="J20" s="3" t="n">
        <v>425.8</v>
      </c>
      <c r="K20" s="3" t="n">
        <v>425.8</v>
      </c>
      <c r="L20" s="3" t="n">
        <v>425.8</v>
      </c>
      <c r="M20" s="3" t="n">
        <v>434.316</v>
      </c>
      <c r="N20" s="3" t="n">
        <v>443.00232</v>
      </c>
      <c r="O20" s="3" t="n">
        <v>451.8623664000001</v>
      </c>
      <c r="P20" s="3" t="n">
        <v>460.899613728</v>
      </c>
      <c r="Q20" s="3" t="n">
        <v>470.11760600256</v>
      </c>
      <c r="R20" s="3" t="n">
        <v>479.5199581226112</v>
      </c>
      <c r="S20" s="3" t="n">
        <v>489.1103572850635</v>
      </c>
      <c r="T20" s="3" t="n">
        <v>498.8925644307648</v>
      </c>
      <c r="U20" s="3" t="n">
        <v>508.87041571938</v>
      </c>
      <c r="V20" s="3" t="n">
        <v>519.0478240337677</v>
      </c>
      <c r="W20" s="3" t="n">
        <v>529.428780514443</v>
      </c>
      <c r="X20" s="3" t="n">
        <v>540.0173561247319</v>
      </c>
      <c r="Y20" s="3" t="n">
        <v>550.8177032472266</v>
      </c>
      <c r="Z20" s="3" t="n">
        <v>561.8340573121711</v>
      </c>
      <c r="AA20" s="3" t="n">
        <v>573.0707384584146</v>
      </c>
      <c r="AB20" s="3" t="n">
        <v>584.5321532275829</v>
      </c>
      <c r="AC20" s="3" t="n">
        <v>596.2227962921345</v>
      </c>
      <c r="AD20" s="3" t="n">
        <v>608.1472522179772</v>
      </c>
      <c r="AE20" s="3" t="n">
        <v>620.3101972623367</v>
      </c>
      <c r="AF20" s="3" t="n">
        <v>632.7164012075835</v>
      </c>
    </row>
    <row r="21">
      <c r="A21" t="inlineStr">
        <is>
          <t>Royalty rate (flat regimes)</t>
        </is>
      </c>
      <c r="B21" t="inlineStr">
        <is>
          <t>a.royalty_rate</t>
        </is>
      </c>
      <c r="H21" s="4" t="n">
        <v>0.16</v>
      </c>
      <c r="I21" s="4" t="n">
        <v>0.16</v>
      </c>
      <c r="J21" s="4" t="n">
        <v>0.16</v>
      </c>
      <c r="K21" s="4" t="n">
        <v>0.16</v>
      </c>
      <c r="L21" s="4" t="n">
        <v>0.16</v>
      </c>
      <c r="M21" s="4" t="n">
        <v>0.16</v>
      </c>
      <c r="N21" s="4" t="n">
        <v>0.16</v>
      </c>
      <c r="O21" s="4" t="n">
        <v>0.16</v>
      </c>
      <c r="P21" s="4" t="n">
        <v>0.16</v>
      </c>
      <c r="Q21" s="4" t="n">
        <v>0.16</v>
      </c>
      <c r="R21" s="4" t="n">
        <v>0.16</v>
      </c>
      <c r="S21" s="4" t="n">
        <v>0.16</v>
      </c>
      <c r="T21" s="4" t="n">
        <v>0.16</v>
      </c>
      <c r="U21" s="4" t="n">
        <v>0.16</v>
      </c>
      <c r="V21" s="4" t="n">
        <v>0.16</v>
      </c>
      <c r="W21" s="4" t="n">
        <v>0.16</v>
      </c>
      <c r="X21" s="4" t="n">
        <v>0.16</v>
      </c>
      <c r="Y21" s="4" t="n">
        <v>0.16</v>
      </c>
      <c r="Z21" s="4" t="n">
        <v>0.16</v>
      </c>
      <c r="AA21" s="4" t="n">
        <v>0.16</v>
      </c>
      <c r="AB21" s="4" t="n">
        <v>0.16</v>
      </c>
      <c r="AC21" s="4" t="n">
        <v>0.16</v>
      </c>
      <c r="AD21" s="4" t="n">
        <v>0.16</v>
      </c>
      <c r="AE21" s="4" t="n">
        <v>0.16</v>
      </c>
      <c r="AF21" s="4" t="n">
        <v>0.16</v>
      </c>
    </row>
    <row r="22">
      <c r="A22" t="inlineStr">
        <is>
          <t>Other revenue</t>
        </is>
      </c>
      <c r="B22" t="inlineStr">
        <is>
          <t>a.other_revenue</t>
        </is>
      </c>
      <c r="H22" s="13" t="n">
        <v>7</v>
      </c>
      <c r="I22" s="13" t="n">
        <v>7</v>
      </c>
      <c r="J22" s="13" t="n">
        <v>7</v>
      </c>
      <c r="K22" s="13" t="n">
        <v>7</v>
      </c>
      <c r="L22" s="13" t="n">
        <v>7</v>
      </c>
      <c r="M22" s="13" t="n">
        <v>7.140000000000001</v>
      </c>
      <c r="N22" s="13" t="n">
        <v>7.2828</v>
      </c>
      <c r="O22" s="13" t="n">
        <v>7.428456000000001</v>
      </c>
      <c r="P22" s="13" t="n">
        <v>7.57702512</v>
      </c>
      <c r="Q22" s="13" t="n">
        <v>7.7285656224</v>
      </c>
      <c r="R22" s="13" t="n">
        <v>7.883136934848</v>
      </c>
      <c r="S22" s="13" t="n">
        <v>8.04079967354496</v>
      </c>
      <c r="T22" s="13" t="n">
        <v>8.20161566701586</v>
      </c>
      <c r="U22" s="13" t="n">
        <v>8.365647980356178</v>
      </c>
      <c r="V22" s="13" t="n">
        <v>8.532960939963301</v>
      </c>
      <c r="W22" s="13" t="n">
        <v>8.703620158762567</v>
      </c>
      <c r="X22" s="13" t="n">
        <v>8.877692561937819</v>
      </c>
      <c r="Y22" s="13" t="n">
        <v>9.055246413176576</v>
      </c>
      <c r="Z22" s="13" t="n">
        <v>9.236351341440107</v>
      </c>
      <c r="AA22" s="13" t="n">
        <v>9.421078368268908</v>
      </c>
      <c r="AB22" s="13" t="n">
        <v>9.609499935634288</v>
      </c>
      <c r="AC22" s="13" t="n">
        <v>9.801689934346975</v>
      </c>
      <c r="AD22" s="13" t="n">
        <v>9.997723733033913</v>
      </c>
      <c r="AE22" s="13" t="n">
        <v>10.19767820769459</v>
      </c>
      <c r="AF22" s="13" t="n">
        <v>10.40163177184848</v>
      </c>
    </row>
    <row r="23">
      <c r="A23" t="inlineStr">
        <is>
          <t>Gross margin on other revenue</t>
        </is>
      </c>
      <c r="B23" t="inlineStr">
        <is>
          <t>a.other_margin</t>
        </is>
      </c>
      <c r="C23" s="4" t="n">
        <v>1</v>
      </c>
    </row>
    <row r="24">
      <c r="A24" t="inlineStr">
        <is>
          <t>D&amp;A per unit (reporting currency)</t>
        </is>
      </c>
      <c r="B24" t="inlineStr">
        <is>
          <t>a.da_unit</t>
        </is>
      </c>
      <c r="H24" s="3" t="n">
        <v>126.1</v>
      </c>
      <c r="I24" s="3" t="n">
        <v>126.1</v>
      </c>
      <c r="J24" s="3" t="n">
        <v>126.1</v>
      </c>
      <c r="K24" s="3" t="n">
        <v>126.1</v>
      </c>
      <c r="L24" s="3" t="n">
        <v>126.1</v>
      </c>
      <c r="M24" s="3" t="n">
        <v>128.622</v>
      </c>
      <c r="N24" s="3" t="n">
        <v>131.19444</v>
      </c>
      <c r="O24" s="3" t="n">
        <v>133.8183288</v>
      </c>
      <c r="P24" s="3" t="n">
        <v>136.494695376</v>
      </c>
      <c r="Q24" s="3" t="n">
        <v>139.22458928352</v>
      </c>
      <c r="R24" s="3" t="n">
        <v>142.0090810691904</v>
      </c>
      <c r="S24" s="3" t="n">
        <v>144.8492626905742</v>
      </c>
      <c r="T24" s="3" t="n">
        <v>147.7462479443857</v>
      </c>
      <c r="U24" s="3" t="n">
        <v>150.7011729032734</v>
      </c>
      <c r="V24" s="3" t="n">
        <v>153.7151963613389</v>
      </c>
      <c r="W24" s="3" t="n">
        <v>156.7895002885657</v>
      </c>
      <c r="X24" s="3" t="n">
        <v>159.925290294337</v>
      </c>
      <c r="Y24" s="3" t="n">
        <v>163.1237961002237</v>
      </c>
      <c r="Z24" s="3" t="n">
        <v>166.3862720222282</v>
      </c>
      <c r="AA24" s="3" t="n">
        <v>169.7139974626728</v>
      </c>
      <c r="AB24" s="3" t="n">
        <v>173.1082774119262</v>
      </c>
      <c r="AC24" s="3" t="n">
        <v>176.5704429601648</v>
      </c>
      <c r="AD24" s="3" t="n">
        <v>180.1018518193681</v>
      </c>
      <c r="AE24" s="3" t="n">
        <v>183.7038888557554</v>
      </c>
      <c r="AF24" s="3" t="n">
        <v>187.3779666328705</v>
      </c>
    </row>
    <row r="25">
      <c r="A25" t="inlineStr">
        <is>
          <t>Sustaining capex per unit (reporting currency)</t>
        </is>
      </c>
      <c r="B25" t="inlineStr">
        <is>
          <t>a.capex_unit</t>
        </is>
      </c>
      <c r="H25" s="3" t="n">
        <v>130</v>
      </c>
      <c r="I25" s="3" t="n">
        <v>130</v>
      </c>
      <c r="J25" s="3" t="n">
        <v>130</v>
      </c>
      <c r="K25" s="3" t="n">
        <v>130</v>
      </c>
      <c r="L25" s="3" t="n">
        <v>130</v>
      </c>
      <c r="M25" s="3" t="n">
        <v>132.6</v>
      </c>
      <c r="N25" s="3" t="n">
        <v>135.252</v>
      </c>
      <c r="O25" s="3" t="n">
        <v>137.95704</v>
      </c>
      <c r="P25" s="3" t="n">
        <v>140.7161808</v>
      </c>
      <c r="Q25" s="3" t="n">
        <v>143.530504416</v>
      </c>
      <c r="R25" s="3" t="n">
        <v>146.40111450432</v>
      </c>
      <c r="S25" s="3" t="n">
        <v>149.3291367944064</v>
      </c>
      <c r="T25" s="3" t="n">
        <v>152.3157195302946</v>
      </c>
      <c r="U25" s="3" t="n">
        <v>155.3620339209004</v>
      </c>
      <c r="V25" s="3" t="n">
        <v>158.4692745993185</v>
      </c>
      <c r="W25" s="3" t="n">
        <v>161.6386600913048</v>
      </c>
      <c r="X25" s="3" t="n">
        <v>164.8714332931309</v>
      </c>
      <c r="Y25" s="3" t="n">
        <v>168.1688619589935</v>
      </c>
      <c r="Z25" s="3" t="n">
        <v>171.5322391981734</v>
      </c>
      <c r="AA25" s="3" t="n">
        <v>174.9628839821369</v>
      </c>
      <c r="AB25" s="3" t="n">
        <v>178.4621416617796</v>
      </c>
      <c r="AC25" s="3" t="n">
        <v>182.0313844950152</v>
      </c>
      <c r="AD25" s="3" t="n">
        <v>185.6720121849155</v>
      </c>
      <c r="AE25" s="3" t="n">
        <v>189.3854524286138</v>
      </c>
      <c r="AF25" s="3" t="n">
        <v>193.1731614771861</v>
      </c>
    </row>
    <row r="26">
      <c r="A26" t="inlineStr">
        <is>
          <t>Other capex (expansion projects)</t>
        </is>
      </c>
      <c r="B26" t="inlineStr">
        <is>
          <t>a.capex_other</t>
        </is>
      </c>
      <c r="H26" s="13" t="n">
        <v>150</v>
      </c>
      <c r="I26" s="13" t="n">
        <v>200</v>
      </c>
      <c r="J26" s="13" t="n">
        <v>75</v>
      </c>
      <c r="K26" s="13" t="n">
        <v>0</v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</v>
      </c>
      <c r="Z26" s="13" t="n">
        <v>0</v>
      </c>
      <c r="AA26" s="13" t="n">
        <v>0</v>
      </c>
      <c r="AB26" s="13" t="n">
        <v>0</v>
      </c>
      <c r="AC26" s="13" t="n">
        <v>0</v>
      </c>
      <c r="AD26" s="13" t="n">
        <v>0</v>
      </c>
      <c r="AE26" s="13" t="n">
        <v>0</v>
      </c>
      <c r="AF26" s="13" t="n">
        <v>0</v>
      </c>
    </row>
    <row r="27">
      <c r="A27" t="inlineStr">
        <is>
          <t>Operating working capital / revenue</t>
        </is>
      </c>
      <c r="B27" t="inlineStr">
        <is>
          <t>a.nwc_pct</t>
        </is>
      </c>
      <c r="H27" s="4" t="n">
        <v>0.04</v>
      </c>
      <c r="I27" s="4" t="n">
        <v>0.04</v>
      </c>
      <c r="J27" s="4" t="n">
        <v>0.04</v>
      </c>
      <c r="K27" s="4" t="n">
        <v>0.04</v>
      </c>
      <c r="L27" s="4" t="n">
        <v>0.04</v>
      </c>
      <c r="M27" s="4" t="n">
        <v>0.04</v>
      </c>
      <c r="N27" s="4" t="n">
        <v>0.04</v>
      </c>
      <c r="O27" s="4" t="n">
        <v>0.04</v>
      </c>
      <c r="P27" s="4" t="n">
        <v>0.04</v>
      </c>
      <c r="Q27" s="4" t="n">
        <v>0.04</v>
      </c>
      <c r="R27" s="4" t="n">
        <v>0.04</v>
      </c>
      <c r="S27" s="4" t="n">
        <v>0.04</v>
      </c>
      <c r="T27" s="4" t="n">
        <v>0.04</v>
      </c>
      <c r="U27" s="4" t="n">
        <v>0.04</v>
      </c>
      <c r="V27" s="4" t="n">
        <v>0.04</v>
      </c>
      <c r="W27" s="4" t="n">
        <v>0.04</v>
      </c>
      <c r="X27" s="4" t="n">
        <v>0.04</v>
      </c>
      <c r="Y27" s="4" t="n">
        <v>0.04</v>
      </c>
      <c r="Z27" s="4" t="n">
        <v>0.04</v>
      </c>
      <c r="AA27" s="4" t="n">
        <v>0.04</v>
      </c>
      <c r="AB27" s="4" t="n">
        <v>0.04</v>
      </c>
      <c r="AC27" s="4" t="n">
        <v>0.04</v>
      </c>
      <c r="AD27" s="4" t="n">
        <v>0.04</v>
      </c>
      <c r="AE27" s="4" t="n">
        <v>0.04</v>
      </c>
      <c r="AF27" s="4" t="n">
        <v>0.04</v>
      </c>
    </row>
    <row r="28">
      <c r="A28" t="inlineStr">
        <is>
          <t>Effective tax rate</t>
        </is>
      </c>
      <c r="B28" t="inlineStr">
        <is>
          <t>a.tax_rate</t>
        </is>
      </c>
      <c r="H28" s="4" t="n">
        <v>0.244</v>
      </c>
      <c r="I28" s="4" t="n">
        <v>0.244</v>
      </c>
      <c r="J28" s="4" t="n">
        <v>0.244</v>
      </c>
      <c r="K28" s="4" t="n">
        <v>0.244</v>
      </c>
      <c r="L28" s="4" t="n">
        <v>0.244</v>
      </c>
      <c r="M28" s="4" t="n">
        <v>0.244</v>
      </c>
      <c r="N28" s="4" t="n">
        <v>0.244</v>
      </c>
      <c r="O28" s="4" t="n">
        <v>0.244</v>
      </c>
      <c r="P28" s="4" t="n">
        <v>0.244</v>
      </c>
      <c r="Q28" s="4" t="n">
        <v>0.244</v>
      </c>
      <c r="R28" s="4" t="n">
        <v>0.244</v>
      </c>
      <c r="S28" s="4" t="n">
        <v>0.244</v>
      </c>
      <c r="T28" s="4" t="n">
        <v>0.244</v>
      </c>
      <c r="U28" s="4" t="n">
        <v>0.244</v>
      </c>
      <c r="V28" s="4" t="n">
        <v>0.244</v>
      </c>
      <c r="W28" s="4" t="n">
        <v>0.244</v>
      </c>
      <c r="X28" s="4" t="n">
        <v>0.244</v>
      </c>
      <c r="Y28" s="4" t="n">
        <v>0.244</v>
      </c>
      <c r="Z28" s="4" t="n">
        <v>0.244</v>
      </c>
      <c r="AA28" s="4" t="n">
        <v>0.244</v>
      </c>
      <c r="AB28" s="4" t="n">
        <v>0.244</v>
      </c>
      <c r="AC28" s="4" t="n">
        <v>0.244</v>
      </c>
      <c r="AD28" s="4" t="n">
        <v>0.244</v>
      </c>
      <c r="AE28" s="4" t="n">
        <v>0.244</v>
      </c>
      <c r="AF28" s="4" t="n">
        <v>0.244</v>
      </c>
    </row>
    <row r="29">
      <c r="A29" t="inlineStr">
        <is>
          <t>Cost of debt (on opening debt)</t>
        </is>
      </c>
      <c r="B29" t="inlineStr">
        <is>
          <t>a.cost_of_debt</t>
        </is>
      </c>
      <c r="C29" s="4" t="n">
        <v>0.12</v>
      </c>
    </row>
    <row r="30">
      <c r="A30" t="inlineStr">
        <is>
          <t>Yield on opening cash</t>
        </is>
      </c>
      <c r="B30" t="inlineStr">
        <is>
          <t>a.cash_yield</t>
        </is>
      </c>
      <c r="C30" s="4" t="n">
        <v>0.05</v>
      </c>
    </row>
    <row r="31">
      <c r="A31" t="inlineStr">
        <is>
          <t>Net new borrowing</t>
        </is>
      </c>
      <c r="B31" t="inlineStr">
        <is>
          <t>a.net_borrowing</t>
        </is>
      </c>
      <c r="H31" s="13" t="n">
        <v>117</v>
      </c>
      <c r="I31" s="13" t="n">
        <v>80</v>
      </c>
      <c r="J31" s="13" t="n">
        <v>30</v>
      </c>
      <c r="K31" s="13" t="n">
        <v>0</v>
      </c>
      <c r="L31" s="13" t="n">
        <v>0</v>
      </c>
      <c r="M31" s="13" t="n">
        <v>0</v>
      </c>
      <c r="N31" s="13" t="n">
        <v>0</v>
      </c>
      <c r="O31" s="13" t="n">
        <v>0</v>
      </c>
      <c r="P31" s="13" t="n">
        <v>0</v>
      </c>
      <c r="Q31" s="13" t="n">
        <v>0</v>
      </c>
      <c r="R31" s="13" t="n">
        <v>0</v>
      </c>
      <c r="S31" s="13" t="n">
        <v>0</v>
      </c>
      <c r="T31" s="13" t="n">
        <v>0</v>
      </c>
      <c r="U31" s="13" t="n">
        <v>0</v>
      </c>
      <c r="V31" s="13" t="n">
        <v>0</v>
      </c>
      <c r="W31" s="13" t="n">
        <v>0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</row>
    <row r="32">
      <c r="A32" t="inlineStr">
        <is>
          <t>Other non-operating items</t>
        </is>
      </c>
      <c r="B32" t="inlineStr">
        <is>
          <t>a.other_nonop</t>
        </is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</v>
      </c>
      <c r="V32" s="13" t="n">
        <v>0</v>
      </c>
      <c r="W32" s="13" t="n">
        <v>0</v>
      </c>
      <c r="X32" s="13" t="n">
        <v>0</v>
      </c>
      <c r="Y32" s="13" t="n">
        <v>0</v>
      </c>
      <c r="Z32" s="13" t="n">
        <v>0</v>
      </c>
      <c r="AA32" s="13" t="n">
        <v>0</v>
      </c>
      <c r="AB32" s="13" t="n">
        <v>0</v>
      </c>
      <c r="AC32" s="13" t="n">
        <v>0</v>
      </c>
      <c r="AD32" s="13" t="n">
        <v>0</v>
      </c>
      <c r="AE32" s="13" t="n">
        <v>0</v>
      </c>
      <c r="AF32" s="13" t="n">
        <v>0</v>
      </c>
    </row>
    <row r="33">
      <c r="A33" t="inlineStr">
        <is>
          <t>Minorities' share of net profit</t>
        </is>
      </c>
      <c r="B33" t="inlineStr">
        <is>
          <t>a.minority_pct</t>
        </is>
      </c>
      <c r="H33" s="4" t="n">
        <v>0.0164</v>
      </c>
      <c r="I33" s="4" t="n">
        <v>0.0164</v>
      </c>
      <c r="J33" s="4" t="n">
        <v>0.0164</v>
      </c>
      <c r="K33" s="4" t="n">
        <v>0.0164</v>
      </c>
      <c r="L33" s="4" t="n">
        <v>0.0164</v>
      </c>
      <c r="M33" s="4" t="n">
        <v>0.0164</v>
      </c>
      <c r="N33" s="4" t="n">
        <v>0.0164</v>
      </c>
      <c r="O33" s="4" t="n">
        <v>0.0164</v>
      </c>
      <c r="P33" s="4" t="n">
        <v>0.0164</v>
      </c>
      <c r="Q33" s="4" t="n">
        <v>0.0164</v>
      </c>
      <c r="R33" s="4" t="n">
        <v>0.0164</v>
      </c>
      <c r="S33" s="4" t="n">
        <v>0.0164</v>
      </c>
      <c r="T33" s="4" t="n">
        <v>0.0164</v>
      </c>
      <c r="U33" s="4" t="n">
        <v>0.0164</v>
      </c>
      <c r="V33" s="4" t="n">
        <v>0.0164</v>
      </c>
      <c r="W33" s="4" t="n">
        <v>0.0164</v>
      </c>
      <c r="X33" s="4" t="n">
        <v>0.0164</v>
      </c>
      <c r="Y33" s="4" t="n">
        <v>0.0164</v>
      </c>
      <c r="Z33" s="4" t="n">
        <v>0.0164</v>
      </c>
      <c r="AA33" s="4" t="n">
        <v>0.0164</v>
      </c>
      <c r="AB33" s="4" t="n">
        <v>0.0164</v>
      </c>
      <c r="AC33" s="4" t="n">
        <v>0.0164</v>
      </c>
      <c r="AD33" s="4" t="n">
        <v>0.0164</v>
      </c>
      <c r="AE33" s="4" t="n">
        <v>0.0164</v>
      </c>
      <c r="AF33" s="4" t="n">
        <v>0.0164</v>
      </c>
    </row>
    <row r="34">
      <c r="A34" t="inlineStr">
        <is>
          <t>Dividend payout</t>
        </is>
      </c>
      <c r="B34" t="inlineStr">
        <is>
          <t>a.payout</t>
        </is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</row>
    <row r="35">
      <c r="A35" t="inlineStr">
        <is>
          <t>Change in share count</t>
        </is>
      </c>
      <c r="B35" t="inlineStr">
        <is>
          <t>a.share_change</t>
        </is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</row>
    <row r="36">
      <c r="A36" t="inlineStr">
        <is>
          <t>Terminal growth (DCF)</t>
        </is>
      </c>
      <c r="B36" t="inlineStr">
        <is>
          <t>a.terminal_growth</t>
        </is>
      </c>
      <c r="C36" s="4" t="n">
        <v>0.02</v>
      </c>
    </row>
    <row r="37">
      <c r="A37" t="inlineStr">
        <is>
          <t>SG&amp;A / revenue</t>
        </is>
      </c>
      <c r="B37" t="inlineStr">
        <is>
          <t>a.opex_pct</t>
        </is>
      </c>
      <c r="H37" s="4" t="n">
        <v>0.189</v>
      </c>
      <c r="I37" s="4" t="n">
        <v>0.189</v>
      </c>
      <c r="J37" s="4" t="n">
        <v>0.189</v>
      </c>
      <c r="K37" s="4" t="n">
        <v>0.189</v>
      </c>
      <c r="L37" s="4" t="n">
        <v>0.189</v>
      </c>
      <c r="M37" s="4" t="n">
        <v>0.189</v>
      </c>
      <c r="N37" s="4" t="n">
        <v>0.189</v>
      </c>
      <c r="O37" s="4" t="n">
        <v>0.189</v>
      </c>
      <c r="P37" s="4" t="n">
        <v>0.189</v>
      </c>
      <c r="Q37" s="4" t="n">
        <v>0.189</v>
      </c>
      <c r="R37" s="4" t="n">
        <v>0.189</v>
      </c>
      <c r="S37" s="4" t="n">
        <v>0.189</v>
      </c>
      <c r="T37" s="4" t="n">
        <v>0.189</v>
      </c>
      <c r="U37" s="4" t="n">
        <v>0.189</v>
      </c>
      <c r="V37" s="4" t="n">
        <v>0.189</v>
      </c>
      <c r="W37" s="4" t="n">
        <v>0.189</v>
      </c>
      <c r="X37" s="4" t="n">
        <v>0.189</v>
      </c>
      <c r="Y37" s="4" t="n">
        <v>0.189</v>
      </c>
      <c r="Z37" s="4" t="n">
        <v>0.189</v>
      </c>
      <c r="AA37" s="4" t="n">
        <v>0.189</v>
      </c>
      <c r="AB37" s="4" t="n">
        <v>0.189</v>
      </c>
      <c r="AC37" s="4" t="n">
        <v>0.189</v>
      </c>
      <c r="AD37" s="4" t="n">
        <v>0.189</v>
      </c>
      <c r="AE37" s="4" t="n">
        <v>0.189</v>
      </c>
      <c r="AF37" s="4" t="n">
        <v>0.189</v>
      </c>
    </row>
    <row r="39">
      <c r="A39" s="1" t="inlineStr">
        <is>
          <t>MODEL</t>
        </is>
      </c>
    </row>
    <row r="40">
      <c r="A40" t="inlineStr">
        <is>
          <t>Reserves remaining (close)</t>
        </is>
      </c>
      <c r="B40" t="inlineStr">
        <is>
          <t>reserves</t>
        </is>
      </c>
      <c r="D40" s="13" t="n"/>
      <c r="E40" s="13" t="n"/>
      <c r="F40" s="13" t="n"/>
      <c r="G40" s="13" t="n">
        <v>3500</v>
      </c>
      <c r="H40" s="15">
        <f>MAX((G40-H41),0)</f>
        <v/>
      </c>
      <c r="I40" s="15">
        <f>MAX((H40-I41),0)</f>
        <v/>
      </c>
      <c r="J40" s="15">
        <f>MAX((I40-J41),0)</f>
        <v/>
      </c>
      <c r="K40" s="15">
        <f>MAX((J40-K41),0)</f>
        <v/>
      </c>
      <c r="L40" s="15">
        <f>MAX((K40-L41),0)</f>
        <v/>
      </c>
      <c r="M40" s="15">
        <f>MAX((L40-M41),0)</f>
        <v/>
      </c>
      <c r="N40" s="15">
        <f>MAX((M40-N41),0)</f>
        <v/>
      </c>
      <c r="O40" s="15">
        <f>MAX((N40-O41),0)</f>
        <v/>
      </c>
      <c r="P40" s="15">
        <f>MAX((O40-P41),0)</f>
        <v/>
      </c>
      <c r="Q40" s="15">
        <f>MAX((P40-Q41),0)</f>
        <v/>
      </c>
      <c r="R40" s="15">
        <f>MAX((Q40-R41),0)</f>
        <v/>
      </c>
      <c r="S40" s="15">
        <f>MAX((R40-S41),0)</f>
        <v/>
      </c>
      <c r="T40" s="15">
        <f>MAX((S40-T41),0)</f>
        <v/>
      </c>
      <c r="U40" s="15">
        <f>MAX((T40-U41),0)</f>
        <v/>
      </c>
      <c r="V40" s="15">
        <f>MAX((U40-V41),0)</f>
        <v/>
      </c>
      <c r="W40" s="15">
        <f>MAX((V40-W41),0)</f>
        <v/>
      </c>
      <c r="X40" s="15">
        <f>MAX((W40-X41),0)</f>
        <v/>
      </c>
      <c r="Y40" s="15">
        <f>MAX((X40-Y41),0)</f>
        <v/>
      </c>
      <c r="Z40" s="15">
        <f>MAX((Y40-Z41),0)</f>
        <v/>
      </c>
      <c r="AA40" s="15">
        <f>MAX((Z40-AA41),0)</f>
        <v/>
      </c>
      <c r="AB40" s="15">
        <f>MAX((AA40-AB41),0)</f>
        <v/>
      </c>
      <c r="AC40" s="15">
        <f>MAX((AB40-AC41),0)</f>
        <v/>
      </c>
      <c r="AD40" s="15">
        <f>MAX((AC40-AD41),0)</f>
        <v/>
      </c>
      <c r="AE40" s="15">
        <f>MAX((AD40-AE41),0)</f>
        <v/>
      </c>
      <c r="AF40" s="15">
        <f>MAX((AE40-AF41),0)</f>
        <v/>
      </c>
    </row>
    <row r="41">
      <c r="A41" t="inlineStr">
        <is>
          <t>Sales volume</t>
        </is>
      </c>
      <c r="B41" t="inlineStr">
        <is>
          <t>volume</t>
        </is>
      </c>
      <c r="D41" s="13" t="n"/>
      <c r="E41" s="13" t="n"/>
      <c r="F41" s="13" t="n">
        <v>64.983</v>
      </c>
      <c r="G41" s="13" t="n">
        <v>71.886</v>
      </c>
      <c r="H41" s="15">
        <f>IF(($C$9&gt;0),MIN(H14,MAX(G40,0)),H14)</f>
        <v/>
      </c>
      <c r="I41" s="15">
        <f>IF(($C$9&gt;0),MIN(I14,MAX(H40,0)),I14)</f>
        <v/>
      </c>
      <c r="J41" s="15">
        <f>IF(($C$9&gt;0),MIN(J14,MAX(I40,0)),J14)</f>
        <v/>
      </c>
      <c r="K41" s="15">
        <f>IF(($C$9&gt;0),MIN(K14,MAX(J40,0)),K14)</f>
        <v/>
      </c>
      <c r="L41" s="15">
        <f>IF(($C$9&gt;0),MIN(L14,MAX(K40,0)),L14)</f>
        <v/>
      </c>
      <c r="M41" s="15">
        <f>IF(($C$9&gt;0),MIN(M14,MAX(L40,0)),M14)</f>
        <v/>
      </c>
      <c r="N41" s="15">
        <f>IF(($C$9&gt;0),MIN(N14,MAX(M40,0)),N14)</f>
        <v/>
      </c>
      <c r="O41" s="15">
        <f>IF(($C$9&gt;0),MIN(O14,MAX(N40,0)),O14)</f>
        <v/>
      </c>
      <c r="P41" s="15">
        <f>IF(($C$9&gt;0),MIN(P14,MAX(O40,0)),P14)</f>
        <v/>
      </c>
      <c r="Q41" s="15">
        <f>IF(($C$9&gt;0),MIN(Q14,MAX(P40,0)),Q14)</f>
        <v/>
      </c>
      <c r="R41" s="15">
        <f>IF(($C$9&gt;0),MIN(R14,MAX(Q40,0)),R14)</f>
        <v/>
      </c>
      <c r="S41" s="15">
        <f>IF(($C$9&gt;0),MIN(S14,MAX(R40,0)),S14)</f>
        <v/>
      </c>
      <c r="T41" s="15">
        <f>IF(($C$9&gt;0),MIN(T14,MAX(S40,0)),T14)</f>
        <v/>
      </c>
      <c r="U41" s="15">
        <f>IF(($C$9&gt;0),MIN(U14,MAX(T40,0)),U14)</f>
        <v/>
      </c>
      <c r="V41" s="15">
        <f>IF(($C$9&gt;0),MIN(V14,MAX(U40,0)),V14)</f>
        <v/>
      </c>
      <c r="W41" s="15">
        <f>IF(($C$9&gt;0),MIN(W14,MAX(V40,0)),W14)</f>
        <v/>
      </c>
      <c r="X41" s="15">
        <f>IF(($C$9&gt;0),MIN(X14,MAX(W40,0)),X14)</f>
        <v/>
      </c>
      <c r="Y41" s="15">
        <f>IF(($C$9&gt;0),MIN(Y14,MAX(X40,0)),Y14)</f>
        <v/>
      </c>
      <c r="Z41" s="15">
        <f>IF(($C$9&gt;0),MIN(Z14,MAX(Y40,0)),Z14)</f>
        <v/>
      </c>
      <c r="AA41" s="15">
        <f>IF(($C$9&gt;0),MIN(AA14,MAX(Z40,0)),AA14)</f>
        <v/>
      </c>
      <c r="AB41" s="15">
        <f>IF(($C$9&gt;0),MIN(AB14,MAX(AA40,0)),AB14)</f>
        <v/>
      </c>
      <c r="AC41" s="15">
        <f>IF(($C$9&gt;0),MIN(AC14,MAX(AB40,0)),AC14)</f>
        <v/>
      </c>
      <c r="AD41" s="15">
        <f>IF(($C$9&gt;0),MIN(AD14,MAX(AC40,0)),AD14)</f>
        <v/>
      </c>
      <c r="AE41" s="15">
        <f>IF(($C$9&gt;0),MIN(AE14,MAX(AD40,0)),AE14)</f>
        <v/>
      </c>
      <c r="AF41" s="15">
        <f>IF(($C$9&gt;0),MIN(AF14,MAX(AE40,0)),AF14)</f>
        <v/>
      </c>
    </row>
    <row r="42">
      <c r="A42" t="inlineStr">
        <is>
          <t>Benchmark price</t>
        </is>
      </c>
      <c r="B42" t="inlineStr">
        <is>
          <t>benchmark</t>
        </is>
      </c>
      <c r="D42" s="3" t="n"/>
      <c r="E42" s="3" t="n"/>
      <c r="F42" s="3" t="n"/>
      <c r="G42" s="3" t="n"/>
      <c r="H42" s="16">
        <f>Drivers!$H$5</f>
        <v/>
      </c>
      <c r="I42" s="16">
        <f>Drivers!$I$5</f>
        <v/>
      </c>
      <c r="J42" s="16">
        <f>Drivers!$J$5</f>
        <v/>
      </c>
      <c r="K42" s="16">
        <f>Drivers!$K$5</f>
        <v/>
      </c>
      <c r="L42" s="16">
        <f>Drivers!$L$5</f>
        <v/>
      </c>
      <c r="M42" s="16">
        <f>Drivers!$M$5</f>
        <v/>
      </c>
      <c r="N42" s="16">
        <f>Drivers!$N$5</f>
        <v/>
      </c>
      <c r="O42" s="16">
        <f>Drivers!$O$5</f>
        <v/>
      </c>
      <c r="P42" s="16">
        <f>Drivers!$P$5</f>
        <v/>
      </c>
      <c r="Q42" s="16">
        <f>Drivers!$Q$5</f>
        <v/>
      </c>
      <c r="R42" s="16">
        <f>Drivers!$R$5</f>
        <v/>
      </c>
      <c r="S42" s="16">
        <f>Drivers!$S$5</f>
        <v/>
      </c>
      <c r="T42" s="16">
        <f>Drivers!$T$5</f>
        <v/>
      </c>
      <c r="U42" s="16">
        <f>Drivers!$U$5</f>
        <v/>
      </c>
      <c r="V42" s="16">
        <f>Drivers!$V$5</f>
        <v/>
      </c>
      <c r="W42" s="16">
        <f>Drivers!$W$5</f>
        <v/>
      </c>
      <c r="X42" s="16">
        <f>Drivers!$X$5</f>
        <v/>
      </c>
      <c r="Y42" s="16">
        <f>Drivers!$Y$5</f>
        <v/>
      </c>
      <c r="Z42" s="16">
        <f>Drivers!$Z$5</f>
        <v/>
      </c>
      <c r="AA42" s="16">
        <f>Drivers!$AA$5</f>
        <v/>
      </c>
      <c r="AB42" s="16">
        <f>Drivers!$AB$5</f>
        <v/>
      </c>
      <c r="AC42" s="16">
        <f>Drivers!$AC$5</f>
        <v/>
      </c>
      <c r="AD42" s="16">
        <f>Drivers!$AD$5</f>
        <v/>
      </c>
      <c r="AE42" s="16">
        <f>Drivers!$AE$5</f>
        <v/>
      </c>
      <c r="AF42" s="16">
        <f>Drivers!$AF$5</f>
        <v/>
      </c>
    </row>
    <row r="43">
      <c r="A43" t="inlineStr">
        <is>
          <t>Average selling price</t>
        </is>
      </c>
      <c r="B43" t="inlineStr">
        <is>
          <t>asp</t>
        </is>
      </c>
      <c r="D43" s="3" t="n"/>
      <c r="E43" s="3" t="n"/>
      <c r="F43" s="3" t="n">
        <v>2442</v>
      </c>
      <c r="G43" s="3" t="n">
        <v>3371</v>
      </c>
      <c r="H43" s="17">
        <f>(H15*H42)</f>
        <v/>
      </c>
      <c r="I43" s="17">
        <f>(I15*I42)</f>
        <v/>
      </c>
      <c r="J43" s="17">
        <f>(J15*J42)</f>
        <v/>
      </c>
      <c r="K43" s="17">
        <f>(K15*K42)</f>
        <v/>
      </c>
      <c r="L43" s="17">
        <f>(L15*L42)</f>
        <v/>
      </c>
      <c r="M43" s="17">
        <f>(M15*M42)</f>
        <v/>
      </c>
      <c r="N43" s="17">
        <f>(N15*N42)</f>
        <v/>
      </c>
      <c r="O43" s="17">
        <f>(O15*O42)</f>
        <v/>
      </c>
      <c r="P43" s="17">
        <f>(P15*P42)</f>
        <v/>
      </c>
      <c r="Q43" s="17">
        <f>(Q15*Q42)</f>
        <v/>
      </c>
      <c r="R43" s="17">
        <f>(R15*R42)</f>
        <v/>
      </c>
      <c r="S43" s="17">
        <f>(S15*S42)</f>
        <v/>
      </c>
      <c r="T43" s="17">
        <f>(T15*T42)</f>
        <v/>
      </c>
      <c r="U43" s="17">
        <f>(U15*U42)</f>
        <v/>
      </c>
      <c r="V43" s="17">
        <f>(V15*V42)</f>
        <v/>
      </c>
      <c r="W43" s="17">
        <f>(W15*W42)</f>
        <v/>
      </c>
      <c r="X43" s="17">
        <f>(X15*X42)</f>
        <v/>
      </c>
      <c r="Y43" s="17">
        <f>(Y15*Y42)</f>
        <v/>
      </c>
      <c r="Z43" s="17">
        <f>(Z15*Z42)</f>
        <v/>
      </c>
      <c r="AA43" s="17">
        <f>(AA15*AA42)</f>
        <v/>
      </c>
      <c r="AB43" s="17">
        <f>(AB15*AB42)</f>
        <v/>
      </c>
      <c r="AC43" s="17">
        <f>(AC15*AC42)</f>
        <v/>
      </c>
      <c r="AD43" s="17">
        <f>(AD15*AD42)</f>
        <v/>
      </c>
      <c r="AE43" s="17">
        <f>(AE15*AE42)</f>
        <v/>
      </c>
      <c r="AF43" s="17">
        <f>(AF15*AF42)</f>
        <v/>
      </c>
    </row>
    <row r="44">
      <c r="A44" t="inlineStr">
        <is>
          <t>Realisation vs benchmark</t>
        </is>
      </c>
      <c r="B44" t="inlineStr">
        <is>
          <t>realisation_line</t>
        </is>
      </c>
      <c r="D44" s="4" t="n"/>
      <c r="E44" s="4" t="n"/>
      <c r="F44" s="4" t="n"/>
      <c r="G44" s="4" t="n"/>
      <c r="H44" s="18">
        <f>IF(H42=0,0,H43/H42)</f>
        <v/>
      </c>
      <c r="I44" s="18">
        <f>IF(I42=0,0,I43/I42)</f>
        <v/>
      </c>
      <c r="J44" s="18">
        <f>IF(J42=0,0,J43/J42)</f>
        <v/>
      </c>
      <c r="K44" s="18">
        <f>IF(K42=0,0,K43/K42)</f>
        <v/>
      </c>
      <c r="L44" s="18">
        <f>IF(L42=0,0,L43/L42)</f>
        <v/>
      </c>
      <c r="M44" s="18">
        <f>IF(M42=0,0,M43/M42)</f>
        <v/>
      </c>
      <c r="N44" s="18">
        <f>IF(N42=0,0,N43/N42)</f>
        <v/>
      </c>
      <c r="O44" s="18">
        <f>IF(O42=0,0,O43/O42)</f>
        <v/>
      </c>
      <c r="P44" s="18">
        <f>IF(P42=0,0,P43/P42)</f>
        <v/>
      </c>
      <c r="Q44" s="18">
        <f>IF(Q42=0,0,Q43/Q42)</f>
        <v/>
      </c>
      <c r="R44" s="18">
        <f>IF(R42=0,0,R43/R42)</f>
        <v/>
      </c>
      <c r="S44" s="18">
        <f>IF(S42=0,0,S43/S42)</f>
        <v/>
      </c>
      <c r="T44" s="18">
        <f>IF(T42=0,0,T43/T42)</f>
        <v/>
      </c>
      <c r="U44" s="18">
        <f>IF(U42=0,0,U43/U42)</f>
        <v/>
      </c>
      <c r="V44" s="18">
        <f>IF(V42=0,0,V43/V42)</f>
        <v/>
      </c>
      <c r="W44" s="18">
        <f>IF(W42=0,0,W43/W42)</f>
        <v/>
      </c>
      <c r="X44" s="18">
        <f>IF(X42=0,0,X43/X42)</f>
        <v/>
      </c>
      <c r="Y44" s="18">
        <f>IF(Y42=0,0,Y43/Y42)</f>
        <v/>
      </c>
      <c r="Z44" s="18">
        <f>IF(Z42=0,0,Z43/Z42)</f>
        <v/>
      </c>
      <c r="AA44" s="18">
        <f>IF(AA42=0,0,AA43/AA42)</f>
        <v/>
      </c>
      <c r="AB44" s="18">
        <f>IF(AB42=0,0,AB43/AB42)</f>
        <v/>
      </c>
      <c r="AC44" s="18">
        <f>IF(AC42=0,0,AC43/AC42)</f>
        <v/>
      </c>
      <c r="AD44" s="18">
        <f>IF(AD42=0,0,AD43/AD42)</f>
        <v/>
      </c>
      <c r="AE44" s="18">
        <f>IF(AE42=0,0,AE43/AE42)</f>
        <v/>
      </c>
      <c r="AF44" s="18">
        <f>IF(AF42=0,0,AF43/AF42)</f>
        <v/>
      </c>
    </row>
    <row r="45">
      <c r="A45" t="inlineStr">
        <is>
          <t>Cash cost per unit (ex-royalty)</t>
        </is>
      </c>
      <c r="B45" t="inlineStr">
        <is>
          <t>unit_cost</t>
        </is>
      </c>
      <c r="D45" s="3" t="n"/>
      <c r="E45" s="3" t="n"/>
      <c r="F45" s="3" t="n"/>
      <c r="G45" s="3" t="n"/>
      <c r="H45" s="16">
        <f>(((H17*H18)*(1+($C$19*(IF(Drivers!$G$6=0,0,Drivers!$H$6/Drivers!$G$6)-1))))+H20)</f>
        <v/>
      </c>
      <c r="I45" s="16">
        <f>(((I17*I18)*(1+($C$19*(IF(Drivers!$G$6=0,0,Drivers!$I$6/Drivers!$G$6)-1))))+I20)</f>
        <v/>
      </c>
      <c r="J45" s="16">
        <f>(((J17*J18)*(1+($C$19*(IF(Drivers!$G$6=0,0,Drivers!$J$6/Drivers!$G$6)-1))))+J20)</f>
        <v/>
      </c>
      <c r="K45" s="16">
        <f>(((K17*K18)*(1+($C$19*(IF(Drivers!$G$6=0,0,Drivers!$K$6/Drivers!$G$6)-1))))+K20)</f>
        <v/>
      </c>
      <c r="L45" s="16">
        <f>(((L17*L18)*(1+($C$19*(IF(Drivers!$G$6=0,0,Drivers!$L$6/Drivers!$G$6)-1))))+L20)</f>
        <v/>
      </c>
      <c r="M45" s="16">
        <f>(((M17*M18)*(1+($C$19*(IF(Drivers!$G$6=0,0,Drivers!$M$6/Drivers!$G$6)-1))))+M20)</f>
        <v/>
      </c>
      <c r="N45" s="16">
        <f>(((N17*N18)*(1+($C$19*(IF(Drivers!$G$6=0,0,Drivers!$N$6/Drivers!$G$6)-1))))+N20)</f>
        <v/>
      </c>
      <c r="O45" s="16">
        <f>(((O17*O18)*(1+($C$19*(IF(Drivers!$G$6=0,0,Drivers!$O$6/Drivers!$G$6)-1))))+O20)</f>
        <v/>
      </c>
      <c r="P45" s="16">
        <f>(((P17*P18)*(1+($C$19*(IF(Drivers!$G$6=0,0,Drivers!$P$6/Drivers!$G$6)-1))))+P20)</f>
        <v/>
      </c>
      <c r="Q45" s="16">
        <f>(((Q17*Q18)*(1+($C$19*(IF(Drivers!$G$6=0,0,Drivers!$Q$6/Drivers!$G$6)-1))))+Q20)</f>
        <v/>
      </c>
      <c r="R45" s="16">
        <f>(((R17*R18)*(1+($C$19*(IF(Drivers!$G$6=0,0,Drivers!$R$6/Drivers!$G$6)-1))))+R20)</f>
        <v/>
      </c>
      <c r="S45" s="16">
        <f>(((S17*S18)*(1+($C$19*(IF(Drivers!$G$6=0,0,Drivers!$S$6/Drivers!$G$6)-1))))+S20)</f>
        <v/>
      </c>
      <c r="T45" s="16">
        <f>(((T17*T18)*(1+($C$19*(IF(Drivers!$G$6=0,0,Drivers!$T$6/Drivers!$G$6)-1))))+T20)</f>
        <v/>
      </c>
      <c r="U45" s="16">
        <f>(((U17*U18)*(1+($C$19*(IF(Drivers!$G$6=0,0,Drivers!$U$6/Drivers!$G$6)-1))))+U20)</f>
        <v/>
      </c>
      <c r="V45" s="16">
        <f>(((V17*V18)*(1+($C$19*(IF(Drivers!$G$6=0,0,Drivers!$V$6/Drivers!$G$6)-1))))+V20)</f>
        <v/>
      </c>
      <c r="W45" s="16">
        <f>(((W17*W18)*(1+($C$19*(IF(Drivers!$G$6=0,0,Drivers!$W$6/Drivers!$G$6)-1))))+W20)</f>
        <v/>
      </c>
      <c r="X45" s="16">
        <f>(((X17*X18)*(1+($C$19*(IF(Drivers!$G$6=0,0,Drivers!$X$6/Drivers!$G$6)-1))))+X20)</f>
        <v/>
      </c>
      <c r="Y45" s="16">
        <f>(((Y17*Y18)*(1+($C$19*(IF(Drivers!$G$6=0,0,Drivers!$Y$6/Drivers!$G$6)-1))))+Y20)</f>
        <v/>
      </c>
      <c r="Z45" s="16">
        <f>(((Z17*Z18)*(1+($C$19*(IF(Drivers!$G$6=0,0,Drivers!$Z$6/Drivers!$G$6)-1))))+Z20)</f>
        <v/>
      </c>
      <c r="AA45" s="16">
        <f>(((AA17*AA18)*(1+($C$19*(IF(Drivers!$G$6=0,0,Drivers!$AA$6/Drivers!$G$6)-1))))+AA20)</f>
        <v/>
      </c>
      <c r="AB45" s="16">
        <f>(((AB17*AB18)*(1+($C$19*(IF(Drivers!$G$6=0,0,Drivers!$AB$6/Drivers!$G$6)-1))))+AB20)</f>
        <v/>
      </c>
      <c r="AC45" s="16">
        <f>(((AC17*AC18)*(1+($C$19*(IF(Drivers!$G$6=0,0,Drivers!$AC$6/Drivers!$G$6)-1))))+AC20)</f>
        <v/>
      </c>
      <c r="AD45" s="16">
        <f>(((AD17*AD18)*(1+($C$19*(IF(Drivers!$G$6=0,0,Drivers!$AD$6/Drivers!$G$6)-1))))+AD20)</f>
        <v/>
      </c>
      <c r="AE45" s="16">
        <f>(((AE17*AE18)*(1+($C$19*(IF(Drivers!$G$6=0,0,Drivers!$AE$6/Drivers!$G$6)-1))))+AE20)</f>
        <v/>
      </c>
      <c r="AF45" s="16">
        <f>(((AF17*AF18)*(1+($C$19*(IF(Drivers!$G$6=0,0,Drivers!$AF$6/Drivers!$G$6)-1))))+AF20)</f>
        <v/>
      </c>
    </row>
    <row r="46">
      <c r="A46" t="inlineStr">
        <is>
          <t>Strip ratio</t>
        </is>
      </c>
      <c r="B46" t="inlineStr">
        <is>
          <t>strip_ratio_line</t>
        </is>
      </c>
      <c r="D46" s="14" t="n"/>
      <c r="E46" s="14" t="n"/>
      <c r="F46" s="14" t="n"/>
      <c r="G46" s="14" t="n"/>
      <c r="H46" s="19">
        <f>H17</f>
        <v/>
      </c>
      <c r="I46" s="19">
        <f>I17</f>
        <v/>
      </c>
      <c r="J46" s="19">
        <f>J17</f>
        <v/>
      </c>
      <c r="K46" s="19">
        <f>K17</f>
        <v/>
      </c>
      <c r="L46" s="19">
        <f>L17</f>
        <v/>
      </c>
      <c r="M46" s="19">
        <f>M17</f>
        <v/>
      </c>
      <c r="N46" s="19">
        <f>N17</f>
        <v/>
      </c>
      <c r="O46" s="19">
        <f>O17</f>
        <v/>
      </c>
      <c r="P46" s="19">
        <f>P17</f>
        <v/>
      </c>
      <c r="Q46" s="19">
        <f>Q17</f>
        <v/>
      </c>
      <c r="R46" s="19">
        <f>R17</f>
        <v/>
      </c>
      <c r="S46" s="19">
        <f>S17</f>
        <v/>
      </c>
      <c r="T46" s="19">
        <f>T17</f>
        <v/>
      </c>
      <c r="U46" s="19">
        <f>U17</f>
        <v/>
      </c>
      <c r="V46" s="19">
        <f>V17</f>
        <v/>
      </c>
      <c r="W46" s="19">
        <f>W17</f>
        <v/>
      </c>
      <c r="X46" s="19">
        <f>X17</f>
        <v/>
      </c>
      <c r="Y46" s="19">
        <f>Y17</f>
        <v/>
      </c>
      <c r="Z46" s="19">
        <f>Z17</f>
        <v/>
      </c>
      <c r="AA46" s="19">
        <f>AA17</f>
        <v/>
      </c>
      <c r="AB46" s="19">
        <f>AB17</f>
        <v/>
      </c>
      <c r="AC46" s="19">
        <f>AC17</f>
        <v/>
      </c>
      <c r="AD46" s="19">
        <f>AD17</f>
        <v/>
      </c>
      <c r="AE46" s="19">
        <f>AE17</f>
        <v/>
      </c>
      <c r="AF46" s="19">
        <f>AF17</f>
        <v/>
      </c>
    </row>
    <row r="47">
      <c r="A47" t="inlineStr">
        <is>
          <t>Royalty rate</t>
        </is>
      </c>
      <c r="B47" t="inlineStr">
        <is>
          <t>royalty_rate</t>
        </is>
      </c>
      <c r="D47" s="4" t="n"/>
      <c r="E47" s="4" t="n"/>
      <c r="F47" s="4" t="n"/>
      <c r="G47" s="4" t="n"/>
      <c r="H47" s="18">
        <f>H21</f>
        <v/>
      </c>
      <c r="I47" s="18">
        <f>I21</f>
        <v/>
      </c>
      <c r="J47" s="18">
        <f>J21</f>
        <v/>
      </c>
      <c r="K47" s="18">
        <f>K21</f>
        <v/>
      </c>
      <c r="L47" s="18">
        <f>L21</f>
        <v/>
      </c>
      <c r="M47" s="18">
        <f>M21</f>
        <v/>
      </c>
      <c r="N47" s="18">
        <f>N21</f>
        <v/>
      </c>
      <c r="O47" s="18">
        <f>O21</f>
        <v/>
      </c>
      <c r="P47" s="18">
        <f>P21</f>
        <v/>
      </c>
      <c r="Q47" s="18">
        <f>Q21</f>
        <v/>
      </c>
      <c r="R47" s="18">
        <f>R21</f>
        <v/>
      </c>
      <c r="S47" s="18">
        <f>S21</f>
        <v/>
      </c>
      <c r="T47" s="18">
        <f>T21</f>
        <v/>
      </c>
      <c r="U47" s="18">
        <f>U21</f>
        <v/>
      </c>
      <c r="V47" s="18">
        <f>V21</f>
        <v/>
      </c>
      <c r="W47" s="18">
        <f>W21</f>
        <v/>
      </c>
      <c r="X47" s="18">
        <f>X21</f>
        <v/>
      </c>
      <c r="Y47" s="18">
        <f>Y21</f>
        <v/>
      </c>
      <c r="Z47" s="18">
        <f>Z21</f>
        <v/>
      </c>
      <c r="AA47" s="18">
        <f>AA21</f>
        <v/>
      </c>
      <c r="AB47" s="18">
        <f>AB21</f>
        <v/>
      </c>
      <c r="AC47" s="18">
        <f>AC21</f>
        <v/>
      </c>
      <c r="AD47" s="18">
        <f>AD21</f>
        <v/>
      </c>
      <c r="AE47" s="18">
        <f>AE21</f>
        <v/>
      </c>
      <c r="AF47" s="18">
        <f>AF21</f>
        <v/>
      </c>
    </row>
    <row r="48">
      <c r="A48" t="inlineStr">
        <is>
          <t>EBITDA per unit (price currency)</t>
        </is>
      </c>
      <c r="B48" t="inlineStr">
        <is>
          <t>ebitda_per_unit</t>
        </is>
      </c>
      <c r="D48" s="3" t="n"/>
      <c r="E48" s="3" t="n"/>
      <c r="F48" s="3" t="n">
        <v>737.6941507778957</v>
      </c>
      <c r="G48" s="3" t="n">
        <v>1381.989622457781</v>
      </c>
      <c r="H48" s="17">
        <f>IF((H41*$C$10)=0,0,H61/(H41*$C$10))</f>
        <v/>
      </c>
      <c r="I48" s="17">
        <f>IF((I41*$C$10)=0,0,I61/(I41*$C$10))</f>
        <v/>
      </c>
      <c r="J48" s="17">
        <f>IF((J41*$C$10)=0,0,J61/(J41*$C$10))</f>
        <v/>
      </c>
      <c r="K48" s="17">
        <f>IF((K41*$C$10)=0,0,K61/(K41*$C$10))</f>
        <v/>
      </c>
      <c r="L48" s="17">
        <f>IF((L41*$C$10)=0,0,L61/(L41*$C$10))</f>
        <v/>
      </c>
      <c r="M48" s="17">
        <f>IF((M41*$C$10)=0,0,M61/(M41*$C$10))</f>
        <v/>
      </c>
      <c r="N48" s="17">
        <f>IF((N41*$C$10)=0,0,N61/(N41*$C$10))</f>
        <v/>
      </c>
      <c r="O48" s="17">
        <f>IF((O41*$C$10)=0,0,O61/(O41*$C$10))</f>
        <v/>
      </c>
      <c r="P48" s="17">
        <f>IF((P41*$C$10)=0,0,P61/(P41*$C$10))</f>
        <v/>
      </c>
      <c r="Q48" s="17">
        <f>IF((Q41*$C$10)=0,0,Q61/(Q41*$C$10))</f>
        <v/>
      </c>
      <c r="R48" s="17">
        <f>IF((R41*$C$10)=0,0,R61/(R41*$C$10))</f>
        <v/>
      </c>
      <c r="S48" s="17">
        <f>IF((S41*$C$10)=0,0,S61/(S41*$C$10))</f>
        <v/>
      </c>
      <c r="T48" s="17">
        <f>IF((T41*$C$10)=0,0,T61/(T41*$C$10))</f>
        <v/>
      </c>
      <c r="U48" s="17">
        <f>IF((U41*$C$10)=0,0,U61/(U41*$C$10))</f>
        <v/>
      </c>
      <c r="V48" s="17">
        <f>IF((V41*$C$10)=0,0,V61/(V41*$C$10))</f>
        <v/>
      </c>
      <c r="W48" s="17">
        <f>IF((W41*$C$10)=0,0,W61/(W41*$C$10))</f>
        <v/>
      </c>
      <c r="X48" s="17">
        <f>IF((X41*$C$10)=0,0,X61/(X41*$C$10))</f>
        <v/>
      </c>
      <c r="Y48" s="17">
        <f>IF((Y41*$C$10)=0,0,Y61/(Y41*$C$10))</f>
        <v/>
      </c>
      <c r="Z48" s="17">
        <f>IF((Z41*$C$10)=0,0,Z61/(Z41*$C$10))</f>
        <v/>
      </c>
      <c r="AA48" s="17">
        <f>IF((AA41*$C$10)=0,0,AA61/(AA41*$C$10))</f>
        <v/>
      </c>
      <c r="AB48" s="17">
        <f>IF((AB41*$C$10)=0,0,AB61/(AB41*$C$10))</f>
        <v/>
      </c>
      <c r="AC48" s="17">
        <f>IF((AC41*$C$10)=0,0,AC61/(AC41*$C$10))</f>
        <v/>
      </c>
      <c r="AD48" s="17">
        <f>IF((AD41*$C$10)=0,0,AD61/(AD41*$C$10))</f>
        <v/>
      </c>
      <c r="AE48" s="17">
        <f>IF((AE41*$C$10)=0,0,AE61/(AE41*$C$10))</f>
        <v/>
      </c>
      <c r="AF48" s="17">
        <f>IF((AF41*$C$10)=0,0,AF61/(AF41*$C$10))</f>
        <v/>
      </c>
    </row>
    <row r="49">
      <c r="A49" t="inlineStr">
        <is>
          <t>Cash cost + royalty per unit (price currency)</t>
        </is>
      </c>
      <c r="B49" t="inlineStr">
        <is>
          <t>cash_cost_money_per_unit</t>
        </is>
      </c>
      <c r="D49" s="3" t="n"/>
      <c r="E49" s="3" t="n"/>
      <c r="F49" s="3" t="n"/>
      <c r="G49" s="3" t="n"/>
      <c r="H49" s="17">
        <f>IF((H41*$C$10)=0,0,(H53+H52)/(H41*$C$10))</f>
        <v/>
      </c>
      <c r="I49" s="17">
        <f>IF((I41*$C$10)=0,0,(I53+I52)/(I41*$C$10))</f>
        <v/>
      </c>
      <c r="J49" s="17">
        <f>IF((J41*$C$10)=0,0,(J53+J52)/(J41*$C$10))</f>
        <v/>
      </c>
      <c r="K49" s="17">
        <f>IF((K41*$C$10)=0,0,(K53+K52)/(K41*$C$10))</f>
        <v/>
      </c>
      <c r="L49" s="17">
        <f>IF((L41*$C$10)=0,0,(L53+L52)/(L41*$C$10))</f>
        <v/>
      </c>
      <c r="M49" s="17">
        <f>IF((M41*$C$10)=0,0,(M53+M52)/(M41*$C$10))</f>
        <v/>
      </c>
      <c r="N49" s="17">
        <f>IF((N41*$C$10)=0,0,(N53+N52)/(N41*$C$10))</f>
        <v/>
      </c>
      <c r="O49" s="17">
        <f>IF((O41*$C$10)=0,0,(O53+O52)/(O41*$C$10))</f>
        <v/>
      </c>
      <c r="P49" s="17">
        <f>IF((P41*$C$10)=0,0,(P53+P52)/(P41*$C$10))</f>
        <v/>
      </c>
      <c r="Q49" s="17">
        <f>IF((Q41*$C$10)=0,0,(Q53+Q52)/(Q41*$C$10))</f>
        <v/>
      </c>
      <c r="R49" s="17">
        <f>IF((R41*$C$10)=0,0,(R53+R52)/(R41*$C$10))</f>
        <v/>
      </c>
      <c r="S49" s="17">
        <f>IF((S41*$C$10)=0,0,(S53+S52)/(S41*$C$10))</f>
        <v/>
      </c>
      <c r="T49" s="17">
        <f>IF((T41*$C$10)=0,0,(T53+T52)/(T41*$C$10))</f>
        <v/>
      </c>
      <c r="U49" s="17">
        <f>IF((U41*$C$10)=0,0,(U53+U52)/(U41*$C$10))</f>
        <v/>
      </c>
      <c r="V49" s="17">
        <f>IF((V41*$C$10)=0,0,(V53+V52)/(V41*$C$10))</f>
        <v/>
      </c>
      <c r="W49" s="17">
        <f>IF((W41*$C$10)=0,0,(W53+W52)/(W41*$C$10))</f>
        <v/>
      </c>
      <c r="X49" s="17">
        <f>IF((X41*$C$10)=0,0,(X53+X52)/(X41*$C$10))</f>
        <v/>
      </c>
      <c r="Y49" s="17">
        <f>IF((Y41*$C$10)=0,0,(Y53+Y52)/(Y41*$C$10))</f>
        <v/>
      </c>
      <c r="Z49" s="17">
        <f>IF((Z41*$C$10)=0,0,(Z53+Z52)/(Z41*$C$10))</f>
        <v/>
      </c>
      <c r="AA49" s="17">
        <f>IF((AA41*$C$10)=0,0,(AA53+AA52)/(AA41*$C$10))</f>
        <v/>
      </c>
      <c r="AB49" s="17">
        <f>IF((AB41*$C$10)=0,0,(AB53+AB52)/(AB41*$C$10))</f>
        <v/>
      </c>
      <c r="AC49" s="17">
        <f>IF((AC41*$C$10)=0,0,(AC53+AC52)/(AC41*$C$10))</f>
        <v/>
      </c>
      <c r="AD49" s="17">
        <f>IF((AD41*$C$10)=0,0,(AD53+AD52)/(AD41*$C$10))</f>
        <v/>
      </c>
      <c r="AE49" s="17">
        <f>IF((AE41*$C$10)=0,0,(AE53+AE52)/(AE41*$C$10))</f>
        <v/>
      </c>
      <c r="AF49" s="17">
        <f>IF((AF41*$C$10)=0,0,(AF53+AF52)/(AF41*$C$10))</f>
        <v/>
      </c>
    </row>
    <row r="50">
      <c r="A50" t="inlineStr">
        <is>
          <t>Main product revenue</t>
        </is>
      </c>
      <c r="B50" t="inlineStr">
        <is>
          <t>revenue_main</t>
        </is>
      </c>
      <c r="D50" s="13" t="n"/>
      <c r="E50" s="13" t="n"/>
      <c r="F50" s="13" t="n"/>
      <c r="G50" s="13" t="n"/>
      <c r="H50" s="15">
        <f>((H41*H43)*$C$10)</f>
        <v/>
      </c>
      <c r="I50" s="15">
        <f>((I41*I43)*$C$10)</f>
        <v/>
      </c>
      <c r="J50" s="15">
        <f>((J41*J43)*$C$10)</f>
        <v/>
      </c>
      <c r="K50" s="15">
        <f>((K41*K43)*$C$10)</f>
        <v/>
      </c>
      <c r="L50" s="15">
        <f>((L41*L43)*$C$10)</f>
        <v/>
      </c>
      <c r="M50" s="15">
        <f>((M41*M43)*$C$10)</f>
        <v/>
      </c>
      <c r="N50" s="15">
        <f>((N41*N43)*$C$10)</f>
        <v/>
      </c>
      <c r="O50" s="15">
        <f>((O41*O43)*$C$10)</f>
        <v/>
      </c>
      <c r="P50" s="15">
        <f>((P41*P43)*$C$10)</f>
        <v/>
      </c>
      <c r="Q50" s="15">
        <f>((Q41*Q43)*$C$10)</f>
        <v/>
      </c>
      <c r="R50" s="15">
        <f>((R41*R43)*$C$10)</f>
        <v/>
      </c>
      <c r="S50" s="15">
        <f>((S41*S43)*$C$10)</f>
        <v/>
      </c>
      <c r="T50" s="15">
        <f>((T41*T43)*$C$10)</f>
        <v/>
      </c>
      <c r="U50" s="15">
        <f>((U41*U43)*$C$10)</f>
        <v/>
      </c>
      <c r="V50" s="15">
        <f>((V41*V43)*$C$10)</f>
        <v/>
      </c>
      <c r="W50" s="15">
        <f>((W41*W43)*$C$10)</f>
        <v/>
      </c>
      <c r="X50" s="15">
        <f>((X41*X43)*$C$10)</f>
        <v/>
      </c>
      <c r="Y50" s="15">
        <f>((Y41*Y43)*$C$10)</f>
        <v/>
      </c>
      <c r="Z50" s="15">
        <f>((Z41*Z43)*$C$10)</f>
        <v/>
      </c>
      <c r="AA50" s="15">
        <f>((AA41*AA43)*$C$10)</f>
        <v/>
      </c>
      <c r="AB50" s="15">
        <f>((AB41*AB43)*$C$10)</f>
        <v/>
      </c>
      <c r="AC50" s="15">
        <f>((AC41*AC43)*$C$10)</f>
        <v/>
      </c>
      <c r="AD50" s="15">
        <f>((AD41*AD43)*$C$10)</f>
        <v/>
      </c>
      <c r="AE50" s="15">
        <f>((AE41*AE43)*$C$10)</f>
        <v/>
      </c>
      <c r="AF50" s="15">
        <f>((AF41*AF43)*$C$10)</f>
        <v/>
      </c>
    </row>
    <row r="51">
      <c r="A51" t="inlineStr">
        <is>
          <t>Other revenue</t>
        </is>
      </c>
      <c r="B51" t="inlineStr">
        <is>
          <t>other_revenue</t>
        </is>
      </c>
      <c r="D51" s="13" t="n"/>
      <c r="E51" s="13" t="n"/>
      <c r="F51" s="13" t="n"/>
      <c r="G51" s="13" t="n"/>
      <c r="H51" s="15">
        <f>H22</f>
        <v/>
      </c>
      <c r="I51" s="15">
        <f>I22</f>
        <v/>
      </c>
      <c r="J51" s="15">
        <f>J22</f>
        <v/>
      </c>
      <c r="K51" s="15">
        <f>K22</f>
        <v/>
      </c>
      <c r="L51" s="15">
        <f>L22</f>
        <v/>
      </c>
      <c r="M51" s="15">
        <f>M22</f>
        <v/>
      </c>
      <c r="N51" s="15">
        <f>N22</f>
        <v/>
      </c>
      <c r="O51" s="15">
        <f>O22</f>
        <v/>
      </c>
      <c r="P51" s="15">
        <f>P22</f>
        <v/>
      </c>
      <c r="Q51" s="15">
        <f>Q22</f>
        <v/>
      </c>
      <c r="R51" s="15">
        <f>R22</f>
        <v/>
      </c>
      <c r="S51" s="15">
        <f>S22</f>
        <v/>
      </c>
      <c r="T51" s="15">
        <f>T22</f>
        <v/>
      </c>
      <c r="U51" s="15">
        <f>U22</f>
        <v/>
      </c>
      <c r="V51" s="15">
        <f>V22</f>
        <v/>
      </c>
      <c r="W51" s="15">
        <f>W22</f>
        <v/>
      </c>
      <c r="X51" s="15">
        <f>X22</f>
        <v/>
      </c>
      <c r="Y51" s="15">
        <f>Y22</f>
        <v/>
      </c>
      <c r="Z51" s="15">
        <f>Z22</f>
        <v/>
      </c>
      <c r="AA51" s="15">
        <f>AA22</f>
        <v/>
      </c>
      <c r="AB51" s="15">
        <f>AB22</f>
        <v/>
      </c>
      <c r="AC51" s="15">
        <f>AC22</f>
        <v/>
      </c>
      <c r="AD51" s="15">
        <f>AD22</f>
        <v/>
      </c>
      <c r="AE51" s="15">
        <f>AE22</f>
        <v/>
      </c>
      <c r="AF51" s="15">
        <f>AF22</f>
        <v/>
      </c>
    </row>
    <row r="52">
      <c r="A52" t="inlineStr">
        <is>
          <t>Royalty</t>
        </is>
      </c>
      <c r="B52" t="inlineStr">
        <is>
          <t>royalty</t>
        </is>
      </c>
      <c r="D52" s="13" t="n"/>
      <c r="E52" s="13" t="n"/>
      <c r="F52" s="13" t="n"/>
      <c r="G52" s="13" t="n"/>
      <c r="H52" s="15">
        <f>(H50*H47)</f>
        <v/>
      </c>
      <c r="I52" s="15">
        <f>(I50*I47)</f>
        <v/>
      </c>
      <c r="J52" s="15">
        <f>(J50*J47)</f>
        <v/>
      </c>
      <c r="K52" s="15">
        <f>(K50*K47)</f>
        <v/>
      </c>
      <c r="L52" s="15">
        <f>(L50*L47)</f>
        <v/>
      </c>
      <c r="M52" s="15">
        <f>(M50*M47)</f>
        <v/>
      </c>
      <c r="N52" s="15">
        <f>(N50*N47)</f>
        <v/>
      </c>
      <c r="O52" s="15">
        <f>(O50*O47)</f>
        <v/>
      </c>
      <c r="P52" s="15">
        <f>(P50*P47)</f>
        <v/>
      </c>
      <c r="Q52" s="15">
        <f>(Q50*Q47)</f>
        <v/>
      </c>
      <c r="R52" s="15">
        <f>(R50*R47)</f>
        <v/>
      </c>
      <c r="S52" s="15">
        <f>(S50*S47)</f>
        <v/>
      </c>
      <c r="T52" s="15">
        <f>(T50*T47)</f>
        <v/>
      </c>
      <c r="U52" s="15">
        <f>(U50*U47)</f>
        <v/>
      </c>
      <c r="V52" s="15">
        <f>(V50*V47)</f>
        <v/>
      </c>
      <c r="W52" s="15">
        <f>(W50*W47)</f>
        <v/>
      </c>
      <c r="X52" s="15">
        <f>(X50*X47)</f>
        <v/>
      </c>
      <c r="Y52" s="15">
        <f>(Y50*Y47)</f>
        <v/>
      </c>
      <c r="Z52" s="15">
        <f>(Z50*Z47)</f>
        <v/>
      </c>
      <c r="AA52" s="15">
        <f>(AA50*AA47)</f>
        <v/>
      </c>
      <c r="AB52" s="15">
        <f>(AB50*AB47)</f>
        <v/>
      </c>
      <c r="AC52" s="15">
        <f>(AC50*AC47)</f>
        <v/>
      </c>
      <c r="AD52" s="15">
        <f>(AD50*AD47)</f>
        <v/>
      </c>
      <c r="AE52" s="15">
        <f>(AE50*AE47)</f>
        <v/>
      </c>
      <c r="AF52" s="15">
        <f>(AF50*AF47)</f>
        <v/>
      </c>
    </row>
    <row r="53">
      <c r="A53" t="inlineStr">
        <is>
          <t>Cash costs</t>
        </is>
      </c>
      <c r="B53" t="inlineStr">
        <is>
          <t>cash_cost</t>
        </is>
      </c>
      <c r="D53" s="13" t="n"/>
      <c r="E53" s="13" t="n"/>
      <c r="F53" s="13" t="n"/>
      <c r="G53" s="13" t="n"/>
      <c r="H53" s="15">
        <f>((H41*H45)*$C$10)</f>
        <v/>
      </c>
      <c r="I53" s="15">
        <f>((I41*I45)*$C$10)</f>
        <v/>
      </c>
      <c r="J53" s="15">
        <f>((J41*J45)*$C$10)</f>
        <v/>
      </c>
      <c r="K53" s="15">
        <f>((K41*K45)*$C$10)</f>
        <v/>
      </c>
      <c r="L53" s="15">
        <f>((L41*L45)*$C$10)</f>
        <v/>
      </c>
      <c r="M53" s="15">
        <f>((M41*M45)*$C$10)</f>
        <v/>
      </c>
      <c r="N53" s="15">
        <f>((N41*N45)*$C$10)</f>
        <v/>
      </c>
      <c r="O53" s="15">
        <f>((O41*O45)*$C$10)</f>
        <v/>
      </c>
      <c r="P53" s="15">
        <f>((P41*P45)*$C$10)</f>
        <v/>
      </c>
      <c r="Q53" s="15">
        <f>((Q41*Q45)*$C$10)</f>
        <v/>
      </c>
      <c r="R53" s="15">
        <f>((R41*R45)*$C$10)</f>
        <v/>
      </c>
      <c r="S53" s="15">
        <f>((S41*S45)*$C$10)</f>
        <v/>
      </c>
      <c r="T53" s="15">
        <f>((T41*T45)*$C$10)</f>
        <v/>
      </c>
      <c r="U53" s="15">
        <f>((U41*U45)*$C$10)</f>
        <v/>
      </c>
      <c r="V53" s="15">
        <f>((V41*V45)*$C$10)</f>
        <v/>
      </c>
      <c r="W53" s="15">
        <f>((W41*W45)*$C$10)</f>
        <v/>
      </c>
      <c r="X53" s="15">
        <f>((X41*X45)*$C$10)</f>
        <v/>
      </c>
      <c r="Y53" s="15">
        <f>((Y41*Y45)*$C$10)</f>
        <v/>
      </c>
      <c r="Z53" s="15">
        <f>((Z41*Z45)*$C$10)</f>
        <v/>
      </c>
      <c r="AA53" s="15">
        <f>((AA41*AA45)*$C$10)</f>
        <v/>
      </c>
      <c r="AB53" s="15">
        <f>((AB41*AB45)*$C$10)</f>
        <v/>
      </c>
      <c r="AC53" s="15">
        <f>((AC41*AC45)*$C$10)</f>
        <v/>
      </c>
      <c r="AD53" s="15">
        <f>((AD41*AD45)*$C$10)</f>
        <v/>
      </c>
      <c r="AE53" s="15">
        <f>((AE41*AE45)*$C$10)</f>
        <v/>
      </c>
      <c r="AF53" s="15">
        <f>((AF41*AF45)*$C$10)</f>
        <v/>
      </c>
    </row>
    <row r="54">
      <c r="A54" t="inlineStr">
        <is>
          <t>Cost of other revenue</t>
        </is>
      </c>
      <c r="B54" t="inlineStr">
        <is>
          <t>other_cogs</t>
        </is>
      </c>
      <c r="D54" s="13" t="n"/>
      <c r="E54" s="13" t="n"/>
      <c r="F54" s="13" t="n"/>
      <c r="G54" s="13" t="n"/>
      <c r="H54" s="15">
        <f>(H51*(1-$C$23))</f>
        <v/>
      </c>
      <c r="I54" s="15">
        <f>(I51*(1-$C$23))</f>
        <v/>
      </c>
      <c r="J54" s="15">
        <f>(J51*(1-$C$23))</f>
        <v/>
      </c>
      <c r="K54" s="15">
        <f>(K51*(1-$C$23))</f>
        <v/>
      </c>
      <c r="L54" s="15">
        <f>(L51*(1-$C$23))</f>
        <v/>
      </c>
      <c r="M54" s="15">
        <f>(M51*(1-$C$23))</f>
        <v/>
      </c>
      <c r="N54" s="15">
        <f>(N51*(1-$C$23))</f>
        <v/>
      </c>
      <c r="O54" s="15">
        <f>(O51*(1-$C$23))</f>
        <v/>
      </c>
      <c r="P54" s="15">
        <f>(P51*(1-$C$23))</f>
        <v/>
      </c>
      <c r="Q54" s="15">
        <f>(Q51*(1-$C$23))</f>
        <v/>
      </c>
      <c r="R54" s="15">
        <f>(R51*(1-$C$23))</f>
        <v/>
      </c>
      <c r="S54" s="15">
        <f>(S51*(1-$C$23))</f>
        <v/>
      </c>
      <c r="T54" s="15">
        <f>(T51*(1-$C$23))</f>
        <v/>
      </c>
      <c r="U54" s="15">
        <f>(U51*(1-$C$23))</f>
        <v/>
      </c>
      <c r="V54" s="15">
        <f>(V51*(1-$C$23))</f>
        <v/>
      </c>
      <c r="W54" s="15">
        <f>(W51*(1-$C$23))</f>
        <v/>
      </c>
      <c r="X54" s="15">
        <f>(X51*(1-$C$23))</f>
        <v/>
      </c>
      <c r="Y54" s="15">
        <f>(Y51*(1-$C$23))</f>
        <v/>
      </c>
      <c r="Z54" s="15">
        <f>(Z51*(1-$C$23))</f>
        <v/>
      </c>
      <c r="AA54" s="15">
        <f>(AA51*(1-$C$23))</f>
        <v/>
      </c>
      <c r="AB54" s="15">
        <f>(AB51*(1-$C$23))</f>
        <v/>
      </c>
      <c r="AC54" s="15">
        <f>(AC51*(1-$C$23))</f>
        <v/>
      </c>
      <c r="AD54" s="15">
        <f>(AD51*(1-$C$23))</f>
        <v/>
      </c>
      <c r="AE54" s="15">
        <f>(AE51*(1-$C$23))</f>
        <v/>
      </c>
      <c r="AF54" s="15">
        <f>(AF51*(1-$C$23))</f>
        <v/>
      </c>
    </row>
    <row r="55">
      <c r="A55" t="inlineStr">
        <is>
          <t>Revenue</t>
        </is>
      </c>
      <c r="B55" t="inlineStr">
        <is>
          <t>revenue</t>
        </is>
      </c>
      <c r="D55" s="13" t="n">
        <v>11.644445</v>
      </c>
      <c r="E55" s="13" t="n">
        <v>46.637766</v>
      </c>
      <c r="F55" s="13" t="n">
        <v>162.344778</v>
      </c>
      <c r="G55" s="13" t="n">
        <v>249.354352</v>
      </c>
      <c r="H55" s="15">
        <f>(H50+H51)</f>
        <v/>
      </c>
      <c r="I55" s="15">
        <f>(I50+I51)</f>
        <v/>
      </c>
      <c r="J55" s="15">
        <f>(J50+J51)</f>
        <v/>
      </c>
      <c r="K55" s="15">
        <f>(K50+K51)</f>
        <v/>
      </c>
      <c r="L55" s="15">
        <f>(L50+L51)</f>
        <v/>
      </c>
      <c r="M55" s="15">
        <f>(M50+M51)</f>
        <v/>
      </c>
      <c r="N55" s="15">
        <f>(N50+N51)</f>
        <v/>
      </c>
      <c r="O55" s="15">
        <f>(O50+O51)</f>
        <v/>
      </c>
      <c r="P55" s="15">
        <f>(P50+P51)</f>
        <v/>
      </c>
      <c r="Q55" s="15">
        <f>(Q50+Q51)</f>
        <v/>
      </c>
      <c r="R55" s="15">
        <f>(R50+R51)</f>
        <v/>
      </c>
      <c r="S55" s="15">
        <f>(S50+S51)</f>
        <v/>
      </c>
      <c r="T55" s="15">
        <f>(T50+T51)</f>
        <v/>
      </c>
      <c r="U55" s="15">
        <f>(U50+U51)</f>
        <v/>
      </c>
      <c r="V55" s="15">
        <f>(V50+V51)</f>
        <v/>
      </c>
      <c r="W55" s="15">
        <f>(W50+W51)</f>
        <v/>
      </c>
      <c r="X55" s="15">
        <f>(X50+X51)</f>
        <v/>
      </c>
      <c r="Y55" s="15">
        <f>(Y50+Y51)</f>
        <v/>
      </c>
      <c r="Z55" s="15">
        <f>(Z50+Z51)</f>
        <v/>
      </c>
      <c r="AA55" s="15">
        <f>(AA50+AA51)</f>
        <v/>
      </c>
      <c r="AB55" s="15">
        <f>(AB50+AB51)</f>
        <v/>
      </c>
      <c r="AC55" s="15">
        <f>(AC50+AC51)</f>
        <v/>
      </c>
      <c r="AD55" s="15">
        <f>(AD50+AD51)</f>
        <v/>
      </c>
      <c r="AE55" s="15">
        <f>(AE50+AE51)</f>
        <v/>
      </c>
      <c r="AF55" s="15">
        <f>(AF50+AF51)</f>
        <v/>
      </c>
    </row>
    <row r="56">
      <c r="A56" t="inlineStr">
        <is>
          <t>Cost of revenue</t>
        </is>
      </c>
      <c r="B56" t="inlineStr">
        <is>
          <t>cogs</t>
        </is>
      </c>
      <c r="D56" s="13" t="n">
        <v>5.077708</v>
      </c>
      <c r="E56" s="13" t="n">
        <v>20.380893</v>
      </c>
      <c r="F56" s="13" t="n">
        <v>82.678906</v>
      </c>
      <c r="G56" s="13" t="n">
        <v>109.130272</v>
      </c>
      <c r="H56" s="15">
        <f>(((H53+H52)+H54)+H60)</f>
        <v/>
      </c>
      <c r="I56" s="15">
        <f>(((I53+I52)+I54)+I60)</f>
        <v/>
      </c>
      <c r="J56" s="15">
        <f>(((J53+J52)+J54)+J60)</f>
        <v/>
      </c>
      <c r="K56" s="15">
        <f>(((K53+K52)+K54)+K60)</f>
        <v/>
      </c>
      <c r="L56" s="15">
        <f>(((L53+L52)+L54)+L60)</f>
        <v/>
      </c>
      <c r="M56" s="15">
        <f>(((M53+M52)+M54)+M60)</f>
        <v/>
      </c>
      <c r="N56" s="15">
        <f>(((N53+N52)+N54)+N60)</f>
        <v/>
      </c>
      <c r="O56" s="15">
        <f>(((O53+O52)+O54)+O60)</f>
        <v/>
      </c>
      <c r="P56" s="15">
        <f>(((P53+P52)+P54)+P60)</f>
        <v/>
      </c>
      <c r="Q56" s="15">
        <f>(((Q53+Q52)+Q54)+Q60)</f>
        <v/>
      </c>
      <c r="R56" s="15">
        <f>(((R53+R52)+R54)+R60)</f>
        <v/>
      </c>
      <c r="S56" s="15">
        <f>(((S53+S52)+S54)+S60)</f>
        <v/>
      </c>
      <c r="T56" s="15">
        <f>(((T53+T52)+T54)+T60)</f>
        <v/>
      </c>
      <c r="U56" s="15">
        <f>(((U53+U52)+U54)+U60)</f>
        <v/>
      </c>
      <c r="V56" s="15">
        <f>(((V53+V52)+V54)+V60)</f>
        <v/>
      </c>
      <c r="W56" s="15">
        <f>(((W53+W52)+W54)+W60)</f>
        <v/>
      </c>
      <c r="X56" s="15">
        <f>(((X53+X52)+X54)+X60)</f>
        <v/>
      </c>
      <c r="Y56" s="15">
        <f>(((Y53+Y52)+Y54)+Y60)</f>
        <v/>
      </c>
      <c r="Z56" s="15">
        <f>(((Z53+Z52)+Z54)+Z60)</f>
        <v/>
      </c>
      <c r="AA56" s="15">
        <f>(((AA53+AA52)+AA54)+AA60)</f>
        <v/>
      </c>
      <c r="AB56" s="15">
        <f>(((AB53+AB52)+AB54)+AB60)</f>
        <v/>
      </c>
      <c r="AC56" s="15">
        <f>(((AC53+AC52)+AC54)+AC60)</f>
        <v/>
      </c>
      <c r="AD56" s="15">
        <f>(((AD53+AD52)+AD54)+AD60)</f>
        <v/>
      </c>
      <c r="AE56" s="15">
        <f>(((AE53+AE52)+AE54)+AE60)</f>
        <v/>
      </c>
      <c r="AF56" s="15">
        <f>(((AF53+AF52)+AF54)+AF60)</f>
        <v/>
      </c>
    </row>
    <row r="57">
      <c r="A57" t="inlineStr">
        <is>
          <t>Gross profit</t>
        </is>
      </c>
      <c r="B57" t="inlineStr">
        <is>
          <t>gross_profit</t>
        </is>
      </c>
      <c r="D57" s="13" t="n">
        <v>6.566737</v>
      </c>
      <c r="E57" s="13" t="n">
        <v>26.256873</v>
      </c>
      <c r="F57" s="13" t="n">
        <v>79.66587199999999</v>
      </c>
      <c r="G57" s="13" t="n">
        <v>140.22408</v>
      </c>
      <c r="H57" s="15">
        <f>(H55-H56)</f>
        <v/>
      </c>
      <c r="I57" s="15">
        <f>(I55-I56)</f>
        <v/>
      </c>
      <c r="J57" s="15">
        <f>(J55-J56)</f>
        <v/>
      </c>
      <c r="K57" s="15">
        <f>(K55-K56)</f>
        <v/>
      </c>
      <c r="L57" s="15">
        <f>(L55-L56)</f>
        <v/>
      </c>
      <c r="M57" s="15">
        <f>(M55-M56)</f>
        <v/>
      </c>
      <c r="N57" s="15">
        <f>(N55-N56)</f>
        <v/>
      </c>
      <c r="O57" s="15">
        <f>(O55-O56)</f>
        <v/>
      </c>
      <c r="P57" s="15">
        <f>(P55-P56)</f>
        <v/>
      </c>
      <c r="Q57" s="15">
        <f>(Q55-Q56)</f>
        <v/>
      </c>
      <c r="R57" s="15">
        <f>(R55-R56)</f>
        <v/>
      </c>
      <c r="S57" s="15">
        <f>(S55-S56)</f>
        <v/>
      </c>
      <c r="T57" s="15">
        <f>(T55-T56)</f>
        <v/>
      </c>
      <c r="U57" s="15">
        <f>(U55-U56)</f>
        <v/>
      </c>
      <c r="V57" s="15">
        <f>(V55-V56)</f>
        <v/>
      </c>
      <c r="W57" s="15">
        <f>(W55-W56)</f>
        <v/>
      </c>
      <c r="X57" s="15">
        <f>(X55-X56)</f>
        <v/>
      </c>
      <c r="Y57" s="15">
        <f>(Y55-Y56)</f>
        <v/>
      </c>
      <c r="Z57" s="15">
        <f>(Z55-Z56)</f>
        <v/>
      </c>
      <c r="AA57" s="15">
        <f>(AA55-AA56)</f>
        <v/>
      </c>
      <c r="AB57" s="15">
        <f>(AB55-AB56)</f>
        <v/>
      </c>
      <c r="AC57" s="15">
        <f>(AC55-AC56)</f>
        <v/>
      </c>
      <c r="AD57" s="15">
        <f>(AD55-AD56)</f>
        <v/>
      </c>
      <c r="AE57" s="15">
        <f>(AE55-AE56)</f>
        <v/>
      </c>
      <c r="AF57" s="15">
        <f>(AF55-AF56)</f>
        <v/>
      </c>
    </row>
    <row r="58">
      <c r="A58" t="inlineStr">
        <is>
          <t>SG&amp;A and other opex</t>
        </is>
      </c>
      <c r="B58" t="inlineStr">
        <is>
          <t>opex</t>
        </is>
      </c>
      <c r="D58" s="13" t="n">
        <v>5.503433999999999</v>
      </c>
      <c r="E58" s="13" t="n">
        <v>9.157615999999997</v>
      </c>
      <c r="F58" s="13" t="n">
        <v>36.864656</v>
      </c>
      <c r="G58" s="13" t="n">
        <v>47.04190599999998</v>
      </c>
      <c r="H58" s="15">
        <f>(H55*H37)</f>
        <v/>
      </c>
      <c r="I58" s="15">
        <f>(I55*I37)</f>
        <v/>
      </c>
      <c r="J58" s="15">
        <f>(J55*J37)</f>
        <v/>
      </c>
      <c r="K58" s="15">
        <f>(K55*K37)</f>
        <v/>
      </c>
      <c r="L58" s="15">
        <f>(L55*L37)</f>
        <v/>
      </c>
      <c r="M58" s="15">
        <f>(M55*M37)</f>
        <v/>
      </c>
      <c r="N58" s="15">
        <f>(N55*N37)</f>
        <v/>
      </c>
      <c r="O58" s="15">
        <f>(O55*O37)</f>
        <v/>
      </c>
      <c r="P58" s="15">
        <f>(P55*P37)</f>
        <v/>
      </c>
      <c r="Q58" s="15">
        <f>(Q55*Q37)</f>
        <v/>
      </c>
      <c r="R58" s="15">
        <f>(R55*R37)</f>
        <v/>
      </c>
      <c r="S58" s="15">
        <f>(S55*S37)</f>
        <v/>
      </c>
      <c r="T58" s="15">
        <f>(T55*T37)</f>
        <v/>
      </c>
      <c r="U58" s="15">
        <f>(U55*U37)</f>
        <v/>
      </c>
      <c r="V58" s="15">
        <f>(V55*V37)</f>
        <v/>
      </c>
      <c r="W58" s="15">
        <f>(W55*W37)</f>
        <v/>
      </c>
      <c r="X58" s="15">
        <f>(X55*X37)</f>
        <v/>
      </c>
      <c r="Y58" s="15">
        <f>(Y55*Y37)</f>
        <v/>
      </c>
      <c r="Z58" s="15">
        <f>(Z55*Z37)</f>
        <v/>
      </c>
      <c r="AA58" s="15">
        <f>(AA55*AA37)</f>
        <v/>
      </c>
      <c r="AB58" s="15">
        <f>(AB55*AB37)</f>
        <v/>
      </c>
      <c r="AC58" s="15">
        <f>(AC55*AC37)</f>
        <v/>
      </c>
      <c r="AD58" s="15">
        <f>(AD55*AD37)</f>
        <v/>
      </c>
      <c r="AE58" s="15">
        <f>(AE55*AE37)</f>
        <v/>
      </c>
      <c r="AF58" s="15">
        <f>(AF55*AF37)</f>
        <v/>
      </c>
    </row>
    <row r="59">
      <c r="A59" t="inlineStr">
        <is>
          <t>EBIT</t>
        </is>
      </c>
      <c r="B59" t="inlineStr">
        <is>
          <t>ebit</t>
        </is>
      </c>
      <c r="D59" s="13" t="n">
        <v>1.063303</v>
      </c>
      <c r="E59" s="13" t="n">
        <v>17.099257</v>
      </c>
      <c r="F59" s="13" t="n">
        <v>42.801216</v>
      </c>
      <c r="G59" s="13" t="n">
        <v>93.182174</v>
      </c>
      <c r="H59" s="15">
        <f>(H57-H58)</f>
        <v/>
      </c>
      <c r="I59" s="15">
        <f>(I57-I58)</f>
        <v/>
      </c>
      <c r="J59" s="15">
        <f>(J57-J58)</f>
        <v/>
      </c>
      <c r="K59" s="15">
        <f>(K57-K58)</f>
        <v/>
      </c>
      <c r="L59" s="15">
        <f>(L57-L58)</f>
        <v/>
      </c>
      <c r="M59" s="15">
        <f>(M57-M58)</f>
        <v/>
      </c>
      <c r="N59" s="15">
        <f>(N57-N58)</f>
        <v/>
      </c>
      <c r="O59" s="15">
        <f>(O57-O58)</f>
        <v/>
      </c>
      <c r="P59" s="15">
        <f>(P57-P58)</f>
        <v/>
      </c>
      <c r="Q59" s="15">
        <f>(Q57-Q58)</f>
        <v/>
      </c>
      <c r="R59" s="15">
        <f>(R57-R58)</f>
        <v/>
      </c>
      <c r="S59" s="15">
        <f>(S57-S58)</f>
        <v/>
      </c>
      <c r="T59" s="15">
        <f>(T57-T58)</f>
        <v/>
      </c>
      <c r="U59" s="15">
        <f>(U57-U58)</f>
        <v/>
      </c>
      <c r="V59" s="15">
        <f>(V57-V58)</f>
        <v/>
      </c>
      <c r="W59" s="15">
        <f>(W57-W58)</f>
        <v/>
      </c>
      <c r="X59" s="15">
        <f>(X57-X58)</f>
        <v/>
      </c>
      <c r="Y59" s="15">
        <f>(Y57-Y58)</f>
        <v/>
      </c>
      <c r="Z59" s="15">
        <f>(Z57-Z58)</f>
        <v/>
      </c>
      <c r="AA59" s="15">
        <f>(AA57-AA58)</f>
        <v/>
      </c>
      <c r="AB59" s="15">
        <f>(AB57-AB58)</f>
        <v/>
      </c>
      <c r="AC59" s="15">
        <f>(AC57-AC58)</f>
        <v/>
      </c>
      <c r="AD59" s="15">
        <f>(AD57-AD58)</f>
        <v/>
      </c>
      <c r="AE59" s="15">
        <f>(AE57-AE58)</f>
        <v/>
      </c>
      <c r="AF59" s="15">
        <f>(AF57-AF58)</f>
        <v/>
      </c>
    </row>
    <row r="60">
      <c r="A60" t="inlineStr">
        <is>
          <t>Depreciation &amp; amortisation</t>
        </is>
      </c>
      <c r="B60" t="inlineStr">
        <is>
          <t>da</t>
        </is>
      </c>
      <c r="D60" s="13" t="n">
        <v>0.819211</v>
      </c>
      <c r="E60" s="13" t="n">
        <v>0.423992</v>
      </c>
      <c r="F60" s="13" t="n">
        <v>5.136363</v>
      </c>
      <c r="G60" s="13" t="n">
        <v>6.163532</v>
      </c>
      <c r="H60" s="15">
        <f>((H41*H24)*$C$10)</f>
        <v/>
      </c>
      <c r="I60" s="15">
        <f>((I41*I24)*$C$10)</f>
        <v/>
      </c>
      <c r="J60" s="15">
        <f>((J41*J24)*$C$10)</f>
        <v/>
      </c>
      <c r="K60" s="15">
        <f>((K41*K24)*$C$10)</f>
        <v/>
      </c>
      <c r="L60" s="15">
        <f>((L41*L24)*$C$10)</f>
        <v/>
      </c>
      <c r="M60" s="15">
        <f>((M41*M24)*$C$10)</f>
        <v/>
      </c>
      <c r="N60" s="15">
        <f>((N41*N24)*$C$10)</f>
        <v/>
      </c>
      <c r="O60" s="15">
        <f>((O41*O24)*$C$10)</f>
        <v/>
      </c>
      <c r="P60" s="15">
        <f>((P41*P24)*$C$10)</f>
        <v/>
      </c>
      <c r="Q60" s="15">
        <f>((Q41*Q24)*$C$10)</f>
        <v/>
      </c>
      <c r="R60" s="15">
        <f>((R41*R24)*$C$10)</f>
        <v/>
      </c>
      <c r="S60" s="15">
        <f>((S41*S24)*$C$10)</f>
        <v/>
      </c>
      <c r="T60" s="15">
        <f>((T41*T24)*$C$10)</f>
        <v/>
      </c>
      <c r="U60" s="15">
        <f>((U41*U24)*$C$10)</f>
        <v/>
      </c>
      <c r="V60" s="15">
        <f>((V41*V24)*$C$10)</f>
        <v/>
      </c>
      <c r="W60" s="15">
        <f>((W41*W24)*$C$10)</f>
        <v/>
      </c>
      <c r="X60" s="15">
        <f>((X41*X24)*$C$10)</f>
        <v/>
      </c>
      <c r="Y60" s="15">
        <f>((Y41*Y24)*$C$10)</f>
        <v/>
      </c>
      <c r="Z60" s="15">
        <f>((Z41*Z24)*$C$10)</f>
        <v/>
      </c>
      <c r="AA60" s="15">
        <f>((AA41*AA24)*$C$10)</f>
        <v/>
      </c>
      <c r="AB60" s="15">
        <f>((AB41*AB24)*$C$10)</f>
        <v/>
      </c>
      <c r="AC60" s="15">
        <f>((AC41*AC24)*$C$10)</f>
        <v/>
      </c>
      <c r="AD60" s="15">
        <f>((AD41*AD24)*$C$10)</f>
        <v/>
      </c>
      <c r="AE60" s="15">
        <f>((AE41*AE24)*$C$10)</f>
        <v/>
      </c>
      <c r="AF60" s="15">
        <f>((AF41*AF24)*$C$10)</f>
        <v/>
      </c>
    </row>
    <row r="61">
      <c r="A61" t="inlineStr">
        <is>
          <t>EBITDA</t>
        </is>
      </c>
      <c r="B61" t="inlineStr">
        <is>
          <t>ebitda</t>
        </is>
      </c>
      <c r="D61" s="13" t="n">
        <v>1.882514</v>
      </c>
      <c r="E61" s="13" t="n">
        <v>17.523249</v>
      </c>
      <c r="F61" s="13" t="n">
        <v>47.937579</v>
      </c>
      <c r="G61" s="13" t="n">
        <v>99.34570600000001</v>
      </c>
      <c r="H61" s="15">
        <f>(H59+H60)</f>
        <v/>
      </c>
      <c r="I61" s="15">
        <f>(I59+I60)</f>
        <v/>
      </c>
      <c r="J61" s="15">
        <f>(J59+J60)</f>
        <v/>
      </c>
      <c r="K61" s="15">
        <f>(K59+K60)</f>
        <v/>
      </c>
      <c r="L61" s="15">
        <f>(L59+L60)</f>
        <v/>
      </c>
      <c r="M61" s="15">
        <f>(M59+M60)</f>
        <v/>
      </c>
      <c r="N61" s="15">
        <f>(N59+N60)</f>
        <v/>
      </c>
      <c r="O61" s="15">
        <f>(O59+O60)</f>
        <v/>
      </c>
      <c r="P61" s="15">
        <f>(P59+P60)</f>
        <v/>
      </c>
      <c r="Q61" s="15">
        <f>(Q59+Q60)</f>
        <v/>
      </c>
      <c r="R61" s="15">
        <f>(R59+R60)</f>
        <v/>
      </c>
      <c r="S61" s="15">
        <f>(S59+S60)</f>
        <v/>
      </c>
      <c r="T61" s="15">
        <f>(T59+T60)</f>
        <v/>
      </c>
      <c r="U61" s="15">
        <f>(U59+U60)</f>
        <v/>
      </c>
      <c r="V61" s="15">
        <f>(V59+V60)</f>
        <v/>
      </c>
      <c r="W61" s="15">
        <f>(W59+W60)</f>
        <v/>
      </c>
      <c r="X61" s="15">
        <f>(X59+X60)</f>
        <v/>
      </c>
      <c r="Y61" s="15">
        <f>(Y59+Y60)</f>
        <v/>
      </c>
      <c r="Z61" s="15">
        <f>(Z59+Z60)</f>
        <v/>
      </c>
      <c r="AA61" s="15">
        <f>(AA59+AA60)</f>
        <v/>
      </c>
      <c r="AB61" s="15">
        <f>(AB59+AB60)</f>
        <v/>
      </c>
      <c r="AC61" s="15">
        <f>(AC59+AC60)</f>
        <v/>
      </c>
      <c r="AD61" s="15">
        <f>(AD59+AD60)</f>
        <v/>
      </c>
      <c r="AE61" s="15">
        <f>(AE59+AE60)</f>
        <v/>
      </c>
      <c r="AF61" s="15">
        <f>(AF59+AF60)</f>
        <v/>
      </c>
    </row>
    <row r="62">
      <c r="A62" t="inlineStr">
        <is>
          <t>Interest expense</t>
        </is>
      </c>
      <c r="B62" t="inlineStr">
        <is>
          <t>interest_expense</t>
        </is>
      </c>
      <c r="D62" s="13" t="n">
        <v>0.049753</v>
      </c>
      <c r="E62" s="13" t="n">
        <v>0.03175</v>
      </c>
      <c r="F62" s="13" t="n">
        <v>9.171797</v>
      </c>
      <c r="G62" s="13" t="n">
        <v>18.118051</v>
      </c>
      <c r="H62" s="15">
        <f>(G82*$C$29)</f>
        <v/>
      </c>
      <c r="I62" s="15">
        <f>(H82*$C$29)</f>
        <v/>
      </c>
      <c r="J62" s="15">
        <f>(I82*$C$29)</f>
        <v/>
      </c>
      <c r="K62" s="15">
        <f>(J82*$C$29)</f>
        <v/>
      </c>
      <c r="L62" s="15">
        <f>(K82*$C$29)</f>
        <v/>
      </c>
      <c r="M62" s="15">
        <f>(L82*$C$29)</f>
        <v/>
      </c>
      <c r="N62" s="15">
        <f>(M82*$C$29)</f>
        <v/>
      </c>
      <c r="O62" s="15">
        <f>(N82*$C$29)</f>
        <v/>
      </c>
      <c r="P62" s="15">
        <f>(O82*$C$29)</f>
        <v/>
      </c>
      <c r="Q62" s="15">
        <f>(P82*$C$29)</f>
        <v/>
      </c>
      <c r="R62" s="15">
        <f>(Q82*$C$29)</f>
        <v/>
      </c>
      <c r="S62" s="15">
        <f>(R82*$C$29)</f>
        <v/>
      </c>
      <c r="T62" s="15">
        <f>(S82*$C$29)</f>
        <v/>
      </c>
      <c r="U62" s="15">
        <f>(T82*$C$29)</f>
        <v/>
      </c>
      <c r="V62" s="15">
        <f>(U82*$C$29)</f>
        <v/>
      </c>
      <c r="W62" s="15">
        <f>(V82*$C$29)</f>
        <v/>
      </c>
      <c r="X62" s="15">
        <f>(W82*$C$29)</f>
        <v/>
      </c>
      <c r="Y62" s="15">
        <f>(X82*$C$29)</f>
        <v/>
      </c>
      <c r="Z62" s="15">
        <f>(Y82*$C$29)</f>
        <v/>
      </c>
      <c r="AA62" s="15">
        <f>(Z82*$C$29)</f>
        <v/>
      </c>
      <c r="AB62" s="15">
        <f>(AA82*$C$29)</f>
        <v/>
      </c>
      <c r="AC62" s="15">
        <f>(AB82*$C$29)</f>
        <v/>
      </c>
      <c r="AD62" s="15">
        <f>(AC82*$C$29)</f>
        <v/>
      </c>
      <c r="AE62" s="15">
        <f>(AD82*$C$29)</f>
        <v/>
      </c>
      <c r="AF62" s="15">
        <f>(AE82*$C$29)</f>
        <v/>
      </c>
    </row>
    <row r="63">
      <c r="A63" t="inlineStr">
        <is>
          <t>Interest income</t>
        </is>
      </c>
      <c r="B63" t="inlineStr">
        <is>
          <t>interest_income</t>
        </is>
      </c>
      <c r="D63" s="13" t="n">
        <v>0.356032</v>
      </c>
      <c r="E63" s="13" t="n">
        <v>0.07352599999999999</v>
      </c>
      <c r="F63" s="13" t="n">
        <v>0.379018</v>
      </c>
      <c r="G63" s="13" t="n">
        <v>0.592702</v>
      </c>
      <c r="H63" s="15">
        <f>(G81*$C$30)</f>
        <v/>
      </c>
      <c r="I63" s="15">
        <f>(H81*$C$30)</f>
        <v/>
      </c>
      <c r="J63" s="15">
        <f>(I81*$C$30)</f>
        <v/>
      </c>
      <c r="K63" s="15">
        <f>(J81*$C$30)</f>
        <v/>
      </c>
      <c r="L63" s="15">
        <f>(K81*$C$30)</f>
        <v/>
      </c>
      <c r="M63" s="15">
        <f>(L81*$C$30)</f>
        <v/>
      </c>
      <c r="N63" s="15">
        <f>(M81*$C$30)</f>
        <v/>
      </c>
      <c r="O63" s="15">
        <f>(N81*$C$30)</f>
        <v/>
      </c>
      <c r="P63" s="15">
        <f>(O81*$C$30)</f>
        <v/>
      </c>
      <c r="Q63" s="15">
        <f>(P81*$C$30)</f>
        <v/>
      </c>
      <c r="R63" s="15">
        <f>(Q81*$C$30)</f>
        <v/>
      </c>
      <c r="S63" s="15">
        <f>(R81*$C$30)</f>
        <v/>
      </c>
      <c r="T63" s="15">
        <f>(S81*$C$30)</f>
        <v/>
      </c>
      <c r="U63" s="15">
        <f>(T81*$C$30)</f>
        <v/>
      </c>
      <c r="V63" s="15">
        <f>(U81*$C$30)</f>
        <v/>
      </c>
      <c r="W63" s="15">
        <f>(V81*$C$30)</f>
        <v/>
      </c>
      <c r="X63" s="15">
        <f>(W81*$C$30)</f>
        <v/>
      </c>
      <c r="Y63" s="15">
        <f>(X81*$C$30)</f>
        <v/>
      </c>
      <c r="Z63" s="15">
        <f>(Y81*$C$30)</f>
        <v/>
      </c>
      <c r="AA63" s="15">
        <f>(Z81*$C$30)</f>
        <v/>
      </c>
      <c r="AB63" s="15">
        <f>(AA81*$C$30)</f>
        <v/>
      </c>
      <c r="AC63" s="15">
        <f>(AB81*$C$30)</f>
        <v/>
      </c>
      <c r="AD63" s="15">
        <f>(AC81*$C$30)</f>
        <v/>
      </c>
      <c r="AE63" s="15">
        <f>(AD81*$C$30)</f>
        <v/>
      </c>
      <c r="AF63" s="15">
        <f>(AE81*$C$30)</f>
        <v/>
      </c>
    </row>
    <row r="64">
      <c r="A64" t="inlineStr">
        <is>
          <t>Other non-operating</t>
        </is>
      </c>
      <c r="B64" t="inlineStr">
        <is>
          <t>other_nonop</t>
        </is>
      </c>
      <c r="D64" s="13" t="n">
        <v>31.173338</v>
      </c>
      <c r="E64" s="13" t="n">
        <v>0.3181799999999969</v>
      </c>
      <c r="F64" s="13" t="n">
        <v>-0.01553099999999902</v>
      </c>
      <c r="G64" s="13" t="n">
        <v>-9.390036999999996</v>
      </c>
      <c r="H64" s="15">
        <f>H32</f>
        <v/>
      </c>
      <c r="I64" s="15">
        <f>I32</f>
        <v/>
      </c>
      <c r="J64" s="15">
        <f>J32</f>
        <v/>
      </c>
      <c r="K64" s="15">
        <f>K32</f>
        <v/>
      </c>
      <c r="L64" s="15">
        <f>L32</f>
        <v/>
      </c>
      <c r="M64" s="15">
        <f>M32</f>
        <v/>
      </c>
      <c r="N64" s="15">
        <f>N32</f>
        <v/>
      </c>
      <c r="O64" s="15">
        <f>O32</f>
        <v/>
      </c>
      <c r="P64" s="15">
        <f>P32</f>
        <v/>
      </c>
      <c r="Q64" s="15">
        <f>Q32</f>
        <v/>
      </c>
      <c r="R64" s="15">
        <f>R32</f>
        <v/>
      </c>
      <c r="S64" s="15">
        <f>S32</f>
        <v/>
      </c>
      <c r="T64" s="15">
        <f>T32</f>
        <v/>
      </c>
      <c r="U64" s="15">
        <f>U32</f>
        <v/>
      </c>
      <c r="V64" s="15">
        <f>V32</f>
        <v/>
      </c>
      <c r="W64" s="15">
        <f>W32</f>
        <v/>
      </c>
      <c r="X64" s="15">
        <f>X32</f>
        <v/>
      </c>
      <c r="Y64" s="15">
        <f>Y32</f>
        <v/>
      </c>
      <c r="Z64" s="15">
        <f>Z32</f>
        <v/>
      </c>
      <c r="AA64" s="15">
        <f>AA32</f>
        <v/>
      </c>
      <c r="AB64" s="15">
        <f>AB32</f>
        <v/>
      </c>
      <c r="AC64" s="15">
        <f>AC32</f>
        <v/>
      </c>
      <c r="AD64" s="15">
        <f>AD32</f>
        <v/>
      </c>
      <c r="AE64" s="15">
        <f>AE32</f>
        <v/>
      </c>
      <c r="AF64" s="15">
        <f>AF32</f>
        <v/>
      </c>
    </row>
    <row r="65">
      <c r="A65" t="inlineStr">
        <is>
          <t>Profit before tax</t>
        </is>
      </c>
      <c r="B65" t="inlineStr">
        <is>
          <t>pbt</t>
        </is>
      </c>
      <c r="D65" s="13" t="n">
        <v>32.54292</v>
      </c>
      <c r="E65" s="13" t="n">
        <v>17.459213</v>
      </c>
      <c r="F65" s="13" t="n">
        <v>33.992906</v>
      </c>
      <c r="G65" s="13" t="n">
        <v>66.26678800000001</v>
      </c>
      <c r="H65" s="15">
        <f>(((H59-H62)+H63)+H64)</f>
        <v/>
      </c>
      <c r="I65" s="15">
        <f>(((I59-I62)+I63)+I64)</f>
        <v/>
      </c>
      <c r="J65" s="15">
        <f>(((J59-J62)+J63)+J64)</f>
        <v/>
      </c>
      <c r="K65" s="15">
        <f>(((K59-K62)+K63)+K64)</f>
        <v/>
      </c>
      <c r="L65" s="15">
        <f>(((L59-L62)+L63)+L64)</f>
        <v/>
      </c>
      <c r="M65" s="15">
        <f>(((M59-M62)+M63)+M64)</f>
        <v/>
      </c>
      <c r="N65" s="15">
        <f>(((N59-N62)+N63)+N64)</f>
        <v/>
      </c>
      <c r="O65" s="15">
        <f>(((O59-O62)+O63)+O64)</f>
        <v/>
      </c>
      <c r="P65" s="15">
        <f>(((P59-P62)+P63)+P64)</f>
        <v/>
      </c>
      <c r="Q65" s="15">
        <f>(((Q59-Q62)+Q63)+Q64)</f>
        <v/>
      </c>
      <c r="R65" s="15">
        <f>(((R59-R62)+R63)+R64)</f>
        <v/>
      </c>
      <c r="S65" s="15">
        <f>(((S59-S62)+S63)+S64)</f>
        <v/>
      </c>
      <c r="T65" s="15">
        <f>(((T59-T62)+T63)+T64)</f>
        <v/>
      </c>
      <c r="U65" s="15">
        <f>(((U59-U62)+U63)+U64)</f>
        <v/>
      </c>
      <c r="V65" s="15">
        <f>(((V59-V62)+V63)+V64)</f>
        <v/>
      </c>
      <c r="W65" s="15">
        <f>(((W59-W62)+W63)+W64)</f>
        <v/>
      </c>
      <c r="X65" s="15">
        <f>(((X59-X62)+X63)+X64)</f>
        <v/>
      </c>
      <c r="Y65" s="15">
        <f>(((Y59-Y62)+Y63)+Y64)</f>
        <v/>
      </c>
      <c r="Z65" s="15">
        <f>(((Z59-Z62)+Z63)+Z64)</f>
        <v/>
      </c>
      <c r="AA65" s="15">
        <f>(((AA59-AA62)+AA63)+AA64)</f>
        <v/>
      </c>
      <c r="AB65" s="15">
        <f>(((AB59-AB62)+AB63)+AB64)</f>
        <v/>
      </c>
      <c r="AC65" s="15">
        <f>(((AC59-AC62)+AC63)+AC64)</f>
        <v/>
      </c>
      <c r="AD65" s="15">
        <f>(((AD59-AD62)+AD63)+AD64)</f>
        <v/>
      </c>
      <c r="AE65" s="15">
        <f>(((AE59-AE62)+AE63)+AE64)</f>
        <v/>
      </c>
      <c r="AF65" s="15">
        <f>(((AF59-AF62)+AF63)+AF64)</f>
        <v/>
      </c>
    </row>
    <row r="66">
      <c r="A66" t="inlineStr">
        <is>
          <t>Tax</t>
        </is>
      </c>
      <c r="B66" t="inlineStr">
        <is>
          <t>tax</t>
        </is>
      </c>
      <c r="D66" s="13" t="n">
        <v>18.859134</v>
      </c>
      <c r="E66" s="13" t="n">
        <v>3.271162</v>
      </c>
      <c r="F66" s="13" t="n">
        <v>8.866261</v>
      </c>
      <c r="G66" s="13" t="n">
        <v>16.18046</v>
      </c>
      <c r="H66" s="15">
        <f>(MAX(H65,0)*H28)</f>
        <v/>
      </c>
      <c r="I66" s="15">
        <f>(MAX(I65,0)*I28)</f>
        <v/>
      </c>
      <c r="J66" s="15">
        <f>(MAX(J65,0)*J28)</f>
        <v/>
      </c>
      <c r="K66" s="15">
        <f>(MAX(K65,0)*K28)</f>
        <v/>
      </c>
      <c r="L66" s="15">
        <f>(MAX(L65,0)*L28)</f>
        <v/>
      </c>
      <c r="M66" s="15">
        <f>(MAX(M65,0)*M28)</f>
        <v/>
      </c>
      <c r="N66" s="15">
        <f>(MAX(N65,0)*N28)</f>
        <v/>
      </c>
      <c r="O66" s="15">
        <f>(MAX(O65,0)*O28)</f>
        <v/>
      </c>
      <c r="P66" s="15">
        <f>(MAX(P65,0)*P28)</f>
        <v/>
      </c>
      <c r="Q66" s="15">
        <f>(MAX(Q65,0)*Q28)</f>
        <v/>
      </c>
      <c r="R66" s="15">
        <f>(MAX(R65,0)*R28)</f>
        <v/>
      </c>
      <c r="S66" s="15">
        <f>(MAX(S65,0)*S28)</f>
        <v/>
      </c>
      <c r="T66" s="15">
        <f>(MAX(T65,0)*T28)</f>
        <v/>
      </c>
      <c r="U66" s="15">
        <f>(MAX(U65,0)*U28)</f>
        <v/>
      </c>
      <c r="V66" s="15">
        <f>(MAX(V65,0)*V28)</f>
        <v/>
      </c>
      <c r="W66" s="15">
        <f>(MAX(W65,0)*W28)</f>
        <v/>
      </c>
      <c r="X66" s="15">
        <f>(MAX(X65,0)*X28)</f>
        <v/>
      </c>
      <c r="Y66" s="15">
        <f>(MAX(Y65,0)*Y28)</f>
        <v/>
      </c>
      <c r="Z66" s="15">
        <f>(MAX(Z65,0)*Z28)</f>
        <v/>
      </c>
      <c r="AA66" s="15">
        <f>(MAX(AA65,0)*AA28)</f>
        <v/>
      </c>
      <c r="AB66" s="15">
        <f>(MAX(AB65,0)*AB28)</f>
        <v/>
      </c>
      <c r="AC66" s="15">
        <f>(MAX(AC65,0)*AC28)</f>
        <v/>
      </c>
      <c r="AD66" s="15">
        <f>(MAX(AD65,0)*AD28)</f>
        <v/>
      </c>
      <c r="AE66" s="15">
        <f>(MAX(AE65,0)*AE28)</f>
        <v/>
      </c>
      <c r="AF66" s="15">
        <f>(MAX(AF65,0)*AF28)</f>
        <v/>
      </c>
    </row>
    <row r="67">
      <c r="A67" t="inlineStr">
        <is>
          <t>Net profit (incl. minorities)</t>
        </is>
      </c>
      <c r="B67" t="inlineStr">
        <is>
          <t>np</t>
        </is>
      </c>
      <c r="D67" s="13" t="n">
        <v>13.683786</v>
      </c>
      <c r="E67" s="13" t="n">
        <v>14.188051</v>
      </c>
      <c r="F67" s="13" t="n">
        <v>25.126645</v>
      </c>
      <c r="G67" s="13" t="n">
        <v>50.086328</v>
      </c>
      <c r="H67" s="15">
        <f>(H65-H66)</f>
        <v/>
      </c>
      <c r="I67" s="15">
        <f>(I65-I66)</f>
        <v/>
      </c>
      <c r="J67" s="15">
        <f>(J65-J66)</f>
        <v/>
      </c>
      <c r="K67" s="15">
        <f>(K65-K66)</f>
        <v/>
      </c>
      <c r="L67" s="15">
        <f>(L65-L66)</f>
        <v/>
      </c>
      <c r="M67" s="15">
        <f>(M65-M66)</f>
        <v/>
      </c>
      <c r="N67" s="15">
        <f>(N65-N66)</f>
        <v/>
      </c>
      <c r="O67" s="15">
        <f>(O65-O66)</f>
        <v/>
      </c>
      <c r="P67" s="15">
        <f>(P65-P66)</f>
        <v/>
      </c>
      <c r="Q67" s="15">
        <f>(Q65-Q66)</f>
        <v/>
      </c>
      <c r="R67" s="15">
        <f>(R65-R66)</f>
        <v/>
      </c>
      <c r="S67" s="15">
        <f>(S65-S66)</f>
        <v/>
      </c>
      <c r="T67" s="15">
        <f>(T65-T66)</f>
        <v/>
      </c>
      <c r="U67" s="15">
        <f>(U65-U66)</f>
        <v/>
      </c>
      <c r="V67" s="15">
        <f>(V65-V66)</f>
        <v/>
      </c>
      <c r="W67" s="15">
        <f>(W65-W66)</f>
        <v/>
      </c>
      <c r="X67" s="15">
        <f>(X65-X66)</f>
        <v/>
      </c>
      <c r="Y67" s="15">
        <f>(Y65-Y66)</f>
        <v/>
      </c>
      <c r="Z67" s="15">
        <f>(Z65-Z66)</f>
        <v/>
      </c>
      <c r="AA67" s="15">
        <f>(AA65-AA66)</f>
        <v/>
      </c>
      <c r="AB67" s="15">
        <f>(AB65-AB66)</f>
        <v/>
      </c>
      <c r="AC67" s="15">
        <f>(AC65-AC66)</f>
        <v/>
      </c>
      <c r="AD67" s="15">
        <f>(AD65-AD66)</f>
        <v/>
      </c>
      <c r="AE67" s="15">
        <f>(AE65-AE66)</f>
        <v/>
      </c>
      <c r="AF67" s="15">
        <f>(AF65-AF66)</f>
        <v/>
      </c>
    </row>
    <row r="68">
      <c r="A68" t="inlineStr">
        <is>
          <t>Minority interests</t>
        </is>
      </c>
      <c r="B68" t="inlineStr">
        <is>
          <t>minority</t>
        </is>
      </c>
      <c r="D68" s="13" t="n">
        <v>0.02795799999999993</v>
      </c>
      <c r="E68" s="13" t="n">
        <v>0.2685879999999994</v>
      </c>
      <c r="F68" s="13" t="n">
        <v>0.7192310000000006</v>
      </c>
      <c r="G68" s="13" t="n">
        <v>0.07655100000000203</v>
      </c>
      <c r="H68" s="15">
        <f>(H67*H33)</f>
        <v/>
      </c>
      <c r="I68" s="15">
        <f>(I67*I33)</f>
        <v/>
      </c>
      <c r="J68" s="15">
        <f>(J67*J33)</f>
        <v/>
      </c>
      <c r="K68" s="15">
        <f>(K67*K33)</f>
        <v/>
      </c>
      <c r="L68" s="15">
        <f>(L67*L33)</f>
        <v/>
      </c>
      <c r="M68" s="15">
        <f>(M67*M33)</f>
        <v/>
      </c>
      <c r="N68" s="15">
        <f>(N67*N33)</f>
        <v/>
      </c>
      <c r="O68" s="15">
        <f>(O67*O33)</f>
        <v/>
      </c>
      <c r="P68" s="15">
        <f>(P67*P33)</f>
        <v/>
      </c>
      <c r="Q68" s="15">
        <f>(Q67*Q33)</f>
        <v/>
      </c>
      <c r="R68" s="15">
        <f>(R67*R33)</f>
        <v/>
      </c>
      <c r="S68" s="15">
        <f>(S67*S33)</f>
        <v/>
      </c>
      <c r="T68" s="15">
        <f>(T67*T33)</f>
        <v/>
      </c>
      <c r="U68" s="15">
        <f>(U67*U33)</f>
        <v/>
      </c>
      <c r="V68" s="15">
        <f>(V67*V33)</f>
        <v/>
      </c>
      <c r="W68" s="15">
        <f>(W67*W33)</f>
        <v/>
      </c>
      <c r="X68" s="15">
        <f>(X67*X33)</f>
        <v/>
      </c>
      <c r="Y68" s="15">
        <f>(Y67*Y33)</f>
        <v/>
      </c>
      <c r="Z68" s="15">
        <f>(Z67*Z33)</f>
        <v/>
      </c>
      <c r="AA68" s="15">
        <f>(AA67*AA33)</f>
        <v/>
      </c>
      <c r="AB68" s="15">
        <f>(AB67*AB33)</f>
        <v/>
      </c>
      <c r="AC68" s="15">
        <f>(AC67*AC33)</f>
        <v/>
      </c>
      <c r="AD68" s="15">
        <f>(AD67*AD33)</f>
        <v/>
      </c>
      <c r="AE68" s="15">
        <f>(AE67*AE33)</f>
        <v/>
      </c>
      <c r="AF68" s="15">
        <f>(AF67*AF33)</f>
        <v/>
      </c>
    </row>
    <row r="69">
      <c r="A69" t="inlineStr">
        <is>
          <t>Net profit to parent</t>
        </is>
      </c>
      <c r="B69" t="inlineStr">
        <is>
          <t>np_parent</t>
        </is>
      </c>
      <c r="D69" s="13" t="n">
        <v>13.655828</v>
      </c>
      <c r="E69" s="13" t="n">
        <v>13.919463</v>
      </c>
      <c r="F69" s="13" t="n">
        <v>24.407414</v>
      </c>
      <c r="G69" s="13" t="n">
        <v>50.009777</v>
      </c>
      <c r="H69" s="15">
        <f>(H67-H68)</f>
        <v/>
      </c>
      <c r="I69" s="15">
        <f>(I67-I68)</f>
        <v/>
      </c>
      <c r="J69" s="15">
        <f>(J67-J68)</f>
        <v/>
      </c>
      <c r="K69" s="15">
        <f>(K67-K68)</f>
        <v/>
      </c>
      <c r="L69" s="15">
        <f>(L67-L68)</f>
        <v/>
      </c>
      <c r="M69" s="15">
        <f>(M67-M68)</f>
        <v/>
      </c>
      <c r="N69" s="15">
        <f>(N67-N68)</f>
        <v/>
      </c>
      <c r="O69" s="15">
        <f>(O67-O68)</f>
        <v/>
      </c>
      <c r="P69" s="15">
        <f>(P67-P68)</f>
        <v/>
      </c>
      <c r="Q69" s="15">
        <f>(Q67-Q68)</f>
        <v/>
      </c>
      <c r="R69" s="15">
        <f>(R67-R68)</f>
        <v/>
      </c>
      <c r="S69" s="15">
        <f>(S67-S68)</f>
        <v/>
      </c>
      <c r="T69" s="15">
        <f>(T67-T68)</f>
        <v/>
      </c>
      <c r="U69" s="15">
        <f>(U67-U68)</f>
        <v/>
      </c>
      <c r="V69" s="15">
        <f>(V67-V68)</f>
        <v/>
      </c>
      <c r="W69" s="15">
        <f>(W67-W68)</f>
        <v/>
      </c>
      <c r="X69" s="15">
        <f>(X67-X68)</f>
        <v/>
      </c>
      <c r="Y69" s="15">
        <f>(Y67-Y68)</f>
        <v/>
      </c>
      <c r="Z69" s="15">
        <f>(Z67-Z68)</f>
        <v/>
      </c>
      <c r="AA69" s="15">
        <f>(AA67-AA68)</f>
        <v/>
      </c>
      <c r="AB69" s="15">
        <f>(AB67-AB68)</f>
        <v/>
      </c>
      <c r="AC69" s="15">
        <f>(AC67-AC68)</f>
        <v/>
      </c>
      <c r="AD69" s="15">
        <f>(AD67-AD68)</f>
        <v/>
      </c>
      <c r="AE69" s="15">
        <f>(AE67-AE68)</f>
        <v/>
      </c>
      <c r="AF69" s="15">
        <f>(AF67-AF68)</f>
        <v/>
      </c>
    </row>
    <row r="70">
      <c r="A70" t="inlineStr">
        <is>
          <t>Shares outstanding (m)</t>
        </is>
      </c>
      <c r="B70" t="inlineStr">
        <is>
          <t>shares</t>
        </is>
      </c>
      <c r="D70" s="13" t="n">
        <v>141784.040238</v>
      </c>
      <c r="E70" s="13" t="n">
        <v>141784.040338</v>
      </c>
      <c r="F70" s="13" t="n">
        <v>141784.041138</v>
      </c>
      <c r="G70" s="13" t="n">
        <v>141784.040338</v>
      </c>
      <c r="H70" s="15">
        <f>(G70*(1+H35))</f>
        <v/>
      </c>
      <c r="I70" s="15">
        <f>(H70*(1+I35))</f>
        <v/>
      </c>
      <c r="J70" s="15">
        <f>(I70*(1+J35))</f>
        <v/>
      </c>
      <c r="K70" s="15">
        <f>(J70*(1+K35))</f>
        <v/>
      </c>
      <c r="L70" s="15">
        <f>(K70*(1+L35))</f>
        <v/>
      </c>
      <c r="M70" s="15">
        <f>(L70*(1+M35))</f>
        <v/>
      </c>
      <c r="N70" s="15">
        <f>(M70*(1+N35))</f>
        <v/>
      </c>
      <c r="O70" s="15">
        <f>(N70*(1+O35))</f>
        <v/>
      </c>
      <c r="P70" s="15">
        <f>(O70*(1+P35))</f>
        <v/>
      </c>
      <c r="Q70" s="15">
        <f>(P70*(1+Q35))</f>
        <v/>
      </c>
      <c r="R70" s="15">
        <f>(Q70*(1+R35))</f>
        <v/>
      </c>
      <c r="S70" s="15">
        <f>(R70*(1+S35))</f>
        <v/>
      </c>
      <c r="T70" s="15">
        <f>(S70*(1+T35))</f>
        <v/>
      </c>
      <c r="U70" s="15">
        <f>(T70*(1+U35))</f>
        <v/>
      </c>
      <c r="V70" s="15">
        <f>(U70*(1+V35))</f>
        <v/>
      </c>
      <c r="W70" s="15">
        <f>(V70*(1+W35))</f>
        <v/>
      </c>
      <c r="X70" s="15">
        <f>(W70*(1+X35))</f>
        <v/>
      </c>
      <c r="Y70" s="15">
        <f>(X70*(1+Y35))</f>
        <v/>
      </c>
      <c r="Z70" s="15">
        <f>(Y70*(1+Z35))</f>
        <v/>
      </c>
      <c r="AA70" s="15">
        <f>(Z70*(1+AA35))</f>
        <v/>
      </c>
      <c r="AB70" s="15">
        <f>(AA70*(1+AB35))</f>
        <v/>
      </c>
      <c r="AC70" s="15">
        <f>(AB70*(1+AC35))</f>
        <v/>
      </c>
      <c r="AD70" s="15">
        <f>(AC70*(1+AD35))</f>
        <v/>
      </c>
      <c r="AE70" s="15">
        <f>(AD70*(1+AE35))</f>
        <v/>
      </c>
      <c r="AF70" s="15">
        <f>(AE70*(1+AF35))</f>
        <v/>
      </c>
    </row>
    <row r="71">
      <c r="A71" t="inlineStr">
        <is>
          <t>EPS</t>
        </is>
      </c>
      <c r="B71" t="inlineStr">
        <is>
          <t>eps</t>
        </is>
      </c>
      <c r="D71" s="20" t="n">
        <v>9.63142817560933e-05</v>
      </c>
      <c r="E71" s="20" t="n">
        <v>9.817369406893253e-05</v>
      </c>
      <c r="F71" s="20" t="n">
        <v>0.000172145001680718</v>
      </c>
      <c r="G71" s="20" t="n">
        <v>0.0003527179566951353</v>
      </c>
      <c r="H71" s="21">
        <f>(IF(H70=0,0,H69/H70)*$C$8)</f>
        <v/>
      </c>
      <c r="I71" s="21">
        <f>(IF(I70=0,0,I69/I70)*$C$8)</f>
        <v/>
      </c>
      <c r="J71" s="21">
        <f>(IF(J70=0,0,J69/J70)*$C$8)</f>
        <v/>
      </c>
      <c r="K71" s="21">
        <f>(IF(K70=0,0,K69/K70)*$C$8)</f>
        <v/>
      </c>
      <c r="L71" s="21">
        <f>(IF(L70=0,0,L69/L70)*$C$8)</f>
        <v/>
      </c>
      <c r="M71" s="21">
        <f>(IF(M70=0,0,M69/M70)*$C$8)</f>
        <v/>
      </c>
      <c r="N71" s="21">
        <f>(IF(N70=0,0,N69/N70)*$C$8)</f>
        <v/>
      </c>
      <c r="O71" s="21">
        <f>(IF(O70=0,0,O69/O70)*$C$8)</f>
        <v/>
      </c>
      <c r="P71" s="21">
        <f>(IF(P70=0,0,P69/P70)*$C$8)</f>
        <v/>
      </c>
      <c r="Q71" s="21">
        <f>(IF(Q70=0,0,Q69/Q70)*$C$8)</f>
        <v/>
      </c>
      <c r="R71" s="21">
        <f>(IF(R70=0,0,R69/R70)*$C$8)</f>
        <v/>
      </c>
      <c r="S71" s="21">
        <f>(IF(S70=0,0,S69/S70)*$C$8)</f>
        <v/>
      </c>
      <c r="T71" s="21">
        <f>(IF(T70=0,0,T69/T70)*$C$8)</f>
        <v/>
      </c>
      <c r="U71" s="21">
        <f>(IF(U70=0,0,U69/U70)*$C$8)</f>
        <v/>
      </c>
      <c r="V71" s="21">
        <f>(IF(V70=0,0,V69/V70)*$C$8)</f>
        <v/>
      </c>
      <c r="W71" s="21">
        <f>(IF(W70=0,0,W69/W70)*$C$8)</f>
        <v/>
      </c>
      <c r="X71" s="21">
        <f>(IF(X70=0,0,X69/X70)*$C$8)</f>
        <v/>
      </c>
      <c r="Y71" s="21">
        <f>(IF(Y70=0,0,Y69/Y70)*$C$8)</f>
        <v/>
      </c>
      <c r="Z71" s="21">
        <f>(IF(Z70=0,0,Z69/Z70)*$C$8)</f>
        <v/>
      </c>
      <c r="AA71" s="21">
        <f>(IF(AA70=0,0,AA69/AA70)*$C$8)</f>
        <v/>
      </c>
      <c r="AB71" s="21">
        <f>(IF(AB70=0,0,AB69/AB70)*$C$8)</f>
        <v/>
      </c>
      <c r="AC71" s="21">
        <f>(IF(AC70=0,0,AC69/AC70)*$C$8)</f>
        <v/>
      </c>
      <c r="AD71" s="21">
        <f>(IF(AD70=0,0,AD69/AD70)*$C$8)</f>
        <v/>
      </c>
      <c r="AE71" s="21">
        <f>(IF(AE70=0,0,AE69/AE70)*$C$8)</f>
        <v/>
      </c>
      <c r="AF71" s="21">
        <f>(IF(AF70=0,0,AF69/AF70)*$C$8)</f>
        <v/>
      </c>
    </row>
    <row r="72">
      <c r="A72" t="inlineStr">
        <is>
          <t>DPS (declared on the year)</t>
        </is>
      </c>
      <c r="B72" t="inlineStr">
        <is>
          <t>dps</t>
        </is>
      </c>
      <c r="D72" s="20" t="n">
        <v>0</v>
      </c>
      <c r="E72" s="20" t="n">
        <v>0</v>
      </c>
      <c r="F72" s="20" t="n">
        <v>0</v>
      </c>
      <c r="G72" s="20" t="n">
        <v>0</v>
      </c>
      <c r="H72" s="21">
        <f>(MAX(H71,0)*H34)</f>
        <v/>
      </c>
      <c r="I72" s="21">
        <f>(MAX(I71,0)*I34)</f>
        <v/>
      </c>
      <c r="J72" s="21">
        <f>(MAX(J71,0)*J34)</f>
        <v/>
      </c>
      <c r="K72" s="21">
        <f>(MAX(K71,0)*K34)</f>
        <v/>
      </c>
      <c r="L72" s="21">
        <f>(MAX(L71,0)*L34)</f>
        <v/>
      </c>
      <c r="M72" s="21">
        <f>(MAX(M71,0)*M34)</f>
        <v/>
      </c>
      <c r="N72" s="21">
        <f>(MAX(N71,0)*N34)</f>
        <v/>
      </c>
      <c r="O72" s="21">
        <f>(MAX(O71,0)*O34)</f>
        <v/>
      </c>
      <c r="P72" s="21">
        <f>(MAX(P71,0)*P34)</f>
        <v/>
      </c>
      <c r="Q72" s="21">
        <f>(MAX(Q71,0)*Q34)</f>
        <v/>
      </c>
      <c r="R72" s="21">
        <f>(MAX(R71,0)*R34)</f>
        <v/>
      </c>
      <c r="S72" s="21">
        <f>(MAX(S71,0)*S34)</f>
        <v/>
      </c>
      <c r="T72" s="21">
        <f>(MAX(T71,0)*T34)</f>
        <v/>
      </c>
      <c r="U72" s="21">
        <f>(MAX(U71,0)*U34)</f>
        <v/>
      </c>
      <c r="V72" s="21">
        <f>(MAX(V71,0)*V34)</f>
        <v/>
      </c>
      <c r="W72" s="21">
        <f>(MAX(W71,0)*W34)</f>
        <v/>
      </c>
      <c r="X72" s="21">
        <f>(MAX(X71,0)*X34)</f>
        <v/>
      </c>
      <c r="Y72" s="21">
        <f>(MAX(Y71,0)*Y34)</f>
        <v/>
      </c>
      <c r="Z72" s="21">
        <f>(MAX(Z71,0)*Z34)</f>
        <v/>
      </c>
      <c r="AA72" s="21">
        <f>(MAX(AA71,0)*AA34)</f>
        <v/>
      </c>
      <c r="AB72" s="21">
        <f>(MAX(AB71,0)*AB34)</f>
        <v/>
      </c>
      <c r="AC72" s="21">
        <f>(MAX(AC71,0)*AC34)</f>
        <v/>
      </c>
      <c r="AD72" s="21">
        <f>(MAX(AD71,0)*AD34)</f>
        <v/>
      </c>
      <c r="AE72" s="21">
        <f>(MAX(AE71,0)*AE34)</f>
        <v/>
      </c>
      <c r="AF72" s="21">
        <f>(MAX(AF71,0)*AF34)</f>
        <v/>
      </c>
    </row>
    <row r="73">
      <c r="A73" t="inlineStr">
        <is>
          <t>Dividends paid</t>
        </is>
      </c>
      <c r="B73" t="inlineStr">
        <is>
          <t>dividends_paid</t>
        </is>
      </c>
      <c r="D73" s="13" t="n"/>
      <c r="E73" s="13" t="n"/>
      <c r="F73" s="13" t="n"/>
      <c r="G73" s="13" t="n"/>
      <c r="H73" s="15">
        <f>IF($C$8=0,0,(G72*G70)/$C$8)</f>
        <v/>
      </c>
      <c r="I73" s="15">
        <f>IF($C$8=0,0,(H72*H70)/$C$8)</f>
        <v/>
      </c>
      <c r="J73" s="15">
        <f>IF($C$8=0,0,(I72*I70)/$C$8)</f>
        <v/>
      </c>
      <c r="K73" s="15">
        <f>IF($C$8=0,0,(J72*J70)/$C$8)</f>
        <v/>
      </c>
      <c r="L73" s="15">
        <f>IF($C$8=0,0,(K72*K70)/$C$8)</f>
        <v/>
      </c>
      <c r="M73" s="15">
        <f>IF($C$8=0,0,(L72*L70)/$C$8)</f>
        <v/>
      </c>
      <c r="N73" s="15">
        <f>IF($C$8=0,0,(M72*M70)/$C$8)</f>
        <v/>
      </c>
      <c r="O73" s="15">
        <f>IF($C$8=0,0,(N72*N70)/$C$8)</f>
        <v/>
      </c>
      <c r="P73" s="15">
        <f>IF($C$8=0,0,(O72*O70)/$C$8)</f>
        <v/>
      </c>
      <c r="Q73" s="15">
        <f>IF($C$8=0,0,(P72*P70)/$C$8)</f>
        <v/>
      </c>
      <c r="R73" s="15">
        <f>IF($C$8=0,0,(Q72*Q70)/$C$8)</f>
        <v/>
      </c>
      <c r="S73" s="15">
        <f>IF($C$8=0,0,(R72*R70)/$C$8)</f>
        <v/>
      </c>
      <c r="T73" s="15">
        <f>IF($C$8=0,0,(S72*S70)/$C$8)</f>
        <v/>
      </c>
      <c r="U73" s="15">
        <f>IF($C$8=0,0,(T72*T70)/$C$8)</f>
        <v/>
      </c>
      <c r="V73" s="15">
        <f>IF($C$8=0,0,(U72*U70)/$C$8)</f>
        <v/>
      </c>
      <c r="W73" s="15">
        <f>IF($C$8=0,0,(V72*V70)/$C$8)</f>
        <v/>
      </c>
      <c r="X73" s="15">
        <f>IF($C$8=0,0,(W72*W70)/$C$8)</f>
        <v/>
      </c>
      <c r="Y73" s="15">
        <f>IF($C$8=0,0,(X72*X70)/$C$8)</f>
        <v/>
      </c>
      <c r="Z73" s="15">
        <f>IF($C$8=0,0,(Y72*Y70)/$C$8)</f>
        <v/>
      </c>
      <c r="AA73" s="15">
        <f>IF($C$8=0,0,(Z72*Z70)/$C$8)</f>
        <v/>
      </c>
      <c r="AB73" s="15">
        <f>IF($C$8=0,0,(AA72*AA70)/$C$8)</f>
        <v/>
      </c>
      <c r="AC73" s="15">
        <f>IF($C$8=0,0,(AB72*AB70)/$C$8)</f>
        <v/>
      </c>
      <c r="AD73" s="15">
        <f>IF($C$8=0,0,(AC72*AC70)/$C$8)</f>
        <v/>
      </c>
      <c r="AE73" s="15">
        <f>IF($C$8=0,0,(AD72*AD70)/$C$8)</f>
        <v/>
      </c>
      <c r="AF73" s="15">
        <f>IF($C$8=0,0,(AE72*AE70)/$C$8)</f>
        <v/>
      </c>
    </row>
    <row r="74">
      <c r="A74" t="inlineStr">
        <is>
          <t>Capital expenditure</t>
        </is>
      </c>
      <c r="B74" t="inlineStr">
        <is>
          <t>capex</t>
        </is>
      </c>
      <c r="D74" s="13" t="n">
        <v>127.147058</v>
      </c>
      <c r="E74" s="13" t="n">
        <v>36.88712</v>
      </c>
      <c r="F74" s="13" t="n">
        <v>19.71836</v>
      </c>
      <c r="G74" s="13" t="n">
        <v>69.18449099999999</v>
      </c>
      <c r="H74" s="15">
        <f>(((H41*H25)*$C$10)+H26)</f>
        <v/>
      </c>
      <c r="I74" s="15">
        <f>(((I41*I25)*$C$10)+I26)</f>
        <v/>
      </c>
      <c r="J74" s="15">
        <f>(((J41*J25)*$C$10)+J26)</f>
        <v/>
      </c>
      <c r="K74" s="15">
        <f>(((K41*K25)*$C$10)+K26)</f>
        <v/>
      </c>
      <c r="L74" s="15">
        <f>(((L41*L25)*$C$10)+L26)</f>
        <v/>
      </c>
      <c r="M74" s="15">
        <f>(((M41*M25)*$C$10)+M26)</f>
        <v/>
      </c>
      <c r="N74" s="15">
        <f>(((N41*N25)*$C$10)+N26)</f>
        <v/>
      </c>
      <c r="O74" s="15">
        <f>(((O41*O25)*$C$10)+O26)</f>
        <v/>
      </c>
      <c r="P74" s="15">
        <f>(((P41*P25)*$C$10)+P26)</f>
        <v/>
      </c>
      <c r="Q74" s="15">
        <f>(((Q41*Q25)*$C$10)+Q26)</f>
        <v/>
      </c>
      <c r="R74" s="15">
        <f>(((R41*R25)*$C$10)+R26)</f>
        <v/>
      </c>
      <c r="S74" s="15">
        <f>(((S41*S25)*$C$10)+S26)</f>
        <v/>
      </c>
      <c r="T74" s="15">
        <f>(((T41*T25)*$C$10)+T26)</f>
        <v/>
      </c>
      <c r="U74" s="15">
        <f>(((U41*U25)*$C$10)+U26)</f>
        <v/>
      </c>
      <c r="V74" s="15">
        <f>(((V41*V25)*$C$10)+V26)</f>
        <v/>
      </c>
      <c r="W74" s="15">
        <f>(((W41*W25)*$C$10)+W26)</f>
        <v/>
      </c>
      <c r="X74" s="15">
        <f>(((X41*X25)*$C$10)+X26)</f>
        <v/>
      </c>
      <c r="Y74" s="15">
        <f>(((Y41*Y25)*$C$10)+Y26)</f>
        <v/>
      </c>
      <c r="Z74" s="15">
        <f>(((Z41*Z25)*$C$10)+Z26)</f>
        <v/>
      </c>
      <c r="AA74" s="15">
        <f>(((AA41*AA25)*$C$10)+AA26)</f>
        <v/>
      </c>
      <c r="AB74" s="15">
        <f>(((AB41*AB25)*$C$10)+AB26)</f>
        <v/>
      </c>
      <c r="AC74" s="15">
        <f>(((AC41*AC25)*$C$10)+AC26)</f>
        <v/>
      </c>
      <c r="AD74" s="15">
        <f>(((AD41*AD25)*$C$10)+AD26)</f>
        <v/>
      </c>
      <c r="AE74" s="15">
        <f>(((AE41*AE25)*$C$10)+AE26)</f>
        <v/>
      </c>
      <c r="AF74" s="15">
        <f>(((AF41*AF25)*$C$10)+AF26)</f>
        <v/>
      </c>
    </row>
    <row r="75">
      <c r="A75" t="inlineStr">
        <is>
          <t>Change in working capital</t>
        </is>
      </c>
      <c r="B75" t="inlineStr">
        <is>
          <t>delta_nwc</t>
        </is>
      </c>
      <c r="D75" s="13" t="n"/>
      <c r="E75" s="13" t="n">
        <v>-38.94136800000001</v>
      </c>
      <c r="F75" s="13" t="n">
        <v>38.45880499999997</v>
      </c>
      <c r="G75" s="13" t="n">
        <v>39.75852600000003</v>
      </c>
      <c r="H75" s="15">
        <f>(H80-G80)</f>
        <v/>
      </c>
      <c r="I75" s="15">
        <f>(I80-H80)</f>
        <v/>
      </c>
      <c r="J75" s="15">
        <f>(J80-I80)</f>
        <v/>
      </c>
      <c r="K75" s="15">
        <f>(K80-J80)</f>
        <v/>
      </c>
      <c r="L75" s="15">
        <f>(L80-K80)</f>
        <v/>
      </c>
      <c r="M75" s="15">
        <f>(M80-L80)</f>
        <v/>
      </c>
      <c r="N75" s="15">
        <f>(N80-M80)</f>
        <v/>
      </c>
      <c r="O75" s="15">
        <f>(O80-N80)</f>
        <v/>
      </c>
      <c r="P75" s="15">
        <f>(P80-O80)</f>
        <v/>
      </c>
      <c r="Q75" s="15">
        <f>(Q80-P80)</f>
        <v/>
      </c>
      <c r="R75" s="15">
        <f>(R80-Q80)</f>
        <v/>
      </c>
      <c r="S75" s="15">
        <f>(S80-R80)</f>
        <v/>
      </c>
      <c r="T75" s="15">
        <f>(T80-S80)</f>
        <v/>
      </c>
      <c r="U75" s="15">
        <f>(U80-T80)</f>
        <v/>
      </c>
      <c r="V75" s="15">
        <f>(V80-U80)</f>
        <v/>
      </c>
      <c r="W75" s="15">
        <f>(W80-V80)</f>
        <v/>
      </c>
      <c r="X75" s="15">
        <f>(X80-W80)</f>
        <v/>
      </c>
      <c r="Y75" s="15">
        <f>(Y80-X80)</f>
        <v/>
      </c>
      <c r="Z75" s="15">
        <f>(Z80-Y80)</f>
        <v/>
      </c>
      <c r="AA75" s="15">
        <f>(AA80-Z80)</f>
        <v/>
      </c>
      <c r="AB75" s="15">
        <f>(AB80-AA80)</f>
        <v/>
      </c>
      <c r="AC75" s="15">
        <f>(AC80-AB80)</f>
        <v/>
      </c>
      <c r="AD75" s="15">
        <f>(AD80-AC80)</f>
        <v/>
      </c>
      <c r="AE75" s="15">
        <f>(AE80-AD80)</f>
        <v/>
      </c>
      <c r="AF75" s="15">
        <f>(AF80-AE80)</f>
        <v/>
      </c>
    </row>
    <row r="76">
      <c r="A76" t="inlineStr">
        <is>
          <t>Free cash flow to firm</t>
        </is>
      </c>
      <c r="B76" t="inlineStr">
        <is>
          <t>fcff</t>
        </is>
      </c>
      <c r="D76" s="13" t="n"/>
      <c r="E76" s="13" t="n">
        <v>16.37377643558316</v>
      </c>
      <c r="F76" s="13" t="n">
        <v>-21.4032903379985</v>
      </c>
      <c r="G76" s="13" t="n">
        <v>-32.34974075591394</v>
      </c>
      <c r="H76" s="15">
        <f>((((H59*(1-H28))+H60)-H74)-H75)</f>
        <v/>
      </c>
      <c r="I76" s="15">
        <f>((((I59*(1-I28))+I60)-I74)-I75)</f>
        <v/>
      </c>
      <c r="J76" s="15">
        <f>((((J59*(1-J28))+J60)-J74)-J75)</f>
        <v/>
      </c>
      <c r="K76" s="15">
        <f>((((K59*(1-K28))+K60)-K74)-K75)</f>
        <v/>
      </c>
      <c r="L76" s="15">
        <f>((((L59*(1-L28))+L60)-L74)-L75)</f>
        <v/>
      </c>
      <c r="M76" s="15">
        <f>((((M59*(1-M28))+M60)-M74)-M75)</f>
        <v/>
      </c>
      <c r="N76" s="15">
        <f>((((N59*(1-N28))+N60)-N74)-N75)</f>
        <v/>
      </c>
      <c r="O76" s="15">
        <f>((((O59*(1-O28))+O60)-O74)-O75)</f>
        <v/>
      </c>
      <c r="P76" s="15">
        <f>((((P59*(1-P28))+P60)-P74)-P75)</f>
        <v/>
      </c>
      <c r="Q76" s="15">
        <f>((((Q59*(1-Q28))+Q60)-Q74)-Q75)</f>
        <v/>
      </c>
      <c r="R76" s="15">
        <f>((((R59*(1-R28))+R60)-R74)-R75)</f>
        <v/>
      </c>
      <c r="S76" s="15">
        <f>((((S59*(1-S28))+S60)-S74)-S75)</f>
        <v/>
      </c>
      <c r="T76" s="15">
        <f>((((T59*(1-T28))+T60)-T74)-T75)</f>
        <v/>
      </c>
      <c r="U76" s="15">
        <f>((((U59*(1-U28))+U60)-U74)-U75)</f>
        <v/>
      </c>
      <c r="V76" s="15">
        <f>((((V59*(1-V28))+V60)-V74)-V75)</f>
        <v/>
      </c>
      <c r="W76" s="15">
        <f>((((W59*(1-W28))+W60)-W74)-W75)</f>
        <v/>
      </c>
      <c r="X76" s="15">
        <f>((((X59*(1-X28))+X60)-X74)-X75)</f>
        <v/>
      </c>
      <c r="Y76" s="15">
        <f>((((Y59*(1-Y28))+Y60)-Y74)-Y75)</f>
        <v/>
      </c>
      <c r="Z76" s="15">
        <f>((((Z59*(1-Z28))+Z60)-Z74)-Z75)</f>
        <v/>
      </c>
      <c r="AA76" s="15">
        <f>((((AA59*(1-AA28))+AA60)-AA74)-AA75)</f>
        <v/>
      </c>
      <c r="AB76" s="15">
        <f>((((AB59*(1-AB28))+AB60)-AB74)-AB75)</f>
        <v/>
      </c>
      <c r="AC76" s="15">
        <f>((((AC59*(1-AC28))+AC60)-AC74)-AC75)</f>
        <v/>
      </c>
      <c r="AD76" s="15">
        <f>((((AD59*(1-AD28))+AD60)-AD74)-AD75)</f>
        <v/>
      </c>
      <c r="AE76" s="15">
        <f>((((AE59*(1-AE28))+AE60)-AE74)-AE75)</f>
        <v/>
      </c>
      <c r="AF76" s="15">
        <f>((((AF59*(1-AF28))+AF60)-AF74)-AF75)</f>
        <v/>
      </c>
    </row>
    <row r="77">
      <c r="A77" t="inlineStr">
        <is>
          <t>Net borrowing</t>
        </is>
      </c>
      <c r="B77" t="inlineStr">
        <is>
          <t>net_borrowing</t>
        </is>
      </c>
      <c r="D77" s="13" t="n"/>
      <c r="E77" s="13" t="n">
        <v>2.535899999999998</v>
      </c>
      <c r="F77" s="13" t="n">
        <v>38.61445000000001</v>
      </c>
      <c r="G77" s="13" t="n">
        <v>84.92072899999999</v>
      </c>
      <c r="H77" s="15">
        <f>H31</f>
        <v/>
      </c>
      <c r="I77" s="15">
        <f>I31</f>
        <v/>
      </c>
      <c r="J77" s="15">
        <f>J31</f>
        <v/>
      </c>
      <c r="K77" s="15">
        <f>K31</f>
        <v/>
      </c>
      <c r="L77" s="15">
        <f>L31</f>
        <v/>
      </c>
      <c r="M77" s="15">
        <f>M31</f>
        <v/>
      </c>
      <c r="N77" s="15">
        <f>N31</f>
        <v/>
      </c>
      <c r="O77" s="15">
        <f>O31</f>
        <v/>
      </c>
      <c r="P77" s="15">
        <f>P31</f>
        <v/>
      </c>
      <c r="Q77" s="15">
        <f>Q31</f>
        <v/>
      </c>
      <c r="R77" s="15">
        <f>R31</f>
        <v/>
      </c>
      <c r="S77" s="15">
        <f>S31</f>
        <v/>
      </c>
      <c r="T77" s="15">
        <f>T31</f>
        <v/>
      </c>
      <c r="U77" s="15">
        <f>U31</f>
        <v/>
      </c>
      <c r="V77" s="15">
        <f>V31</f>
        <v/>
      </c>
      <c r="W77" s="15">
        <f>W31</f>
        <v/>
      </c>
      <c r="X77" s="15">
        <f>X31</f>
        <v/>
      </c>
      <c r="Y77" s="15">
        <f>Y31</f>
        <v/>
      </c>
      <c r="Z77" s="15">
        <f>Z31</f>
        <v/>
      </c>
      <c r="AA77" s="15">
        <f>AA31</f>
        <v/>
      </c>
      <c r="AB77" s="15">
        <f>AB31</f>
        <v/>
      </c>
      <c r="AC77" s="15">
        <f>AC31</f>
        <v/>
      </c>
      <c r="AD77" s="15">
        <f>AD31</f>
        <v/>
      </c>
      <c r="AE77" s="15">
        <f>AE31</f>
        <v/>
      </c>
      <c r="AF77" s="15">
        <f>AF31</f>
        <v/>
      </c>
    </row>
    <row r="78">
      <c r="A78" t="inlineStr">
        <is>
          <t>Dividends to minorities</t>
        </is>
      </c>
      <c r="B78" t="inlineStr">
        <is>
          <t>minority_div</t>
        </is>
      </c>
      <c r="D78" s="13" t="n"/>
      <c r="E78" s="13" t="n"/>
      <c r="F78" s="13" t="n"/>
      <c r="G78" s="13" t="n"/>
      <c r="H78" s="15">
        <f>(MAX(G68,0)*H34)</f>
        <v/>
      </c>
      <c r="I78" s="15">
        <f>(MAX(H68,0)*I34)</f>
        <v/>
      </c>
      <c r="J78" s="15">
        <f>(MAX(I68,0)*J34)</f>
        <v/>
      </c>
      <c r="K78" s="15">
        <f>(MAX(J68,0)*K34)</f>
        <v/>
      </c>
      <c r="L78" s="15">
        <f>(MAX(K68,0)*L34)</f>
        <v/>
      </c>
      <c r="M78" s="15">
        <f>(MAX(L68,0)*M34)</f>
        <v/>
      </c>
      <c r="N78" s="15">
        <f>(MAX(M68,0)*N34)</f>
        <v/>
      </c>
      <c r="O78" s="15">
        <f>(MAX(N68,0)*O34)</f>
        <v/>
      </c>
      <c r="P78" s="15">
        <f>(MAX(O68,0)*P34)</f>
        <v/>
      </c>
      <c r="Q78" s="15">
        <f>(MAX(P68,0)*Q34)</f>
        <v/>
      </c>
      <c r="R78" s="15">
        <f>(MAX(Q68,0)*R34)</f>
        <v/>
      </c>
      <c r="S78" s="15">
        <f>(MAX(R68,0)*S34)</f>
        <v/>
      </c>
      <c r="T78" s="15">
        <f>(MAX(S68,0)*T34)</f>
        <v/>
      </c>
      <c r="U78" s="15">
        <f>(MAX(T68,0)*U34)</f>
        <v/>
      </c>
      <c r="V78" s="15">
        <f>(MAX(U68,0)*V34)</f>
        <v/>
      </c>
      <c r="W78" s="15">
        <f>(MAX(V68,0)*W34)</f>
        <v/>
      </c>
      <c r="X78" s="15">
        <f>(MAX(W68,0)*X34)</f>
        <v/>
      </c>
      <c r="Y78" s="15">
        <f>(MAX(X68,0)*Y34)</f>
        <v/>
      </c>
      <c r="Z78" s="15">
        <f>(MAX(Y68,0)*Z34)</f>
        <v/>
      </c>
      <c r="AA78" s="15">
        <f>(MAX(Z68,0)*AA34)</f>
        <v/>
      </c>
      <c r="AB78" s="15">
        <f>(MAX(AA68,0)*AB34)</f>
        <v/>
      </c>
      <c r="AC78" s="15">
        <f>(MAX(AB68,0)*AC34)</f>
        <v/>
      </c>
      <c r="AD78" s="15">
        <f>(MAX(AC68,0)*AD34)</f>
        <v/>
      </c>
      <c r="AE78" s="15">
        <f>(MAX(AD68,0)*AE34)</f>
        <v/>
      </c>
      <c r="AF78" s="15">
        <f>(MAX(AE68,0)*AF34)</f>
        <v/>
      </c>
    </row>
    <row r="79">
      <c r="A79" t="inlineStr">
        <is>
          <t>Free cash flow to equity</t>
        </is>
      </c>
      <c r="B79" t="inlineStr">
        <is>
          <t>fcfe</t>
        </is>
      </c>
      <c r="D79" s="13" t="n"/>
      <c r="E79" s="13" t="n"/>
      <c r="F79" s="13" t="n"/>
      <c r="G79" s="13" t="n"/>
      <c r="H79" s="15">
        <f>(((((H67+H60)-H74)-H75)+H77)-H78)</f>
        <v/>
      </c>
      <c r="I79" s="15">
        <f>(((((I67+I60)-I74)-I75)+I77)-I78)</f>
        <v/>
      </c>
      <c r="J79" s="15">
        <f>(((((J67+J60)-J74)-J75)+J77)-J78)</f>
        <v/>
      </c>
      <c r="K79" s="15">
        <f>(((((K67+K60)-K74)-K75)+K77)-K78)</f>
        <v/>
      </c>
      <c r="L79" s="15">
        <f>(((((L67+L60)-L74)-L75)+L77)-L78)</f>
        <v/>
      </c>
      <c r="M79" s="15">
        <f>(((((M67+M60)-M74)-M75)+M77)-M78)</f>
        <v/>
      </c>
      <c r="N79" s="15">
        <f>(((((N67+N60)-N74)-N75)+N77)-N78)</f>
        <v/>
      </c>
      <c r="O79" s="15">
        <f>(((((O67+O60)-O74)-O75)+O77)-O78)</f>
        <v/>
      </c>
      <c r="P79" s="15">
        <f>(((((P67+P60)-P74)-P75)+P77)-P78)</f>
        <v/>
      </c>
      <c r="Q79" s="15">
        <f>(((((Q67+Q60)-Q74)-Q75)+Q77)-Q78)</f>
        <v/>
      </c>
      <c r="R79" s="15">
        <f>(((((R67+R60)-R74)-R75)+R77)-R78)</f>
        <v/>
      </c>
      <c r="S79" s="15">
        <f>(((((S67+S60)-S74)-S75)+S77)-S78)</f>
        <v/>
      </c>
      <c r="T79" s="15">
        <f>(((((T67+T60)-T74)-T75)+T77)-T78)</f>
        <v/>
      </c>
      <c r="U79" s="15">
        <f>(((((U67+U60)-U74)-U75)+U77)-U78)</f>
        <v/>
      </c>
      <c r="V79" s="15">
        <f>(((((V67+V60)-V74)-V75)+V77)-V78)</f>
        <v/>
      </c>
      <c r="W79" s="15">
        <f>(((((W67+W60)-W74)-W75)+W77)-W78)</f>
        <v/>
      </c>
      <c r="X79" s="15">
        <f>(((((X67+X60)-X74)-X75)+X77)-X78)</f>
        <v/>
      </c>
      <c r="Y79" s="15">
        <f>(((((Y67+Y60)-Y74)-Y75)+Y77)-Y78)</f>
        <v/>
      </c>
      <c r="Z79" s="15">
        <f>(((((Z67+Z60)-Z74)-Z75)+Z77)-Z78)</f>
        <v/>
      </c>
      <c r="AA79" s="15">
        <f>(((((AA67+AA60)-AA74)-AA75)+AA77)-AA78)</f>
        <v/>
      </c>
      <c r="AB79" s="15">
        <f>(((((AB67+AB60)-AB74)-AB75)+AB77)-AB78)</f>
        <v/>
      </c>
      <c r="AC79" s="15">
        <f>(((((AC67+AC60)-AC74)-AC75)+AC77)-AC78)</f>
        <v/>
      </c>
      <c r="AD79" s="15">
        <f>(((((AD67+AD60)-AD74)-AD75)+AD77)-AD78)</f>
        <v/>
      </c>
      <c r="AE79" s="15">
        <f>(((((AE67+AE60)-AE74)-AE75)+AE77)-AE78)</f>
        <v/>
      </c>
      <c r="AF79" s="15">
        <f>(((((AF67+AF60)-AF74)-AF75)+AF77)-AF78)</f>
        <v/>
      </c>
    </row>
    <row r="80">
      <c r="A80" t="inlineStr">
        <is>
          <t>Operating working capital</t>
        </is>
      </c>
      <c r="B80" t="inlineStr">
        <is>
          <t>nwc</t>
        </is>
      </c>
      <c r="D80" s="13" t="n">
        <v>116.932518</v>
      </c>
      <c r="E80" s="13" t="n">
        <v>77.99115</v>
      </c>
      <c r="F80" s="13" t="n">
        <v>116.449955</v>
      </c>
      <c r="G80" s="13" t="n">
        <v>156.208481</v>
      </c>
      <c r="H80" s="15">
        <f>(H55*H27)</f>
        <v/>
      </c>
      <c r="I80" s="15">
        <f>(I55*I27)</f>
        <v/>
      </c>
      <c r="J80" s="15">
        <f>(J55*J27)</f>
        <v/>
      </c>
      <c r="K80" s="15">
        <f>(K55*K27)</f>
        <v/>
      </c>
      <c r="L80" s="15">
        <f>(L55*L27)</f>
        <v/>
      </c>
      <c r="M80" s="15">
        <f>(M55*M27)</f>
        <v/>
      </c>
      <c r="N80" s="15">
        <f>(N55*N27)</f>
        <v/>
      </c>
      <c r="O80" s="15">
        <f>(O55*O27)</f>
        <v/>
      </c>
      <c r="P80" s="15">
        <f>(P55*P27)</f>
        <v/>
      </c>
      <c r="Q80" s="15">
        <f>(Q55*Q27)</f>
        <v/>
      </c>
      <c r="R80" s="15">
        <f>(R55*R27)</f>
        <v/>
      </c>
      <c r="S80" s="15">
        <f>(S55*S27)</f>
        <v/>
      </c>
      <c r="T80" s="15">
        <f>(T55*T27)</f>
        <v/>
      </c>
      <c r="U80" s="15">
        <f>(U55*U27)</f>
        <v/>
      </c>
      <c r="V80" s="15">
        <f>(V55*V27)</f>
        <v/>
      </c>
      <c r="W80" s="15">
        <f>(W55*W27)</f>
        <v/>
      </c>
      <c r="X80" s="15">
        <f>(X55*X27)</f>
        <v/>
      </c>
      <c r="Y80" s="15">
        <f>(Y55*Y27)</f>
        <v/>
      </c>
      <c r="Z80" s="15">
        <f>(Z55*Z27)</f>
        <v/>
      </c>
      <c r="AA80" s="15">
        <f>(AA55*AA27)</f>
        <v/>
      </c>
      <c r="AB80" s="15">
        <f>(AB55*AB27)</f>
        <v/>
      </c>
      <c r="AC80" s="15">
        <f>(AC55*AC27)</f>
        <v/>
      </c>
      <c r="AD80" s="15">
        <f>(AD55*AD27)</f>
        <v/>
      </c>
      <c r="AE80" s="15">
        <f>(AE55*AE27)</f>
        <v/>
      </c>
      <c r="AF80" s="15">
        <f>(AF55*AF27)</f>
        <v/>
      </c>
    </row>
    <row r="81">
      <c r="A81" t="inlineStr">
        <is>
          <t>Cash &amp; equivalents</t>
        </is>
      </c>
      <c r="B81" t="inlineStr">
        <is>
          <t>cash</t>
        </is>
      </c>
      <c r="D81" s="13" t="n">
        <v>10.169549</v>
      </c>
      <c r="E81" s="13" t="n">
        <v>4.563747</v>
      </c>
      <c r="F81" s="13" t="n">
        <v>11.803906</v>
      </c>
      <c r="G81" s="13" t="n">
        <v>40.435499</v>
      </c>
      <c r="H81" s="15">
        <f>(((((((G81+H67)+H60)-H74)-H75)+H77)-H73)-H78)</f>
        <v/>
      </c>
      <c r="I81" s="15">
        <f>(((((((H81+I67)+I60)-I74)-I75)+I77)-I73)-I78)</f>
        <v/>
      </c>
      <c r="J81" s="15">
        <f>(((((((I81+J67)+J60)-J74)-J75)+J77)-J73)-J78)</f>
        <v/>
      </c>
      <c r="K81" s="15">
        <f>(((((((J81+K67)+K60)-K74)-K75)+K77)-K73)-K78)</f>
        <v/>
      </c>
      <c r="L81" s="15">
        <f>(((((((K81+L67)+L60)-L74)-L75)+L77)-L73)-L78)</f>
        <v/>
      </c>
      <c r="M81" s="15">
        <f>(((((((L81+M67)+M60)-M74)-M75)+M77)-M73)-M78)</f>
        <v/>
      </c>
      <c r="N81" s="15">
        <f>(((((((M81+N67)+N60)-N74)-N75)+N77)-N73)-N78)</f>
        <v/>
      </c>
      <c r="O81" s="15">
        <f>(((((((N81+O67)+O60)-O74)-O75)+O77)-O73)-O78)</f>
        <v/>
      </c>
      <c r="P81" s="15">
        <f>(((((((O81+P67)+P60)-P74)-P75)+P77)-P73)-P78)</f>
        <v/>
      </c>
      <c r="Q81" s="15">
        <f>(((((((P81+Q67)+Q60)-Q74)-Q75)+Q77)-Q73)-Q78)</f>
        <v/>
      </c>
      <c r="R81" s="15">
        <f>(((((((Q81+R67)+R60)-R74)-R75)+R77)-R73)-R78)</f>
        <v/>
      </c>
      <c r="S81" s="15">
        <f>(((((((R81+S67)+S60)-S74)-S75)+S77)-S73)-S78)</f>
        <v/>
      </c>
      <c r="T81" s="15">
        <f>(((((((S81+T67)+T60)-T74)-T75)+T77)-T73)-T78)</f>
        <v/>
      </c>
      <c r="U81" s="15">
        <f>(((((((T81+U67)+U60)-U74)-U75)+U77)-U73)-U78)</f>
        <v/>
      </c>
      <c r="V81" s="15">
        <f>(((((((U81+V67)+V60)-V74)-V75)+V77)-V73)-V78)</f>
        <v/>
      </c>
      <c r="W81" s="15">
        <f>(((((((V81+W67)+W60)-W74)-W75)+W77)-W73)-W78)</f>
        <v/>
      </c>
      <c r="X81" s="15">
        <f>(((((((W81+X67)+X60)-X74)-X75)+X77)-X73)-X78)</f>
        <v/>
      </c>
      <c r="Y81" s="15">
        <f>(((((((X81+Y67)+Y60)-Y74)-Y75)+Y77)-Y73)-Y78)</f>
        <v/>
      </c>
      <c r="Z81" s="15">
        <f>(((((((Y81+Z67)+Z60)-Z74)-Z75)+Z77)-Z73)-Z78)</f>
        <v/>
      </c>
      <c r="AA81" s="15">
        <f>(((((((Z81+AA67)+AA60)-AA74)-AA75)+AA77)-AA73)-AA78)</f>
        <v/>
      </c>
      <c r="AB81" s="15">
        <f>(((((((AA81+AB67)+AB60)-AB74)-AB75)+AB77)-AB73)-AB78)</f>
        <v/>
      </c>
      <c r="AC81" s="15">
        <f>(((((((AB81+AC67)+AC60)-AC74)-AC75)+AC77)-AC73)-AC78)</f>
        <v/>
      </c>
      <c r="AD81" s="15">
        <f>(((((((AC81+AD67)+AD60)-AD74)-AD75)+AD77)-AD73)-AD78)</f>
        <v/>
      </c>
      <c r="AE81" s="15">
        <f>(((((((AD81+AE67)+AE60)-AE74)-AE75)+AE77)-AE73)-AE78)</f>
        <v/>
      </c>
      <c r="AF81" s="15">
        <f>(((((((AE81+AF67)+AF60)-AF74)-AF75)+AF77)-AF73)-AF78)</f>
        <v/>
      </c>
    </row>
    <row r="82">
      <c r="A82" t="inlineStr">
        <is>
          <t>Total debt</t>
        </is>
      </c>
      <c r="B82" t="inlineStr">
        <is>
          <t>debt</t>
        </is>
      </c>
      <c r="D82" s="13" t="n">
        <v>63.69458</v>
      </c>
      <c r="E82" s="13" t="n">
        <v>66.23048</v>
      </c>
      <c r="F82" s="13" t="n">
        <v>104.84493</v>
      </c>
      <c r="G82" s="13" t="n">
        <v>189.765659</v>
      </c>
      <c r="H82" s="15">
        <f>(G82+H77)</f>
        <v/>
      </c>
      <c r="I82" s="15">
        <f>(H82+I77)</f>
        <v/>
      </c>
      <c r="J82" s="15">
        <f>(I82+J77)</f>
        <v/>
      </c>
      <c r="K82" s="15">
        <f>(J82+K77)</f>
        <v/>
      </c>
      <c r="L82" s="15">
        <f>(K82+L77)</f>
        <v/>
      </c>
      <c r="M82" s="15">
        <f>(L82+M77)</f>
        <v/>
      </c>
      <c r="N82" s="15">
        <f>(M82+N77)</f>
        <v/>
      </c>
      <c r="O82" s="15">
        <f>(N82+O77)</f>
        <v/>
      </c>
      <c r="P82" s="15">
        <f>(O82+P77)</f>
        <v/>
      </c>
      <c r="Q82" s="15">
        <f>(P82+Q77)</f>
        <v/>
      </c>
      <c r="R82" s="15">
        <f>(Q82+R77)</f>
        <v/>
      </c>
      <c r="S82" s="15">
        <f>(R82+S77)</f>
        <v/>
      </c>
      <c r="T82" s="15">
        <f>(S82+T77)</f>
        <v/>
      </c>
      <c r="U82" s="15">
        <f>(T82+U77)</f>
        <v/>
      </c>
      <c r="V82" s="15">
        <f>(U82+V77)</f>
        <v/>
      </c>
      <c r="W82" s="15">
        <f>(V82+W77)</f>
        <v/>
      </c>
      <c r="X82" s="15">
        <f>(W82+X77)</f>
        <v/>
      </c>
      <c r="Y82" s="15">
        <f>(X82+Y77)</f>
        <v/>
      </c>
      <c r="Z82" s="15">
        <f>(Y82+Z77)</f>
        <v/>
      </c>
      <c r="AA82" s="15">
        <f>(Z82+AA77)</f>
        <v/>
      </c>
      <c r="AB82" s="15">
        <f>(AA82+AB77)</f>
        <v/>
      </c>
      <c r="AC82" s="15">
        <f>(AB82+AC77)</f>
        <v/>
      </c>
      <c r="AD82" s="15">
        <f>(AC82+AD77)</f>
        <v/>
      </c>
      <c r="AE82" s="15">
        <f>(AD82+AE77)</f>
        <v/>
      </c>
      <c r="AF82" s="15">
        <f>(AE82+AF77)</f>
        <v/>
      </c>
    </row>
    <row r="83">
      <c r="A83" t="inlineStr">
        <is>
          <t>Fixed assets (net)</t>
        </is>
      </c>
      <c r="B83" t="inlineStr">
        <is>
          <t>ppe</t>
        </is>
      </c>
      <c r="D83" s="13" t="n">
        <v>525.035196</v>
      </c>
      <c r="E83" s="13" t="n">
        <v>576.550116</v>
      </c>
      <c r="F83" s="13" t="n">
        <v>595.16828</v>
      </c>
      <c r="G83" s="13" t="n">
        <v>652.847586</v>
      </c>
      <c r="H83" s="15">
        <f>((G83+H74)-H60)</f>
        <v/>
      </c>
      <c r="I83" s="15">
        <f>((H83+I74)-I60)</f>
        <v/>
      </c>
      <c r="J83" s="15">
        <f>((I83+J74)-J60)</f>
        <v/>
      </c>
      <c r="K83" s="15">
        <f>((J83+K74)-K60)</f>
        <v/>
      </c>
      <c r="L83" s="15">
        <f>((K83+L74)-L60)</f>
        <v/>
      </c>
      <c r="M83" s="15">
        <f>((L83+M74)-M60)</f>
        <v/>
      </c>
      <c r="N83" s="15">
        <f>((M83+N74)-N60)</f>
        <v/>
      </c>
      <c r="O83" s="15">
        <f>((N83+O74)-O60)</f>
        <v/>
      </c>
      <c r="P83" s="15">
        <f>((O83+P74)-P60)</f>
        <v/>
      </c>
      <c r="Q83" s="15">
        <f>((P83+Q74)-Q60)</f>
        <v/>
      </c>
      <c r="R83" s="15">
        <f>((Q83+R74)-R60)</f>
        <v/>
      </c>
      <c r="S83" s="15">
        <f>((R83+S74)-S60)</f>
        <v/>
      </c>
      <c r="T83" s="15">
        <f>((S83+T74)-T60)</f>
        <v/>
      </c>
      <c r="U83" s="15">
        <f>((T83+U74)-U60)</f>
        <v/>
      </c>
      <c r="V83" s="15">
        <f>((U83+V74)-V60)</f>
        <v/>
      </c>
      <c r="W83" s="15">
        <f>((V83+W74)-W60)</f>
        <v/>
      </c>
      <c r="X83" s="15">
        <f>((W83+X74)-X60)</f>
        <v/>
      </c>
      <c r="Y83" s="15">
        <f>((X83+Y74)-Y60)</f>
        <v/>
      </c>
      <c r="Z83" s="15">
        <f>((Y83+Z74)-Z60)</f>
        <v/>
      </c>
      <c r="AA83" s="15">
        <f>((Z83+AA74)-AA60)</f>
        <v/>
      </c>
      <c r="AB83" s="15">
        <f>((AA83+AB74)-AB60)</f>
        <v/>
      </c>
      <c r="AC83" s="15">
        <f>((AB83+AC74)-AC60)</f>
        <v/>
      </c>
      <c r="AD83" s="15">
        <f>((AC83+AD74)-AD60)</f>
        <v/>
      </c>
      <c r="AE83" s="15">
        <f>((AD83+AE74)-AE60)</f>
        <v/>
      </c>
      <c r="AF83" s="15">
        <f>((AE83+AF74)-AF60)</f>
        <v/>
      </c>
    </row>
    <row r="84">
      <c r="A84" t="inlineStr">
        <is>
          <t>Parent shareholders' equity</t>
        </is>
      </c>
      <c r="B84" t="inlineStr">
        <is>
          <t>equity</t>
        </is>
      </c>
      <c r="D84" s="13" t="n">
        <v>1162.629581</v>
      </c>
      <c r="E84" s="13" t="n">
        <v>1176.595173</v>
      </c>
      <c r="F84" s="13" t="n">
        <v>1200.991795</v>
      </c>
      <c r="G84" s="13" t="n">
        <v>1250.9866</v>
      </c>
      <c r="H84" s="15">
        <f>((G84+H69)-H73)</f>
        <v/>
      </c>
      <c r="I84" s="15">
        <f>((H84+I69)-I73)</f>
        <v/>
      </c>
      <c r="J84" s="15">
        <f>((I84+J69)-J73)</f>
        <v/>
      </c>
      <c r="K84" s="15">
        <f>((J84+K69)-K73)</f>
        <v/>
      </c>
      <c r="L84" s="15">
        <f>((K84+L69)-L73)</f>
        <v/>
      </c>
      <c r="M84" s="15">
        <f>((L84+M69)-M73)</f>
        <v/>
      </c>
      <c r="N84" s="15">
        <f>((M84+N69)-N73)</f>
        <v/>
      </c>
      <c r="O84" s="15">
        <f>((N84+O69)-O73)</f>
        <v/>
      </c>
      <c r="P84" s="15">
        <f>((O84+P69)-P73)</f>
        <v/>
      </c>
      <c r="Q84" s="15">
        <f>((P84+Q69)-Q73)</f>
        <v/>
      </c>
      <c r="R84" s="15">
        <f>((Q84+R69)-R73)</f>
        <v/>
      </c>
      <c r="S84" s="15">
        <f>((R84+S69)-S73)</f>
        <v/>
      </c>
      <c r="T84" s="15">
        <f>((S84+T69)-T73)</f>
        <v/>
      </c>
      <c r="U84" s="15">
        <f>((T84+U69)-U73)</f>
        <v/>
      </c>
      <c r="V84" s="15">
        <f>((U84+V69)-V73)</f>
        <v/>
      </c>
      <c r="W84" s="15">
        <f>((V84+W69)-W73)</f>
        <v/>
      </c>
      <c r="X84" s="15">
        <f>((W84+X69)-X73)</f>
        <v/>
      </c>
      <c r="Y84" s="15">
        <f>((X84+Y69)-Y73)</f>
        <v/>
      </c>
      <c r="Z84" s="15">
        <f>((Y84+Z69)-Z73)</f>
        <v/>
      </c>
      <c r="AA84" s="15">
        <f>((Z84+AA69)-AA73)</f>
        <v/>
      </c>
      <c r="AB84" s="15">
        <f>((AA84+AB69)-AB73)</f>
        <v/>
      </c>
      <c r="AC84" s="15">
        <f>((AB84+AC69)-AC73)</f>
        <v/>
      </c>
      <c r="AD84" s="15">
        <f>((AC84+AD69)-AD73)</f>
        <v/>
      </c>
      <c r="AE84" s="15">
        <f>((AD84+AE69)-AE73)</f>
        <v/>
      </c>
      <c r="AF84" s="15">
        <f>((AE84+AF69)-AF73)</f>
        <v/>
      </c>
    </row>
    <row r="85">
      <c r="A85" t="inlineStr">
        <is>
          <t>Minority interest (balance sheet)</t>
        </is>
      </c>
      <c r="B85" t="inlineStr">
        <is>
          <t>minority_bs</t>
        </is>
      </c>
      <c r="D85" s="13" t="n">
        <v>-207.512044</v>
      </c>
      <c r="E85" s="13" t="n">
        <v>-207.243914</v>
      </c>
      <c r="F85" s="13" t="n">
        <v>-206.525181</v>
      </c>
      <c r="G85" s="13" t="n">
        <v>-206.44863</v>
      </c>
      <c r="H85" s="15">
        <f>((G85+H68)-H78)</f>
        <v/>
      </c>
      <c r="I85" s="15">
        <f>((H85+I68)-I78)</f>
        <v/>
      </c>
      <c r="J85" s="15">
        <f>((I85+J68)-J78)</f>
        <v/>
      </c>
      <c r="K85" s="15">
        <f>((J85+K68)-K78)</f>
        <v/>
      </c>
      <c r="L85" s="15">
        <f>((K85+L68)-L78)</f>
        <v/>
      </c>
      <c r="M85" s="15">
        <f>((L85+M68)-M78)</f>
        <v/>
      </c>
      <c r="N85" s="15">
        <f>((M85+N68)-N78)</f>
        <v/>
      </c>
      <c r="O85" s="15">
        <f>((N85+O68)-O78)</f>
        <v/>
      </c>
      <c r="P85" s="15">
        <f>((O85+P68)-P78)</f>
        <v/>
      </c>
      <c r="Q85" s="15">
        <f>((P85+Q68)-Q78)</f>
        <v/>
      </c>
      <c r="R85" s="15">
        <f>((Q85+R68)-R78)</f>
        <v/>
      </c>
      <c r="S85" s="15">
        <f>((R85+S68)-S78)</f>
        <v/>
      </c>
      <c r="T85" s="15">
        <f>((S85+T68)-T78)</f>
        <v/>
      </c>
      <c r="U85" s="15">
        <f>((T85+U68)-U78)</f>
        <v/>
      </c>
      <c r="V85" s="15">
        <f>((U85+V68)-V78)</f>
        <v/>
      </c>
      <c r="W85" s="15">
        <f>((V85+W68)-W78)</f>
        <v/>
      </c>
      <c r="X85" s="15">
        <f>((W85+X68)-X78)</f>
        <v/>
      </c>
      <c r="Y85" s="15">
        <f>((X85+Y68)-Y78)</f>
        <v/>
      </c>
      <c r="Z85" s="15">
        <f>((Y85+Z68)-Z78)</f>
        <v/>
      </c>
      <c r="AA85" s="15">
        <f>((Z85+AA68)-AA78)</f>
        <v/>
      </c>
      <c r="AB85" s="15">
        <f>((AA85+AB68)-AB78)</f>
        <v/>
      </c>
      <c r="AC85" s="15">
        <f>((AB85+AC68)-AC78)</f>
        <v/>
      </c>
      <c r="AD85" s="15">
        <f>((AC85+AD68)-AD78)</f>
        <v/>
      </c>
      <c r="AE85" s="15">
        <f>((AD85+AE68)-AE78)</f>
        <v/>
      </c>
      <c r="AF85" s="15">
        <f>((AE85+AF68)-AF78)</f>
        <v/>
      </c>
    </row>
    <row r="86">
      <c r="A86" t="inlineStr">
        <is>
          <t>Other assets less other liabilities</t>
        </is>
      </c>
      <c r="B86" t="inlineStr">
        <is>
          <t>other_net</t>
        </is>
      </c>
      <c r="D86" s="13" t="n">
        <v>366.6748539999999</v>
      </c>
      <c r="E86" s="13" t="n">
        <v>376.476726</v>
      </c>
      <c r="F86" s="13" t="n">
        <v>375.8894029999999</v>
      </c>
      <c r="G86" s="13" t="n">
        <v>384.8120629999997</v>
      </c>
      <c r="H86" s="15">
        <f>G86</f>
        <v/>
      </c>
      <c r="I86" s="15">
        <f>H86</f>
        <v/>
      </c>
      <c r="J86" s="15">
        <f>I86</f>
        <v/>
      </c>
      <c r="K86" s="15">
        <f>J86</f>
        <v/>
      </c>
      <c r="L86" s="15">
        <f>K86</f>
        <v/>
      </c>
      <c r="M86" s="15">
        <f>L86</f>
        <v/>
      </c>
      <c r="N86" s="15">
        <f>M86</f>
        <v/>
      </c>
      <c r="O86" s="15">
        <f>N86</f>
        <v/>
      </c>
      <c r="P86" s="15">
        <f>O86</f>
        <v/>
      </c>
      <c r="Q86" s="15">
        <f>P86</f>
        <v/>
      </c>
      <c r="R86" s="15">
        <f>Q86</f>
        <v/>
      </c>
      <c r="S86" s="15">
        <f>R86</f>
        <v/>
      </c>
      <c r="T86" s="15">
        <f>S86</f>
        <v/>
      </c>
      <c r="U86" s="15">
        <f>T86</f>
        <v/>
      </c>
      <c r="V86" s="15">
        <f>U86</f>
        <v/>
      </c>
      <c r="W86" s="15">
        <f>V86</f>
        <v/>
      </c>
      <c r="X86" s="15">
        <f>W86</f>
        <v/>
      </c>
      <c r="Y86" s="15">
        <f>X86</f>
        <v/>
      </c>
      <c r="Z86" s="15">
        <f>Y86</f>
        <v/>
      </c>
      <c r="AA86" s="15">
        <f>Z86</f>
        <v/>
      </c>
      <c r="AB86" s="15">
        <f>AA86</f>
        <v/>
      </c>
      <c r="AC86" s="15">
        <f>AB86</f>
        <v/>
      </c>
      <c r="AD86" s="15">
        <f>AC86</f>
        <v/>
      </c>
      <c r="AE86" s="15">
        <f>AD86</f>
        <v/>
      </c>
      <c r="AF86" s="15">
        <f>AE86</f>
        <v/>
      </c>
    </row>
    <row r="87">
      <c r="A87" t="inlineStr">
        <is>
          <t>Balance check (should be zero)</t>
        </is>
      </c>
      <c r="B87" t="inlineStr">
        <is>
          <t>bs_check</t>
        </is>
      </c>
      <c r="D87" s="13" t="n"/>
      <c r="E87" s="13" t="n"/>
      <c r="F87" s="13" t="n"/>
      <c r="G87" s="13" t="n"/>
      <c r="H87" s="15">
        <f>((((((H81+H80)+H83)+H86)-H82)-H84)-H85)</f>
        <v/>
      </c>
      <c r="I87" s="15">
        <f>((((((I81+I80)+I83)+I86)-I82)-I84)-I85)</f>
        <v/>
      </c>
      <c r="J87" s="15">
        <f>((((((J81+J80)+J83)+J86)-J82)-J84)-J85)</f>
        <v/>
      </c>
      <c r="K87" s="15">
        <f>((((((K81+K80)+K83)+K86)-K82)-K84)-K85)</f>
        <v/>
      </c>
      <c r="L87" s="15">
        <f>((((((L81+L80)+L83)+L86)-L82)-L84)-L85)</f>
        <v/>
      </c>
      <c r="M87" s="15">
        <f>((((((M81+M80)+M83)+M86)-M82)-M84)-M85)</f>
        <v/>
      </c>
      <c r="N87" s="15">
        <f>((((((N81+N80)+N83)+N86)-N82)-N84)-N85)</f>
        <v/>
      </c>
      <c r="O87" s="15">
        <f>((((((O81+O80)+O83)+O86)-O82)-O84)-O85)</f>
        <v/>
      </c>
      <c r="P87" s="15">
        <f>((((((P81+P80)+P83)+P86)-P82)-P84)-P85)</f>
        <v/>
      </c>
      <c r="Q87" s="15">
        <f>((((((Q81+Q80)+Q83)+Q86)-Q82)-Q84)-Q85)</f>
        <v/>
      </c>
      <c r="R87" s="15">
        <f>((((((R81+R80)+R83)+R86)-R82)-R84)-R85)</f>
        <v/>
      </c>
      <c r="S87" s="15">
        <f>((((((S81+S80)+S83)+S86)-S82)-S84)-S85)</f>
        <v/>
      </c>
      <c r="T87" s="15">
        <f>((((((T81+T80)+T83)+T86)-T82)-T84)-T85)</f>
        <v/>
      </c>
      <c r="U87" s="15">
        <f>((((((U81+U80)+U83)+U86)-U82)-U84)-U85)</f>
        <v/>
      </c>
      <c r="V87" s="15">
        <f>((((((V81+V80)+V83)+V86)-V82)-V84)-V85)</f>
        <v/>
      </c>
      <c r="W87" s="15">
        <f>((((((W81+W80)+W83)+W86)-W82)-W84)-W85)</f>
        <v/>
      </c>
      <c r="X87" s="15">
        <f>((((((X81+X80)+X83)+X86)-X82)-X84)-X85)</f>
        <v/>
      </c>
      <c r="Y87" s="15">
        <f>((((((Y81+Y80)+Y83)+Y86)-Y82)-Y84)-Y85)</f>
        <v/>
      </c>
      <c r="Z87" s="15">
        <f>((((((Z81+Z80)+Z83)+Z86)-Z82)-Z84)-Z85)</f>
        <v/>
      </c>
      <c r="AA87" s="15">
        <f>((((((AA81+AA80)+AA83)+AA86)-AA82)-AA84)-AA85)</f>
        <v/>
      </c>
      <c r="AB87" s="15">
        <f>((((((AB81+AB80)+AB83)+AB86)-AB82)-AB84)-AB85)</f>
        <v/>
      </c>
      <c r="AC87" s="15">
        <f>((((((AC81+AC80)+AC83)+AC86)-AC82)-AC84)-AC85)</f>
        <v/>
      </c>
      <c r="AD87" s="15">
        <f>((((((AD81+AD80)+AD83)+AD86)-AD82)-AD84)-AD85)</f>
        <v/>
      </c>
      <c r="AE87" s="15">
        <f>((((((AE81+AE80)+AE83)+AE86)-AE82)-AE84)-AE85)</f>
        <v/>
      </c>
      <c r="AF87" s="15">
        <f>((((((AF81+AF80)+AF83)+AF86)-AF82)-AF84)-AF85)</f>
        <v/>
      </c>
    </row>
    <row r="88">
      <c r="A88" t="inlineStr">
        <is>
          <t>Net debt (cash)</t>
        </is>
      </c>
      <c r="B88" t="inlineStr">
        <is>
          <t>net_debt</t>
        </is>
      </c>
      <c r="D88" s="13" t="n">
        <v>53.525031</v>
      </c>
      <c r="E88" s="13" t="n">
        <v>61.666733</v>
      </c>
      <c r="F88" s="13" t="n">
        <v>93.04102400000001</v>
      </c>
      <c r="G88" s="13" t="n">
        <v>149.33016</v>
      </c>
      <c r="H88" s="15">
        <f>(H82-H81)</f>
        <v/>
      </c>
      <c r="I88" s="15">
        <f>(I82-I81)</f>
        <v/>
      </c>
      <c r="J88" s="15">
        <f>(J82-J81)</f>
        <v/>
      </c>
      <c r="K88" s="15">
        <f>(K82-K81)</f>
        <v/>
      </c>
      <c r="L88" s="15">
        <f>(L82-L81)</f>
        <v/>
      </c>
      <c r="M88" s="15">
        <f>(M82-M81)</f>
        <v/>
      </c>
      <c r="N88" s="15">
        <f>(N82-N81)</f>
        <v/>
      </c>
      <c r="O88" s="15">
        <f>(O82-O81)</f>
        <v/>
      </c>
      <c r="P88" s="15">
        <f>(P82-P81)</f>
        <v/>
      </c>
      <c r="Q88" s="15">
        <f>(Q82-Q81)</f>
        <v/>
      </c>
      <c r="R88" s="15">
        <f>(R82-R81)</f>
        <v/>
      </c>
      <c r="S88" s="15">
        <f>(S82-S81)</f>
        <v/>
      </c>
      <c r="T88" s="15">
        <f>(T82-T81)</f>
        <v/>
      </c>
      <c r="U88" s="15">
        <f>(U82-U81)</f>
        <v/>
      </c>
      <c r="V88" s="15">
        <f>(V82-V81)</f>
        <v/>
      </c>
      <c r="W88" s="15">
        <f>(W82-W81)</f>
        <v/>
      </c>
      <c r="X88" s="15">
        <f>(X82-X81)</f>
        <v/>
      </c>
      <c r="Y88" s="15">
        <f>(Y82-Y81)</f>
        <v/>
      </c>
      <c r="Z88" s="15">
        <f>(Z82-Z81)</f>
        <v/>
      </c>
      <c r="AA88" s="15">
        <f>(AA82-AA81)</f>
        <v/>
      </c>
      <c r="AB88" s="15">
        <f>(AB82-AB81)</f>
        <v/>
      </c>
      <c r="AC88" s="15">
        <f>(AC82-AC81)</f>
        <v/>
      </c>
      <c r="AD88" s="15">
        <f>(AD82-AD81)</f>
        <v/>
      </c>
      <c r="AE88" s="15">
        <f>(AE82-AE81)</f>
        <v/>
      </c>
      <c r="AF88" s="15">
        <f>(AF82-AF81)</f>
        <v/>
      </c>
    </row>
    <row r="89">
      <c r="A89" t="inlineStr">
        <is>
          <t>Book value per share</t>
        </is>
      </c>
      <c r="B89" t="inlineStr">
        <is>
          <t>bvps</t>
        </is>
      </c>
      <c r="D89" s="20" t="n">
        <v>0.008200003181235344</v>
      </c>
      <c r="E89" s="20" t="n">
        <v>0.008298502216434982</v>
      </c>
      <c r="F89" s="20" t="n">
        <v>0.008470571055532696</v>
      </c>
      <c r="G89" s="20" t="n">
        <v>0.008823183462805573</v>
      </c>
      <c r="H89" s="21">
        <f>(IF(H70=0,0,H84/H70)*$C$8)</f>
        <v/>
      </c>
      <c r="I89" s="21">
        <f>(IF(I70=0,0,I84/I70)*$C$8)</f>
        <v/>
      </c>
      <c r="J89" s="21">
        <f>(IF(J70=0,0,J84/J70)*$C$8)</f>
        <v/>
      </c>
      <c r="K89" s="21">
        <f>(IF(K70=0,0,K84/K70)*$C$8)</f>
        <v/>
      </c>
      <c r="L89" s="21">
        <f>(IF(L70=0,0,L84/L70)*$C$8)</f>
        <v/>
      </c>
      <c r="M89" s="21">
        <f>(IF(M70=0,0,M84/M70)*$C$8)</f>
        <v/>
      </c>
      <c r="N89" s="21">
        <f>(IF(N70=0,0,N84/N70)*$C$8)</f>
        <v/>
      </c>
      <c r="O89" s="21">
        <f>(IF(O70=0,0,O84/O70)*$C$8)</f>
        <v/>
      </c>
      <c r="P89" s="21">
        <f>(IF(P70=0,0,P84/P70)*$C$8)</f>
        <v/>
      </c>
      <c r="Q89" s="21">
        <f>(IF(Q70=0,0,Q84/Q70)*$C$8)</f>
        <v/>
      </c>
      <c r="R89" s="21">
        <f>(IF(R70=0,0,R84/R70)*$C$8)</f>
        <v/>
      </c>
      <c r="S89" s="21">
        <f>(IF(S70=0,0,S84/S70)*$C$8)</f>
        <v/>
      </c>
      <c r="T89" s="21">
        <f>(IF(T70=0,0,T84/T70)*$C$8)</f>
        <v/>
      </c>
      <c r="U89" s="21">
        <f>(IF(U70=0,0,U84/U70)*$C$8)</f>
        <v/>
      </c>
      <c r="V89" s="21">
        <f>(IF(V70=0,0,V84/V70)*$C$8)</f>
        <v/>
      </c>
      <c r="W89" s="21">
        <f>(IF(W70=0,0,W84/W70)*$C$8)</f>
        <v/>
      </c>
      <c r="X89" s="21">
        <f>(IF(X70=0,0,X84/X70)*$C$8)</f>
        <v/>
      </c>
      <c r="Y89" s="21">
        <f>(IF(Y70=0,0,Y84/Y70)*$C$8)</f>
        <v/>
      </c>
      <c r="Z89" s="21">
        <f>(IF(Z70=0,0,Z84/Z70)*$C$8)</f>
        <v/>
      </c>
      <c r="AA89" s="21">
        <f>(IF(AA70=0,0,AA84/AA70)*$C$8)</f>
        <v/>
      </c>
      <c r="AB89" s="21">
        <f>(IF(AB70=0,0,AB84/AB70)*$C$8)</f>
        <v/>
      </c>
      <c r="AC89" s="21">
        <f>(IF(AC70=0,0,AC84/AC70)*$C$8)</f>
        <v/>
      </c>
      <c r="AD89" s="21">
        <f>(IF(AD70=0,0,AD84/AD70)*$C$8)</f>
        <v/>
      </c>
      <c r="AE89" s="21">
        <f>(IF(AE70=0,0,AE84/AE70)*$C$8)</f>
        <v/>
      </c>
      <c r="AF89" s="21">
        <f>(IF(AF70=0,0,AF84/AF70)*$C$8)</f>
        <v/>
      </c>
    </row>
    <row r="90">
      <c r="A90" t="inlineStr">
        <is>
          <t>Revenue growth</t>
        </is>
      </c>
      <c r="B90" t="inlineStr">
        <is>
          <t>revenue_growth</t>
        </is>
      </c>
      <c r="D90" s="4" t="n"/>
      <c r="E90" s="4" t="n">
        <v>3.005151469219872</v>
      </c>
      <c r="F90" s="4" t="n">
        <v>2.480972437659214</v>
      </c>
      <c r="G90" s="4" t="n">
        <v>0.5359554835819851</v>
      </c>
      <c r="H90" s="18">
        <f>(IF(G55=0,0,H55/G55)-1)</f>
        <v/>
      </c>
      <c r="I90" s="18">
        <f>(IF(H55=0,0,I55/H55)-1)</f>
        <v/>
      </c>
      <c r="J90" s="18">
        <f>(IF(I55=0,0,J55/I55)-1)</f>
        <v/>
      </c>
      <c r="K90" s="18">
        <f>(IF(J55=0,0,K55/J55)-1)</f>
        <v/>
      </c>
      <c r="L90" s="18">
        <f>(IF(K55=0,0,L55/K55)-1)</f>
        <v/>
      </c>
      <c r="M90" s="18">
        <f>(IF(L55=0,0,M55/L55)-1)</f>
        <v/>
      </c>
      <c r="N90" s="18">
        <f>(IF(M55=0,0,N55/M55)-1)</f>
        <v/>
      </c>
      <c r="O90" s="18">
        <f>(IF(N55=0,0,O55/N55)-1)</f>
        <v/>
      </c>
      <c r="P90" s="18">
        <f>(IF(O55=0,0,P55/O55)-1)</f>
        <v/>
      </c>
      <c r="Q90" s="18">
        <f>(IF(P55=0,0,Q55/P55)-1)</f>
        <v/>
      </c>
      <c r="R90" s="18">
        <f>(IF(Q55=0,0,R55/Q55)-1)</f>
        <v/>
      </c>
      <c r="S90" s="18">
        <f>(IF(R55=0,0,S55/R55)-1)</f>
        <v/>
      </c>
      <c r="T90" s="18">
        <f>(IF(S55=0,0,T55/S55)-1)</f>
        <v/>
      </c>
      <c r="U90" s="18">
        <f>(IF(T55=0,0,U55/T55)-1)</f>
        <v/>
      </c>
      <c r="V90" s="18">
        <f>(IF(U55=0,0,V55/U55)-1)</f>
        <v/>
      </c>
      <c r="W90" s="18">
        <f>(IF(V55=0,0,W55/V55)-1)</f>
        <v/>
      </c>
      <c r="X90" s="18">
        <f>(IF(W55=0,0,X55/W55)-1)</f>
        <v/>
      </c>
      <c r="Y90" s="18">
        <f>(IF(X55=0,0,Y55/X55)-1)</f>
        <v/>
      </c>
      <c r="Z90" s="18">
        <f>(IF(Y55=0,0,Z55/Y55)-1)</f>
        <v/>
      </c>
      <c r="AA90" s="18">
        <f>(IF(Z55=0,0,AA55/Z55)-1)</f>
        <v/>
      </c>
      <c r="AB90" s="18">
        <f>(IF(AA55=0,0,AB55/AA55)-1)</f>
        <v/>
      </c>
      <c r="AC90" s="18">
        <f>(IF(AB55=0,0,AC55/AB55)-1)</f>
        <v/>
      </c>
      <c r="AD90" s="18">
        <f>(IF(AC55=0,0,AD55/AC55)-1)</f>
        <v/>
      </c>
      <c r="AE90" s="18">
        <f>(IF(AD55=0,0,AE55/AD55)-1)</f>
        <v/>
      </c>
      <c r="AF90" s="18">
        <f>(IF(AE55=0,0,AF55/AE55)-1)</f>
        <v/>
      </c>
    </row>
    <row r="91">
      <c r="A91" t="inlineStr">
        <is>
          <t>Gross margin</t>
        </is>
      </c>
      <c r="B91" t="inlineStr">
        <is>
          <t>gross_margin</t>
        </is>
      </c>
      <c r="D91" s="4" t="n">
        <v>0.5639373108808535</v>
      </c>
      <c r="E91" s="4" t="n">
        <v>0.5629959419582833</v>
      </c>
      <c r="F91" s="4" t="n">
        <v>0.4907202620339288</v>
      </c>
      <c r="G91" s="4" t="n">
        <v>0.562348637091363</v>
      </c>
      <c r="H91" s="18">
        <f>IF(H55=0,0,H57/H55)</f>
        <v/>
      </c>
      <c r="I91" s="18">
        <f>IF(I55=0,0,I57/I55)</f>
        <v/>
      </c>
      <c r="J91" s="18">
        <f>IF(J55=0,0,J57/J55)</f>
        <v/>
      </c>
      <c r="K91" s="18">
        <f>IF(K55=0,0,K57/K55)</f>
        <v/>
      </c>
      <c r="L91" s="18">
        <f>IF(L55=0,0,L57/L55)</f>
        <v/>
      </c>
      <c r="M91" s="18">
        <f>IF(M55=0,0,M57/M55)</f>
        <v/>
      </c>
      <c r="N91" s="18">
        <f>IF(N55=0,0,N57/N55)</f>
        <v/>
      </c>
      <c r="O91" s="18">
        <f>IF(O55=0,0,O57/O55)</f>
        <v/>
      </c>
      <c r="P91" s="18">
        <f>IF(P55=0,0,P57/P55)</f>
        <v/>
      </c>
      <c r="Q91" s="18">
        <f>IF(Q55=0,0,Q57/Q55)</f>
        <v/>
      </c>
      <c r="R91" s="18">
        <f>IF(R55=0,0,R57/R55)</f>
        <v/>
      </c>
      <c r="S91" s="18">
        <f>IF(S55=0,0,S57/S55)</f>
        <v/>
      </c>
      <c r="T91" s="18">
        <f>IF(T55=0,0,T57/T55)</f>
        <v/>
      </c>
      <c r="U91" s="18">
        <f>IF(U55=0,0,U57/U55)</f>
        <v/>
      </c>
      <c r="V91" s="18">
        <f>IF(V55=0,0,V57/V55)</f>
        <v/>
      </c>
      <c r="W91" s="18">
        <f>IF(W55=0,0,W57/W55)</f>
        <v/>
      </c>
      <c r="X91" s="18">
        <f>IF(X55=0,0,X57/X55)</f>
        <v/>
      </c>
      <c r="Y91" s="18">
        <f>IF(Y55=0,0,Y57/Y55)</f>
        <v/>
      </c>
      <c r="Z91" s="18">
        <f>IF(Z55=0,0,Z57/Z55)</f>
        <v/>
      </c>
      <c r="AA91" s="18">
        <f>IF(AA55=0,0,AA57/AA55)</f>
        <v/>
      </c>
      <c r="AB91" s="18">
        <f>IF(AB55=0,0,AB57/AB55)</f>
        <v/>
      </c>
      <c r="AC91" s="18">
        <f>IF(AC55=0,0,AC57/AC55)</f>
        <v/>
      </c>
      <c r="AD91" s="18">
        <f>IF(AD55=0,0,AD57/AD55)</f>
        <v/>
      </c>
      <c r="AE91" s="18">
        <f>IF(AE55=0,0,AE57/AE55)</f>
        <v/>
      </c>
      <c r="AF91" s="18">
        <f>IF(AF55=0,0,AF57/AF55)</f>
        <v/>
      </c>
    </row>
    <row r="92">
      <c r="A92" t="inlineStr">
        <is>
          <t>EBITDA margin</t>
        </is>
      </c>
      <c r="B92" t="inlineStr">
        <is>
          <t>ebitda_margin</t>
        </is>
      </c>
      <c r="D92" s="4" t="n">
        <v>0.1616662709128688</v>
      </c>
      <c r="E92" s="4" t="n">
        <v>0.3757308829929804</v>
      </c>
      <c r="F92" s="4" t="n">
        <v>0.2952825436738101</v>
      </c>
      <c r="G92" s="4" t="n">
        <v>0.398411759021555</v>
      </c>
      <c r="H92" s="18">
        <f>IF(H55=0,0,H61/H55)</f>
        <v/>
      </c>
      <c r="I92" s="18">
        <f>IF(I55=0,0,I61/I55)</f>
        <v/>
      </c>
      <c r="J92" s="18">
        <f>IF(J55=0,0,J61/J55)</f>
        <v/>
      </c>
      <c r="K92" s="18">
        <f>IF(K55=0,0,K61/K55)</f>
        <v/>
      </c>
      <c r="L92" s="18">
        <f>IF(L55=0,0,L61/L55)</f>
        <v/>
      </c>
      <c r="M92" s="18">
        <f>IF(M55=0,0,M61/M55)</f>
        <v/>
      </c>
      <c r="N92" s="18">
        <f>IF(N55=0,0,N61/N55)</f>
        <v/>
      </c>
      <c r="O92" s="18">
        <f>IF(O55=0,0,O61/O55)</f>
        <v/>
      </c>
      <c r="P92" s="18">
        <f>IF(P55=0,0,P61/P55)</f>
        <v/>
      </c>
      <c r="Q92" s="18">
        <f>IF(Q55=0,0,Q61/Q55)</f>
        <v/>
      </c>
      <c r="R92" s="18">
        <f>IF(R55=0,0,R61/R55)</f>
        <v/>
      </c>
      <c r="S92" s="18">
        <f>IF(S55=0,0,S61/S55)</f>
        <v/>
      </c>
      <c r="T92" s="18">
        <f>IF(T55=0,0,T61/T55)</f>
        <v/>
      </c>
      <c r="U92" s="18">
        <f>IF(U55=0,0,U61/U55)</f>
        <v/>
      </c>
      <c r="V92" s="18">
        <f>IF(V55=0,0,V61/V55)</f>
        <v/>
      </c>
      <c r="W92" s="18">
        <f>IF(W55=0,0,W61/W55)</f>
        <v/>
      </c>
      <c r="X92" s="18">
        <f>IF(X55=0,0,X61/X55)</f>
        <v/>
      </c>
      <c r="Y92" s="18">
        <f>IF(Y55=0,0,Y61/Y55)</f>
        <v/>
      </c>
      <c r="Z92" s="18">
        <f>IF(Z55=0,0,Z61/Z55)</f>
        <v/>
      </c>
      <c r="AA92" s="18">
        <f>IF(AA55=0,0,AA61/AA55)</f>
        <v/>
      </c>
      <c r="AB92" s="18">
        <f>IF(AB55=0,0,AB61/AB55)</f>
        <v/>
      </c>
      <c r="AC92" s="18">
        <f>IF(AC55=0,0,AC61/AC55)</f>
        <v/>
      </c>
      <c r="AD92" s="18">
        <f>IF(AD55=0,0,AD61/AD55)</f>
        <v/>
      </c>
      <c r="AE92" s="18">
        <f>IF(AE55=0,0,AE61/AE55)</f>
        <v/>
      </c>
      <c r="AF92" s="18">
        <f>IF(AF55=0,0,AF61/AF55)</f>
        <v/>
      </c>
    </row>
    <row r="93">
      <c r="A93" t="inlineStr">
        <is>
          <t>EBIT margin</t>
        </is>
      </c>
      <c r="B93" t="inlineStr">
        <is>
          <t>ebit_margin</t>
        </is>
      </c>
      <c r="D93" s="4" t="n">
        <v>0.09131418457470494</v>
      </c>
      <c r="E93" s="4" t="n">
        <v>0.3666397099723859</v>
      </c>
      <c r="F93" s="4" t="n">
        <v>0.2636439343925186</v>
      </c>
      <c r="G93" s="4" t="n">
        <v>0.3736937946043949</v>
      </c>
      <c r="H93" s="18">
        <f>IF(H55=0,0,H59/H55)</f>
        <v/>
      </c>
      <c r="I93" s="18">
        <f>IF(I55=0,0,I59/I55)</f>
        <v/>
      </c>
      <c r="J93" s="18">
        <f>IF(J55=0,0,J59/J55)</f>
        <v/>
      </c>
      <c r="K93" s="18">
        <f>IF(K55=0,0,K59/K55)</f>
        <v/>
      </c>
      <c r="L93" s="18">
        <f>IF(L55=0,0,L59/L55)</f>
        <v/>
      </c>
      <c r="M93" s="18">
        <f>IF(M55=0,0,M59/M55)</f>
        <v/>
      </c>
      <c r="N93" s="18">
        <f>IF(N55=0,0,N59/N55)</f>
        <v/>
      </c>
      <c r="O93" s="18">
        <f>IF(O55=0,0,O59/O55)</f>
        <v/>
      </c>
      <c r="P93" s="18">
        <f>IF(P55=0,0,P59/P55)</f>
        <v/>
      </c>
      <c r="Q93" s="18">
        <f>IF(Q55=0,0,Q59/Q55)</f>
        <v/>
      </c>
      <c r="R93" s="18">
        <f>IF(R55=0,0,R59/R55)</f>
        <v/>
      </c>
      <c r="S93" s="18">
        <f>IF(S55=0,0,S59/S55)</f>
        <v/>
      </c>
      <c r="T93" s="18">
        <f>IF(T55=0,0,T59/T55)</f>
        <v/>
      </c>
      <c r="U93" s="18">
        <f>IF(U55=0,0,U59/U55)</f>
        <v/>
      </c>
      <c r="V93" s="18">
        <f>IF(V55=0,0,V59/V55)</f>
        <v/>
      </c>
      <c r="W93" s="18">
        <f>IF(W55=0,0,W59/W55)</f>
        <v/>
      </c>
      <c r="X93" s="18">
        <f>IF(X55=0,0,X59/X55)</f>
        <v/>
      </c>
      <c r="Y93" s="18">
        <f>IF(Y55=0,0,Y59/Y55)</f>
        <v/>
      </c>
      <c r="Z93" s="18">
        <f>IF(Z55=0,0,Z59/Z55)</f>
        <v/>
      </c>
      <c r="AA93" s="18">
        <f>IF(AA55=0,0,AA59/AA55)</f>
        <v/>
      </c>
      <c r="AB93" s="18">
        <f>IF(AB55=0,0,AB59/AB55)</f>
        <v/>
      </c>
      <c r="AC93" s="18">
        <f>IF(AC55=0,0,AC59/AC55)</f>
        <v/>
      </c>
      <c r="AD93" s="18">
        <f>IF(AD55=0,0,AD59/AD55)</f>
        <v/>
      </c>
      <c r="AE93" s="18">
        <f>IF(AE55=0,0,AE59/AE55)</f>
        <v/>
      </c>
      <c r="AF93" s="18">
        <f>IF(AF55=0,0,AF59/AF55)</f>
        <v/>
      </c>
    </row>
    <row r="94">
      <c r="A94" t="inlineStr">
        <is>
          <t>Net margin</t>
        </is>
      </c>
      <c r="B94" t="inlineStr">
        <is>
          <t>np_margin</t>
        </is>
      </c>
      <c r="D94" s="4" t="n">
        <v>1.172733264659672</v>
      </c>
      <c r="E94" s="4" t="n">
        <v>0.2984590428280806</v>
      </c>
      <c r="F94" s="4" t="n">
        <v>0.1503430803299383</v>
      </c>
      <c r="G94" s="4" t="n">
        <v>0.2005570650717979</v>
      </c>
      <c r="H94" s="18">
        <f>IF(H55=0,0,H69/H55)</f>
        <v/>
      </c>
      <c r="I94" s="18">
        <f>IF(I55=0,0,I69/I55)</f>
        <v/>
      </c>
      <c r="J94" s="18">
        <f>IF(J55=0,0,J69/J55)</f>
        <v/>
      </c>
      <c r="K94" s="18">
        <f>IF(K55=0,0,K69/K55)</f>
        <v/>
      </c>
      <c r="L94" s="18">
        <f>IF(L55=0,0,L69/L55)</f>
        <v/>
      </c>
      <c r="M94" s="18">
        <f>IF(M55=0,0,M69/M55)</f>
        <v/>
      </c>
      <c r="N94" s="18">
        <f>IF(N55=0,0,N69/N55)</f>
        <v/>
      </c>
      <c r="O94" s="18">
        <f>IF(O55=0,0,O69/O55)</f>
        <v/>
      </c>
      <c r="P94" s="18">
        <f>IF(P55=0,0,P69/P55)</f>
        <v/>
      </c>
      <c r="Q94" s="18">
        <f>IF(Q55=0,0,Q69/Q55)</f>
        <v/>
      </c>
      <c r="R94" s="18">
        <f>IF(R55=0,0,R69/R55)</f>
        <v/>
      </c>
      <c r="S94" s="18">
        <f>IF(S55=0,0,S69/S55)</f>
        <v/>
      </c>
      <c r="T94" s="18">
        <f>IF(T55=0,0,T69/T55)</f>
        <v/>
      </c>
      <c r="U94" s="18">
        <f>IF(U55=0,0,U69/U55)</f>
        <v/>
      </c>
      <c r="V94" s="18">
        <f>IF(V55=0,0,V69/V55)</f>
        <v/>
      </c>
      <c r="W94" s="18">
        <f>IF(W55=0,0,W69/W55)</f>
        <v/>
      </c>
      <c r="X94" s="18">
        <f>IF(X55=0,0,X69/X55)</f>
        <v/>
      </c>
      <c r="Y94" s="18">
        <f>IF(Y55=0,0,Y69/Y55)</f>
        <v/>
      </c>
      <c r="Z94" s="18">
        <f>IF(Z55=0,0,Z69/Z55)</f>
        <v/>
      </c>
      <c r="AA94" s="18">
        <f>IF(AA55=0,0,AA69/AA55)</f>
        <v/>
      </c>
      <c r="AB94" s="18">
        <f>IF(AB55=0,0,AB69/AB55)</f>
        <v/>
      </c>
      <c r="AC94" s="18">
        <f>IF(AC55=0,0,AC69/AC55)</f>
        <v/>
      </c>
      <c r="AD94" s="18">
        <f>IF(AD55=0,0,AD69/AD55)</f>
        <v/>
      </c>
      <c r="AE94" s="18">
        <f>IF(AE55=0,0,AE69/AE55)</f>
        <v/>
      </c>
      <c r="AF94" s="18">
        <f>IF(AF55=0,0,AF69/AF55)</f>
        <v/>
      </c>
    </row>
    <row r="95">
      <c r="A95" t="inlineStr">
        <is>
          <t>EPS growth</t>
        </is>
      </c>
      <c r="B95" t="inlineStr">
        <is>
          <t>eps_growth</t>
        </is>
      </c>
      <c r="D95" s="4" t="n"/>
      <c r="E95" s="4" t="n">
        <v>0.01930567594895249</v>
      </c>
      <c r="F95" s="4" t="n">
        <v>0.7534738130547132</v>
      </c>
      <c r="G95" s="4" t="n">
        <v>1.048958455089686</v>
      </c>
      <c r="H95" s="18">
        <f>(IF(G71=0,0,H71/G71)-1)</f>
        <v/>
      </c>
      <c r="I95" s="18">
        <f>(IF(H71=0,0,I71/H71)-1)</f>
        <v/>
      </c>
      <c r="J95" s="18">
        <f>(IF(I71=0,0,J71/I71)-1)</f>
        <v/>
      </c>
      <c r="K95" s="18">
        <f>(IF(J71=0,0,K71/J71)-1)</f>
        <v/>
      </c>
      <c r="L95" s="18">
        <f>(IF(K71=0,0,L71/K71)-1)</f>
        <v/>
      </c>
      <c r="M95" s="18">
        <f>(IF(L71=0,0,M71/L71)-1)</f>
        <v/>
      </c>
      <c r="N95" s="18">
        <f>(IF(M71=0,0,N71/M71)-1)</f>
        <v/>
      </c>
      <c r="O95" s="18">
        <f>(IF(N71=0,0,O71/N71)-1)</f>
        <v/>
      </c>
      <c r="P95" s="18">
        <f>(IF(O71=0,0,P71/O71)-1)</f>
        <v/>
      </c>
      <c r="Q95" s="18">
        <f>(IF(P71=0,0,Q71/P71)-1)</f>
        <v/>
      </c>
      <c r="R95" s="18">
        <f>(IF(Q71=0,0,R71/Q71)-1)</f>
        <v/>
      </c>
      <c r="S95" s="18">
        <f>(IF(R71=0,0,S71/R71)-1)</f>
        <v/>
      </c>
      <c r="T95" s="18">
        <f>(IF(S71=0,0,T71/S71)-1)</f>
        <v/>
      </c>
      <c r="U95" s="18">
        <f>(IF(T71=0,0,U71/T71)-1)</f>
        <v/>
      </c>
      <c r="V95" s="18">
        <f>(IF(U71=0,0,V71/U71)-1)</f>
        <v/>
      </c>
      <c r="W95" s="18">
        <f>(IF(V71=0,0,W71/V71)-1)</f>
        <v/>
      </c>
      <c r="X95" s="18">
        <f>(IF(W71=0,0,X71/W71)-1)</f>
        <v/>
      </c>
      <c r="Y95" s="18">
        <f>(IF(X71=0,0,Y71/X71)-1)</f>
        <v/>
      </c>
      <c r="Z95" s="18">
        <f>(IF(Y71=0,0,Z71/Y71)-1)</f>
        <v/>
      </c>
      <c r="AA95" s="18">
        <f>(IF(Z71=0,0,AA71/Z71)-1)</f>
        <v/>
      </c>
      <c r="AB95" s="18">
        <f>(IF(AA71=0,0,AB71/AA71)-1)</f>
        <v/>
      </c>
      <c r="AC95" s="18">
        <f>(IF(AB71=0,0,AC71/AB71)-1)</f>
        <v/>
      </c>
      <c r="AD95" s="18">
        <f>(IF(AC71=0,0,AD71/AC71)-1)</f>
        <v/>
      </c>
      <c r="AE95" s="18">
        <f>(IF(AD71=0,0,AE71/AD71)-1)</f>
        <v/>
      </c>
      <c r="AF95" s="18">
        <f>(IF(AE71=0,0,AF71/AE71)-1)</f>
        <v/>
      </c>
    </row>
    <row r="96">
      <c r="A96" t="inlineStr">
        <is>
          <t>ROE</t>
        </is>
      </c>
      <c r="B96" t="inlineStr">
        <is>
          <t>roe</t>
        </is>
      </c>
      <c r="D96" s="4" t="n"/>
      <c r="E96" s="4" t="n">
        <v>0.01190091971812299</v>
      </c>
      <c r="F96" s="4" t="n">
        <v>0.02053124813392736</v>
      </c>
      <c r="G96" s="4" t="n">
        <v>0.04079136839213462</v>
      </c>
      <c r="H96" s="18">
        <f>IF(IF(2=0,0,(H84+G84)/2)=0,0,H69/IF(2=0,0,(H84+G84)/2))</f>
        <v/>
      </c>
      <c r="I96" s="18">
        <f>IF(IF(2=0,0,(I84+H84)/2)=0,0,I69/IF(2=0,0,(I84+H84)/2))</f>
        <v/>
      </c>
      <c r="J96" s="18">
        <f>IF(IF(2=0,0,(J84+I84)/2)=0,0,J69/IF(2=0,0,(J84+I84)/2))</f>
        <v/>
      </c>
      <c r="K96" s="18">
        <f>IF(IF(2=0,0,(K84+J84)/2)=0,0,K69/IF(2=0,0,(K84+J84)/2))</f>
        <v/>
      </c>
      <c r="L96" s="18">
        <f>IF(IF(2=0,0,(L84+K84)/2)=0,0,L69/IF(2=0,0,(L84+K84)/2))</f>
        <v/>
      </c>
      <c r="M96" s="18">
        <f>IF(IF(2=0,0,(M84+L84)/2)=0,0,M69/IF(2=0,0,(M84+L84)/2))</f>
        <v/>
      </c>
      <c r="N96" s="18">
        <f>IF(IF(2=0,0,(N84+M84)/2)=0,0,N69/IF(2=0,0,(N84+M84)/2))</f>
        <v/>
      </c>
      <c r="O96" s="18">
        <f>IF(IF(2=0,0,(O84+N84)/2)=0,0,O69/IF(2=0,0,(O84+N84)/2))</f>
        <v/>
      </c>
      <c r="P96" s="18">
        <f>IF(IF(2=0,0,(P84+O84)/2)=0,0,P69/IF(2=0,0,(P84+O84)/2))</f>
        <v/>
      </c>
      <c r="Q96" s="18">
        <f>IF(IF(2=0,0,(Q84+P84)/2)=0,0,Q69/IF(2=0,0,(Q84+P84)/2))</f>
        <v/>
      </c>
      <c r="R96" s="18">
        <f>IF(IF(2=0,0,(R84+Q84)/2)=0,0,R69/IF(2=0,0,(R84+Q84)/2))</f>
        <v/>
      </c>
      <c r="S96" s="18">
        <f>IF(IF(2=0,0,(S84+R84)/2)=0,0,S69/IF(2=0,0,(S84+R84)/2))</f>
        <v/>
      </c>
      <c r="T96" s="18">
        <f>IF(IF(2=0,0,(T84+S84)/2)=0,0,T69/IF(2=0,0,(T84+S84)/2))</f>
        <v/>
      </c>
      <c r="U96" s="18">
        <f>IF(IF(2=0,0,(U84+T84)/2)=0,0,U69/IF(2=0,0,(U84+T84)/2))</f>
        <v/>
      </c>
      <c r="V96" s="18">
        <f>IF(IF(2=0,0,(V84+U84)/2)=0,0,V69/IF(2=0,0,(V84+U84)/2))</f>
        <v/>
      </c>
      <c r="W96" s="18">
        <f>IF(IF(2=0,0,(W84+V84)/2)=0,0,W69/IF(2=0,0,(W84+V84)/2))</f>
        <v/>
      </c>
      <c r="X96" s="18">
        <f>IF(IF(2=0,0,(X84+W84)/2)=0,0,X69/IF(2=0,0,(X84+W84)/2))</f>
        <v/>
      </c>
      <c r="Y96" s="18">
        <f>IF(IF(2=0,0,(Y84+X84)/2)=0,0,Y69/IF(2=0,0,(Y84+X84)/2))</f>
        <v/>
      </c>
      <c r="Z96" s="18">
        <f>IF(IF(2=0,0,(Z84+Y84)/2)=0,0,Z69/IF(2=0,0,(Z84+Y84)/2))</f>
        <v/>
      </c>
      <c r="AA96" s="18">
        <f>IF(IF(2=0,0,(AA84+Z84)/2)=0,0,AA69/IF(2=0,0,(AA84+Z84)/2))</f>
        <v/>
      </c>
      <c r="AB96" s="18">
        <f>IF(IF(2=0,0,(AB84+AA84)/2)=0,0,AB69/IF(2=0,0,(AB84+AA84)/2))</f>
        <v/>
      </c>
      <c r="AC96" s="18">
        <f>IF(IF(2=0,0,(AC84+AB84)/2)=0,0,AC69/IF(2=0,0,(AC84+AB84)/2))</f>
        <v/>
      </c>
      <c r="AD96" s="18">
        <f>IF(IF(2=0,0,(AD84+AC84)/2)=0,0,AD69/IF(2=0,0,(AD84+AC84)/2))</f>
        <v/>
      </c>
      <c r="AE96" s="18">
        <f>IF(IF(2=0,0,(AE84+AD84)/2)=0,0,AE69/IF(2=0,0,(AE84+AD84)/2))</f>
        <v/>
      </c>
      <c r="AF96" s="18">
        <f>IF(IF(2=0,0,(AF84+AE84)/2)=0,0,AF69/IF(2=0,0,(AF84+AE84)/2))</f>
        <v/>
      </c>
    </row>
    <row r="97">
      <c r="A97" t="inlineStr">
        <is>
          <t>Net debt / EBITDA</t>
        </is>
      </c>
      <c r="B97" t="inlineStr">
        <is>
          <t>net_debt_ebitda</t>
        </is>
      </c>
      <c r="D97" s="22" t="n">
        <v>28.43273994243867</v>
      </c>
      <c r="E97" s="22" t="n">
        <v>3.519138089060995</v>
      </c>
      <c r="F97" s="22" t="n">
        <v>1.940878658056553</v>
      </c>
      <c r="G97" s="22" t="n">
        <v>1.503136532141611</v>
      </c>
      <c r="H97" s="23">
        <f>IF(H61=0,0,H88/H61)</f>
        <v/>
      </c>
      <c r="I97" s="23">
        <f>IF(I61=0,0,I88/I61)</f>
        <v/>
      </c>
      <c r="J97" s="23">
        <f>IF(J61=0,0,J88/J61)</f>
        <v/>
      </c>
      <c r="K97" s="23">
        <f>IF(K61=0,0,K88/K61)</f>
        <v/>
      </c>
      <c r="L97" s="23">
        <f>IF(L61=0,0,L88/L61)</f>
        <v/>
      </c>
      <c r="M97" s="23">
        <f>IF(M61=0,0,M88/M61)</f>
        <v/>
      </c>
      <c r="N97" s="23">
        <f>IF(N61=0,0,N88/N61)</f>
        <v/>
      </c>
      <c r="O97" s="23">
        <f>IF(O61=0,0,O88/O61)</f>
        <v/>
      </c>
      <c r="P97" s="23">
        <f>IF(P61=0,0,P88/P61)</f>
        <v/>
      </c>
      <c r="Q97" s="23">
        <f>IF(Q61=0,0,Q88/Q61)</f>
        <v/>
      </c>
      <c r="R97" s="23">
        <f>IF(R61=0,0,R88/R61)</f>
        <v/>
      </c>
      <c r="S97" s="23">
        <f>IF(S61=0,0,S88/S61)</f>
        <v/>
      </c>
      <c r="T97" s="23">
        <f>IF(T61=0,0,T88/T61)</f>
        <v/>
      </c>
      <c r="U97" s="23">
        <f>IF(U61=0,0,U88/U61)</f>
        <v/>
      </c>
      <c r="V97" s="23">
        <f>IF(V61=0,0,V88/V61)</f>
        <v/>
      </c>
      <c r="W97" s="23">
        <f>IF(W61=0,0,W88/W61)</f>
        <v/>
      </c>
      <c r="X97" s="23">
        <f>IF(X61=0,0,X88/X61)</f>
        <v/>
      </c>
      <c r="Y97" s="23">
        <f>IF(Y61=0,0,Y88/Y61)</f>
        <v/>
      </c>
      <c r="Z97" s="23">
        <f>IF(Z61=0,0,Z88/Z61)</f>
        <v/>
      </c>
      <c r="AA97" s="23">
        <f>IF(AA61=0,0,AA88/AA61)</f>
        <v/>
      </c>
      <c r="AB97" s="23">
        <f>IF(AB61=0,0,AB88/AB61)</f>
        <v/>
      </c>
      <c r="AC97" s="23">
        <f>IF(AC61=0,0,AC88/AC61)</f>
        <v/>
      </c>
      <c r="AD97" s="23">
        <f>IF(AD61=0,0,AD88/AD61)</f>
        <v/>
      </c>
      <c r="AE97" s="23">
        <f>IF(AE61=0,0,AE88/AE61)</f>
        <v/>
      </c>
      <c r="AF97" s="23">
        <f>IF(AF61=0,0,AF88/AF61)</f>
        <v/>
      </c>
    </row>
    <row r="98">
      <c r="A98" t="inlineStr">
        <is>
          <t>Payout ratio</t>
        </is>
      </c>
      <c r="B98" t="inlineStr">
        <is>
          <t>payout_ratio</t>
        </is>
      </c>
      <c r="D98" s="4" t="n">
        <v>0</v>
      </c>
      <c r="E98" s="4" t="n">
        <v>0</v>
      </c>
      <c r="F98" s="4" t="n">
        <v>0</v>
      </c>
      <c r="G98" s="4" t="n">
        <v>0</v>
      </c>
      <c r="H98" s="18">
        <f>IF(H71=0,0,H72/H71)</f>
        <v/>
      </c>
      <c r="I98" s="18">
        <f>IF(I71=0,0,I72/I71)</f>
        <v/>
      </c>
      <c r="J98" s="18">
        <f>IF(J71=0,0,J72/J71)</f>
        <v/>
      </c>
      <c r="K98" s="18">
        <f>IF(K71=0,0,K72/K71)</f>
        <v/>
      </c>
      <c r="L98" s="18">
        <f>IF(L71=0,0,L72/L71)</f>
        <v/>
      </c>
      <c r="M98" s="18">
        <f>IF(M71=0,0,M72/M71)</f>
        <v/>
      </c>
      <c r="N98" s="18">
        <f>IF(N71=0,0,N72/N71)</f>
        <v/>
      </c>
      <c r="O98" s="18">
        <f>IF(O71=0,0,O72/O71)</f>
        <v/>
      </c>
      <c r="P98" s="18">
        <f>IF(P71=0,0,P72/P71)</f>
        <v/>
      </c>
      <c r="Q98" s="18">
        <f>IF(Q71=0,0,Q72/Q71)</f>
        <v/>
      </c>
      <c r="R98" s="18">
        <f>IF(R71=0,0,R72/R71)</f>
        <v/>
      </c>
      <c r="S98" s="18">
        <f>IF(S71=0,0,S72/S71)</f>
        <v/>
      </c>
      <c r="T98" s="18">
        <f>IF(T71=0,0,T72/T71)</f>
        <v/>
      </c>
      <c r="U98" s="18">
        <f>IF(U71=0,0,U72/U71)</f>
        <v/>
      </c>
      <c r="V98" s="18">
        <f>IF(V71=0,0,V72/V71)</f>
        <v/>
      </c>
      <c r="W98" s="18">
        <f>IF(W71=0,0,W72/W71)</f>
        <v/>
      </c>
      <c r="X98" s="18">
        <f>IF(X71=0,0,X72/X71)</f>
        <v/>
      </c>
      <c r="Y98" s="18">
        <f>IF(Y71=0,0,Y72/Y71)</f>
        <v/>
      </c>
      <c r="Z98" s="18">
        <f>IF(Z71=0,0,Z72/Z71)</f>
        <v/>
      </c>
      <c r="AA98" s="18">
        <f>IF(AA71=0,0,AA72/AA71)</f>
        <v/>
      </c>
      <c r="AB98" s="18">
        <f>IF(AB71=0,0,AB72/AB71)</f>
        <v/>
      </c>
      <c r="AC98" s="18">
        <f>IF(AC71=0,0,AC72/AC71)</f>
        <v/>
      </c>
      <c r="AD98" s="18">
        <f>IF(AD71=0,0,AD72/AD71)</f>
        <v/>
      </c>
      <c r="AE98" s="18">
        <f>IF(AE71=0,0,AE72/AE71)</f>
        <v/>
      </c>
      <c r="AF98" s="18">
        <f>IF(AF71=0,0,AF72/AF71)</f>
        <v/>
      </c>
    </row>
    <row r="99">
      <c r="A99" t="inlineStr">
        <is>
          <t>Capex / revenue</t>
        </is>
      </c>
      <c r="B99" t="inlineStr">
        <is>
          <t>capex_revenue</t>
        </is>
      </c>
      <c r="D99" s="4" t="n">
        <v>10.91911705538564</v>
      </c>
      <c r="E99" s="4" t="n">
        <v>0.7909281074912551</v>
      </c>
      <c r="F99" s="4" t="n">
        <v>0.1214597737168978</v>
      </c>
      <c r="G99" s="4" t="n">
        <v>0.2774545158129023</v>
      </c>
      <c r="H99" s="18">
        <f>IF(H55=0,0,H74/H55)</f>
        <v/>
      </c>
      <c r="I99" s="18">
        <f>IF(I55=0,0,I74/I55)</f>
        <v/>
      </c>
      <c r="J99" s="18">
        <f>IF(J55=0,0,J74/J55)</f>
        <v/>
      </c>
      <c r="K99" s="18">
        <f>IF(K55=0,0,K74/K55)</f>
        <v/>
      </c>
      <c r="L99" s="18">
        <f>IF(L55=0,0,L74/L55)</f>
        <v/>
      </c>
      <c r="M99" s="18">
        <f>IF(M55=0,0,M74/M55)</f>
        <v/>
      </c>
      <c r="N99" s="18">
        <f>IF(N55=0,0,N74/N55)</f>
        <v/>
      </c>
      <c r="O99" s="18">
        <f>IF(O55=0,0,O74/O55)</f>
        <v/>
      </c>
      <c r="P99" s="18">
        <f>IF(P55=0,0,P74/P55)</f>
        <v/>
      </c>
      <c r="Q99" s="18">
        <f>IF(Q55=0,0,Q74/Q55)</f>
        <v/>
      </c>
      <c r="R99" s="18">
        <f>IF(R55=0,0,R74/R55)</f>
        <v/>
      </c>
      <c r="S99" s="18">
        <f>IF(S55=0,0,S74/S55)</f>
        <v/>
      </c>
      <c r="T99" s="18">
        <f>IF(T55=0,0,T74/T55)</f>
        <v/>
      </c>
      <c r="U99" s="18">
        <f>IF(U55=0,0,U74/U55)</f>
        <v/>
      </c>
      <c r="V99" s="18">
        <f>IF(V55=0,0,V74/V55)</f>
        <v/>
      </c>
      <c r="W99" s="18">
        <f>IF(W55=0,0,W74/W55)</f>
        <v/>
      </c>
      <c r="X99" s="18">
        <f>IF(X55=0,0,X74/X55)</f>
        <v/>
      </c>
      <c r="Y99" s="18">
        <f>IF(Y55=0,0,Y74/Y55)</f>
        <v/>
      </c>
      <c r="Z99" s="18">
        <f>IF(Z55=0,0,Z74/Z55)</f>
        <v/>
      </c>
      <c r="AA99" s="18">
        <f>IF(AA55=0,0,AA74/AA55)</f>
        <v/>
      </c>
      <c r="AB99" s="18">
        <f>IF(AB55=0,0,AB74/AB55)</f>
        <v/>
      </c>
      <c r="AC99" s="18">
        <f>IF(AC55=0,0,AC74/AC55)</f>
        <v/>
      </c>
      <c r="AD99" s="18">
        <f>IF(AD55=0,0,AD74/AD55)</f>
        <v/>
      </c>
      <c r="AE99" s="18">
        <f>IF(AE55=0,0,AE74/AE55)</f>
        <v/>
      </c>
      <c r="AF99" s="18">
        <f>IF(AF55=0,0,AF74/AF55)</f>
        <v/>
      </c>
    </row>
    <row r="101">
      <c r="A101" s="1" t="inlineStr">
        <is>
          <t>VALUATION</t>
        </is>
      </c>
    </row>
    <row r="102">
      <c r="A102" t="inlineStr">
        <is>
          <t>Last price (IDR)</t>
        </is>
      </c>
      <c r="C102" s="20" t="n">
        <v>340</v>
      </c>
    </row>
    <row r="103">
      <c r="A103" t="inlineStr">
        <is>
          <t>Shares outstanding (m)</t>
        </is>
      </c>
      <c r="C103" s="13" t="n">
        <v>141784.040338</v>
      </c>
    </row>
    <row r="104">
      <c r="A104" t="inlineStr">
        <is>
          <t>IDR per USD (spot)</t>
        </is>
      </c>
      <c r="C104" s="3" t="n">
        <v>18120</v>
      </c>
    </row>
    <row r="105">
      <c r="A105" t="inlineStr">
        <is>
          <t>Debt at balance-sheet date</t>
        </is>
      </c>
      <c r="C105" s="13" t="n">
        <v>306.994731</v>
      </c>
    </row>
    <row r="106">
      <c r="A106" t="inlineStr">
        <is>
          <t>Cash at balance-sheet date</t>
        </is>
      </c>
      <c r="C106" s="13" t="n">
        <v>30.643105</v>
      </c>
    </row>
    <row r="107">
      <c r="A107" t="inlineStr">
        <is>
          <t>Minority interest (book)</t>
        </is>
      </c>
      <c r="C107" s="13" t="n">
        <v>-210.06261</v>
      </c>
    </row>
    <row r="108">
      <c r="A108" t="inlineStr">
        <is>
          <t>Associates &amp; investments (book)</t>
        </is>
      </c>
      <c r="C108" s="13" t="n">
        <v>332.6131</v>
      </c>
    </row>
    <row r="109">
      <c r="A109" t="inlineStr">
        <is>
          <t>Post-balance-sheet &amp; other items (sourced, probability-weighted)</t>
        </is>
      </c>
      <c r="C109" s="13" t="n">
        <v>-210.06261</v>
      </c>
    </row>
    <row r="110">
      <c r="A110" t="inlineStr">
        <is>
          <t>Parent equity at balance-sheet date</t>
        </is>
      </c>
      <c r="C110" s="13" t="n">
        <v>1269.692362</v>
      </c>
    </row>
    <row r="111">
      <c r="A111" t="inlineStr">
        <is>
          <t>Per-share factor</t>
        </is>
      </c>
      <c r="C111" s="24" t="n">
        <v>1</v>
      </c>
    </row>
    <row r="112">
      <c r="A112" t="inlineStr">
        <is>
          <t>Risk-free rate</t>
        </is>
      </c>
      <c r="C112" s="8">
        <f>Drivers!$C$10</f>
        <v/>
      </c>
    </row>
    <row r="113">
      <c r="A113" t="inlineStr">
        <is>
          <t>Less: default spread (IDR only)</t>
        </is>
      </c>
      <c r="C113" s="8" t="n">
        <v>0</v>
      </c>
    </row>
    <row r="114">
      <c r="A114" t="inlineStr">
        <is>
          <t>Mature ERP + Indonesia CRP</t>
        </is>
      </c>
      <c r="C114" s="8">
        <f>Drivers!$C$12+Drivers!$C$13</f>
        <v/>
      </c>
    </row>
    <row r="115">
      <c r="A115" t="inlineStr">
        <is>
          <t>Tax rate</t>
        </is>
      </c>
      <c r="C115" s="8">
        <f>Drivers!$C$15</f>
        <v/>
      </c>
    </row>
    <row r="116">
      <c r="A116" t="inlineStr">
        <is>
          <t>Unlevered beta (industry default (config))</t>
        </is>
      </c>
      <c r="C116" s="14" t="n">
        <v>1</v>
      </c>
    </row>
    <row r="117">
      <c r="A117" t="inlineStr">
        <is>
          <t>Debt / equity (market)</t>
        </is>
      </c>
      <c r="C117" s="14" t="n">
        <v>0.1153938995668203</v>
      </c>
    </row>
    <row r="118">
      <c r="A118" t="inlineStr">
        <is>
          <t>Levered beta</t>
        </is>
      </c>
      <c r="C118" s="25">
        <f>$C$116*(1+(1-$C$115)*$C$117)</f>
        <v/>
      </c>
    </row>
    <row r="119">
      <c r="A119" t="inlineStr">
        <is>
          <t>Explicit company premium</t>
        </is>
      </c>
      <c r="C119" s="4" t="n">
        <v>0.0048</v>
      </c>
    </row>
    <row r="120">
      <c r="A120" t="inlineStr">
        <is>
          <t>Cost of equity</t>
        </is>
      </c>
      <c r="C120" s="10">
        <f>$C$112-$C$113+$C$118*$C$114+$C$119</f>
        <v/>
      </c>
    </row>
    <row r="121">
      <c r="A121" t="inlineStr">
        <is>
          <t>Pre-tax cost of debt</t>
        </is>
      </c>
      <c r="C121" s="10">
        <f>$C$112+Drivers!$C$14</f>
        <v/>
      </c>
    </row>
    <row r="122">
      <c r="A122" t="inlineStr">
        <is>
          <t>WACC</t>
        </is>
      </c>
      <c r="C122" s="10">
        <f>1/(1+$C$117)*$C$120+$C$117/(1+$C$117)*$C$121*(1-$C$115)</f>
        <v/>
      </c>
    </row>
    <row r="123">
      <c r="A123" t="inlineStr">
        <is>
          <t>Terminal growth (capped)</t>
        </is>
      </c>
      <c r="C123" s="4" t="n">
        <v>0.02</v>
      </c>
    </row>
    <row r="125">
      <c r="A125" s="1" t="inlineStr">
        <is>
          <t>DCF to end of life (no terminal value)</t>
        </is>
      </c>
    </row>
    <row r="126">
      <c r="A126" t="inlineStr">
        <is>
          <t>Share of year after balance-sheet date</t>
        </is>
      </c>
      <c r="H126" s="12" t="n">
        <v>0.251882</v>
      </c>
      <c r="I126" s="12" t="n">
        <v>0.996578</v>
      </c>
      <c r="J126" s="12" t="n">
        <v>0.999316</v>
      </c>
      <c r="K126" s="12" t="n">
        <v>0.996578</v>
      </c>
      <c r="L126" s="12" t="n">
        <v>0.996578</v>
      </c>
      <c r="M126" s="12" t="n">
        <v>0.996578</v>
      </c>
      <c r="N126" s="12" t="n">
        <v>0.999316</v>
      </c>
      <c r="O126" s="12" t="n">
        <v>0.996578</v>
      </c>
      <c r="P126" s="12" t="n">
        <v>0.996578</v>
      </c>
      <c r="Q126" s="12" t="n">
        <v>0.996578</v>
      </c>
      <c r="R126" s="12" t="n">
        <v>0.999316</v>
      </c>
      <c r="S126" s="12" t="n">
        <v>0.996578</v>
      </c>
      <c r="T126" s="12" t="n">
        <v>0.996578</v>
      </c>
      <c r="U126" s="12" t="n">
        <v>0.996578</v>
      </c>
      <c r="V126" s="12" t="n">
        <v>0.999316</v>
      </c>
      <c r="W126" s="12" t="n">
        <v>0.996578</v>
      </c>
      <c r="X126" s="12" t="n">
        <v>0.996578</v>
      </c>
      <c r="Y126" s="12" t="n">
        <v>0.996578</v>
      </c>
      <c r="Z126" s="12" t="n">
        <v>0.999316</v>
      </c>
      <c r="AA126" s="12" t="n">
        <v>0.996578</v>
      </c>
      <c r="AB126" s="12" t="n">
        <v>0.996578</v>
      </c>
      <c r="AC126" s="12" t="n">
        <v>0.996578</v>
      </c>
      <c r="AD126" s="12" t="n">
        <v>0.999316</v>
      </c>
      <c r="AE126" s="12" t="n">
        <v>0.996578</v>
      </c>
      <c r="AF126" s="12" t="n">
        <v>0.996578</v>
      </c>
    </row>
    <row r="127">
      <c r="A127" t="inlineStr">
        <is>
          <t>Discount time from valuation date (years)</t>
        </is>
      </c>
      <c r="H127" s="12" t="n">
        <v>0.041068</v>
      </c>
      <c r="I127" s="12" t="n">
        <v>0.668036</v>
      </c>
      <c r="J127" s="12" t="n">
        <v>1.667351</v>
      </c>
      <c r="K127" s="12" t="n">
        <v>2.669405</v>
      </c>
      <c r="L127" s="12" t="n">
        <v>3.66872</v>
      </c>
      <c r="M127" s="12" t="n">
        <v>4.668036</v>
      </c>
      <c r="N127" s="12" t="n">
        <v>5.667351</v>
      </c>
      <c r="O127" s="12" t="n">
        <v>6.669405</v>
      </c>
      <c r="P127" s="12" t="n">
        <v>7.66872</v>
      </c>
      <c r="Q127" s="12" t="n">
        <v>8.668036000000001</v>
      </c>
      <c r="R127" s="12" t="n">
        <v>9.667351</v>
      </c>
      <c r="S127" s="12" t="n">
        <v>10.669405</v>
      </c>
      <c r="T127" s="12" t="n">
        <v>11.66872</v>
      </c>
      <c r="U127" s="12" t="n">
        <v>12.668036</v>
      </c>
      <c r="V127" s="12" t="n">
        <v>13.667351</v>
      </c>
      <c r="W127" s="12" t="n">
        <v>14.669405</v>
      </c>
      <c r="X127" s="12" t="n">
        <v>15.66872</v>
      </c>
      <c r="Y127" s="12" t="n">
        <v>16.668036</v>
      </c>
      <c r="Z127" s="12" t="n">
        <v>17.667351</v>
      </c>
      <c r="AA127" s="12" t="n">
        <v>18.669405</v>
      </c>
      <c r="AB127" s="12" t="n">
        <v>19.66872</v>
      </c>
      <c r="AC127" s="12" t="n">
        <v>20.668036</v>
      </c>
      <c r="AD127" s="12" t="n">
        <v>21.667351</v>
      </c>
      <c r="AE127" s="12" t="n">
        <v>22.669405</v>
      </c>
      <c r="AF127" s="12" t="n">
        <v>23.66872</v>
      </c>
    </row>
    <row r="128">
      <c r="A128" t="inlineStr">
        <is>
          <t>Discount factor</t>
        </is>
      </c>
      <c r="H128">
        <f>1/(1+$C$122)^H127</f>
        <v/>
      </c>
      <c r="I128">
        <f>1/(1+$C$122)^I127</f>
        <v/>
      </c>
      <c r="J128">
        <f>1/(1+$C$122)^J127</f>
        <v/>
      </c>
      <c r="K128">
        <f>1/(1+$C$122)^K127</f>
        <v/>
      </c>
      <c r="L128">
        <f>1/(1+$C$122)^L127</f>
        <v/>
      </c>
      <c r="M128">
        <f>1/(1+$C$122)^M127</f>
        <v/>
      </c>
      <c r="N128">
        <f>1/(1+$C$122)^N127</f>
        <v/>
      </c>
      <c r="O128">
        <f>1/(1+$C$122)^O127</f>
        <v/>
      </c>
      <c r="P128">
        <f>1/(1+$C$122)^P127</f>
        <v/>
      </c>
      <c r="Q128">
        <f>1/(1+$C$122)^Q127</f>
        <v/>
      </c>
      <c r="R128">
        <f>1/(1+$C$122)^R127</f>
        <v/>
      </c>
      <c r="S128">
        <f>1/(1+$C$122)^S127</f>
        <v/>
      </c>
      <c r="T128">
        <f>1/(1+$C$122)^T127</f>
        <v/>
      </c>
      <c r="U128">
        <f>1/(1+$C$122)^U127</f>
        <v/>
      </c>
      <c r="V128">
        <f>1/(1+$C$122)^V127</f>
        <v/>
      </c>
      <c r="W128">
        <f>1/(1+$C$122)^W127</f>
        <v/>
      </c>
      <c r="X128">
        <f>1/(1+$C$122)^X127</f>
        <v/>
      </c>
      <c r="Y128">
        <f>1/(1+$C$122)^Y127</f>
        <v/>
      </c>
      <c r="Z128">
        <f>1/(1+$C$122)^Z127</f>
        <v/>
      </c>
      <c r="AA128">
        <f>1/(1+$C$122)^AA127</f>
        <v/>
      </c>
      <c r="AB128">
        <f>1/(1+$C$122)^AB127</f>
        <v/>
      </c>
      <c r="AC128">
        <f>1/(1+$C$122)^AC127</f>
        <v/>
      </c>
      <c r="AD128">
        <f>1/(1+$C$122)^AD127</f>
        <v/>
      </c>
      <c r="AE128">
        <f>1/(1+$C$122)^AE127</f>
        <v/>
      </c>
      <c r="AF128">
        <f>1/(1+$C$122)^AF127</f>
        <v/>
      </c>
    </row>
    <row r="129">
      <c r="A129" t="inlineStr">
        <is>
          <t>PV of FCFF</t>
        </is>
      </c>
      <c r="H129" s="26">
        <f>H76*H126*H128</f>
        <v/>
      </c>
      <c r="I129" s="26">
        <f>I76*I126*I128</f>
        <v/>
      </c>
      <c r="J129" s="26">
        <f>J76*J126*J128</f>
        <v/>
      </c>
      <c r="K129" s="26">
        <f>K76*K126*K128</f>
        <v/>
      </c>
      <c r="L129" s="26">
        <f>L76*L126*L128</f>
        <v/>
      </c>
      <c r="M129" s="26">
        <f>M76*M126*M128</f>
        <v/>
      </c>
      <c r="N129" s="26">
        <f>N76*N126*N128</f>
        <v/>
      </c>
      <c r="O129" s="26">
        <f>O76*O126*O128</f>
        <v/>
      </c>
      <c r="P129" s="26">
        <f>P76*P126*P128</f>
        <v/>
      </c>
      <c r="Q129" s="26">
        <f>Q76*Q126*Q128</f>
        <v/>
      </c>
      <c r="R129" s="26">
        <f>R76*R126*R128</f>
        <v/>
      </c>
      <c r="S129" s="26">
        <f>S76*S126*S128</f>
        <v/>
      </c>
      <c r="T129" s="26">
        <f>T76*T126*T128</f>
        <v/>
      </c>
      <c r="U129" s="26">
        <f>U76*U126*U128</f>
        <v/>
      </c>
      <c r="V129" s="26">
        <f>V76*V126*V128</f>
        <v/>
      </c>
      <c r="W129" s="26">
        <f>W76*W126*W128</f>
        <v/>
      </c>
      <c r="X129" s="26">
        <f>X76*X126*X128</f>
        <v/>
      </c>
      <c r="Y129" s="26">
        <f>Y76*Y126*Y128</f>
        <v/>
      </c>
      <c r="Z129" s="26">
        <f>Z76*Z126*Z128</f>
        <v/>
      </c>
      <c r="AA129" s="26">
        <f>AA76*AA126*AA128</f>
        <v/>
      </c>
      <c r="AB129" s="26">
        <f>AB76*AB126*AB128</f>
        <v/>
      </c>
      <c r="AC129" s="26">
        <f>AC76*AC126*AC128</f>
        <v/>
      </c>
      <c r="AD129" s="26">
        <f>AD76*AD126*AD128</f>
        <v/>
      </c>
      <c r="AE129" s="26">
        <f>AE76*AE126*AE128</f>
        <v/>
      </c>
      <c r="AF129" s="26">
        <f>AF76*AF126*AF128</f>
        <v/>
      </c>
    </row>
    <row r="130">
      <c r="A130" t="inlineStr">
        <is>
          <t>Cumulative PV (production stops at its peak)</t>
        </is>
      </c>
      <c r="H130" s="26">
        <f>H129</f>
        <v/>
      </c>
      <c r="I130" s="26">
        <f>H130+I129</f>
        <v/>
      </c>
      <c r="J130" s="26">
        <f>I130+J129</f>
        <v/>
      </c>
      <c r="K130" s="26">
        <f>J130+K129</f>
        <v/>
      </c>
      <c r="L130" s="26">
        <f>K130+L129</f>
        <v/>
      </c>
      <c r="M130" s="26">
        <f>L130+M129</f>
        <v/>
      </c>
      <c r="N130" s="26">
        <f>M130+N129</f>
        <v/>
      </c>
      <c r="O130" s="26">
        <f>N130+O129</f>
        <v/>
      </c>
      <c r="P130" s="26">
        <f>O130+P129</f>
        <v/>
      </c>
      <c r="Q130" s="26">
        <f>P130+Q129</f>
        <v/>
      </c>
      <c r="R130" s="26">
        <f>Q130+R129</f>
        <v/>
      </c>
      <c r="S130" s="26">
        <f>R130+S129</f>
        <v/>
      </c>
      <c r="T130" s="26">
        <f>S130+T129</f>
        <v/>
      </c>
      <c r="U130" s="26">
        <f>T130+U129</f>
        <v/>
      </c>
      <c r="V130" s="26">
        <f>U130+V129</f>
        <v/>
      </c>
      <c r="W130" s="26">
        <f>V130+W129</f>
        <v/>
      </c>
      <c r="X130" s="26">
        <f>W130+X129</f>
        <v/>
      </c>
      <c r="Y130" s="26">
        <f>X130+Y129</f>
        <v/>
      </c>
      <c r="Z130" s="26">
        <f>Y130+Z129</f>
        <v/>
      </c>
      <c r="AA130" s="26">
        <f>Z130+AA129</f>
        <v/>
      </c>
      <c r="AB130" s="26">
        <f>AA130+AB129</f>
        <v/>
      </c>
      <c r="AC130" s="26">
        <f>AB130+AC129</f>
        <v/>
      </c>
      <c r="AD130" s="26">
        <f>AC130+AD129</f>
        <v/>
      </c>
      <c r="AE130" s="26">
        <f>AD130+AE129</f>
        <v/>
      </c>
      <c r="AF130" s="26">
        <f>AE130+AF129</f>
        <v/>
      </c>
    </row>
    <row r="131">
      <c r="A131" t="inlineStr">
        <is>
          <t>Best cumulative PV (never below zero)</t>
        </is>
      </c>
      <c r="C131" s="26">
        <f>MAX(0,MAX(H130:AF130))</f>
        <v/>
      </c>
    </row>
    <row r="132">
      <c r="A132" t="inlineStr">
        <is>
          <t>No terminal value (end of life)</t>
        </is>
      </c>
      <c r="C132" s="26" t="n">
        <v>0</v>
      </c>
    </row>
    <row r="133">
      <c r="A133" t="inlineStr">
        <is>
          <t>Enterprise value</t>
        </is>
      </c>
      <c r="C133" s="26">
        <f>$C$131+$C$132</f>
        <v/>
      </c>
    </row>
    <row r="134">
      <c r="A134" t="inlineStr">
        <is>
          <t>Equity value</t>
        </is>
      </c>
      <c r="C134" s="26">
        <f>$C$133-($C$105-$C$106)-$C$107+$C$108+$C$109</f>
        <v/>
      </c>
    </row>
    <row r="135">
      <c r="A135" t="inlineStr">
        <is>
          <t>Value per share (IDR) — DCF to end of life (no terminal value)</t>
        </is>
      </c>
      <c r="C135" s="27">
        <f>MAX(0,$C$134/$C$103*$C$111*$C$104)</f>
        <v/>
      </c>
    </row>
    <row r="137">
      <c r="A137" s="1" t="inlineStr">
        <is>
          <t>TARGET</t>
        </is>
      </c>
    </row>
    <row r="138">
      <c r="A138" t="inlineStr">
        <is>
          <t>Weight: DCF to end of life (no terminal value)</t>
        </is>
      </c>
      <c r="C138" s="4" t="n">
        <v>1</v>
      </c>
    </row>
    <row r="139">
      <c r="A139" t="inlineStr">
        <is>
          <t>Value today (weighted)</t>
        </is>
      </c>
      <c r="C139" s="27">
        <f>$C$135*$C$138</f>
        <v/>
      </c>
    </row>
    <row r="140">
      <c r="A140" t="inlineStr">
        <is>
          <t>DPS expected in next 12 months (IDR)</t>
        </is>
      </c>
      <c r="C140" s="20" t="n">
        <v>0</v>
      </c>
    </row>
    <row r="141">
      <c r="A141" t="inlineStr">
        <is>
          <t>Base-case 12-month value</t>
        </is>
      </c>
      <c r="C141" s="27">
        <f>MAX(0,$C$139*(1+$C$120)-$C$140)</f>
        <v/>
      </c>
    </row>
    <row r="142">
      <c r="A142" t="inlineStr">
        <is>
          <t>Bear probability</t>
        </is>
      </c>
      <c r="C142" s="4" t="n">
        <v>0.25</v>
      </c>
    </row>
    <row r="143">
      <c r="A143" t="inlineStr">
        <is>
          <t>Bear 12-month value (engine)</t>
        </is>
      </c>
      <c r="C143" s="20" t="n">
        <v>76.08837579846622</v>
      </c>
    </row>
    <row r="144">
      <c r="A144" t="inlineStr">
        <is>
          <t>Base probability</t>
        </is>
      </c>
      <c r="C144" s="4" t="n">
        <v>0.5</v>
      </c>
    </row>
    <row r="145">
      <c r="A145" t="inlineStr">
        <is>
          <t>Bull probability</t>
        </is>
      </c>
      <c r="C145" s="4" t="n">
        <v>0.25</v>
      </c>
    </row>
    <row r="146">
      <c r="A146" t="inlineStr">
        <is>
          <t>Bull 12-month value (engine)</t>
        </is>
      </c>
      <c r="C146" s="20" t="n">
        <v>278.07940640876</v>
      </c>
    </row>
    <row r="147">
      <c r="A147" t="inlineStr">
        <is>
          <t>Probability-weighted 12-month value</t>
        </is>
      </c>
      <c r="C147" s="27">
        <f>$C$142*$C$143+$C$144*$C$141+$C$145*$C$146</f>
        <v/>
      </c>
    </row>
    <row r="148">
      <c r="A148" t="inlineStr">
        <is>
          <t>Liquidity discount (limits.yaml)</t>
        </is>
      </c>
      <c r="C148" s="4" t="n">
        <v>0</v>
      </c>
    </row>
    <row r="149">
      <c r="A149" t="inlineStr">
        <is>
          <t>Fundamental 12-month value (after liquidity discount)</t>
        </is>
      </c>
      <c r="C149" s="27">
        <f>$C$147*(1-$C$148)</f>
        <v/>
      </c>
    </row>
    <row r="150">
      <c r="A150" t="inlineStr">
        <is>
          <t>Konglo lens: price / fundamental value today (engine)</t>
        </is>
      </c>
      <c r="C150" s="22" t="n">
        <v>1.942948</v>
      </c>
    </row>
    <row r="151">
      <c r="A151" t="inlineStr">
        <is>
          <t>Regime bear: probability (konglo deck)</t>
        </is>
      </c>
      <c r="C151" s="4" t="n">
        <v>0.25</v>
      </c>
    </row>
    <row r="152">
      <c r="A152" t="inlineStr">
        <is>
          <t>Regime bear: share of the log gap closed in 12 months</t>
        </is>
      </c>
      <c r="C152" s="4" t="n">
        <v>0.7</v>
      </c>
    </row>
    <row r="153">
      <c r="A153" t="inlineStr">
        <is>
          <t>Regime base: probability (konglo deck)</t>
        </is>
      </c>
      <c r="C153" s="4" t="n">
        <v>0.5</v>
      </c>
    </row>
    <row r="154">
      <c r="A154" t="inlineStr">
        <is>
          <t>Regime base: share of the log gap closed in 12 months</t>
        </is>
      </c>
      <c r="C154" s="4" t="n">
        <v>0.3</v>
      </c>
    </row>
    <row r="155">
      <c r="A155" t="inlineStr">
        <is>
          <t>Regime bull: probability (konglo deck)</t>
        </is>
      </c>
      <c r="C155" s="4" t="n">
        <v>0.25</v>
      </c>
    </row>
    <row r="156">
      <c r="A156" t="inlineStr">
        <is>
          <t>Regime bull: share of the log gap closed in 12 months</t>
        </is>
      </c>
      <c r="C156" s="4" t="n">
        <v>-0.15</v>
      </c>
    </row>
    <row r="157">
      <c r="A157" t="inlineStr">
        <is>
          <t>Share of today's premium kept (probability-weighted)</t>
        </is>
      </c>
      <c r="C157" s="28">
        <f>$C$151*$C$150^(1-$C$152)+$C$153*$C$150^(1-$C$154)+$C$155*$C$150^(1-$C$156)</f>
        <v/>
      </c>
    </row>
    <row r="158">
      <c r="A158" t="inlineStr">
        <is>
          <t>TARGET PRICE (IDR) — konglo lens</t>
        </is>
      </c>
      <c r="C158" s="29">
        <f>$C$149*$C$157</f>
        <v/>
      </c>
    </row>
    <row r="159">
      <c r="A159" t="inlineStr">
        <is>
          <t>Expected 12-month total return</t>
        </is>
      </c>
      <c r="C159" s="30">
        <f>($C$158+$C$140)/$C$102-1</f>
        <v/>
      </c>
    </row>
    <row r="160">
      <c r="A160" t="inlineStr">
        <is>
          <t>Rating</t>
        </is>
      </c>
      <c r="C160" s="31">
        <f>IF($C$159&gt;=0.25,"BUY",IF($C$159&gt;=0.1,"ADD",IF($C$159&lt;=-0.25,"SELL",IF($C$159&lt;=-0.1,"REDUCE","HOLD"))))</f>
        <v/>
      </c>
    </row>
    <row r="162">
      <c r="A162" s="1" t="inlineStr">
        <is>
          <t>12-month value vs benchmark price and IDR/USD (engine values)</t>
        </is>
      </c>
    </row>
    <row r="163">
      <c r="A163" s="5" t="inlineStr">
        <is>
          <t>rows: IDR per USD (x deck) · columns: Benchmark price (x deck)</t>
        </is>
      </c>
      <c r="D163" s="1" t="n">
        <v>0.8</v>
      </c>
      <c r="E163" s="1" t="n">
        <v>0.9</v>
      </c>
      <c r="F163" s="1" t="n">
        <v>1</v>
      </c>
      <c r="G163" s="1" t="n">
        <v>1.1</v>
      </c>
      <c r="H163" s="1" t="n">
        <v>1.2</v>
      </c>
    </row>
    <row r="164">
      <c r="C164" s="1" t="n">
        <v>0.9</v>
      </c>
      <c r="D164" s="27" t="n">
        <v>99.45792</v>
      </c>
      <c r="E164" s="27" t="n">
        <v>132.215927</v>
      </c>
      <c r="F164" s="27" t="n">
        <v>164.973934</v>
      </c>
      <c r="G164" s="27" t="n">
        <v>197.731941</v>
      </c>
      <c r="H164" s="27" t="n">
        <v>230.489948</v>
      </c>
    </row>
    <row r="165">
      <c r="C165" s="1" t="n">
        <v>0.95</v>
      </c>
      <c r="D165" s="27" t="n">
        <v>105.065188</v>
      </c>
      <c r="E165" s="27" t="n">
        <v>139.66835</v>
      </c>
      <c r="F165" s="27" t="n">
        <v>174.271513</v>
      </c>
      <c r="G165" s="27" t="n">
        <v>208.874676</v>
      </c>
      <c r="H165" s="27" t="n">
        <v>243.477838</v>
      </c>
    </row>
    <row r="166">
      <c r="C166" s="1" t="n">
        <v>1</v>
      </c>
      <c r="D166" s="27" t="n">
        <v>110.680554</v>
      </c>
      <c r="E166" s="27" t="n">
        <v>147.13138</v>
      </c>
      <c r="F166" s="27" t="n">
        <v>183.582205</v>
      </c>
      <c r="G166" s="27" t="n">
        <v>220.03303</v>
      </c>
      <c r="H166" s="27" t="n">
        <v>256.483856</v>
      </c>
    </row>
    <row r="167">
      <c r="C167" s="1" t="n">
        <v>1.05</v>
      </c>
      <c r="D167" s="27" t="n">
        <v>116.303951</v>
      </c>
      <c r="E167" s="27" t="n">
        <v>154.604925</v>
      </c>
      <c r="F167" s="27" t="n">
        <v>192.905899</v>
      </c>
      <c r="G167" s="27" t="n">
        <v>231.206873</v>
      </c>
      <c r="H167" s="27" t="n">
        <v>269.507847</v>
      </c>
    </row>
    <row r="168">
      <c r="C168" s="1" t="n">
        <v>1.1</v>
      </c>
      <c r="D168" s="27" t="n">
        <v>121.935309</v>
      </c>
      <c r="E168" s="27" t="n">
        <v>162.088898</v>
      </c>
      <c r="F168" s="27" t="n">
        <v>202.242487</v>
      </c>
      <c r="G168" s="27" t="n">
        <v>242.396076</v>
      </c>
      <c r="H168" s="27" t="n">
        <v>282.549665</v>
      </c>
    </row>
    <row r="170">
      <c r="A170" s="1" t="inlineStr">
        <is>
          <t>12-month value vs volume and unit cost intensity (engine values)</t>
        </is>
      </c>
    </row>
    <row r="171">
      <c r="A171" s="5" t="inlineStr">
        <is>
          <t>rows: Volume (x plan) · columns: Cost intensity / strip ratio (x)</t>
        </is>
      </c>
      <c r="D171" s="1" t="n">
        <v>0.85</v>
      </c>
      <c r="E171" s="1" t="n">
        <v>0.925</v>
      </c>
      <c r="F171" s="1" t="n">
        <v>1</v>
      </c>
      <c r="G171" s="1" t="n">
        <v>1.075</v>
      </c>
      <c r="H171" s="1" t="n">
        <v>1.15</v>
      </c>
    </row>
    <row r="172">
      <c r="C172" s="1" t="n">
        <v>0.9</v>
      </c>
      <c r="D172" s="27" t="n">
        <v>210.873056</v>
      </c>
      <c r="E172" s="27" t="n">
        <v>205.380458</v>
      </c>
      <c r="F172" s="27" t="n">
        <v>199.88786</v>
      </c>
      <c r="G172" s="27" t="n">
        <v>194.395262</v>
      </c>
      <c r="H172" s="27" t="n">
        <v>188.902664</v>
      </c>
    </row>
    <row r="173">
      <c r="C173" s="1" t="n">
        <v>0.95</v>
      </c>
      <c r="D173" s="27" t="n">
        <v>220.360802</v>
      </c>
      <c r="E173" s="27" t="n">
        <v>214.663753</v>
      </c>
      <c r="F173" s="27" t="n">
        <v>208.966703</v>
      </c>
      <c r="G173" s="27" t="n">
        <v>203.269654</v>
      </c>
      <c r="H173" s="27" t="n">
        <v>197.572604</v>
      </c>
    </row>
    <row r="174">
      <c r="C174" s="1" t="n">
        <v>1</v>
      </c>
      <c r="D174" s="27" t="n">
        <v>229.135021</v>
      </c>
      <c r="E174" s="27" t="n">
        <v>223.243304</v>
      </c>
      <c r="F174" s="27" t="n">
        <v>217.351587</v>
      </c>
      <c r="G174" s="27" t="n">
        <v>211.45987</v>
      </c>
      <c r="H174" s="27" t="n">
        <v>205.568154</v>
      </c>
    </row>
    <row r="175">
      <c r="C175" s="1" t="n">
        <v>1.05</v>
      </c>
      <c r="D175" s="27" t="n">
        <v>237.50932</v>
      </c>
      <c r="E175" s="27" t="n">
        <v>231.432326</v>
      </c>
      <c r="F175" s="27" t="n">
        <v>225.355333</v>
      </c>
      <c r="G175" s="27" t="n">
        <v>219.278339</v>
      </c>
      <c r="H175" s="27" t="n">
        <v>213.201345</v>
      </c>
    </row>
    <row r="176">
      <c r="C176" s="1" t="n">
        <v>1.1</v>
      </c>
      <c r="D176" s="27" t="n">
        <v>245.510277</v>
      </c>
      <c r="E176" s="27" t="n">
        <v>239.256662</v>
      </c>
      <c r="F176" s="27" t="n">
        <v>233.003047</v>
      </c>
      <c r="G176" s="27" t="n">
        <v>226.749433</v>
      </c>
      <c r="H176" s="27" t="n">
        <v>220.495818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2026-10-31T11:43:22Z</dcterms:created>
  <dcterms:modified xsi:type="dcterms:W3CDTF">2026-10-31T11:43:22Z</dcterms:modified>
</cp:coreProperties>
</file>