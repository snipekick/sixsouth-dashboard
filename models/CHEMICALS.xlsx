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TP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#,##0;(#,##0);&quot;-&quot;"/>
    <numFmt numFmtId="168" formatCode="0.0&quot;x&quot;;(0.0&quot;x&quot;);&quot;-&quot;"/>
    <numFmt numFmtId="169" formatCode="#,##0.000;(#,##0.000);&quot;-&quot;"/>
    <numFmt numFmtId="170" formatCode="0.00;(0.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9" fontId="0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Chemicals, petrochemicals &amp; fertilisers industry model</t>
        </is>
      </c>
    </row>
    <row r="2">
      <c r="A2" s="2" t="inlineStr">
        <is>
          <t>Generated 2026-10-29T18:55:56+07:00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TPIA.JK — PT Chandra Asri Pacific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</row>
    <row r="4">
      <c r="A4" t="inlineStr">
        <is>
          <t>IDR per USD</t>
        </is>
      </c>
      <c r="B4" t="inlineStr">
        <is>
          <t>m.usd_idr</t>
        </is>
      </c>
      <c r="C4" t="inlineStr">
        <is>
          <t>IDR/USD · reviewed</t>
        </is>
      </c>
      <c r="D4" s="3" t="n">
        <v>14843.1773</v>
      </c>
      <c r="E4" s="3" t="n">
        <v>15228.8</v>
      </c>
      <c r="F4" s="3" t="n">
        <v>15846.2378</v>
      </c>
      <c r="G4" s="3" t="n">
        <v>16448.0929</v>
      </c>
      <c r="H4" s="3" t="n">
        <v>17570</v>
      </c>
      <c r="I4" s="3" t="n">
        <v>18350</v>
      </c>
      <c r="J4" s="3" t="n">
        <v>18600</v>
      </c>
      <c r="K4" s="3" t="n">
        <v>18850</v>
      </c>
      <c r="L4" s="3" t="n">
        <v>19093.13725490196</v>
      </c>
      <c r="M4" s="3" t="n">
        <v>19186.73106497501</v>
      </c>
      <c r="N4" s="3" t="n">
        <v>19280.78366823469</v>
      </c>
      <c r="O4" s="3" t="n">
        <v>19375.29731366722</v>
      </c>
      <c r="P4" s="3" t="n">
        <v>19470.27426128323</v>
      </c>
      <c r="Q4" s="3" t="n">
        <v>19565.71678217187</v>
      </c>
    </row>
    <row r="5">
      <c r="A5" t="inlineStr">
        <is>
          <t>Brent crude</t>
        </is>
      </c>
      <c r="B5" t="inlineStr">
        <is>
          <t>d.oil.brent</t>
        </is>
      </c>
      <c r="C5" t="inlineStr">
        <is>
          <t>USD/bbl · reviewed</t>
        </is>
      </c>
      <c r="D5" s="3" t="n">
        <v>98.9663</v>
      </c>
      <c r="E5" s="3" t="n">
        <v>82.1904</v>
      </c>
      <c r="F5" s="3" t="n">
        <v>79.82129999999999</v>
      </c>
      <c r="G5" s="3" t="n">
        <v>68.1015</v>
      </c>
      <c r="H5" s="3" t="n">
        <v>96</v>
      </c>
      <c r="I5" s="3" t="n">
        <v>84</v>
      </c>
      <c r="J5" s="3" t="n">
        <v>80</v>
      </c>
      <c r="K5" s="3" t="n">
        <v>78</v>
      </c>
      <c r="L5" s="3" t="n">
        <v>76.5</v>
      </c>
      <c r="M5" s="3" t="n">
        <v>78.03</v>
      </c>
      <c r="N5" s="3" t="n">
        <v>79.59060000000001</v>
      </c>
      <c r="O5" s="3" t="n">
        <v>81.182412</v>
      </c>
      <c r="P5" s="3" t="n">
        <v>82.80606024000001</v>
      </c>
      <c r="Q5" s="3" t="n">
        <v>84.46218144480001</v>
      </c>
    </row>
    <row r="7">
      <c r="A7" s="1" t="inlineStr">
        <is>
          <t>Cost-of-capital scalars (macro deck)</t>
        </is>
      </c>
    </row>
    <row r="8">
      <c r="A8" t="inlineStr">
        <is>
          <t>10-year Indonesian government bond yield (IDR)</t>
        </is>
      </c>
      <c r="B8" t="inlineStr">
        <is>
          <t>m.rf_idr</t>
        </is>
      </c>
      <c r="C8" s="4" t="n">
        <v>0.0745</v>
      </c>
      <c r="D8" s="5" t="inlineStr">
        <is>
          <t>investor.id — "Yield SUN 7,45%, Saatnya Borong atau Tunggu Lebih Tinggi?" (25 Okt 2026 20:58 WIB; deck source S3); corroborated by kalderanews S1 (10Y SUN 7.41%</t>
        </is>
      </c>
    </row>
    <row r="9">
      <c r="A9" t="inlineStr">
        <is>
          <t>10-year US Treasury yield</t>
        </is>
      </c>
      <c r="B9" t="inlineStr">
        <is>
          <t>m.rf_usd</t>
        </is>
      </c>
      <c r="C9" s="4" t="n">
        <v>0.05045</v>
      </c>
      <c r="D9" s="5" t="inlineStr">
        <is>
          <t>Yahoo Finance ^TNX (US 10-year Treasury yield)</t>
        </is>
      </c>
    </row>
    <row r="10">
      <c r="A10" t="inlineStr">
        <is>
          <t>Indonesia sovereign default spread (Damodaran)</t>
        </is>
      </c>
      <c r="B10" t="inlineStr">
        <is>
          <t>m.default_spread_id</t>
        </is>
      </c>
      <c r="C10" s="4" t="n">
        <v>0.0162</v>
      </c>
      <c r="D10" s="5" t="inlineStr">
        <is>
          <t>Damodaran country risk premiums (https://pages.stern.nyu.edu/~adamodar/New_Home_Page/datafile/ctryprem.html), page dated January 5, 2026, read 2026-10-29</t>
        </is>
      </c>
    </row>
    <row r="11">
      <c r="A11" t="inlineStr">
        <is>
          <t>Mature-market equity risk premium (Damodaran)</t>
        </is>
      </c>
      <c r="B11" t="inlineStr">
        <is>
          <t>m.erp_mature</t>
        </is>
      </c>
      <c r="C11" s="4" t="n">
        <v>0.0423</v>
      </c>
      <c r="D11" s="5" t="inlineStr">
        <is>
          <t>Damodaran country risk premiums (https://pages.stern.nyu.edu/~adamodar/New_Home_Page/datafile/ctryprem.html), page dated January 5, 2026, read 2026-10-29</t>
        </is>
      </c>
    </row>
    <row r="12">
      <c r="A12" t="inlineStr">
        <is>
          <t>Indonesia country risk premium (Damodaran)</t>
        </is>
      </c>
      <c r="B12" t="inlineStr">
        <is>
          <t>m.crp_id</t>
        </is>
      </c>
      <c r="C12" s="4" t="n">
        <v>0.0246</v>
      </c>
      <c r="D12" s="5" t="inlineStr">
        <is>
          <t>Damodaran country risk premiums (https://pages.stern.nyu.edu/~adamodar/New_Home_Page/datafile/ctryprem.html), page dated January 5, 2026, read 2026-10-29</t>
        </is>
      </c>
    </row>
    <row r="13">
      <c r="A13" t="inlineStr">
        <is>
          <t>House pre-tax corporate debt spread over the risk-free</t>
        </is>
      </c>
      <c r="B13" t="inlineStr">
        <is>
          <t>m.debt_spread_corp</t>
        </is>
      </c>
      <c r="C13" s="4" t="n">
        <v>0.02</v>
      </c>
      <c r="D13" s="5" t="inlineStr">
        <is>
          <t>SEED house assumption pending the macro desk: 200 bp over the risk-free rate for an average IDX corporate borrower</t>
        </is>
      </c>
    </row>
    <row r="14">
      <c r="A14" t="inlineStr">
        <is>
          <t>Indonesia statutory corporate income tax rate</t>
        </is>
      </c>
      <c r="B14" t="inlineStr">
        <is>
          <t>m.tax_rate_id</t>
        </is>
      </c>
      <c r="C14" s="4" t="n">
        <v>0.22</v>
      </c>
      <c r="D14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TPIA.JK</t>
        </is>
      </c>
      <c r="B2" t="inlineStr">
        <is>
          <t>PT Chandra Asri Pacific Tbk</t>
        </is>
      </c>
      <c r="C2" s="6">
        <f>'TPIA'!$C$136</f>
        <v/>
      </c>
      <c r="D2" s="7">
        <f>'TPIA'!$C$134</f>
        <v/>
      </c>
      <c r="E2" s="7">
        <f>'TPIA'!$C$77</f>
        <v/>
      </c>
      <c r="F2" s="8">
        <f>'TPIA'!$C$135</f>
        <v/>
      </c>
      <c r="G2" s="7">
        <f>'TPIA'!$C$115</f>
        <v/>
      </c>
      <c r="H2" s="9" t="n">
        <v>15.366066</v>
      </c>
      <c r="I2" s="9" t="n">
        <v>8.673427999999999</v>
      </c>
      <c r="J2" s="10" t="n">
        <v>0.006508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Chandra Asri Pacific Tbk (TPIA.JK) — Chemicals, petrochemicals &amp; fertilisers</t>
        </is>
      </c>
    </row>
    <row r="2">
      <c r="A2" s="5" t="inlineStr">
        <is>
          <t>Units: USD m; per-share in USD unless marked IDR. Model asof 2026-10-29 · data 2026-10-27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0.52</v>
      </c>
      <c r="I11" s="4" t="n">
        <v>0.03</v>
      </c>
      <c r="J11" s="4" t="n">
        <v>0.03</v>
      </c>
      <c r="K11" s="4" t="n">
        <v>0.03</v>
      </c>
      <c r="L11" s="4" t="n">
        <v>0.03</v>
      </c>
      <c r="M11" s="4" t="n">
        <v>0.03</v>
      </c>
      <c r="N11" s="4" t="n">
        <v>0.03</v>
      </c>
      <c r="O11" s="4" t="n">
        <v>0.03</v>
      </c>
      <c r="P11" s="4" t="n">
        <v>0.03</v>
      </c>
      <c r="Q11" s="4" t="n">
        <v>0.03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0.191</v>
      </c>
      <c r="I12" s="4" t="n">
        <v>0.191</v>
      </c>
      <c r="J12" s="4" t="n">
        <v>0.191</v>
      </c>
      <c r="K12" s="4" t="n">
        <v>0.191</v>
      </c>
      <c r="L12" s="4" t="n">
        <v>0.191</v>
      </c>
      <c r="M12" s="4" t="n">
        <v>0.191</v>
      </c>
      <c r="N12" s="4" t="n">
        <v>0.191</v>
      </c>
      <c r="O12" s="4" t="n">
        <v>0.191</v>
      </c>
      <c r="P12" s="4" t="n">
        <v>0.191</v>
      </c>
      <c r="Q12" s="4" t="n">
        <v>0.191</v>
      </c>
    </row>
    <row r="13">
      <c r="A13" t="inlineStr">
        <is>
          <t>Cost link 1: share of COGS exposed</t>
        </is>
      </c>
      <c r="B13" t="inlineStr">
        <is>
          <t>a.link1_share</t>
        </is>
      </c>
      <c r="C13" s="4" t="n">
        <v>0.6</v>
      </c>
    </row>
    <row r="14">
      <c r="A14" t="inlineStr">
        <is>
          <t>Cost link 1: pass-through to prices</t>
        </is>
      </c>
      <c r="B14" t="inlineStr">
        <is>
          <t>a.link1_pass</t>
        </is>
      </c>
      <c r="C14" s="4" t="n">
        <v>0.8</v>
      </c>
    </row>
    <row r="15">
      <c r="A15" t="inlineStr">
        <is>
          <t>SG&amp;A / revenue</t>
        </is>
      </c>
      <c r="B15" t="inlineStr">
        <is>
          <t>a.opex_pct</t>
        </is>
      </c>
      <c r="H15" s="4" t="n">
        <v>0.062</v>
      </c>
      <c r="I15" s="4" t="n">
        <v>0.062</v>
      </c>
      <c r="J15" s="4" t="n">
        <v>0.062</v>
      </c>
      <c r="K15" s="4" t="n">
        <v>0.062</v>
      </c>
      <c r="L15" s="4" t="n">
        <v>0.062</v>
      </c>
      <c r="M15" s="4" t="n">
        <v>0.062</v>
      </c>
      <c r="N15" s="4" t="n">
        <v>0.062</v>
      </c>
      <c r="O15" s="4" t="n">
        <v>0.062</v>
      </c>
      <c r="P15" s="4" t="n">
        <v>0.062</v>
      </c>
      <c r="Q15" s="4" t="n">
        <v>0.062</v>
      </c>
    </row>
    <row r="16">
      <c r="A16" t="inlineStr">
        <is>
          <t>D&amp;A / revenue</t>
        </is>
      </c>
      <c r="B16" t="inlineStr">
        <is>
          <t>a.da_pct</t>
        </is>
      </c>
      <c r="H16" s="4" t="n">
        <v>0.0307</v>
      </c>
      <c r="I16" s="4" t="n">
        <v>0.0307</v>
      </c>
      <c r="J16" s="4" t="n">
        <v>0.0307</v>
      </c>
      <c r="K16" s="4" t="n">
        <v>0.0307</v>
      </c>
      <c r="L16" s="4" t="n">
        <v>0.0307</v>
      </c>
      <c r="M16" s="4" t="n">
        <v>0.0307</v>
      </c>
      <c r="N16" s="4" t="n">
        <v>0.0307</v>
      </c>
      <c r="O16" s="4" t="n">
        <v>0.0307</v>
      </c>
      <c r="P16" s="4" t="n">
        <v>0.0307</v>
      </c>
      <c r="Q16" s="4" t="n">
        <v>0.0307</v>
      </c>
    </row>
    <row r="17">
      <c r="A17" t="inlineStr">
        <is>
          <t>Capex / revenue</t>
        </is>
      </c>
      <c r="B17" t="inlineStr">
        <is>
          <t>a.capex_pct</t>
        </is>
      </c>
      <c r="H17" s="4" t="n">
        <v>0.055</v>
      </c>
      <c r="I17" s="4" t="n">
        <v>0.055</v>
      </c>
      <c r="J17" s="4" t="n">
        <v>0.045</v>
      </c>
      <c r="K17" s="4" t="n">
        <v>0.04</v>
      </c>
      <c r="L17" s="4" t="n">
        <v>0.04</v>
      </c>
      <c r="M17" s="4" t="n">
        <v>0.04</v>
      </c>
      <c r="N17" s="4" t="n">
        <v>0.04</v>
      </c>
      <c r="O17" s="4" t="n">
        <v>0.04</v>
      </c>
      <c r="P17" s="4" t="n">
        <v>0.04</v>
      </c>
      <c r="Q17" s="4" t="n">
        <v>0.04</v>
      </c>
    </row>
    <row r="18">
      <c r="A18" t="inlineStr">
        <is>
          <t>Operating working capital / revenue</t>
        </is>
      </c>
      <c r="B18" t="inlineStr">
        <is>
          <t>a.nwc_pct</t>
        </is>
      </c>
      <c r="H18" s="4" t="n">
        <v>0.1</v>
      </c>
      <c r="I18" s="4" t="n">
        <v>0.09</v>
      </c>
      <c r="J18" s="4" t="n">
        <v>0.09</v>
      </c>
      <c r="K18" s="4" t="n">
        <v>0.09</v>
      </c>
      <c r="L18" s="4" t="n">
        <v>0.09</v>
      </c>
      <c r="M18" s="4" t="n">
        <v>0.09</v>
      </c>
      <c r="N18" s="4" t="n">
        <v>0.09</v>
      </c>
      <c r="O18" s="4" t="n">
        <v>0.09</v>
      </c>
      <c r="P18" s="4" t="n">
        <v>0.09</v>
      </c>
      <c r="Q18" s="4" t="n">
        <v>0.09</v>
      </c>
    </row>
    <row r="19">
      <c r="A19" t="inlineStr">
        <is>
          <t>Effective tax rate</t>
        </is>
      </c>
      <c r="B19" t="inlineStr">
        <is>
          <t>a.tax_rate</t>
        </is>
      </c>
      <c r="H19" s="4" t="n">
        <v>0.145</v>
      </c>
      <c r="I19" s="4" t="n">
        <v>0.16</v>
      </c>
      <c r="J19" s="4" t="n">
        <v>0.18</v>
      </c>
      <c r="K19" s="4" t="n">
        <v>0.2</v>
      </c>
      <c r="L19" s="4" t="n">
        <v>0.2</v>
      </c>
      <c r="M19" s="4" t="n">
        <v>0.2</v>
      </c>
      <c r="N19" s="4" t="n">
        <v>0.2</v>
      </c>
      <c r="O19" s="4" t="n">
        <v>0.2</v>
      </c>
      <c r="P19" s="4" t="n">
        <v>0.2</v>
      </c>
      <c r="Q19" s="4" t="n">
        <v>0.2</v>
      </c>
    </row>
    <row r="20">
      <c r="A20" t="inlineStr">
        <is>
          <t>Cost of debt (on opening debt)</t>
        </is>
      </c>
      <c r="B20" t="inlineStr">
        <is>
          <t>a.cost_of_debt</t>
        </is>
      </c>
      <c r="C20" s="4" t="n">
        <v>0.064</v>
      </c>
    </row>
    <row r="21">
      <c r="A21" t="inlineStr">
        <is>
          <t>Yield on opening cash</t>
        </is>
      </c>
      <c r="B21" t="inlineStr">
        <is>
          <t>a.cash_yield</t>
        </is>
      </c>
      <c r="C21" s="4" t="n">
        <v>0.042</v>
      </c>
    </row>
    <row r="22">
      <c r="A22" t="inlineStr">
        <is>
          <t>Net new borrowing</t>
        </is>
      </c>
      <c r="B22" t="inlineStr">
        <is>
          <t>a.net_borrowing</t>
        </is>
      </c>
      <c r="H22" s="13" t="n">
        <v>496.707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</row>
    <row r="23">
      <c r="A23" t="inlineStr">
        <is>
          <t>Other non-operating items</t>
        </is>
      </c>
      <c r="B23" t="inlineStr">
        <is>
          <t>a.other_nonop</t>
        </is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</row>
    <row r="24">
      <c r="A24" t="inlineStr">
        <is>
          <t>Minorities' share of net profit</t>
        </is>
      </c>
      <c r="B24" t="inlineStr">
        <is>
          <t>a.minority_pct</t>
        </is>
      </c>
      <c r="H24" s="4" t="n">
        <v>0.24</v>
      </c>
      <c r="I24" s="4" t="n">
        <v>0.24</v>
      </c>
      <c r="J24" s="4" t="n">
        <v>0.24</v>
      </c>
      <c r="K24" s="4" t="n">
        <v>0.24</v>
      </c>
      <c r="L24" s="4" t="n">
        <v>0.24</v>
      </c>
      <c r="M24" s="4" t="n">
        <v>0.24</v>
      </c>
      <c r="N24" s="4" t="n">
        <v>0.24</v>
      </c>
      <c r="O24" s="4" t="n">
        <v>0.24</v>
      </c>
      <c r="P24" s="4" t="n">
        <v>0.24</v>
      </c>
      <c r="Q24" s="4" t="n">
        <v>0.24</v>
      </c>
    </row>
    <row r="25">
      <c r="A25" t="inlineStr">
        <is>
          <t>Dividend payout</t>
        </is>
      </c>
      <c r="B25" t="inlineStr">
        <is>
          <t>a.payout</t>
        </is>
      </c>
      <c r="H25" s="4" t="n">
        <v>0.1</v>
      </c>
      <c r="I25" s="4" t="n">
        <v>0.1</v>
      </c>
      <c r="J25" s="4" t="n">
        <v>0.1</v>
      </c>
      <c r="K25" s="4" t="n">
        <v>0.1</v>
      </c>
      <c r="L25" s="4" t="n">
        <v>0.1</v>
      </c>
      <c r="M25" s="4" t="n">
        <v>0.1</v>
      </c>
      <c r="N25" s="4" t="n">
        <v>0.1</v>
      </c>
      <c r="O25" s="4" t="n">
        <v>0.1</v>
      </c>
      <c r="P25" s="4" t="n">
        <v>0.1</v>
      </c>
      <c r="Q25" s="4" t="n">
        <v>0.1</v>
      </c>
    </row>
    <row r="26">
      <c r="A26" t="inlineStr">
        <is>
          <t>Change in share count</t>
        </is>
      </c>
      <c r="B26" t="inlineStr">
        <is>
          <t>a.share_change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</row>
    <row r="27">
      <c r="A27" t="inlineStr">
        <is>
          <t>Terminal growth (DCF)</t>
        </is>
      </c>
      <c r="B27" t="inlineStr">
        <is>
          <t>a.terminal_growth</t>
        </is>
      </c>
      <c r="C27" s="4" t="n">
        <v>0.025</v>
      </c>
    </row>
    <row r="29">
      <c r="A29" s="1" t="inlineStr">
        <is>
          <t>MODEL</t>
        </is>
      </c>
    </row>
    <row r="30">
      <c r="A30" t="inlineStr">
        <is>
          <t>Revenue</t>
        </is>
      </c>
      <c r="B30" t="inlineStr">
        <is>
          <t>revenue</t>
        </is>
      </c>
      <c r="D30" s="13" t="n">
        <v>2384.591</v>
      </c>
      <c r="E30" s="13" t="n">
        <v>2159.932</v>
      </c>
      <c r="F30" s="13" t="n">
        <v>1785.364</v>
      </c>
      <c r="G30" s="13" t="n">
        <v>7000</v>
      </c>
      <c r="H30" s="14">
        <f>(G30*(1+H11))</f>
        <v/>
      </c>
      <c r="I30" s="14">
        <f>(H30*(1+I11))</f>
        <v/>
      </c>
      <c r="J30" s="14">
        <f>(I30*(1+J11))</f>
        <v/>
      </c>
      <c r="K30" s="14">
        <f>(J30*(1+K11))</f>
        <v/>
      </c>
      <c r="L30" s="14">
        <f>(K30*(1+L11))</f>
        <v/>
      </c>
      <c r="M30" s="14">
        <f>(L30*(1+M11))</f>
        <v/>
      </c>
      <c r="N30" s="14">
        <f>(M30*(1+N11))</f>
        <v/>
      </c>
      <c r="O30" s="14">
        <f>(N30*(1+O11))</f>
        <v/>
      </c>
      <c r="P30" s="14">
        <f>(O30*(1+P11))</f>
        <v/>
      </c>
      <c r="Q30" s="14">
        <f>(P30*(1+Q11))</f>
        <v/>
      </c>
    </row>
    <row r="31">
      <c r="A31" t="inlineStr">
        <is>
          <t>Cost of revenue</t>
        </is>
      </c>
      <c r="B31" t="inlineStr">
        <is>
          <t>cogs</t>
        </is>
      </c>
      <c r="D31" s="13" t="n">
        <v>2395.545</v>
      </c>
      <c r="E31" s="13" t="n">
        <v>2078.102</v>
      </c>
      <c r="F31" s="13" t="n">
        <v>1628.199</v>
      </c>
      <c r="G31" s="13" t="n">
        <v>7062.478</v>
      </c>
      <c r="H31" s="15">
        <f>((H30*(1-H12))*(1+(($C$13*(1-$C$14))*(IF(Drivers!$G$5=0,0,Drivers!$H$5/Drivers!$G$5)-1))))</f>
        <v/>
      </c>
      <c r="I31" s="15">
        <f>((I30*(1-I12))*(1+(($C$13*(1-$C$14))*(IF(Drivers!$G$5=0,0,Drivers!$I$5/Drivers!$G$5)-1))))</f>
        <v/>
      </c>
      <c r="J31" s="15">
        <f>((J30*(1-J12))*(1+(($C$13*(1-$C$14))*(IF(Drivers!$G$5=0,0,Drivers!$J$5/Drivers!$G$5)-1))))</f>
        <v/>
      </c>
      <c r="K31" s="15">
        <f>((K30*(1-K12))*(1+(($C$13*(1-$C$14))*(IF(Drivers!$G$5=0,0,Drivers!$K$5/Drivers!$G$5)-1))))</f>
        <v/>
      </c>
      <c r="L31" s="15">
        <f>((L30*(1-L12))*(1+(($C$13*(1-$C$14))*(IF(Drivers!$G$5=0,0,Drivers!$L$5/Drivers!$G$5)-1))))</f>
        <v/>
      </c>
      <c r="M31" s="15">
        <f>((M30*(1-M12))*(1+(($C$13*(1-$C$14))*(IF(Drivers!$G$5=0,0,Drivers!$M$5/Drivers!$G$5)-1))))</f>
        <v/>
      </c>
      <c r="N31" s="15">
        <f>((N30*(1-N12))*(1+(($C$13*(1-$C$14))*(IF(Drivers!$G$5=0,0,Drivers!$N$5/Drivers!$G$5)-1))))</f>
        <v/>
      </c>
      <c r="O31" s="15">
        <f>((O30*(1-O12))*(1+(($C$13*(1-$C$14))*(IF(Drivers!$G$5=0,0,Drivers!$O$5/Drivers!$G$5)-1))))</f>
        <v/>
      </c>
      <c r="P31" s="15">
        <f>((P30*(1-P12))*(1+(($C$13*(1-$C$14))*(IF(Drivers!$G$5=0,0,Drivers!$P$5/Drivers!$G$5)-1))))</f>
        <v/>
      </c>
      <c r="Q31" s="15">
        <f>((Q30*(1-Q12))*(1+(($C$13*(1-$C$14))*(IF(Drivers!$G$5=0,0,Drivers!$Q$5/Drivers!$G$5)-1))))</f>
        <v/>
      </c>
    </row>
    <row r="32">
      <c r="A32" t="inlineStr">
        <is>
          <t>Gross profit</t>
        </is>
      </c>
      <c r="B32" t="inlineStr">
        <is>
          <t>gross_profit</t>
        </is>
      </c>
      <c r="D32" s="13" t="n">
        <v>-10.954</v>
      </c>
      <c r="E32" s="13" t="n">
        <v>81.83</v>
      </c>
      <c r="F32" s="13" t="n">
        <v>157.165</v>
      </c>
      <c r="G32" s="13" t="n">
        <v>-42.471</v>
      </c>
      <c r="H32" s="14">
        <f>(H30-H31)</f>
        <v/>
      </c>
      <c r="I32" s="14">
        <f>(I30-I31)</f>
        <v/>
      </c>
      <c r="J32" s="14">
        <f>(J30-J31)</f>
        <v/>
      </c>
      <c r="K32" s="14">
        <f>(K30-K31)</f>
        <v/>
      </c>
      <c r="L32" s="14">
        <f>(L30-L31)</f>
        <v/>
      </c>
      <c r="M32" s="14">
        <f>(M30-M31)</f>
        <v/>
      </c>
      <c r="N32" s="14">
        <f>(N30-N31)</f>
        <v/>
      </c>
      <c r="O32" s="14">
        <f>(O30-O31)</f>
        <v/>
      </c>
      <c r="P32" s="14">
        <f>(P30-P31)</f>
        <v/>
      </c>
      <c r="Q32" s="14">
        <f>(Q30-Q31)</f>
        <v/>
      </c>
    </row>
    <row r="33">
      <c r="A33" t="inlineStr">
        <is>
          <t>SG&amp;A and other opex</t>
        </is>
      </c>
      <c r="B33" t="inlineStr">
        <is>
          <t>opex</t>
        </is>
      </c>
      <c r="D33" s="13" t="n">
        <v>105.266</v>
      </c>
      <c r="E33" s="13" t="n">
        <v>109.705</v>
      </c>
      <c r="F33" s="13" t="n">
        <v>213.897</v>
      </c>
      <c r="G33" s="13" t="n">
        <v>550.227</v>
      </c>
      <c r="H33" s="14">
        <f>(H30*H15)</f>
        <v/>
      </c>
      <c r="I33" s="14">
        <f>(I30*I15)</f>
        <v/>
      </c>
      <c r="J33" s="14">
        <f>(J30*J15)</f>
        <v/>
      </c>
      <c r="K33" s="14">
        <f>(K30*K15)</f>
        <v/>
      </c>
      <c r="L33" s="14">
        <f>(L30*L15)</f>
        <v/>
      </c>
      <c r="M33" s="14">
        <f>(M30*M15)</f>
        <v/>
      </c>
      <c r="N33" s="14">
        <f>(N30*N15)</f>
        <v/>
      </c>
      <c r="O33" s="14">
        <f>(O30*O15)</f>
        <v/>
      </c>
      <c r="P33" s="14">
        <f>(P30*P15)</f>
        <v/>
      </c>
      <c r="Q33" s="14">
        <f>(Q30*Q15)</f>
        <v/>
      </c>
    </row>
    <row r="34">
      <c r="A34" t="inlineStr">
        <is>
          <t>EBIT</t>
        </is>
      </c>
      <c r="B34" t="inlineStr">
        <is>
          <t>ebit</t>
        </is>
      </c>
      <c r="D34" s="13" t="n">
        <v>-116.22</v>
      </c>
      <c r="E34" s="13" t="n">
        <v>-27.875</v>
      </c>
      <c r="F34" s="13" t="n">
        <v>-56.732</v>
      </c>
      <c r="G34" s="13" t="n">
        <v>-592.698</v>
      </c>
      <c r="H34" s="14">
        <f>(H32-H33)</f>
        <v/>
      </c>
      <c r="I34" s="14">
        <f>(I32-I33)</f>
        <v/>
      </c>
      <c r="J34" s="14">
        <f>(J32-J33)</f>
        <v/>
      </c>
      <c r="K34" s="14">
        <f>(K32-K33)</f>
        <v/>
      </c>
      <c r="L34" s="14">
        <f>(L32-L33)</f>
        <v/>
      </c>
      <c r="M34" s="14">
        <f>(M32-M33)</f>
        <v/>
      </c>
      <c r="N34" s="14">
        <f>(N32-N33)</f>
        <v/>
      </c>
      <c r="O34" s="14">
        <f>(O32-O33)</f>
        <v/>
      </c>
      <c r="P34" s="14">
        <f>(P32-P33)</f>
        <v/>
      </c>
      <c r="Q34" s="14">
        <f>(Q32-Q33)</f>
        <v/>
      </c>
    </row>
    <row r="35">
      <c r="A35" t="inlineStr">
        <is>
          <t>Depreciation &amp; amortisation</t>
        </is>
      </c>
      <c r="B35" t="inlineStr">
        <is>
          <t>da</t>
        </is>
      </c>
      <c r="D35" s="13" t="n">
        <v>2.224</v>
      </c>
      <c r="E35" s="13" t="n">
        <v>2.888</v>
      </c>
      <c r="F35" s="13" t="n">
        <v>114.976</v>
      </c>
      <c r="G35" s="13" t="n">
        <v>203.474</v>
      </c>
      <c r="H35" s="14">
        <f>(H30*H16)</f>
        <v/>
      </c>
      <c r="I35" s="14">
        <f>(I30*I16)</f>
        <v/>
      </c>
      <c r="J35" s="14">
        <f>(J30*J16)</f>
        <v/>
      </c>
      <c r="K35" s="14">
        <f>(K30*K16)</f>
        <v/>
      </c>
      <c r="L35" s="14">
        <f>(L30*L16)</f>
        <v/>
      </c>
      <c r="M35" s="14">
        <f>(M30*M16)</f>
        <v/>
      </c>
      <c r="N35" s="14">
        <f>(N30*N16)</f>
        <v/>
      </c>
      <c r="O35" s="14">
        <f>(O30*O16)</f>
        <v/>
      </c>
      <c r="P35" s="14">
        <f>(P30*P16)</f>
        <v/>
      </c>
      <c r="Q35" s="14">
        <f>(Q30*Q16)</f>
        <v/>
      </c>
    </row>
    <row r="36">
      <c r="A36" t="inlineStr">
        <is>
          <t>EBITDA</t>
        </is>
      </c>
      <c r="B36" t="inlineStr">
        <is>
          <t>ebitda</t>
        </is>
      </c>
      <c r="D36" s="13" t="n">
        <v>-113.996</v>
      </c>
      <c r="E36" s="13" t="n">
        <v>-24.987</v>
      </c>
      <c r="F36" s="13" t="n">
        <v>58.244</v>
      </c>
      <c r="G36" s="13" t="n">
        <v>-389.224</v>
      </c>
      <c r="H36" s="14">
        <f>(H34+H35)</f>
        <v/>
      </c>
      <c r="I36" s="14">
        <f>(I34+I35)</f>
        <v/>
      </c>
      <c r="J36" s="14">
        <f>(J34+J35)</f>
        <v/>
      </c>
      <c r="K36" s="14">
        <f>(K34+K35)</f>
        <v/>
      </c>
      <c r="L36" s="14">
        <f>(L34+L35)</f>
        <v/>
      </c>
      <c r="M36" s="14">
        <f>(M34+M35)</f>
        <v/>
      </c>
      <c r="N36" s="14">
        <f>(N34+N35)</f>
        <v/>
      </c>
      <c r="O36" s="14">
        <f>(O34+O35)</f>
        <v/>
      </c>
      <c r="P36" s="14">
        <f>(P34+P35)</f>
        <v/>
      </c>
      <c r="Q36" s="14">
        <f>(Q34+Q35)</f>
        <v/>
      </c>
    </row>
    <row r="37">
      <c r="A37" t="inlineStr">
        <is>
          <t>Interest expense</t>
        </is>
      </c>
      <c r="B37" t="inlineStr">
        <is>
          <t>interest_expense</t>
        </is>
      </c>
      <c r="D37" s="13" t="n">
        <v>70.61199999999999</v>
      </c>
      <c r="E37" s="13" t="n">
        <v>115.633</v>
      </c>
      <c r="F37" s="13" t="n">
        <v>135.836</v>
      </c>
      <c r="G37" s="13" t="n">
        <v>238.4</v>
      </c>
      <c r="H37" s="14">
        <f>(G57*$C$20)</f>
        <v/>
      </c>
      <c r="I37" s="14">
        <f>(H57*$C$20)</f>
        <v/>
      </c>
      <c r="J37" s="14">
        <f>(I57*$C$20)</f>
        <v/>
      </c>
      <c r="K37" s="14">
        <f>(J57*$C$20)</f>
        <v/>
      </c>
      <c r="L37" s="14">
        <f>(K57*$C$20)</f>
        <v/>
      </c>
      <c r="M37" s="14">
        <f>(L57*$C$20)</f>
        <v/>
      </c>
      <c r="N37" s="14">
        <f>(M57*$C$20)</f>
        <v/>
      </c>
      <c r="O37" s="14">
        <f>(N57*$C$20)</f>
        <v/>
      </c>
      <c r="P37" s="14">
        <f>(O57*$C$20)</f>
        <v/>
      </c>
      <c r="Q37" s="14">
        <f>(P57*$C$20)</f>
        <v/>
      </c>
    </row>
    <row r="38">
      <c r="A38" t="inlineStr">
        <is>
          <t>Interest income</t>
        </is>
      </c>
      <c r="B38" t="inlineStr">
        <is>
          <t>interest_income</t>
        </is>
      </c>
      <c r="D38" s="13" t="n"/>
      <c r="E38" s="13" t="n">
        <v>75.508</v>
      </c>
      <c r="F38" s="13" t="n">
        <v>94.974</v>
      </c>
      <c r="G38" s="13" t="n">
        <v>122.376</v>
      </c>
      <c r="H38" s="14">
        <f>(G56*$C$21)</f>
        <v/>
      </c>
      <c r="I38" s="14">
        <f>(H56*$C$21)</f>
        <v/>
      </c>
      <c r="J38" s="14">
        <f>(I56*$C$21)</f>
        <v/>
      </c>
      <c r="K38" s="14">
        <f>(J56*$C$21)</f>
        <v/>
      </c>
      <c r="L38" s="14">
        <f>(K56*$C$21)</f>
        <v/>
      </c>
      <c r="M38" s="14">
        <f>(L56*$C$21)</f>
        <v/>
      </c>
      <c r="N38" s="14">
        <f>(M56*$C$21)</f>
        <v/>
      </c>
      <c r="O38" s="14">
        <f>(N56*$C$21)</f>
        <v/>
      </c>
      <c r="P38" s="14">
        <f>(O56*$C$21)</f>
        <v/>
      </c>
      <c r="Q38" s="14">
        <f>(P56*$C$21)</f>
        <v/>
      </c>
    </row>
    <row r="39">
      <c r="A39" t="inlineStr">
        <is>
          <t>Other non-operating</t>
        </is>
      </c>
      <c r="B39" t="inlineStr">
        <is>
          <t>other_nonop</t>
        </is>
      </c>
      <c r="D39" s="13" t="n"/>
      <c r="E39" s="13" t="n">
        <v>13.43599999999999</v>
      </c>
      <c r="F39" s="13" t="n">
        <v>6.655000000000015</v>
      </c>
      <c r="G39" s="13" t="n">
        <v>2002.931</v>
      </c>
      <c r="H39" s="14">
        <f>H23</f>
        <v/>
      </c>
      <c r="I39" s="14">
        <f>I23</f>
        <v/>
      </c>
      <c r="J39" s="14">
        <f>J23</f>
        <v/>
      </c>
      <c r="K39" s="14">
        <f>K23</f>
        <v/>
      </c>
      <c r="L39" s="14">
        <f>L23</f>
        <v/>
      </c>
      <c r="M39" s="14">
        <f>M23</f>
        <v/>
      </c>
      <c r="N39" s="14">
        <f>N23</f>
        <v/>
      </c>
      <c r="O39" s="14">
        <f>O23</f>
        <v/>
      </c>
      <c r="P39" s="14">
        <f>P23</f>
        <v/>
      </c>
      <c r="Q39" s="14">
        <f>Q23</f>
        <v/>
      </c>
    </row>
    <row r="40">
      <c r="A40" t="inlineStr">
        <is>
          <t>Profit before tax</t>
        </is>
      </c>
      <c r="B40" t="inlineStr">
        <is>
          <t>pbt</t>
        </is>
      </c>
      <c r="D40" s="13" t="n">
        <v>-176.475</v>
      </c>
      <c r="E40" s="13" t="n">
        <v>-54.564</v>
      </c>
      <c r="F40" s="13" t="n">
        <v>-90.93899999999999</v>
      </c>
      <c r="G40" s="13" t="n">
        <v>1294.209</v>
      </c>
      <c r="H40" s="14">
        <f>(((H34-H37)+H38)+H39)</f>
        <v/>
      </c>
      <c r="I40" s="14">
        <f>(((I34-I37)+I38)+I39)</f>
        <v/>
      </c>
      <c r="J40" s="14">
        <f>(((J34-J37)+J38)+J39)</f>
        <v/>
      </c>
      <c r="K40" s="14">
        <f>(((K34-K37)+K38)+K39)</f>
        <v/>
      </c>
      <c r="L40" s="14">
        <f>(((L34-L37)+L38)+L39)</f>
        <v/>
      </c>
      <c r="M40" s="14">
        <f>(((M34-M37)+M38)+M39)</f>
        <v/>
      </c>
      <c r="N40" s="14">
        <f>(((N34-N37)+N38)+N39)</f>
        <v/>
      </c>
      <c r="O40" s="14">
        <f>(((O34-O37)+O38)+O39)</f>
        <v/>
      </c>
      <c r="P40" s="14">
        <f>(((P34-P37)+P38)+P39)</f>
        <v/>
      </c>
      <c r="Q40" s="14">
        <f>(((Q34-Q37)+Q38)+Q39)</f>
        <v/>
      </c>
    </row>
    <row r="41">
      <c r="A41" t="inlineStr">
        <is>
          <t>Tax</t>
        </is>
      </c>
      <c r="B41" t="inlineStr">
        <is>
          <t>tax</t>
        </is>
      </c>
      <c r="D41" s="13" t="n">
        <v>-27.076</v>
      </c>
      <c r="E41" s="13" t="n">
        <v>-23.017</v>
      </c>
      <c r="F41" s="13" t="n">
        <v>-34.429</v>
      </c>
      <c r="G41" s="13" t="n">
        <v>-153.777</v>
      </c>
      <c r="H41" s="14">
        <f>(MAX(H40,0)*H19)</f>
        <v/>
      </c>
      <c r="I41" s="14">
        <f>(MAX(I40,0)*I19)</f>
        <v/>
      </c>
      <c r="J41" s="14">
        <f>(MAX(J40,0)*J19)</f>
        <v/>
      </c>
      <c r="K41" s="14">
        <f>(MAX(K40,0)*K19)</f>
        <v/>
      </c>
      <c r="L41" s="14">
        <f>(MAX(L40,0)*L19)</f>
        <v/>
      </c>
      <c r="M41" s="14">
        <f>(MAX(M40,0)*M19)</f>
        <v/>
      </c>
      <c r="N41" s="14">
        <f>(MAX(N40,0)*N19)</f>
        <v/>
      </c>
      <c r="O41" s="14">
        <f>(MAX(O40,0)*O19)</f>
        <v/>
      </c>
      <c r="P41" s="14">
        <f>(MAX(P40,0)*P19)</f>
        <v/>
      </c>
      <c r="Q41" s="14">
        <f>(MAX(Q40,0)*Q19)</f>
        <v/>
      </c>
    </row>
    <row r="42">
      <c r="A42" t="inlineStr">
        <is>
          <t>Net profit (incl. minorities)</t>
        </is>
      </c>
      <c r="B42" t="inlineStr">
        <is>
          <t>np</t>
        </is>
      </c>
      <c r="D42" s="13" t="n">
        <v>-149.399</v>
      </c>
      <c r="E42" s="13" t="n">
        <v>-31.547</v>
      </c>
      <c r="F42" s="13" t="n">
        <v>-56.51</v>
      </c>
      <c r="G42" s="13" t="n">
        <v>1447.986</v>
      </c>
      <c r="H42" s="14">
        <f>(H40-H41)</f>
        <v/>
      </c>
      <c r="I42" s="14">
        <f>(I40-I41)</f>
        <v/>
      </c>
      <c r="J42" s="14">
        <f>(J40-J41)</f>
        <v/>
      </c>
      <c r="K42" s="14">
        <f>(K40-K41)</f>
        <v/>
      </c>
      <c r="L42" s="14">
        <f>(L40-L41)</f>
        <v/>
      </c>
      <c r="M42" s="14">
        <f>(M40-M41)</f>
        <v/>
      </c>
      <c r="N42" s="14">
        <f>(N40-N41)</f>
        <v/>
      </c>
      <c r="O42" s="14">
        <f>(O40-O41)</f>
        <v/>
      </c>
      <c r="P42" s="14">
        <f>(P40-P41)</f>
        <v/>
      </c>
      <c r="Q42" s="14">
        <f>(Q40-Q41)</f>
        <v/>
      </c>
    </row>
    <row r="43">
      <c r="A43" t="inlineStr">
        <is>
          <t>Minority interests</t>
        </is>
      </c>
      <c r="B43" t="inlineStr">
        <is>
          <t>minority</t>
        </is>
      </c>
      <c r="D43" s="13" t="n">
        <v>0.13900000000001</v>
      </c>
      <c r="E43" s="13" t="n">
        <v>2.029</v>
      </c>
      <c r="F43" s="13" t="n">
        <v>12.1</v>
      </c>
      <c r="G43" s="13" t="n">
        <v>357.8950000000002</v>
      </c>
      <c r="H43" s="14">
        <f>(H42*H24)</f>
        <v/>
      </c>
      <c r="I43" s="14">
        <f>(I42*I24)</f>
        <v/>
      </c>
      <c r="J43" s="14">
        <f>(J42*J24)</f>
        <v/>
      </c>
      <c r="K43" s="14">
        <f>(K42*K24)</f>
        <v/>
      </c>
      <c r="L43" s="14">
        <f>(L42*L24)</f>
        <v/>
      </c>
      <c r="M43" s="14">
        <f>(M42*M24)</f>
        <v/>
      </c>
      <c r="N43" s="14">
        <f>(N42*N24)</f>
        <v/>
      </c>
      <c r="O43" s="14">
        <f>(O42*O24)</f>
        <v/>
      </c>
      <c r="P43" s="14">
        <f>(P42*P24)</f>
        <v/>
      </c>
      <c r="Q43" s="14">
        <f>(Q42*Q24)</f>
        <v/>
      </c>
    </row>
    <row r="44">
      <c r="A44" t="inlineStr">
        <is>
          <t>Net profit to parent</t>
        </is>
      </c>
      <c r="B44" t="inlineStr">
        <is>
          <t>np_parent</t>
        </is>
      </c>
      <c r="D44" s="13" t="n">
        <v>-149.538</v>
      </c>
      <c r="E44" s="13" t="n">
        <v>-33.576</v>
      </c>
      <c r="F44" s="13" t="n">
        <v>-68.61</v>
      </c>
      <c r="G44" s="13" t="n">
        <v>1090.091</v>
      </c>
      <c r="H44" s="14">
        <f>(H42-H43)</f>
        <v/>
      </c>
      <c r="I44" s="14">
        <f>(I42-I43)</f>
        <v/>
      </c>
      <c r="J44" s="14">
        <f>(J42-J43)</f>
        <v/>
      </c>
      <c r="K44" s="14">
        <f>(K42-K43)</f>
        <v/>
      </c>
      <c r="L44" s="14">
        <f>(L42-L43)</f>
        <v/>
      </c>
      <c r="M44" s="14">
        <f>(M42-M43)</f>
        <v/>
      </c>
      <c r="N44" s="14">
        <f>(N42-N43)</f>
        <v/>
      </c>
      <c r="O44" s="14">
        <f>(O42-O43)</f>
        <v/>
      </c>
      <c r="P44" s="14">
        <f>(P42-P43)</f>
        <v/>
      </c>
      <c r="Q44" s="14">
        <f>(Q42-Q43)</f>
        <v/>
      </c>
    </row>
    <row r="45">
      <c r="A45" t="inlineStr">
        <is>
          <t>Shares outstanding (m)</t>
        </is>
      </c>
      <c r="B45" t="inlineStr">
        <is>
          <t>shares</t>
        </is>
      </c>
      <c r="D45" s="13" t="n">
        <v>86511.545092</v>
      </c>
      <c r="E45" s="13" t="n">
        <v>86511.545092</v>
      </c>
      <c r="F45" s="13" t="n">
        <v>86511.545092</v>
      </c>
      <c r="G45" s="13" t="n">
        <v>86503.906092</v>
      </c>
      <c r="H45" s="14">
        <f>(G45*(1+H26))</f>
        <v/>
      </c>
      <c r="I45" s="14">
        <f>(H45*(1+I26))</f>
        <v/>
      </c>
      <c r="J45" s="14">
        <f>(I45*(1+J26))</f>
        <v/>
      </c>
      <c r="K45" s="14">
        <f>(J45*(1+K26))</f>
        <v/>
      </c>
      <c r="L45" s="14">
        <f>(K45*(1+L26))</f>
        <v/>
      </c>
      <c r="M45" s="14">
        <f>(L45*(1+M26))</f>
        <v/>
      </c>
      <c r="N45" s="14">
        <f>(M45*(1+N26))</f>
        <v/>
      </c>
      <c r="O45" s="14">
        <f>(N45*(1+O26))</f>
        <v/>
      </c>
      <c r="P45" s="14">
        <f>(O45*(1+P26))</f>
        <v/>
      </c>
      <c r="Q45" s="14">
        <f>(P45*(1+Q26))</f>
        <v/>
      </c>
    </row>
    <row r="46">
      <c r="A46" t="inlineStr">
        <is>
          <t>EPS</t>
        </is>
      </c>
      <c r="B46" t="inlineStr">
        <is>
          <t>eps</t>
        </is>
      </c>
      <c r="D46" s="16" t="n">
        <v>-0.001728532299833219</v>
      </c>
      <c r="E46" s="16" t="n">
        <v>-0.0003881100489454197</v>
      </c>
      <c r="F46" s="16" t="n">
        <v>-0.0007930733398303921</v>
      </c>
      <c r="G46" s="16" t="n">
        <v>0.01260163903859612</v>
      </c>
      <c r="H46" s="17">
        <f>(IF(H45=0,0,H44/H45)*$C$7)</f>
        <v/>
      </c>
      <c r="I46" s="17">
        <f>(IF(I45=0,0,I44/I45)*$C$7)</f>
        <v/>
      </c>
      <c r="J46" s="17">
        <f>(IF(J45=0,0,J44/J45)*$C$7)</f>
        <v/>
      </c>
      <c r="K46" s="17">
        <f>(IF(K45=0,0,K44/K45)*$C$7)</f>
        <v/>
      </c>
      <c r="L46" s="17">
        <f>(IF(L45=0,0,L44/L45)*$C$7)</f>
        <v/>
      </c>
      <c r="M46" s="17">
        <f>(IF(M45=0,0,M44/M45)*$C$7)</f>
        <v/>
      </c>
      <c r="N46" s="17">
        <f>(IF(N45=0,0,N44/N45)*$C$7)</f>
        <v/>
      </c>
      <c r="O46" s="17">
        <f>(IF(O45=0,0,O44/O45)*$C$7)</f>
        <v/>
      </c>
      <c r="P46" s="17">
        <f>(IF(P45=0,0,P44/P45)*$C$7)</f>
        <v/>
      </c>
      <c r="Q46" s="17">
        <f>(IF(Q45=0,0,Q44/Q45)*$C$7)</f>
        <v/>
      </c>
    </row>
    <row r="47">
      <c r="A47" t="inlineStr">
        <is>
          <t>DPS (declared on the year)</t>
        </is>
      </c>
      <c r="B47" t="inlineStr">
        <is>
          <t>dps</t>
        </is>
      </c>
      <c r="D47" s="16" t="n">
        <v>0.0003428626744108419</v>
      </c>
      <c r="E47" s="16" t="n">
        <v>0.000343628296771013</v>
      </c>
      <c r="F47" s="16" t="n">
        <v>0.0005817803705653102</v>
      </c>
      <c r="G47" s="16" t="n">
        <v>0.0003408963852716659</v>
      </c>
      <c r="H47" s="17">
        <f>(MAX(H46,0)*H25)</f>
        <v/>
      </c>
      <c r="I47" s="17">
        <f>(MAX(I46,0)*I25)</f>
        <v/>
      </c>
      <c r="J47" s="17">
        <f>(MAX(J46,0)*J25)</f>
        <v/>
      </c>
      <c r="K47" s="17">
        <f>(MAX(K46,0)*K25)</f>
        <v/>
      </c>
      <c r="L47" s="17">
        <f>(MAX(L46,0)*L25)</f>
        <v/>
      </c>
      <c r="M47" s="17">
        <f>(MAX(M46,0)*M25)</f>
        <v/>
      </c>
      <c r="N47" s="17">
        <f>(MAX(N46,0)*N25)</f>
        <v/>
      </c>
      <c r="O47" s="17">
        <f>(MAX(O46,0)*O25)</f>
        <v/>
      </c>
      <c r="P47" s="17">
        <f>(MAX(P46,0)*P25)</f>
        <v/>
      </c>
      <c r="Q47" s="17">
        <f>(MAX(Q46,0)*Q25)</f>
        <v/>
      </c>
    </row>
    <row r="48">
      <c r="A48" t="inlineStr">
        <is>
          <t>Dividends paid</t>
        </is>
      </c>
      <c r="B48" t="inlineStr">
        <is>
          <t>dividends_paid</t>
        </is>
      </c>
      <c r="D48" s="13" t="n">
        <v>11</v>
      </c>
      <c r="E48" s="13" t="n">
        <v>30</v>
      </c>
      <c r="F48" s="13" t="n">
        <v>30</v>
      </c>
      <c r="G48" s="13" t="n">
        <v>50</v>
      </c>
      <c r="H48" s="14">
        <f>IF($C$7=0,0,(G47*G45)/$C$7)</f>
        <v/>
      </c>
      <c r="I48" s="14">
        <f>IF($C$7=0,0,(H47*H45)/$C$7)</f>
        <v/>
      </c>
      <c r="J48" s="14">
        <f>IF($C$7=0,0,(I47*I45)/$C$7)</f>
        <v/>
      </c>
      <c r="K48" s="14">
        <f>IF($C$7=0,0,(J47*J45)/$C$7)</f>
        <v/>
      </c>
      <c r="L48" s="14">
        <f>IF($C$7=0,0,(K47*K45)/$C$7)</f>
        <v/>
      </c>
      <c r="M48" s="14">
        <f>IF($C$7=0,0,(L47*L45)/$C$7)</f>
        <v/>
      </c>
      <c r="N48" s="14">
        <f>IF($C$7=0,0,(M47*M45)/$C$7)</f>
        <v/>
      </c>
      <c r="O48" s="14">
        <f>IF($C$7=0,0,(N47*N45)/$C$7)</f>
        <v/>
      </c>
      <c r="P48" s="14">
        <f>IF($C$7=0,0,(O47*O45)/$C$7)</f>
        <v/>
      </c>
      <c r="Q48" s="14">
        <f>IF($C$7=0,0,(P47*P45)/$C$7)</f>
        <v/>
      </c>
    </row>
    <row r="49">
      <c r="A49" t="inlineStr">
        <is>
          <t>Capital expenditure</t>
        </is>
      </c>
      <c r="B49" t="inlineStr">
        <is>
          <t>capex</t>
        </is>
      </c>
      <c r="D49" s="13" t="n">
        <v>114.254</v>
      </c>
      <c r="E49" s="13" t="n">
        <v>96.30500000000001</v>
      </c>
      <c r="F49" s="13" t="n">
        <v>405.055</v>
      </c>
      <c r="G49" s="13" t="n">
        <v>736.4160000000001</v>
      </c>
      <c r="H49" s="14">
        <f>(H30*H17)</f>
        <v/>
      </c>
      <c r="I49" s="14">
        <f>(I30*I17)</f>
        <v/>
      </c>
      <c r="J49" s="14">
        <f>(J30*J17)</f>
        <v/>
      </c>
      <c r="K49" s="14">
        <f>(K30*K17)</f>
        <v/>
      </c>
      <c r="L49" s="14">
        <f>(L30*L17)</f>
        <v/>
      </c>
      <c r="M49" s="14">
        <f>(M30*M17)</f>
        <v/>
      </c>
      <c r="N49" s="14">
        <f>(N30*N17)</f>
        <v/>
      </c>
      <c r="O49" s="14">
        <f>(O30*O17)</f>
        <v/>
      </c>
      <c r="P49" s="14">
        <f>(P30*P17)</f>
        <v/>
      </c>
      <c r="Q49" s="14">
        <f>(Q30*Q17)</f>
        <v/>
      </c>
    </row>
    <row r="50">
      <c r="A50" t="inlineStr">
        <is>
          <t>Change in working capital</t>
        </is>
      </c>
      <c r="B50" t="inlineStr">
        <is>
          <t>delta_nwc</t>
        </is>
      </c>
      <c r="D50" s="13" t="n"/>
      <c r="E50" s="13" t="n">
        <v>-48.46399999999971</v>
      </c>
      <c r="F50" s="13" t="n">
        <v>131.2930000000001</v>
      </c>
      <c r="G50" s="13" t="n">
        <v>396.1629999999996</v>
      </c>
      <c r="H50" s="14">
        <f>(H55-G55)</f>
        <v/>
      </c>
      <c r="I50" s="14">
        <f>(I55-H55)</f>
        <v/>
      </c>
      <c r="J50" s="14">
        <f>(J55-I55)</f>
        <v/>
      </c>
      <c r="K50" s="14">
        <f>(K55-J55)</f>
        <v/>
      </c>
      <c r="L50" s="14">
        <f>(L55-K55)</f>
        <v/>
      </c>
      <c r="M50" s="14">
        <f>(M55-L55)</f>
        <v/>
      </c>
      <c r="N50" s="14">
        <f>(N55-M55)</f>
        <v/>
      </c>
      <c r="O50" s="14">
        <f>(O55-N55)</f>
        <v/>
      </c>
      <c r="P50" s="14">
        <f>(P55-O55)</f>
        <v/>
      </c>
      <c r="Q50" s="14">
        <f>(Q55-P55)</f>
        <v/>
      </c>
    </row>
    <row r="51">
      <c r="A51" t="inlineStr">
        <is>
          <t>Free cash flow to firm</t>
        </is>
      </c>
      <c r="B51" t="inlineStr">
        <is>
          <t>fcff</t>
        </is>
      </c>
      <c r="D51" s="13" t="n"/>
      <c r="E51" s="13" t="n">
        <v>-61.06935189868807</v>
      </c>
      <c r="F51" s="13" t="n">
        <v>-456.6255800921498</v>
      </c>
      <c r="G51" s="13" t="n">
        <v>-1592.226958067051</v>
      </c>
      <c r="H51" s="14">
        <f>((((H34*(1-H19))+H35)-H49)-H50)</f>
        <v/>
      </c>
      <c r="I51" s="14">
        <f>((((I34*(1-I19))+I35)-I49)-I50)</f>
        <v/>
      </c>
      <c r="J51" s="14">
        <f>((((J34*(1-J19))+J35)-J49)-J50)</f>
        <v/>
      </c>
      <c r="K51" s="14">
        <f>((((K34*(1-K19))+K35)-K49)-K50)</f>
        <v/>
      </c>
      <c r="L51" s="14">
        <f>((((L34*(1-L19))+L35)-L49)-L50)</f>
        <v/>
      </c>
      <c r="M51" s="14">
        <f>((((M34*(1-M19))+M35)-M49)-M50)</f>
        <v/>
      </c>
      <c r="N51" s="14">
        <f>((((N34*(1-N19))+N35)-N49)-N50)</f>
        <v/>
      </c>
      <c r="O51" s="14">
        <f>((((O34*(1-O19))+O35)-O49)-O50)</f>
        <v/>
      </c>
      <c r="P51" s="14">
        <f>((((P34*(1-P19))+P35)-P49)-P50)</f>
        <v/>
      </c>
      <c r="Q51" s="14">
        <f>((((Q34*(1-Q19))+Q35)-Q49)-Q50)</f>
        <v/>
      </c>
    </row>
    <row r="52">
      <c r="A52" t="inlineStr">
        <is>
          <t>Net borrowing</t>
        </is>
      </c>
      <c r="B52" t="inlineStr">
        <is>
          <t>net_borrowing</t>
        </is>
      </c>
      <c r="D52" s="13" t="n"/>
      <c r="E52" s="13" t="n">
        <v>269.6179999999999</v>
      </c>
      <c r="F52" s="13" t="n">
        <v>259.915</v>
      </c>
      <c r="G52" s="13" t="n">
        <v>3413.614</v>
      </c>
      <c r="H52" s="14">
        <f>H22</f>
        <v/>
      </c>
      <c r="I52" s="14">
        <f>I22</f>
        <v/>
      </c>
      <c r="J52" s="14">
        <f>J22</f>
        <v/>
      </c>
      <c r="K52" s="14">
        <f>K22</f>
        <v/>
      </c>
      <c r="L52" s="14">
        <f>L22</f>
        <v/>
      </c>
      <c r="M52" s="14">
        <f>M22</f>
        <v/>
      </c>
      <c r="N52" s="14">
        <f>N22</f>
        <v/>
      </c>
      <c r="O52" s="14">
        <f>O22</f>
        <v/>
      </c>
      <c r="P52" s="14">
        <f>P22</f>
        <v/>
      </c>
      <c r="Q52" s="14">
        <f>Q22</f>
        <v/>
      </c>
    </row>
    <row r="53">
      <c r="A53" t="inlineStr">
        <is>
          <t>Dividends to minorities</t>
        </is>
      </c>
      <c r="B53" t="inlineStr">
        <is>
          <t>minority_div</t>
        </is>
      </c>
      <c r="D53" s="13" t="n"/>
      <c r="E53" s="13" t="n"/>
      <c r="F53" s="13" t="n"/>
      <c r="G53" s="13" t="n"/>
      <c r="H53" s="14">
        <f>(MAX(G43,0)*H25)</f>
        <v/>
      </c>
      <c r="I53" s="14">
        <f>(MAX(H43,0)*I25)</f>
        <v/>
      </c>
      <c r="J53" s="14">
        <f>(MAX(I43,0)*J25)</f>
        <v/>
      </c>
      <c r="K53" s="14">
        <f>(MAX(J43,0)*K25)</f>
        <v/>
      </c>
      <c r="L53" s="14">
        <f>(MAX(K43,0)*L25)</f>
        <v/>
      </c>
      <c r="M53" s="14">
        <f>(MAX(L43,0)*M25)</f>
        <v/>
      </c>
      <c r="N53" s="14">
        <f>(MAX(M43,0)*N25)</f>
        <v/>
      </c>
      <c r="O53" s="14">
        <f>(MAX(N43,0)*O25)</f>
        <v/>
      </c>
      <c r="P53" s="14">
        <f>(MAX(O43,0)*P25)</f>
        <v/>
      </c>
      <c r="Q53" s="14">
        <f>(MAX(P43,0)*Q25)</f>
        <v/>
      </c>
    </row>
    <row r="54">
      <c r="A54" t="inlineStr">
        <is>
          <t>Free cash flow to equity</t>
        </is>
      </c>
      <c r="B54" t="inlineStr">
        <is>
          <t>fcfe</t>
        </is>
      </c>
      <c r="D54" s="13" t="n"/>
      <c r="E54" s="13" t="n"/>
      <c r="F54" s="13" t="n"/>
      <c r="G54" s="13" t="n"/>
      <c r="H54" s="14">
        <f>(((((H42+H35)-H49)-H50)+H52)-H53)</f>
        <v/>
      </c>
      <c r="I54" s="14">
        <f>(((((I42+I35)-I49)-I50)+I52)-I53)</f>
        <v/>
      </c>
      <c r="J54" s="14">
        <f>(((((J42+J35)-J49)-J50)+J52)-J53)</f>
        <v/>
      </c>
      <c r="K54" s="14">
        <f>(((((K42+K35)-K49)-K50)+K52)-K53)</f>
        <v/>
      </c>
      <c r="L54" s="14">
        <f>(((((L42+L35)-L49)-L50)+L52)-L53)</f>
        <v/>
      </c>
      <c r="M54" s="14">
        <f>(((((M42+M35)-M49)-M50)+M52)-M53)</f>
        <v/>
      </c>
      <c r="N54" s="14">
        <f>(((((N42+N35)-N49)-N50)+N52)-N53)</f>
        <v/>
      </c>
      <c r="O54" s="14">
        <f>(((((O42+O35)-O49)-O50)+O52)-O53)</f>
        <v/>
      </c>
      <c r="P54" s="14">
        <f>(((((P42+P35)-P49)-P50)+P52)-P53)</f>
        <v/>
      </c>
      <c r="Q54" s="14">
        <f>(((((Q42+Q35)-Q49)-Q50)+Q52)-Q53)</f>
        <v/>
      </c>
    </row>
    <row r="55">
      <c r="A55" t="inlineStr">
        <is>
          <t>Operating working capital</t>
        </is>
      </c>
      <c r="B55" t="inlineStr">
        <is>
          <t>nwc</t>
        </is>
      </c>
      <c r="D55" s="13" t="n">
        <v>70.93299999999977</v>
      </c>
      <c r="E55" s="13" t="n">
        <v>22.46900000000005</v>
      </c>
      <c r="F55" s="13" t="n">
        <v>153.7620000000002</v>
      </c>
      <c r="G55" s="13" t="n">
        <v>549.9249999999997</v>
      </c>
      <c r="H55" s="14">
        <f>(H30*H18)</f>
        <v/>
      </c>
      <c r="I55" s="14">
        <f>(I30*I18)</f>
        <v/>
      </c>
      <c r="J55" s="14">
        <f>(J30*J18)</f>
        <v/>
      </c>
      <c r="K55" s="14">
        <f>(K30*K18)</f>
        <v/>
      </c>
      <c r="L55" s="14">
        <f>(L30*L18)</f>
        <v/>
      </c>
      <c r="M55" s="14">
        <f>(M30*M18)</f>
        <v/>
      </c>
      <c r="N55" s="14">
        <f>(N30*N18)</f>
        <v/>
      </c>
      <c r="O55" s="14">
        <f>(O30*O18)</f>
        <v/>
      </c>
      <c r="P55" s="14">
        <f>(P30*P18)</f>
        <v/>
      </c>
      <c r="Q55" s="14">
        <f>(Q30*Q18)</f>
        <v/>
      </c>
    </row>
    <row r="56">
      <c r="A56" t="inlineStr">
        <is>
          <t>Cash &amp; equivalents</t>
        </is>
      </c>
      <c r="B56" t="inlineStr">
        <is>
          <t>cash</t>
        </is>
      </c>
      <c r="D56" s="13" t="n">
        <v>1736.804</v>
      </c>
      <c r="E56" s="13" t="n">
        <v>2087.654</v>
      </c>
      <c r="F56" s="13" t="n">
        <v>1724.086</v>
      </c>
      <c r="G56" s="13" t="n">
        <v>2739.796</v>
      </c>
      <c r="H56" s="14">
        <f>(((((((G56+H42)+H35)-H49)-H50)+H52)-H48)-H53)</f>
        <v/>
      </c>
      <c r="I56" s="14">
        <f>(((((((H56+I42)+I35)-I49)-I50)+I52)-I48)-I53)</f>
        <v/>
      </c>
      <c r="J56" s="14">
        <f>(((((((I56+J42)+J35)-J49)-J50)+J52)-J48)-J53)</f>
        <v/>
      </c>
      <c r="K56" s="14">
        <f>(((((((J56+K42)+K35)-K49)-K50)+K52)-K48)-K53)</f>
        <v/>
      </c>
      <c r="L56" s="14">
        <f>(((((((K56+L42)+L35)-L49)-L50)+L52)-L48)-L53)</f>
        <v/>
      </c>
      <c r="M56" s="14">
        <f>(((((((L56+M42)+M35)-M49)-M50)+M52)-M48)-M53)</f>
        <v/>
      </c>
      <c r="N56" s="14">
        <f>(((((((M56+N42)+N35)-N49)-N50)+N52)-N48)-N53)</f>
        <v/>
      </c>
      <c r="O56" s="14">
        <f>(((((((N56+O42)+O35)-O49)-O50)+O52)-O48)-O53)</f>
        <v/>
      </c>
      <c r="P56" s="14">
        <f>(((((((O56+P42)+P35)-P49)-P50)+P52)-P48)-P53)</f>
        <v/>
      </c>
      <c r="Q56" s="14">
        <f>(((((((P56+Q42)+Q35)-Q49)-Q50)+Q52)-Q48)-Q53)</f>
        <v/>
      </c>
    </row>
    <row r="57">
      <c r="A57" t="inlineStr">
        <is>
          <t>Total debt</t>
        </is>
      </c>
      <c r="B57" t="inlineStr">
        <is>
          <t>debt</t>
        </is>
      </c>
      <c r="D57" s="13" t="n">
        <v>1471.083</v>
      </c>
      <c r="E57" s="13" t="n">
        <v>1740.701</v>
      </c>
      <c r="F57" s="13" t="n">
        <v>2000.616</v>
      </c>
      <c r="G57" s="13" t="n">
        <v>5414.23</v>
      </c>
      <c r="H57" s="14">
        <f>(G57+H52)</f>
        <v/>
      </c>
      <c r="I57" s="14">
        <f>(H57+I52)</f>
        <v/>
      </c>
      <c r="J57" s="14">
        <f>(I57+J52)</f>
        <v/>
      </c>
      <c r="K57" s="14">
        <f>(J57+K52)</f>
        <v/>
      </c>
      <c r="L57" s="14">
        <f>(K57+L52)</f>
        <v/>
      </c>
      <c r="M57" s="14">
        <f>(L57+M52)</f>
        <v/>
      </c>
      <c r="N57" s="14">
        <f>(M57+N52)</f>
        <v/>
      </c>
      <c r="O57" s="14">
        <f>(N57+O52)</f>
        <v/>
      </c>
      <c r="P57" s="14">
        <f>(O57+P52)</f>
        <v/>
      </c>
      <c r="Q57" s="14">
        <f>(P57+Q52)</f>
        <v/>
      </c>
    </row>
    <row r="58">
      <c r="A58" t="inlineStr">
        <is>
          <t>Fixed assets (net)</t>
        </is>
      </c>
      <c r="B58" t="inlineStr">
        <is>
          <t>ppe</t>
        </is>
      </c>
      <c r="D58" s="13" t="n">
        <v>2056.093</v>
      </c>
      <c r="E58" s="13" t="n">
        <v>2209.534</v>
      </c>
      <c r="F58" s="13" t="n">
        <v>2497.121</v>
      </c>
      <c r="G58" s="13" t="n">
        <v>5023.945</v>
      </c>
      <c r="H58" s="14">
        <f>((G58+H49)-H35)</f>
        <v/>
      </c>
      <c r="I58" s="14">
        <f>((H58+I49)-I35)</f>
        <v/>
      </c>
      <c r="J58" s="14">
        <f>((I58+J49)-J35)</f>
        <v/>
      </c>
      <c r="K58" s="14">
        <f>((J58+K49)-K35)</f>
        <v/>
      </c>
      <c r="L58" s="14">
        <f>((K58+L49)-L35)</f>
        <v/>
      </c>
      <c r="M58" s="14">
        <f>((L58+M49)-M35)</f>
        <v/>
      </c>
      <c r="N58" s="14">
        <f>((M58+N49)-N35)</f>
        <v/>
      </c>
      <c r="O58" s="14">
        <f>((N58+O49)-O35)</f>
        <v/>
      </c>
      <c r="P58" s="14">
        <f>((O58+P49)-P35)</f>
        <v/>
      </c>
      <c r="Q58" s="14">
        <f>((P58+Q49)-Q35)</f>
        <v/>
      </c>
    </row>
    <row r="59">
      <c r="A59" t="inlineStr">
        <is>
          <t>Parent shareholders' equity</t>
        </is>
      </c>
      <c r="B59" t="inlineStr">
        <is>
          <t>equity</t>
        </is>
      </c>
      <c r="D59" s="13" t="n">
        <v>2805.474</v>
      </c>
      <c r="E59" s="13" t="n">
        <v>2739.132</v>
      </c>
      <c r="F59" s="13" t="n">
        <v>2638.165</v>
      </c>
      <c r="G59" s="13" t="n">
        <v>3729.646</v>
      </c>
      <c r="H59" s="14">
        <f>((G59+H44)-H48)</f>
        <v/>
      </c>
      <c r="I59" s="14">
        <f>((H59+I44)-I48)</f>
        <v/>
      </c>
      <c r="J59" s="14">
        <f>((I59+J44)-J48)</f>
        <v/>
      </c>
      <c r="K59" s="14">
        <f>((J59+K44)-K48)</f>
        <v/>
      </c>
      <c r="L59" s="14">
        <f>((K59+L44)-L48)</f>
        <v/>
      </c>
      <c r="M59" s="14">
        <f>((L59+M44)-M48)</f>
        <v/>
      </c>
      <c r="N59" s="14">
        <f>((M59+N44)-N48)</f>
        <v/>
      </c>
      <c r="O59" s="14">
        <f>((N59+O44)-O48)</f>
        <v/>
      </c>
      <c r="P59" s="14">
        <f>((O59+P44)-P48)</f>
        <v/>
      </c>
      <c r="Q59" s="14">
        <f>((P59+Q44)-Q48)</f>
        <v/>
      </c>
    </row>
    <row r="60">
      <c r="A60" t="inlineStr">
        <is>
          <t>Minority interest (balance sheet)</t>
        </is>
      </c>
      <c r="B60" t="inlineStr">
        <is>
          <t>minority_bs</t>
        </is>
      </c>
      <c r="D60" s="13" t="n">
        <v>3.632</v>
      </c>
      <c r="E60" s="13" t="n">
        <v>254.768</v>
      </c>
      <c r="F60" s="13" t="n">
        <v>299.294</v>
      </c>
      <c r="G60" s="13" t="n">
        <v>927.269</v>
      </c>
      <c r="H60" s="14">
        <f>((G60+H43)-H53)</f>
        <v/>
      </c>
      <c r="I60" s="14">
        <f>((H60+I43)-I53)</f>
        <v/>
      </c>
      <c r="J60" s="14">
        <f>((I60+J43)-J53)</f>
        <v/>
      </c>
      <c r="K60" s="14">
        <f>((J60+K43)-K53)</f>
        <v/>
      </c>
      <c r="L60" s="14">
        <f>((K60+L43)-L53)</f>
        <v/>
      </c>
      <c r="M60" s="14">
        <f>((L60+M43)-M53)</f>
        <v/>
      </c>
      <c r="N60" s="14">
        <f>((M60+N43)-N53)</f>
        <v/>
      </c>
      <c r="O60" s="14">
        <f>((N60+O43)-O53)</f>
        <v/>
      </c>
      <c r="P60" s="14">
        <f>((O60+P43)-P53)</f>
        <v/>
      </c>
      <c r="Q60" s="14">
        <f>((P60+Q43)-Q53)</f>
        <v/>
      </c>
    </row>
    <row r="61">
      <c r="A61" t="inlineStr">
        <is>
          <t>Other assets less other liabilities</t>
        </is>
      </c>
      <c r="B61" t="inlineStr">
        <is>
          <t>other_net</t>
        </is>
      </c>
      <c r="D61" s="13" t="n">
        <v>416.3590000000004</v>
      </c>
      <c r="E61" s="13" t="n">
        <v>414.9440000000004</v>
      </c>
      <c r="F61" s="13" t="n">
        <v>563.1059999999993</v>
      </c>
      <c r="G61" s="13" t="n">
        <v>1757.479000000001</v>
      </c>
      <c r="H61" s="14">
        <f>G61</f>
        <v/>
      </c>
      <c r="I61" s="14">
        <f>H61</f>
        <v/>
      </c>
      <c r="J61" s="14">
        <f>I61</f>
        <v/>
      </c>
      <c r="K61" s="14">
        <f>J61</f>
        <v/>
      </c>
      <c r="L61" s="14">
        <f>K61</f>
        <v/>
      </c>
      <c r="M61" s="14">
        <f>L61</f>
        <v/>
      </c>
      <c r="N61" s="14">
        <f>M61</f>
        <v/>
      </c>
      <c r="O61" s="14">
        <f>N61</f>
        <v/>
      </c>
      <c r="P61" s="14">
        <f>O61</f>
        <v/>
      </c>
      <c r="Q61" s="14">
        <f>P61</f>
        <v/>
      </c>
    </row>
    <row r="62">
      <c r="A62" t="inlineStr">
        <is>
          <t>Balance check (should be zero)</t>
        </is>
      </c>
      <c r="B62" t="inlineStr">
        <is>
          <t>bs_check</t>
        </is>
      </c>
      <c r="D62" s="13" t="n"/>
      <c r="E62" s="13" t="n"/>
      <c r="F62" s="13" t="n"/>
      <c r="G62" s="13" t="n"/>
      <c r="H62" s="14">
        <f>((((((H56+H55)+H58)+H61)-H57)-H59)-H60)</f>
        <v/>
      </c>
      <c r="I62" s="14">
        <f>((((((I56+I55)+I58)+I61)-I57)-I59)-I60)</f>
        <v/>
      </c>
      <c r="J62" s="14">
        <f>((((((J56+J55)+J58)+J61)-J57)-J59)-J60)</f>
        <v/>
      </c>
      <c r="K62" s="14">
        <f>((((((K56+K55)+K58)+K61)-K57)-K59)-K60)</f>
        <v/>
      </c>
      <c r="L62" s="14">
        <f>((((((L56+L55)+L58)+L61)-L57)-L59)-L60)</f>
        <v/>
      </c>
      <c r="M62" s="14">
        <f>((((((M56+M55)+M58)+M61)-M57)-M59)-M60)</f>
        <v/>
      </c>
      <c r="N62" s="14">
        <f>((((((N56+N55)+N58)+N61)-N57)-N59)-N60)</f>
        <v/>
      </c>
      <c r="O62" s="14">
        <f>((((((O56+O55)+O58)+O61)-O57)-O59)-O60)</f>
        <v/>
      </c>
      <c r="P62" s="14">
        <f>((((((P56+P55)+P58)+P61)-P57)-P59)-P60)</f>
        <v/>
      </c>
      <c r="Q62" s="14">
        <f>((((((Q56+Q55)+Q58)+Q61)-Q57)-Q59)-Q60)</f>
        <v/>
      </c>
    </row>
    <row r="63">
      <c r="A63" t="inlineStr">
        <is>
          <t>Net debt (cash)</t>
        </is>
      </c>
      <c r="B63" t="inlineStr">
        <is>
          <t>net_debt</t>
        </is>
      </c>
      <c r="D63" s="13" t="n">
        <v>-265.721</v>
      </c>
      <c r="E63" s="13" t="n">
        <v>-346.953</v>
      </c>
      <c r="F63" s="13" t="n">
        <v>276.53</v>
      </c>
      <c r="G63" s="13" t="n">
        <v>2674.434</v>
      </c>
      <c r="H63" s="14">
        <f>(H57-H56)</f>
        <v/>
      </c>
      <c r="I63" s="14">
        <f>(I57-I56)</f>
        <v/>
      </c>
      <c r="J63" s="14">
        <f>(J57-J56)</f>
        <v/>
      </c>
      <c r="K63" s="14">
        <f>(K57-K56)</f>
        <v/>
      </c>
      <c r="L63" s="14">
        <f>(L57-L56)</f>
        <v/>
      </c>
      <c r="M63" s="14">
        <f>(M57-M56)</f>
        <v/>
      </c>
      <c r="N63" s="14">
        <f>(N57-N56)</f>
        <v/>
      </c>
      <c r="O63" s="14">
        <f>(O57-O56)</f>
        <v/>
      </c>
      <c r="P63" s="14">
        <f>(P57-P56)</f>
        <v/>
      </c>
      <c r="Q63" s="14">
        <f>(Q57-Q56)</f>
        <v/>
      </c>
    </row>
    <row r="64">
      <c r="A64" t="inlineStr">
        <is>
          <t>Book value per share</t>
        </is>
      </c>
      <c r="B64" t="inlineStr">
        <is>
          <t>bvps</t>
        </is>
      </c>
      <c r="D64" s="16" t="n">
        <v>0.03242889717223917</v>
      </c>
      <c r="E64" s="16" t="n">
        <v>0.03166203998653697</v>
      </c>
      <c r="F64" s="16" t="n">
        <v>0.03049494720264752</v>
      </c>
      <c r="G64" s="16" t="n">
        <v>0.0431153478321937</v>
      </c>
      <c r="H64" s="17">
        <f>(IF(H45=0,0,H59/H45)*$C$7)</f>
        <v/>
      </c>
      <c r="I64" s="17">
        <f>(IF(I45=0,0,I59/I45)*$C$7)</f>
        <v/>
      </c>
      <c r="J64" s="17">
        <f>(IF(J45=0,0,J59/J45)*$C$7)</f>
        <v/>
      </c>
      <c r="K64" s="17">
        <f>(IF(K45=0,0,K59/K45)*$C$7)</f>
        <v/>
      </c>
      <c r="L64" s="17">
        <f>(IF(L45=0,0,L59/L45)*$C$7)</f>
        <v/>
      </c>
      <c r="M64" s="17">
        <f>(IF(M45=0,0,M59/M45)*$C$7)</f>
        <v/>
      </c>
      <c r="N64" s="17">
        <f>(IF(N45=0,0,N59/N45)*$C$7)</f>
        <v/>
      </c>
      <c r="O64" s="17">
        <f>(IF(O45=0,0,O59/O45)*$C$7)</f>
        <v/>
      </c>
      <c r="P64" s="17">
        <f>(IF(P45=0,0,P59/P45)*$C$7)</f>
        <v/>
      </c>
      <c r="Q64" s="17">
        <f>(IF(Q45=0,0,Q59/Q45)*$C$7)</f>
        <v/>
      </c>
    </row>
    <row r="65">
      <c r="A65" t="inlineStr">
        <is>
          <t>Revenue growth</t>
        </is>
      </c>
      <c r="B65" t="inlineStr">
        <is>
          <t>revenue_growth</t>
        </is>
      </c>
      <c r="D65" s="4" t="n"/>
      <c r="E65" s="4" t="n">
        <v>-0.09421280211155714</v>
      </c>
      <c r="F65" s="4" t="n">
        <v>-0.1734165705216645</v>
      </c>
      <c r="G65" s="4" t="n">
        <v>2.920769098066277</v>
      </c>
      <c r="H65" s="18">
        <f>(IF(G30=0,0,H30/G30)-1)</f>
        <v/>
      </c>
      <c r="I65" s="18">
        <f>(IF(H30=0,0,I30/H30)-1)</f>
        <v/>
      </c>
      <c r="J65" s="18">
        <f>(IF(I30=0,0,J30/I30)-1)</f>
        <v/>
      </c>
      <c r="K65" s="18">
        <f>(IF(J30=0,0,K30/J30)-1)</f>
        <v/>
      </c>
      <c r="L65" s="18">
        <f>(IF(K30=0,0,L30/K30)-1)</f>
        <v/>
      </c>
      <c r="M65" s="18">
        <f>(IF(L30=0,0,M30/L30)-1)</f>
        <v/>
      </c>
      <c r="N65" s="18">
        <f>(IF(M30=0,0,N30/M30)-1)</f>
        <v/>
      </c>
      <c r="O65" s="18">
        <f>(IF(N30=0,0,O30/N30)-1)</f>
        <v/>
      </c>
      <c r="P65" s="18">
        <f>(IF(O30=0,0,P30/O30)-1)</f>
        <v/>
      </c>
      <c r="Q65" s="18">
        <f>(IF(P30=0,0,Q30/P30)-1)</f>
        <v/>
      </c>
    </row>
    <row r="66">
      <c r="A66" t="inlineStr">
        <is>
          <t>Gross margin</t>
        </is>
      </c>
      <c r="B66" t="inlineStr">
        <is>
          <t>gross_margin</t>
        </is>
      </c>
      <c r="D66" s="4" t="n">
        <v>-0.004593659877102614</v>
      </c>
      <c r="E66" s="4" t="n">
        <v>0.03788545194941322</v>
      </c>
      <c r="F66" s="4" t="n">
        <v>0.08802966789965519</v>
      </c>
      <c r="G66" s="4" t="n">
        <v>-0.006067285714285713</v>
      </c>
      <c r="H66" s="18">
        <f>IF(H30=0,0,H32/H30)</f>
        <v/>
      </c>
      <c r="I66" s="18">
        <f>IF(I30=0,0,I32/I30)</f>
        <v/>
      </c>
      <c r="J66" s="18">
        <f>IF(J30=0,0,J32/J30)</f>
        <v/>
      </c>
      <c r="K66" s="18">
        <f>IF(K30=0,0,K32/K30)</f>
        <v/>
      </c>
      <c r="L66" s="18">
        <f>IF(L30=0,0,L32/L30)</f>
        <v/>
      </c>
      <c r="M66" s="18">
        <f>IF(M30=0,0,M32/M30)</f>
        <v/>
      </c>
      <c r="N66" s="18">
        <f>IF(N30=0,0,N32/N30)</f>
        <v/>
      </c>
      <c r="O66" s="18">
        <f>IF(O30=0,0,O32/O30)</f>
        <v/>
      </c>
      <c r="P66" s="18">
        <f>IF(P30=0,0,P32/P30)</f>
        <v/>
      </c>
      <c r="Q66" s="18">
        <f>IF(Q30=0,0,Q32/Q30)</f>
        <v/>
      </c>
    </row>
    <row r="67">
      <c r="A67" t="inlineStr">
        <is>
          <t>EBITDA margin</t>
        </is>
      </c>
      <c r="B67" t="inlineStr">
        <is>
          <t>ebitda_margin</t>
        </is>
      </c>
      <c r="D67" s="4" t="n">
        <v>-0.04780526304091561</v>
      </c>
      <c r="E67" s="4" t="n">
        <v>-0.01156841974654758</v>
      </c>
      <c r="F67" s="4" t="n">
        <v>0.03262303933539603</v>
      </c>
      <c r="G67" s="4" t="n">
        <v>-0.05560342857142857</v>
      </c>
      <c r="H67" s="18">
        <f>IF(H30=0,0,H36/H30)</f>
        <v/>
      </c>
      <c r="I67" s="18">
        <f>IF(I30=0,0,I36/I30)</f>
        <v/>
      </c>
      <c r="J67" s="18">
        <f>IF(J30=0,0,J36/J30)</f>
        <v/>
      </c>
      <c r="K67" s="18">
        <f>IF(K30=0,0,K36/K30)</f>
        <v/>
      </c>
      <c r="L67" s="18">
        <f>IF(L30=0,0,L36/L30)</f>
        <v/>
      </c>
      <c r="M67" s="18">
        <f>IF(M30=0,0,M36/M30)</f>
        <v/>
      </c>
      <c r="N67" s="18">
        <f>IF(N30=0,0,N36/N30)</f>
        <v/>
      </c>
      <c r="O67" s="18">
        <f>IF(O30=0,0,O36/O30)</f>
        <v/>
      </c>
      <c r="P67" s="18">
        <f>IF(P30=0,0,P36/P30)</f>
        <v/>
      </c>
      <c r="Q67" s="18">
        <f>IF(Q30=0,0,Q36/Q30)</f>
        <v/>
      </c>
    </row>
    <row r="68">
      <c r="A68" t="inlineStr">
        <is>
          <t>EBIT margin</t>
        </is>
      </c>
      <c r="B68" t="inlineStr">
        <is>
          <t>ebit_margin</t>
        </is>
      </c>
      <c r="D68" s="4" t="n">
        <v>-0.04873791773935237</v>
      </c>
      <c r="E68" s="4" t="n">
        <v>-0.01290549887681649</v>
      </c>
      <c r="F68" s="4" t="n">
        <v>-0.03177615321021372</v>
      </c>
      <c r="G68" s="4" t="n">
        <v>-0.08467114285714285</v>
      </c>
      <c r="H68" s="18">
        <f>IF(H30=0,0,H34/H30)</f>
        <v/>
      </c>
      <c r="I68" s="18">
        <f>IF(I30=0,0,I34/I30)</f>
        <v/>
      </c>
      <c r="J68" s="18">
        <f>IF(J30=0,0,J34/J30)</f>
        <v/>
      </c>
      <c r="K68" s="18">
        <f>IF(K30=0,0,K34/K30)</f>
        <v/>
      </c>
      <c r="L68" s="18">
        <f>IF(L30=0,0,L34/L30)</f>
        <v/>
      </c>
      <c r="M68" s="18">
        <f>IF(M30=0,0,M34/M30)</f>
        <v/>
      </c>
      <c r="N68" s="18">
        <f>IF(N30=0,0,N34/N30)</f>
        <v/>
      </c>
      <c r="O68" s="18">
        <f>IF(O30=0,0,O34/O30)</f>
        <v/>
      </c>
      <c r="P68" s="18">
        <f>IF(P30=0,0,P34/P30)</f>
        <v/>
      </c>
      <c r="Q68" s="18">
        <f>IF(Q30=0,0,Q34/Q30)</f>
        <v/>
      </c>
    </row>
    <row r="69">
      <c r="A69" t="inlineStr">
        <is>
          <t>Net margin</t>
        </is>
      </c>
      <c r="B69" t="inlineStr">
        <is>
          <t>np_margin</t>
        </is>
      </c>
      <c r="D69" s="4" t="n">
        <v>-0.0627101251325699</v>
      </c>
      <c r="E69" s="4" t="n">
        <v>-0.01554493382199069</v>
      </c>
      <c r="F69" s="4" t="n">
        <v>-0.03842913825976103</v>
      </c>
      <c r="G69" s="4" t="n">
        <v>0.1557272857142857</v>
      </c>
      <c r="H69" s="18">
        <f>IF(H30=0,0,H44/H30)</f>
        <v/>
      </c>
      <c r="I69" s="18">
        <f>IF(I30=0,0,I44/I30)</f>
        <v/>
      </c>
      <c r="J69" s="18">
        <f>IF(J30=0,0,J44/J30)</f>
        <v/>
      </c>
      <c r="K69" s="18">
        <f>IF(K30=0,0,K44/K30)</f>
        <v/>
      </c>
      <c r="L69" s="18">
        <f>IF(L30=0,0,L44/L30)</f>
        <v/>
      </c>
      <c r="M69" s="18">
        <f>IF(M30=0,0,M44/M30)</f>
        <v/>
      </c>
      <c r="N69" s="18">
        <f>IF(N30=0,0,N44/N30)</f>
        <v/>
      </c>
      <c r="O69" s="18">
        <f>IF(O30=0,0,O44/O30)</f>
        <v/>
      </c>
      <c r="P69" s="18">
        <f>IF(P30=0,0,P44/P30)</f>
        <v/>
      </c>
      <c r="Q69" s="18">
        <f>IF(Q30=0,0,Q44/Q30)</f>
        <v/>
      </c>
    </row>
    <row r="70">
      <c r="A70" t="inlineStr">
        <is>
          <t>EPS growth</t>
        </is>
      </c>
      <c r="B70" t="inlineStr">
        <is>
          <t>eps_growth</t>
        </is>
      </c>
      <c r="D70" s="4" t="n"/>
      <c r="E70" s="4" t="n">
        <v>-0.7754684428038359</v>
      </c>
      <c r="F70" s="4" t="n">
        <v>1.043423874195854</v>
      </c>
      <c r="G70" s="4" t="n">
        <v>-16.88962635068672</v>
      </c>
      <c r="H70" s="18">
        <f>(IF(G46=0,0,H46/G46)-1)</f>
        <v/>
      </c>
      <c r="I70" s="18">
        <f>(IF(H46=0,0,I46/H46)-1)</f>
        <v/>
      </c>
      <c r="J70" s="18">
        <f>(IF(I46=0,0,J46/I46)-1)</f>
        <v/>
      </c>
      <c r="K70" s="18">
        <f>(IF(J46=0,0,K46/J46)-1)</f>
        <v/>
      </c>
      <c r="L70" s="18">
        <f>(IF(K46=0,0,L46/K46)-1)</f>
        <v/>
      </c>
      <c r="M70" s="18">
        <f>(IF(L46=0,0,M46/L46)-1)</f>
        <v/>
      </c>
      <c r="N70" s="18">
        <f>(IF(M46=0,0,N46/M46)-1)</f>
        <v/>
      </c>
      <c r="O70" s="18">
        <f>(IF(N46=0,0,O46/N46)-1)</f>
        <v/>
      </c>
      <c r="P70" s="18">
        <f>(IF(O46=0,0,P46/O46)-1)</f>
        <v/>
      </c>
      <c r="Q70" s="18">
        <f>(IF(P46=0,0,Q46/P46)-1)</f>
        <v/>
      </c>
    </row>
    <row r="71">
      <c r="A71" t="inlineStr">
        <is>
          <t>ROE</t>
        </is>
      </c>
      <c r="B71" t="inlineStr">
        <is>
          <t>roe</t>
        </is>
      </c>
      <c r="D71" s="4" t="n"/>
      <c r="E71" s="4" t="n">
        <v>-0.01211123026595578</v>
      </c>
      <c r="F71" s="4" t="n">
        <v>-0.02551839706826682</v>
      </c>
      <c r="G71" s="4" t="n">
        <v>0.3423754254012878</v>
      </c>
      <c r="H71" s="18">
        <f>IF(IF(2=0,0,(H59+G59)/2)=0,0,H44/IF(2=0,0,(H59+G59)/2))</f>
        <v/>
      </c>
      <c r="I71" s="18">
        <f>IF(IF(2=0,0,(I59+H59)/2)=0,0,I44/IF(2=0,0,(I59+H59)/2))</f>
        <v/>
      </c>
      <c r="J71" s="18">
        <f>IF(IF(2=0,0,(J59+I59)/2)=0,0,J44/IF(2=0,0,(J59+I59)/2))</f>
        <v/>
      </c>
      <c r="K71" s="18">
        <f>IF(IF(2=0,0,(K59+J59)/2)=0,0,K44/IF(2=0,0,(K59+J59)/2))</f>
        <v/>
      </c>
      <c r="L71" s="18">
        <f>IF(IF(2=0,0,(L59+K59)/2)=0,0,L44/IF(2=0,0,(L59+K59)/2))</f>
        <v/>
      </c>
      <c r="M71" s="18">
        <f>IF(IF(2=0,0,(M59+L59)/2)=0,0,M44/IF(2=0,0,(M59+L59)/2))</f>
        <v/>
      </c>
      <c r="N71" s="18">
        <f>IF(IF(2=0,0,(N59+M59)/2)=0,0,N44/IF(2=0,0,(N59+M59)/2))</f>
        <v/>
      </c>
      <c r="O71" s="18">
        <f>IF(IF(2=0,0,(O59+N59)/2)=0,0,O44/IF(2=0,0,(O59+N59)/2))</f>
        <v/>
      </c>
      <c r="P71" s="18">
        <f>IF(IF(2=0,0,(P59+O59)/2)=0,0,P44/IF(2=0,0,(P59+O59)/2))</f>
        <v/>
      </c>
      <c r="Q71" s="18">
        <f>IF(IF(2=0,0,(Q59+P59)/2)=0,0,Q44/IF(2=0,0,(Q59+P59)/2))</f>
        <v/>
      </c>
    </row>
    <row r="72">
      <c r="A72" t="inlineStr">
        <is>
          <t>Net debt / EBITDA</t>
        </is>
      </c>
      <c r="B72" t="inlineStr">
        <is>
          <t>net_debt_ebitda</t>
        </is>
      </c>
      <c r="D72" s="19" t="n">
        <v>2.3309677532545</v>
      </c>
      <c r="E72" s="19" t="n">
        <v>13.88534037699604</v>
      </c>
      <c r="F72" s="19" t="n">
        <v>4.747785179589314</v>
      </c>
      <c r="G72" s="19" t="n">
        <v>-6.871194993114504</v>
      </c>
      <c r="H72" s="20">
        <f>IF(H36=0,0,H63/H36)</f>
        <v/>
      </c>
      <c r="I72" s="20">
        <f>IF(I36=0,0,I63/I36)</f>
        <v/>
      </c>
      <c r="J72" s="20">
        <f>IF(J36=0,0,J63/J36)</f>
        <v/>
      </c>
      <c r="K72" s="20">
        <f>IF(K36=0,0,K63/K36)</f>
        <v/>
      </c>
      <c r="L72" s="20">
        <f>IF(L36=0,0,L63/L36)</f>
        <v/>
      </c>
      <c r="M72" s="20">
        <f>IF(M36=0,0,M63/M36)</f>
        <v/>
      </c>
      <c r="N72" s="20">
        <f>IF(N36=0,0,N63/N36)</f>
        <v/>
      </c>
      <c r="O72" s="20">
        <f>IF(O36=0,0,O63/O36)</f>
        <v/>
      </c>
      <c r="P72" s="20">
        <f>IF(P36=0,0,P63/P36)</f>
        <v/>
      </c>
      <c r="Q72" s="20">
        <f>IF(Q36=0,0,Q63/Q36)</f>
        <v/>
      </c>
    </row>
    <row r="73">
      <c r="A73" t="inlineStr">
        <is>
          <t>Payout ratio</t>
        </is>
      </c>
      <c r="B73" t="inlineStr">
        <is>
          <t>payout_ratio</t>
        </is>
      </c>
      <c r="D73" s="4" t="n">
        <v>-0.1983547975608692</v>
      </c>
      <c r="E73" s="4" t="n">
        <v>-0.8853888161482206</v>
      </c>
      <c r="F73" s="4" t="n">
        <v>-0.7335770115406106</v>
      </c>
      <c r="G73" s="4" t="n">
        <v>0.02705174971506273</v>
      </c>
      <c r="H73" s="18">
        <f>IF(H46=0,0,H47/H46)</f>
        <v/>
      </c>
      <c r="I73" s="18">
        <f>IF(I46=0,0,I47/I46)</f>
        <v/>
      </c>
      <c r="J73" s="18">
        <f>IF(J46=0,0,J47/J46)</f>
        <v/>
      </c>
      <c r="K73" s="18">
        <f>IF(K46=0,0,K47/K46)</f>
        <v/>
      </c>
      <c r="L73" s="18">
        <f>IF(L46=0,0,L47/L46)</f>
        <v/>
      </c>
      <c r="M73" s="18">
        <f>IF(M46=0,0,M47/M46)</f>
        <v/>
      </c>
      <c r="N73" s="18">
        <f>IF(N46=0,0,N47/N46)</f>
        <v/>
      </c>
      <c r="O73" s="18">
        <f>IF(O46=0,0,O47/O46)</f>
        <v/>
      </c>
      <c r="P73" s="18">
        <f>IF(P46=0,0,P47/P46)</f>
        <v/>
      </c>
      <c r="Q73" s="18">
        <f>IF(Q46=0,0,Q47/Q46)</f>
        <v/>
      </c>
    </row>
    <row r="74">
      <c r="A74" t="inlineStr">
        <is>
          <t>Capex / revenue</t>
        </is>
      </c>
      <c r="B74" t="inlineStr">
        <is>
          <t>capex_revenue</t>
        </is>
      </c>
      <c r="D74" s="4" t="n">
        <v>0.04791345769568031</v>
      </c>
      <c r="E74" s="4" t="n">
        <v>0.04458705181459417</v>
      </c>
      <c r="F74" s="4" t="n">
        <v>0.2268753038596051</v>
      </c>
      <c r="G74" s="4" t="n">
        <v>0.1052022857142857</v>
      </c>
      <c r="H74" s="18">
        <f>IF(H30=0,0,H49/H30)</f>
        <v/>
      </c>
      <c r="I74" s="18">
        <f>IF(I30=0,0,I49/I30)</f>
        <v/>
      </c>
      <c r="J74" s="18">
        <f>IF(J30=0,0,J49/J30)</f>
        <v/>
      </c>
      <c r="K74" s="18">
        <f>IF(K30=0,0,K49/K30)</f>
        <v/>
      </c>
      <c r="L74" s="18">
        <f>IF(L30=0,0,L49/L30)</f>
        <v/>
      </c>
      <c r="M74" s="18">
        <f>IF(M30=0,0,M49/M30)</f>
        <v/>
      </c>
      <c r="N74" s="18">
        <f>IF(N30=0,0,N49/N30)</f>
        <v/>
      </c>
      <c r="O74" s="18">
        <f>IF(O30=0,0,O49/O30)</f>
        <v/>
      </c>
      <c r="P74" s="18">
        <f>IF(P30=0,0,P49/P30)</f>
        <v/>
      </c>
      <c r="Q74" s="18">
        <f>IF(Q30=0,0,Q49/Q30)</f>
        <v/>
      </c>
    </row>
    <row r="76">
      <c r="A76" s="1" t="inlineStr">
        <is>
          <t>VALUATION</t>
        </is>
      </c>
    </row>
    <row r="77">
      <c r="A77" t="inlineStr">
        <is>
          <t>Last price (IDR)</t>
        </is>
      </c>
      <c r="C77" s="16" t="n">
        <v>1500</v>
      </c>
    </row>
    <row r="78">
      <c r="A78" t="inlineStr">
        <is>
          <t>Shares outstanding (m)</t>
        </is>
      </c>
      <c r="C78" s="13" t="n">
        <v>86464.49619200001</v>
      </c>
    </row>
    <row r="79">
      <c r="A79" t="inlineStr">
        <is>
          <t>IDR per USD (spot)</t>
        </is>
      </c>
      <c r="C79" s="3" t="n">
        <v>18100</v>
      </c>
    </row>
    <row r="80">
      <c r="A80" t="inlineStr">
        <is>
          <t>Debt at balance-sheet date</t>
        </is>
      </c>
      <c r="C80" s="13" t="n">
        <v>5910.937</v>
      </c>
    </row>
    <row r="81">
      <c r="A81" t="inlineStr">
        <is>
          <t>Cash at balance-sheet date</t>
        </is>
      </c>
      <c r="C81" s="13" t="n">
        <v>2921.331</v>
      </c>
    </row>
    <row r="82">
      <c r="A82" t="inlineStr">
        <is>
          <t>Minority interest (book)</t>
        </is>
      </c>
      <c r="C82" s="13" t="n">
        <v>1003.746</v>
      </c>
    </row>
    <row r="83">
      <c r="A83" t="inlineStr">
        <is>
          <t>Associates &amp; investments (book)</t>
        </is>
      </c>
      <c r="C83" s="13" t="n">
        <v>174.831</v>
      </c>
    </row>
    <row r="84">
      <c r="A84" t="inlineStr">
        <is>
          <t>Post-balance-sheet &amp; other items (sourced, probability-weighted)</t>
        </is>
      </c>
      <c r="C84" s="13" t="n">
        <v>935.5</v>
      </c>
    </row>
    <row r="85">
      <c r="A85" t="inlineStr">
        <is>
          <t>Parent equity at balance-sheet date</t>
        </is>
      </c>
      <c r="C85" s="13" t="n">
        <v>3960.569</v>
      </c>
    </row>
    <row r="86">
      <c r="A86" t="inlineStr">
        <is>
          <t>Per-share factor</t>
        </is>
      </c>
      <c r="C86" s="21" t="n">
        <v>1</v>
      </c>
    </row>
    <row r="87">
      <c r="A87" t="inlineStr">
        <is>
          <t>Risk-free rate</t>
        </is>
      </c>
      <c r="C87" s="8">
        <f>Drivers!$C$9</f>
        <v/>
      </c>
    </row>
    <row r="88">
      <c r="A88" t="inlineStr">
        <is>
          <t>Less: default spread (IDR only)</t>
        </is>
      </c>
      <c r="C88" s="8" t="n">
        <v>0</v>
      </c>
    </row>
    <row r="89">
      <c r="A89" t="inlineStr">
        <is>
          <t>Mature ERP + Indonesia CRP</t>
        </is>
      </c>
      <c r="C89" s="8">
        <f>Drivers!$C$11+Drivers!$C$12</f>
        <v/>
      </c>
    </row>
    <row r="90">
      <c r="A90" t="inlineStr">
        <is>
          <t>Tax rate</t>
        </is>
      </c>
      <c r="C90" s="8">
        <f>Drivers!$C$14</f>
        <v/>
      </c>
    </row>
    <row r="91">
      <c r="A91" t="inlineStr">
        <is>
          <t>Unlevered beta (industry default (config))</t>
        </is>
      </c>
      <c r="C91" s="22" t="n">
        <v>0.9</v>
      </c>
    </row>
    <row r="92">
      <c r="A92" t="inlineStr">
        <is>
          <t>Debt / equity (market)</t>
        </is>
      </c>
      <c r="C92" s="22" t="n">
        <v>0.824908599574607</v>
      </c>
    </row>
    <row r="93">
      <c r="A93" t="inlineStr">
        <is>
          <t>Levered beta</t>
        </is>
      </c>
      <c r="C93" s="23">
        <f>$C$91*(1+(1-$C$90)*$C$92)</f>
        <v/>
      </c>
    </row>
    <row r="94">
      <c r="A94" t="inlineStr">
        <is>
          <t>Explicit company premium</t>
        </is>
      </c>
      <c r="C94" s="4" t="n">
        <v>0</v>
      </c>
    </row>
    <row r="95">
      <c r="A95" t="inlineStr">
        <is>
          <t>Cost of equity</t>
        </is>
      </c>
      <c r="C95" s="10">
        <f>$C$87-$C$88+$C$93*$C$89+$C$94</f>
        <v/>
      </c>
    </row>
    <row r="96">
      <c r="A96" t="inlineStr">
        <is>
          <t>Pre-tax cost of debt</t>
        </is>
      </c>
      <c r="C96" s="10">
        <f>$C$87+Drivers!$C$13</f>
        <v/>
      </c>
    </row>
    <row r="97">
      <c r="A97" t="inlineStr">
        <is>
          <t>WACC</t>
        </is>
      </c>
      <c r="C97" s="10">
        <f>1/(1+$C$92)*$C$95+$C$92/(1+$C$92)*$C$96*(1-$C$90)</f>
        <v/>
      </c>
    </row>
    <row r="98">
      <c r="A98" t="inlineStr">
        <is>
          <t>Terminal growth (capped)</t>
        </is>
      </c>
      <c r="C98" s="4" t="n">
        <v>0.025</v>
      </c>
    </row>
    <row r="100">
      <c r="A100" s="1" t="inlineStr">
        <is>
          <t>DCF (FCFF, terminal value)</t>
        </is>
      </c>
    </row>
    <row r="101">
      <c r="A101" t="inlineStr">
        <is>
          <t>Share of year after balance-sheet date</t>
        </is>
      </c>
      <c r="H101" s="12" t="n">
        <v>0.503765</v>
      </c>
      <c r="I101" s="12" t="n">
        <v>0.996578</v>
      </c>
      <c r="J101" s="12" t="n">
        <v>0.999316</v>
      </c>
      <c r="K101" s="12" t="n">
        <v>0.996578</v>
      </c>
      <c r="L101" s="12" t="n">
        <v>0.996578</v>
      </c>
      <c r="M101" s="12" t="n">
        <v>0.996578</v>
      </c>
      <c r="N101" s="12" t="n">
        <v>0.999316</v>
      </c>
      <c r="O101" s="12" t="n">
        <v>0.996578</v>
      </c>
      <c r="P101" s="12" t="n">
        <v>0.996578</v>
      </c>
      <c r="Q101" s="12" t="n">
        <v>0.996578</v>
      </c>
    </row>
    <row r="102">
      <c r="A102" t="inlineStr">
        <is>
          <t>Discount time from valuation date (years)</t>
        </is>
      </c>
      <c r="H102" s="12" t="n">
        <v>0</v>
      </c>
      <c r="I102" s="12" t="n">
        <v>0.673511</v>
      </c>
      <c r="J102" s="12" t="n">
        <v>1.672827</v>
      </c>
      <c r="K102" s="12" t="n">
        <v>2.67488</v>
      </c>
      <c r="L102" s="12" t="n">
        <v>3.674196</v>
      </c>
      <c r="M102" s="12" t="n">
        <v>4.673511</v>
      </c>
      <c r="N102" s="12" t="n">
        <v>5.672827</v>
      </c>
      <c r="O102" s="12" t="n">
        <v>6.67488</v>
      </c>
      <c r="P102" s="12" t="n">
        <v>7.674196</v>
      </c>
      <c r="Q102" s="12" t="n">
        <v>8.673511</v>
      </c>
    </row>
    <row r="103">
      <c r="A103" t="inlineStr">
        <is>
          <t>Discount factor</t>
        </is>
      </c>
      <c r="H103">
        <f>1/(1+$C$97)^H102</f>
        <v/>
      </c>
      <c r="I103">
        <f>1/(1+$C$97)^I102</f>
        <v/>
      </c>
      <c r="J103">
        <f>1/(1+$C$97)^J102</f>
        <v/>
      </c>
      <c r="K103">
        <f>1/(1+$C$97)^K102</f>
        <v/>
      </c>
      <c r="L103">
        <f>1/(1+$C$97)^L102</f>
        <v/>
      </c>
      <c r="M103">
        <f>1/(1+$C$97)^M102</f>
        <v/>
      </c>
      <c r="N103">
        <f>1/(1+$C$97)^N102</f>
        <v/>
      </c>
      <c r="O103">
        <f>1/(1+$C$97)^O102</f>
        <v/>
      </c>
      <c r="P103">
        <f>1/(1+$C$97)^P102</f>
        <v/>
      </c>
      <c r="Q103">
        <f>1/(1+$C$97)^Q102</f>
        <v/>
      </c>
    </row>
    <row r="104">
      <c r="A104" t="inlineStr">
        <is>
          <t>PV of FCFF</t>
        </is>
      </c>
      <c r="H104" s="24">
        <f>H51*H101*H103</f>
        <v/>
      </c>
      <c r="I104" s="24">
        <f>I51*I101*I103</f>
        <v/>
      </c>
      <c r="J104" s="24">
        <f>J51*J101*J103</f>
        <v/>
      </c>
      <c r="K104" s="24">
        <f>K51*K101*K103</f>
        <v/>
      </c>
      <c r="L104" s="24">
        <f>L51*L101*L103</f>
        <v/>
      </c>
      <c r="M104" s="24">
        <f>M51*M101*M103</f>
        <v/>
      </c>
      <c r="N104" s="24">
        <f>N51*N101*N103</f>
        <v/>
      </c>
      <c r="O104" s="24">
        <f>O51*O101*O103</f>
        <v/>
      </c>
      <c r="P104" s="24">
        <f>P51*P101*P103</f>
        <v/>
      </c>
      <c r="Q104" s="24">
        <f>Q51*Q101*Q103</f>
        <v/>
      </c>
    </row>
    <row r="105">
      <c r="A105" t="inlineStr">
        <is>
          <t>Sum of PV</t>
        </is>
      </c>
      <c r="C105" s="24">
        <f>SUM(H104:Q104)</f>
        <v/>
      </c>
    </row>
    <row r="106">
      <c r="A106" t="inlineStr">
        <is>
          <t>Years to end of horizon</t>
        </is>
      </c>
      <c r="C106" s="21" t="n">
        <v>9.171799999999999</v>
      </c>
    </row>
    <row r="107">
      <c r="A107" t="inlineStr">
        <is>
          <t>Terminal value</t>
        </is>
      </c>
      <c r="C107" s="24">
        <f>Q51*(1+$C$98)/($C$97-$C$98)</f>
        <v/>
      </c>
    </row>
    <row r="108">
      <c r="A108" t="inlineStr">
        <is>
          <t>PV of terminal value</t>
        </is>
      </c>
      <c r="C108" s="24">
        <f>$C$107/(1+$C$97)^$C$106</f>
        <v/>
      </c>
    </row>
    <row r="109">
      <c r="A109" t="inlineStr">
        <is>
          <t>Enterprise value</t>
        </is>
      </c>
      <c r="C109" s="24">
        <f>$C$105+$C$108</f>
        <v/>
      </c>
    </row>
    <row r="110">
      <c r="A110" t="inlineStr">
        <is>
          <t>Equity value</t>
        </is>
      </c>
      <c r="C110" s="24">
        <f>$C$109-($C$80-$C$81)-$C$82+$C$83+$C$84</f>
        <v/>
      </c>
    </row>
    <row r="111">
      <c r="A111" t="inlineStr">
        <is>
          <t>Value per share (IDR) — DCF (FCFF, terminal value)</t>
        </is>
      </c>
      <c r="C111" s="25">
        <f>MAX(0,$C$110/$C$78*$C$86*$C$79)</f>
        <v/>
      </c>
    </row>
    <row r="113">
      <c r="A113" s="1" t="inlineStr">
        <is>
          <t>TARGET</t>
        </is>
      </c>
    </row>
    <row r="114">
      <c r="A114" t="inlineStr">
        <is>
          <t>Weight: DCF (FCFF, terminal value)</t>
        </is>
      </c>
      <c r="C114" s="4" t="n">
        <v>1</v>
      </c>
    </row>
    <row r="115">
      <c r="A115" t="inlineStr">
        <is>
          <t>Value today (weighted)</t>
        </is>
      </c>
      <c r="C115" s="25">
        <f>$C$111*$C$114</f>
        <v/>
      </c>
    </row>
    <row r="116">
      <c r="A116" t="inlineStr">
        <is>
          <t>DPS expected in next 12 months (IDR)</t>
        </is>
      </c>
      <c r="C116" s="16" t="n">
        <v>9.761769963151462</v>
      </c>
    </row>
    <row r="117">
      <c r="A117" t="inlineStr">
        <is>
          <t>Base-case 12-month value</t>
        </is>
      </c>
      <c r="C117" s="25">
        <f>MAX(0,$C$115*(1+$C$95)-$C$116)</f>
        <v/>
      </c>
    </row>
    <row r="118">
      <c r="A118" t="inlineStr">
        <is>
          <t>Bear probability</t>
        </is>
      </c>
      <c r="C118" s="4" t="n">
        <v>0.25</v>
      </c>
    </row>
    <row r="119">
      <c r="A119" t="inlineStr">
        <is>
          <t>Bear 12-month value (engine)</t>
        </is>
      </c>
      <c r="C119" s="16" t="n">
        <v>619.9699578316099</v>
      </c>
    </row>
    <row r="120">
      <c r="A120" t="inlineStr">
        <is>
          <t>Base probability</t>
        </is>
      </c>
      <c r="C120" s="4" t="n">
        <v>0.5</v>
      </c>
    </row>
    <row r="121">
      <c r="A121" t="inlineStr">
        <is>
          <t>Bull probability</t>
        </is>
      </c>
      <c r="C121" s="4" t="n">
        <v>0.25</v>
      </c>
    </row>
    <row r="122">
      <c r="A122" t="inlineStr">
        <is>
          <t>Bull 12-month value (engine)</t>
        </is>
      </c>
      <c r="C122" s="16" t="n">
        <v>3608.245505715186</v>
      </c>
    </row>
    <row r="123">
      <c r="A123" t="inlineStr">
        <is>
          <t>Probability-weighted 12-month value</t>
        </is>
      </c>
      <c r="C123" s="25">
        <f>$C$118*$C$119+$C$120*$C$117+$C$121*$C$122</f>
        <v/>
      </c>
    </row>
    <row r="124">
      <c r="A124" t="inlineStr">
        <is>
          <t>Liquidity discount (limits.yaml)</t>
        </is>
      </c>
      <c r="C124" s="4" t="n">
        <v>0</v>
      </c>
    </row>
    <row r="125">
      <c r="A125" t="inlineStr">
        <is>
          <t>Fundamental 12-month value (after liquidity discount)</t>
        </is>
      </c>
      <c r="C125" s="25">
        <f>$C$123*(1-$C$124)</f>
        <v/>
      </c>
    </row>
    <row r="126">
      <c r="A126" t="inlineStr">
        <is>
          <t>Konglo lens: price / fundamental value today (engine)</t>
        </is>
      </c>
      <c r="C126" s="19" t="n">
        <v>0.8773</v>
      </c>
    </row>
    <row r="127">
      <c r="A127" t="inlineStr">
        <is>
          <t>Regime bear: probability (konglo deck)</t>
        </is>
      </c>
      <c r="C127" s="4" t="n">
        <v>0.25</v>
      </c>
    </row>
    <row r="128">
      <c r="A128" t="inlineStr">
        <is>
          <t>Regime bear: share of the log gap closed in 12 months</t>
        </is>
      </c>
      <c r="C128" s="4" t="n">
        <v>-0.15</v>
      </c>
    </row>
    <row r="129">
      <c r="A129" t="inlineStr">
        <is>
          <t>Regime base: probability (konglo deck)</t>
        </is>
      </c>
      <c r="C129" s="4" t="n">
        <v>0.5</v>
      </c>
    </row>
    <row r="130">
      <c r="A130" t="inlineStr">
        <is>
          <t>Regime base: share of the log gap closed in 12 months</t>
        </is>
      </c>
      <c r="C130" s="4" t="n">
        <v>0.3</v>
      </c>
    </row>
    <row r="131">
      <c r="A131" t="inlineStr">
        <is>
          <t>Regime bull: probability (konglo deck)</t>
        </is>
      </c>
      <c r="C131" s="4" t="n">
        <v>0.25</v>
      </c>
    </row>
    <row r="132">
      <c r="A132" t="inlineStr">
        <is>
          <t>Regime bull: share of the log gap closed in 12 months</t>
        </is>
      </c>
      <c r="C132" s="4" t="n">
        <v>0.7</v>
      </c>
    </row>
    <row r="133">
      <c r="A133" t="inlineStr">
        <is>
          <t>Share of today's premium kept (probability-weighted)</t>
        </is>
      </c>
      <c r="C133" s="26">
        <f>$C$127*$C$126^(1-$C$128)+$C$129*$C$126^(1-$C$130)+$C$131*$C$126^(1-$C$132)</f>
        <v/>
      </c>
    </row>
    <row r="134">
      <c r="A134" t="inlineStr">
        <is>
          <t>TARGET PRICE (IDR) — konglo lens</t>
        </is>
      </c>
      <c r="C134" s="27">
        <f>$C$125*$C$133</f>
        <v/>
      </c>
    </row>
    <row r="135">
      <c r="A135" t="inlineStr">
        <is>
          <t>Expected 12-month total return</t>
        </is>
      </c>
      <c r="C135" s="28">
        <f>($C$134+$C$116)/$C$77-1</f>
        <v/>
      </c>
    </row>
    <row r="136">
      <c r="A136" t="inlineStr">
        <is>
          <t>Rating</t>
        </is>
      </c>
      <c r="C136" s="29">
        <f>IF($C$135&gt;=0.25,"BUY",IF($C$135&gt;=0.1,"ADD",IF($C$135&lt;=-0.25,"SELL",IF($C$135&lt;=-0.1,"REDUCE","HOLD"))))</f>
        <v/>
      </c>
    </row>
    <row r="138">
      <c r="A138" s="1" t="inlineStr">
        <is>
          <t>DCF value per share vs WACC and terminal growth (engine values)</t>
        </is>
      </c>
    </row>
    <row r="139">
      <c r="A139" s="5" t="inlineStr">
        <is>
          <t>rows: Terminal growth (+/- pp) · columns: WACC (+/- pp)</t>
        </is>
      </c>
      <c r="D139" s="1" t="n">
        <v>-0.01</v>
      </c>
      <c r="E139" s="1" t="n">
        <v>-0.005</v>
      </c>
      <c r="F139" s="1" t="n">
        <v>0</v>
      </c>
      <c r="G139" s="1" t="n">
        <v>0.005</v>
      </c>
      <c r="H139" s="1" t="n">
        <v>0.01</v>
      </c>
    </row>
    <row r="140">
      <c r="C140" s="1" t="n">
        <v>-0.01</v>
      </c>
      <c r="D140" s="25" t="n">
        <v>1695.361346</v>
      </c>
      <c r="E140" s="25" t="n">
        <v>1564.864291</v>
      </c>
      <c r="F140" s="25" t="n">
        <v>1448.676287</v>
      </c>
      <c r="G140" s="25" t="n">
        <v>1344.570543</v>
      </c>
      <c r="H140" s="25" t="n">
        <v>1250.758691</v>
      </c>
    </row>
    <row r="141">
      <c r="C141" s="1" t="n">
        <v>-0.005</v>
      </c>
      <c r="D141" s="25" t="n">
        <v>1774.546156</v>
      </c>
      <c r="E141" s="25" t="n">
        <v>1632.360493</v>
      </c>
      <c r="F141" s="25" t="n">
        <v>1506.627941</v>
      </c>
      <c r="G141" s="25" t="n">
        <v>1394.650535</v>
      </c>
      <c r="H141" s="25" t="n">
        <v>1294.28881</v>
      </c>
    </row>
    <row r="142">
      <c r="C142" s="1" t="n">
        <v>0</v>
      </c>
      <c r="D142" s="25" t="n">
        <v>1864.773805</v>
      </c>
      <c r="E142" s="25" t="n">
        <v>1708.655926</v>
      </c>
      <c r="F142" s="25" t="n">
        <v>1571.672219</v>
      </c>
      <c r="G142" s="25" t="n">
        <v>1450.506304</v>
      </c>
      <c r="H142" s="25" t="n">
        <v>1342.565584</v>
      </c>
    </row>
    <row r="143">
      <c r="C143" s="1" t="n">
        <v>0.005</v>
      </c>
      <c r="D143" s="25" t="n">
        <v>1968.527433</v>
      </c>
      <c r="E143" s="25" t="n">
        <v>1795.591256</v>
      </c>
      <c r="F143" s="25" t="n">
        <v>1645.196079</v>
      </c>
      <c r="G143" s="25" t="n">
        <v>1513.198184</v>
      </c>
      <c r="H143" s="25" t="n">
        <v>1396.410168</v>
      </c>
    </row>
    <row r="144">
      <c r="C144" s="1" t="n">
        <v>0.01</v>
      </c>
      <c r="D144" s="25" t="n">
        <v>2089.094995</v>
      </c>
      <c r="E144" s="25" t="n">
        <v>1895.559014</v>
      </c>
      <c r="F144" s="25" t="n">
        <v>1728.973323</v>
      </c>
      <c r="G144" s="25" t="n">
        <v>1584.062974</v>
      </c>
      <c r="H144" s="25" t="n">
        <v>1456.844717</v>
      </c>
    </row>
    <row r="146">
      <c r="A146" s="1" t="inlineStr">
        <is>
          <t>12-month value vs revenue growth and gross margin (engine values)</t>
        </is>
      </c>
    </row>
    <row r="147">
      <c r="A147" s="5" t="inlineStr">
        <is>
          <t>rows: Gross margin (+/- pp) · columns: Revenue growth (+/- pp, every year)</t>
        </is>
      </c>
      <c r="D147" s="1" t="n">
        <v>-0.04</v>
      </c>
      <c r="E147" s="1" t="n">
        <v>-0.02</v>
      </c>
      <c r="F147" s="1" t="n">
        <v>0</v>
      </c>
      <c r="G147" s="1" t="n">
        <v>0.02</v>
      </c>
      <c r="H147" s="1" t="n">
        <v>0.04</v>
      </c>
    </row>
    <row r="148">
      <c r="C148" s="1" t="n">
        <v>-0.02</v>
      </c>
      <c r="D148" s="25" t="n">
        <v>836.6907179999999</v>
      </c>
      <c r="E148" s="25" t="n">
        <v>1019.425839</v>
      </c>
      <c r="F148" s="25" t="n">
        <v>1225.715582</v>
      </c>
      <c r="G148" s="25" t="n">
        <v>1458.243559</v>
      </c>
      <c r="H148" s="25" t="n">
        <v>1719.9375</v>
      </c>
    </row>
    <row r="149">
      <c r="C149" s="1" t="n">
        <v>-0.01</v>
      </c>
      <c r="D149" s="25" t="n">
        <v>1053.411478</v>
      </c>
      <c r="E149" s="25" t="n">
        <v>1268.007963</v>
      </c>
      <c r="F149" s="25" t="n">
        <v>1511.217592</v>
      </c>
      <c r="G149" s="25" t="n">
        <v>1786.484662</v>
      </c>
      <c r="H149" s="25" t="n">
        <v>2097.599101</v>
      </c>
    </row>
    <row r="150">
      <c r="C150" s="1" t="n">
        <v>0</v>
      </c>
      <c r="D150" s="25" t="n">
        <v>1270.132238</v>
      </c>
      <c r="E150" s="25" t="n">
        <v>1516.590087</v>
      </c>
      <c r="F150" s="25" t="n">
        <v>1796.719602</v>
      </c>
      <c r="G150" s="25" t="n">
        <v>2114.725766</v>
      </c>
      <c r="H150" s="25" t="n">
        <v>2475.260702</v>
      </c>
    </row>
    <row r="151">
      <c r="C151" s="1" t="n">
        <v>0.01</v>
      </c>
      <c r="D151" s="25" t="n">
        <v>1486.852998</v>
      </c>
      <c r="E151" s="25" t="n">
        <v>1765.172211</v>
      </c>
      <c r="F151" s="25" t="n">
        <v>2082.221612</v>
      </c>
      <c r="G151" s="25" t="n">
        <v>2442.966869</v>
      </c>
      <c r="H151" s="25" t="n">
        <v>2852.922304</v>
      </c>
    </row>
    <row r="152">
      <c r="C152" s="1" t="n">
        <v>0.02</v>
      </c>
      <c r="D152" s="25" t="n">
        <v>1703.573758</v>
      </c>
      <c r="E152" s="25" t="n">
        <v>2013.754335</v>
      </c>
      <c r="F152" s="25" t="n">
        <v>2367.723623</v>
      </c>
      <c r="G152" s="25" t="n">
        <v>2771.207973</v>
      </c>
      <c r="H152" s="25" t="n">
        <v>3230.583905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2026-10-29T11:55:56Z</dcterms:created>
  <dcterms:modified xsi:type="dcterms:W3CDTF">2026-10-29T11:55:56Z</dcterms:modified>
</cp:coreProperties>
</file>