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2026-10-30T18:34:03+07:00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0.04989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2026-10-30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16.977483</v>
      </c>
      <c r="I2" s="9" t="n">
        <v>9.499769000000001</v>
      </c>
      <c r="J2" s="10" t="n">
        <v>0.00589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0.576</v>
      </c>
      <c r="I11" s="4" t="n">
        <v>0.05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0.175</v>
      </c>
      <c r="I12" s="4" t="n">
        <v>0.175</v>
      </c>
      <c r="J12" s="4" t="n">
        <v>0.175</v>
      </c>
      <c r="K12" s="4" t="n">
        <v>0.175</v>
      </c>
      <c r="L12" s="4" t="n">
        <v>0.175</v>
      </c>
      <c r="M12" s="4" t="n">
        <v>0.175</v>
      </c>
      <c r="N12" s="4" t="n">
        <v>0.175</v>
      </c>
      <c r="O12" s="4" t="n">
        <v>0.175</v>
      </c>
      <c r="P12" s="4" t="n">
        <v>0.175</v>
      </c>
      <c r="Q12" s="4" t="n">
        <v>0.175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0.0635</v>
      </c>
      <c r="I15" s="4" t="n">
        <v>0.0635</v>
      </c>
      <c r="J15" s="4" t="n">
        <v>0.0635</v>
      </c>
      <c r="K15" s="4" t="n">
        <v>0.0635</v>
      </c>
      <c r="L15" s="4" t="n">
        <v>0.0635</v>
      </c>
      <c r="M15" s="4" t="n">
        <v>0.0635</v>
      </c>
      <c r="N15" s="4" t="n">
        <v>0.0635</v>
      </c>
      <c r="O15" s="4" t="n">
        <v>0.0635</v>
      </c>
      <c r="P15" s="4" t="n">
        <v>0.0635</v>
      </c>
      <c r="Q15" s="4" t="n">
        <v>0.0635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0.06900000000000001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0.099</v>
      </c>
      <c r="I18" s="4" t="n">
        <v>0.128</v>
      </c>
      <c r="J18" s="4" t="n">
        <v>0.128</v>
      </c>
      <c r="K18" s="4" t="n">
        <v>0.128</v>
      </c>
      <c r="L18" s="4" t="n">
        <v>0.128</v>
      </c>
      <c r="M18" s="4" t="n">
        <v>0.128</v>
      </c>
      <c r="N18" s="4" t="n">
        <v>0.128</v>
      </c>
      <c r="O18" s="4" t="n">
        <v>0.128</v>
      </c>
      <c r="P18" s="4" t="n">
        <v>0.128</v>
      </c>
      <c r="Q18" s="4" t="n">
        <v>0.128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0.035</v>
      </c>
      <c r="I19" s="4" t="n">
        <v>0.07000000000000001</v>
      </c>
      <c r="J19" s="4" t="n">
        <v>0.1</v>
      </c>
      <c r="K19" s="4" t="n">
        <v>0.13</v>
      </c>
      <c r="L19" s="4" t="n">
        <v>0.15</v>
      </c>
      <c r="M19" s="4" t="n">
        <v>0.18</v>
      </c>
      <c r="N19" s="4" t="n">
        <v>0.18</v>
      </c>
      <c r="O19" s="4" t="n">
        <v>0.18</v>
      </c>
      <c r="P19" s="4" t="n">
        <v>0.18</v>
      </c>
      <c r="Q19" s="4" t="n">
        <v>0.18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0.06900000000000001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0.05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679.649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0.28</v>
      </c>
      <c r="I24" s="4" t="n">
        <v>0.28</v>
      </c>
      <c r="J24" s="4" t="n">
        <v>0.28</v>
      </c>
      <c r="K24" s="4" t="n">
        <v>0.28</v>
      </c>
      <c r="L24" s="4" t="n">
        <v>0.28</v>
      </c>
      <c r="M24" s="4" t="n">
        <v>0.28</v>
      </c>
      <c r="N24" s="4" t="n">
        <v>0.28</v>
      </c>
      <c r="O24" s="4" t="n">
        <v>0.28</v>
      </c>
      <c r="P24" s="4" t="n">
        <v>0.28</v>
      </c>
      <c r="Q24" s="4" t="n">
        <v>0.28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1350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18130</v>
      </c>
    </row>
    <row r="80">
      <c r="A80" t="inlineStr">
        <is>
          <t>Debt at balance-sheet date</t>
        </is>
      </c>
      <c r="C80" s="13" t="n">
        <v>6093.879</v>
      </c>
    </row>
    <row r="81">
      <c r="A81" t="inlineStr">
        <is>
          <t>Cash at balance-sheet date</t>
        </is>
      </c>
      <c r="C81" s="13" t="n">
        <v>2962.669</v>
      </c>
    </row>
    <row r="82">
      <c r="A82" t="inlineStr">
        <is>
          <t>Minority interest (book)</t>
        </is>
      </c>
      <c r="C82" s="13" t="n">
        <v>1036.524</v>
      </c>
    </row>
    <row r="83">
      <c r="A83" t="inlineStr">
        <is>
          <t>Associates &amp; investments (book)</t>
        </is>
      </c>
      <c r="C83" s="13" t="n">
        <v>210.956</v>
      </c>
    </row>
    <row r="84">
      <c r="A84" t="inlineStr">
        <is>
          <t>Post-balance-sheet &amp; other items (sourced, probability-weighted)</t>
        </is>
      </c>
      <c r="C84" s="13" t="n">
        <v>497.051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0.9464987547727106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0.670773</v>
      </c>
      <c r="J102" s="12" t="n">
        <v>1.670089</v>
      </c>
      <c r="K102" s="12" t="n">
        <v>2.672142</v>
      </c>
      <c r="L102" s="12" t="n">
        <v>3.671458</v>
      </c>
      <c r="M102" s="12" t="n">
        <v>4.670773</v>
      </c>
      <c r="N102" s="12" t="n">
        <v>5.670089</v>
      </c>
      <c r="O102" s="12" t="n">
        <v>6.672142</v>
      </c>
      <c r="P102" s="12" t="n">
        <v>7.671458</v>
      </c>
      <c r="Q102" s="12" t="n">
        <v>8.670773000000001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9.169062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7.951708910558592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0.25</v>
      </c>
    </row>
    <row r="119">
      <c r="A119" t="inlineStr">
        <is>
          <t>Bear 12-month value (engine)</t>
        </is>
      </c>
      <c r="C119" s="16" t="n">
        <v>0</v>
      </c>
    </row>
    <row r="120">
      <c r="A120" t="inlineStr">
        <is>
          <t>Base probability</t>
        </is>
      </c>
      <c r="C120" s="4" t="n">
        <v>0.5</v>
      </c>
    </row>
    <row r="121">
      <c r="A121" t="inlineStr">
        <is>
          <t>Bull probability</t>
        </is>
      </c>
      <c r="C121" s="4" t="n">
        <v>0.25</v>
      </c>
    </row>
    <row r="122">
      <c r="A122" t="inlineStr">
        <is>
          <t>Bull 12-month value (engine)</t>
        </is>
      </c>
      <c r="C122" s="16" t="n">
        <v>2862.745508534519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1.150875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0.7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-0.15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1207.46353</v>
      </c>
      <c r="E140" s="25" t="n">
        <v>1092.867587</v>
      </c>
      <c r="F140" s="25" t="n">
        <v>990.918267</v>
      </c>
      <c r="G140" s="25" t="n">
        <v>899.632566</v>
      </c>
      <c r="H140" s="25" t="n">
        <v>817.420929</v>
      </c>
    </row>
    <row r="141">
      <c r="C141" s="1" t="n">
        <v>-0.005</v>
      </c>
      <c r="D141" s="25" t="n">
        <v>1277.285459</v>
      </c>
      <c r="E141" s="25" t="n">
        <v>1152.30991</v>
      </c>
      <c r="F141" s="25" t="n">
        <v>1041.899266</v>
      </c>
      <c r="G141" s="25" t="n">
        <v>943.645759</v>
      </c>
      <c r="H141" s="25" t="n">
        <v>855.644129</v>
      </c>
    </row>
    <row r="142">
      <c r="C142" s="1" t="n">
        <v>0</v>
      </c>
      <c r="D142" s="25" t="n">
        <v>1356.954293</v>
      </c>
      <c r="E142" s="25" t="n">
        <v>1219.583123</v>
      </c>
      <c r="F142" s="25" t="n">
        <v>1099.181412</v>
      </c>
      <c r="G142" s="25" t="n">
        <v>992.782276</v>
      </c>
      <c r="H142" s="25" t="n">
        <v>898.071954</v>
      </c>
    </row>
    <row r="143">
      <c r="C143" s="1" t="n">
        <v>0.005</v>
      </c>
      <c r="D143" s="25" t="n">
        <v>1448.711106</v>
      </c>
      <c r="E143" s="25" t="n">
        <v>1296.343798</v>
      </c>
      <c r="F143" s="25" t="n">
        <v>1164.009868</v>
      </c>
      <c r="G143" s="25" t="n">
        <v>1047.991966</v>
      </c>
      <c r="H143" s="25" t="n">
        <v>945.4385600000001</v>
      </c>
    </row>
    <row r="144">
      <c r="C144" s="1" t="n">
        <v>0.01</v>
      </c>
      <c r="D144" s="25" t="n">
        <v>1555.532865</v>
      </c>
      <c r="E144" s="25" t="n">
        <v>1384.751203</v>
      </c>
      <c r="F144" s="25" t="n">
        <v>1237.981005</v>
      </c>
      <c r="G144" s="25" t="n">
        <v>1110.474942</v>
      </c>
      <c r="H144" s="25" t="n">
        <v>998.659581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369.313324</v>
      </c>
      <c r="E148" s="25" t="n">
        <v>489.53703</v>
      </c>
      <c r="F148" s="25" t="n">
        <v>620.455077</v>
      </c>
      <c r="G148" s="25" t="n">
        <v>762.3728139999999</v>
      </c>
      <c r="H148" s="25" t="n">
        <v>915.465156</v>
      </c>
    </row>
    <row r="149">
      <c r="C149" s="1" t="n">
        <v>-0.01</v>
      </c>
      <c r="D149" s="25" t="n">
        <v>613.609439</v>
      </c>
      <c r="E149" s="25" t="n">
        <v>769.074685</v>
      </c>
      <c r="F149" s="25" t="n">
        <v>940.782281</v>
      </c>
      <c r="G149" s="25" t="n">
        <v>1129.86727</v>
      </c>
      <c r="H149" s="25" t="n">
        <v>1337.44442</v>
      </c>
    </row>
    <row r="150">
      <c r="C150" s="1" t="n">
        <v>0</v>
      </c>
      <c r="D150" s="25" t="n">
        <v>857.9055540000001</v>
      </c>
      <c r="E150" s="25" t="n">
        <v>1048.612339</v>
      </c>
      <c r="F150" s="25" t="n">
        <v>1261.109486</v>
      </c>
      <c r="G150" s="25" t="n">
        <v>1497.361727</v>
      </c>
      <c r="H150" s="25" t="n">
        <v>1759.423684</v>
      </c>
    </row>
    <row r="151">
      <c r="C151" s="1" t="n">
        <v>0.01</v>
      </c>
      <c r="D151" s="25" t="n">
        <v>1102.201669</v>
      </c>
      <c r="E151" s="25" t="n">
        <v>1328.149994</v>
      </c>
      <c r="F151" s="25" t="n">
        <v>1581.43669</v>
      </c>
      <c r="G151" s="25" t="n">
        <v>1864.856183</v>
      </c>
      <c r="H151" s="25" t="n">
        <v>2181.402949</v>
      </c>
    </row>
    <row r="152">
      <c r="C152" s="1" t="n">
        <v>0.02</v>
      </c>
      <c r="D152" s="25" t="n">
        <v>1346.497783</v>
      </c>
      <c r="E152" s="25" t="n">
        <v>1607.687648</v>
      </c>
      <c r="F152" s="25" t="n">
        <v>1901.763895</v>
      </c>
      <c r="G152" s="25" t="n">
        <v>2232.350639</v>
      </c>
      <c r="H152" s="25" t="n">
        <v>2603.382213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2026-10-30T11:34:03Z</dcterms:created>
  <dcterms:modified xsi:type="dcterms:W3CDTF">2026-10-30T11:34:03Z</dcterms:modified>
</cp:coreProperties>
</file>