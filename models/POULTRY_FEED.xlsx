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WM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#,##0;(#,##0);&quot;-&quot;"/>
    <numFmt numFmtId="168" formatCode="0.0&quot;x&quot;;(0.0&quot;x&quot;);&quot;-&quot;"/>
    <numFmt numFmtId="169" formatCode="#,##0.000;(#,##0.000);&quot;-&quot;"/>
    <numFmt numFmtId="170" formatCode="0.00;(0.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167" fontId="6" fillId="0" borderId="0" pivotButton="0" quotePrefix="0" xfId="0"/>
    <xf numFmtId="165" fontId="6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6" fontId="5" fillId="0" borderId="0" pivotButton="0" quotePrefix="0" xfId="0"/>
    <xf numFmtId="167" fontId="2" fillId="0" borderId="0" pivotButton="0" quotePrefix="0" xfId="0"/>
    <xf numFmtId="167" fontId="5" fillId="0" borderId="0" pivotButton="0" quotePrefix="0" xfId="0"/>
    <xf numFmtId="165" fontId="5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Poultry, feed &amp; protein industry model</t>
        </is>
      </c>
    </row>
    <row r="2">
      <c r="A2" s="2" t="inlineStr">
        <is>
          <t>Generated 2026-10-27T10:28:09+07:00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WMPP.JK — PT Widodo Makmur Perkasa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FY2022A</t>
        </is>
      </c>
      <c r="E3" s="1" t="inlineStr">
        <is>
          <t>FY2023A</t>
        </is>
      </c>
      <c r="F3" s="1" t="inlineStr">
        <is>
          <t>FY2024A</t>
        </is>
      </c>
      <c r="G3" s="1" t="inlineStr">
        <is>
          <t>FY2025A</t>
        </is>
      </c>
      <c r="H3" s="1" t="inlineStr">
        <is>
          <t>FY2026E</t>
        </is>
      </c>
      <c r="I3" s="1" t="inlineStr">
        <is>
          <t>FY2027E</t>
        </is>
      </c>
      <c r="J3" s="1" t="inlineStr">
        <is>
          <t>FY2028E</t>
        </is>
      </c>
      <c r="K3" s="1" t="inlineStr">
        <is>
          <t>FY2029E</t>
        </is>
      </c>
      <c r="L3" s="1" t="inlineStr">
        <is>
          <t>FY2030E</t>
        </is>
      </c>
      <c r="M3" s="1" t="inlineStr">
        <is>
          <t>FY2031E</t>
        </is>
      </c>
      <c r="N3" s="1" t="inlineStr">
        <is>
          <t>FY2032E</t>
        </is>
      </c>
      <c r="O3" s="1" t="inlineStr">
        <is>
          <t>FY2033E</t>
        </is>
      </c>
      <c r="P3" s="1" t="inlineStr">
        <is>
          <t>FY2034E</t>
        </is>
      </c>
      <c r="Q3" s="1" t="inlineStr">
        <is>
          <t>FY2035E</t>
        </is>
      </c>
    </row>
    <row r="4">
      <c r="A4" t="inlineStr">
        <is>
          <t>IDR per USD</t>
        </is>
      </c>
      <c r="B4" t="inlineStr">
        <is>
          <t>m.usd_idr</t>
        </is>
      </c>
      <c r="C4" t="inlineStr">
        <is>
          <t>IDR/USD · reviewed</t>
        </is>
      </c>
      <c r="D4" s="3" t="n">
        <v>14843.1773</v>
      </c>
      <c r="E4" s="3" t="n">
        <v>15228.8</v>
      </c>
      <c r="F4" s="3" t="n">
        <v>15846.2378</v>
      </c>
      <c r="G4" s="3" t="n">
        <v>16448.0929</v>
      </c>
      <c r="H4" s="3" t="n">
        <v>17570</v>
      </c>
      <c r="I4" s="3" t="n">
        <v>18350</v>
      </c>
      <c r="J4" s="3" t="n">
        <v>18600</v>
      </c>
      <c r="K4" s="3" t="n">
        <v>18850</v>
      </c>
      <c r="L4" s="3" t="n">
        <v>19093.13725490196</v>
      </c>
      <c r="M4" s="3" t="n">
        <v>19186.73106497501</v>
      </c>
      <c r="N4" s="3" t="n">
        <v>19280.78366823469</v>
      </c>
      <c r="O4" s="3" t="n">
        <v>19375.29731366722</v>
      </c>
      <c r="P4" s="3" t="n">
        <v>19470.27426128323</v>
      </c>
      <c r="Q4" s="3" t="n">
        <v>19565.71678217187</v>
      </c>
    </row>
    <row r="6">
      <c r="A6" s="1" t="inlineStr">
        <is>
          <t>Cost-of-capital scalars (macro deck)</t>
        </is>
      </c>
    </row>
    <row r="7">
      <c r="A7" t="inlineStr">
        <is>
          <t>10-year Indonesian government bond yield (IDR)</t>
        </is>
      </c>
      <c r="B7" t="inlineStr">
        <is>
          <t>m.rf_idr</t>
        </is>
      </c>
      <c r="C7" s="4" t="n">
        <v>0.0745</v>
      </c>
      <c r="D7" s="5" t="inlineStr">
        <is>
          <t>investor.id — "Yield SUN 7,45%, Saatnya Borong atau Tunggu Lebih Tinggi?" (25 Okt 2026 20:58 WIB; deck source S3); corroborated by kalderanews S1 (10Y SUN 7.41%</t>
        </is>
      </c>
    </row>
    <row r="8">
      <c r="A8" t="inlineStr">
        <is>
          <t>10-year US Treasury yield</t>
        </is>
      </c>
      <c r="B8" t="inlineStr">
        <is>
          <t>m.rf_usd</t>
        </is>
      </c>
      <c r="C8" s="4" t="n">
        <v>0.04986</v>
      </c>
      <c r="D8" s="5" t="inlineStr">
        <is>
          <t>Yahoo Finance ^TNX (US 10-year Treasury yield)</t>
        </is>
      </c>
    </row>
    <row r="9">
      <c r="A9" t="inlineStr">
        <is>
          <t>Indonesia sovereign default spread (Damodaran)</t>
        </is>
      </c>
      <c r="B9" t="inlineStr">
        <is>
          <t>m.default_spread_id</t>
        </is>
      </c>
      <c r="C9" s="4" t="n">
        <v>0.0162</v>
      </c>
      <c r="D9" s="5" t="inlineStr">
        <is>
          <t>Damodaran country risk premiums (https://pages.stern.nyu.edu/~adamodar/New_Home_Page/datafile/ctryprem.html), page dated January 5, 2026, read 2026-10-27</t>
        </is>
      </c>
    </row>
    <row r="10">
      <c r="A10" t="inlineStr">
        <is>
          <t>Mature-market equity risk premium (Damodaran)</t>
        </is>
      </c>
      <c r="B10" t="inlineStr">
        <is>
          <t>m.erp_mature</t>
        </is>
      </c>
      <c r="C10" s="4" t="n">
        <v>0.0423</v>
      </c>
      <c r="D10" s="5" t="inlineStr">
        <is>
          <t>Damodaran country risk premiums (https://pages.stern.nyu.edu/~adamodar/New_Home_Page/datafile/ctryprem.html), page dated January 5, 2026, read 2026-10-27</t>
        </is>
      </c>
    </row>
    <row r="11">
      <c r="A11" t="inlineStr">
        <is>
          <t>Indonesia country risk premium (Damodaran)</t>
        </is>
      </c>
      <c r="B11" t="inlineStr">
        <is>
          <t>m.crp_id</t>
        </is>
      </c>
      <c r="C11" s="4" t="n">
        <v>0.0246</v>
      </c>
      <c r="D11" s="5" t="inlineStr">
        <is>
          <t>Damodaran country risk premiums (https://pages.stern.nyu.edu/~adamodar/New_Home_Page/datafile/ctryprem.html), page dated January 5, 2026, read 2026-10-27</t>
        </is>
      </c>
    </row>
    <row r="12">
      <c r="A12" t="inlineStr">
        <is>
          <t>House pre-tax corporate debt spread over the risk-free</t>
        </is>
      </c>
      <c r="B12" t="inlineStr">
        <is>
          <t>m.debt_spread_corp</t>
        </is>
      </c>
      <c r="C12" s="4" t="n">
        <v>0.02</v>
      </c>
      <c r="D12" s="5" t="inlineStr">
        <is>
          <t>SEED house assumption pending the macro desk: 200 bp over the risk-free rate for an average IDX corporate borrower</t>
        </is>
      </c>
    </row>
    <row r="13">
      <c r="A13" t="inlineStr">
        <is>
          <t>Indonesia statutory corporate income tax rate</t>
        </is>
      </c>
      <c r="B13" t="inlineStr">
        <is>
          <t>m.tax_rate_id</t>
        </is>
      </c>
      <c r="C13" s="4" t="n">
        <v>0.22</v>
      </c>
      <c r="D13" s="5" t="inlineStr">
        <is>
          <t>Law 7/2021 on Harmonisation of Tax Regulations (UU HPP): 22% corporate income tax from fiscal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WMPP.JK</t>
        </is>
      </c>
      <c r="B2" t="inlineStr">
        <is>
          <t>PT Widodo Makmur Perkasa Tbk</t>
        </is>
      </c>
      <c r="C2" s="6">
        <f>'WMPP'!$C$122</f>
        <v/>
      </c>
      <c r="D2" s="7">
        <f>'WMPP'!$C$120</f>
        <v/>
      </c>
      <c r="E2" s="7">
        <f>'WMPP'!$C$76</f>
        <v/>
      </c>
      <c r="F2" s="8">
        <f>'WMPP'!$C$121</f>
        <v/>
      </c>
      <c r="G2" s="7">
        <f>'WMPP'!$C$110</f>
        <v/>
      </c>
      <c r="H2" s="9" t="n"/>
      <c r="I2" s="9" t="n">
        <v>316.392149</v>
      </c>
      <c r="J2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Widodo Makmur Perkasa Tbk (WMPP.JK) — Conglomerates &amp; multi-sector holdings</t>
        </is>
      </c>
    </row>
    <row r="2">
      <c r="A2" s="5" t="inlineStr">
        <is>
          <t>Units: IDR bn; per-share in IDR unless marked IDR. Model asof 2026-10-27 · data 2026-10-26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</row>
    <row r="6">
      <c r="A6" s="1" t="inlineStr">
        <is>
          <t>PARAMETERS</t>
        </is>
      </c>
    </row>
    <row r="7">
      <c r="A7" t="inlineStr">
        <is>
          <t>ps_factor</t>
        </is>
      </c>
      <c r="C7" s="12" t="n">
        <v>1000</v>
      </c>
    </row>
    <row r="8">
      <c r="A8" t="inlineStr">
        <is>
          <t>vp_factor</t>
        </is>
      </c>
      <c r="C8" s="12" t="n">
        <v>1</v>
      </c>
    </row>
    <row r="10">
      <c r="A10" s="1" t="inlineStr">
        <is>
          <t>INPUTS (company assumptions)</t>
        </is>
      </c>
    </row>
    <row r="11">
      <c r="A11" t="inlineStr">
        <is>
          <t>Revenue growth</t>
        </is>
      </c>
      <c r="B11" t="inlineStr">
        <is>
          <t>a.revenue_growth</t>
        </is>
      </c>
      <c r="H11" s="4" t="n">
        <v>0.11</v>
      </c>
      <c r="I11" s="4" t="n">
        <v>0.1</v>
      </c>
      <c r="J11" s="4" t="n">
        <v>0.09</v>
      </c>
      <c r="K11" s="4" t="n">
        <v>0.08500000000000001</v>
      </c>
      <c r="L11" s="4" t="n">
        <v>0.08500000000000001</v>
      </c>
      <c r="M11" s="4" t="n">
        <v>0.05</v>
      </c>
      <c r="N11" s="4" t="n">
        <v>0.05</v>
      </c>
      <c r="O11" s="4" t="n">
        <v>0.05</v>
      </c>
      <c r="P11" s="4" t="n">
        <v>0.05</v>
      </c>
      <c r="Q11" s="4" t="n">
        <v>0.05</v>
      </c>
    </row>
    <row r="12">
      <c r="A12" t="inlineStr">
        <is>
          <t>Gross margin at base input costs</t>
        </is>
      </c>
      <c r="B12" t="inlineStr">
        <is>
          <t>a.gross_margin</t>
        </is>
      </c>
      <c r="H12" s="4" t="n">
        <v>0.011</v>
      </c>
      <c r="I12" s="4" t="n">
        <v>0.011</v>
      </c>
      <c r="J12" s="4" t="n">
        <v>0.011</v>
      </c>
      <c r="K12" s="4" t="n">
        <v>0.011</v>
      </c>
      <c r="L12" s="4" t="n">
        <v>0.011</v>
      </c>
      <c r="M12" s="4" t="n">
        <v>0.011</v>
      </c>
      <c r="N12" s="4" t="n">
        <v>0.011</v>
      </c>
      <c r="O12" s="4" t="n">
        <v>0.011</v>
      </c>
      <c r="P12" s="4" t="n">
        <v>0.011</v>
      </c>
      <c r="Q12" s="4" t="n">
        <v>0.011</v>
      </c>
    </row>
    <row r="13">
      <c r="A13" t="inlineStr">
        <is>
          <t>SG&amp;A / revenue</t>
        </is>
      </c>
      <c r="B13" t="inlineStr">
        <is>
          <t>a.opex_pct</t>
        </is>
      </c>
      <c r="H13" s="4" t="n">
        <v>0.1024</v>
      </c>
      <c r="I13" s="4" t="n">
        <v>0.1024</v>
      </c>
      <c r="J13" s="4" t="n">
        <v>0.1024</v>
      </c>
      <c r="K13" s="4" t="n">
        <v>0.1024</v>
      </c>
      <c r="L13" s="4" t="n">
        <v>0.1024</v>
      </c>
      <c r="M13" s="4" t="n">
        <v>0.1024</v>
      </c>
      <c r="N13" s="4" t="n">
        <v>0.1024</v>
      </c>
      <c r="O13" s="4" t="n">
        <v>0.1024</v>
      </c>
      <c r="P13" s="4" t="n">
        <v>0.1024</v>
      </c>
      <c r="Q13" s="4" t="n">
        <v>0.1024</v>
      </c>
    </row>
    <row r="14">
      <c r="A14" t="inlineStr">
        <is>
          <t>D&amp;A / revenue</t>
        </is>
      </c>
      <c r="B14" t="inlineStr">
        <is>
          <t>a.da_pct</t>
        </is>
      </c>
      <c r="H14" s="4" t="n">
        <v>0.1037</v>
      </c>
      <c r="I14" s="4" t="n">
        <v>0.1037</v>
      </c>
      <c r="J14" s="4" t="n">
        <v>0.1037</v>
      </c>
      <c r="K14" s="4" t="n">
        <v>0.1037</v>
      </c>
      <c r="L14" s="4" t="n">
        <v>0.1037</v>
      </c>
      <c r="M14" s="4" t="n">
        <v>0.1037</v>
      </c>
      <c r="N14" s="4" t="n">
        <v>0.1037</v>
      </c>
      <c r="O14" s="4" t="n">
        <v>0.1037</v>
      </c>
      <c r="P14" s="4" t="n">
        <v>0.1037</v>
      </c>
      <c r="Q14" s="4" t="n">
        <v>0.1037</v>
      </c>
    </row>
    <row r="15">
      <c r="A15" t="inlineStr">
        <is>
          <t>Capex / revenue</t>
        </is>
      </c>
      <c r="B15" t="inlineStr">
        <is>
          <t>a.capex_pct</t>
        </is>
      </c>
      <c r="H15" s="4" t="n">
        <v>0.006503</v>
      </c>
      <c r="I15" s="4" t="n">
        <v>0.006503</v>
      </c>
      <c r="J15" s="4" t="n">
        <v>0.006503</v>
      </c>
      <c r="K15" s="4" t="n">
        <v>0.006503</v>
      </c>
      <c r="L15" s="4" t="n">
        <v>0.006503</v>
      </c>
      <c r="M15" s="4" t="n">
        <v>0.006503</v>
      </c>
      <c r="N15" s="4" t="n">
        <v>0.006503</v>
      </c>
      <c r="O15" s="4" t="n">
        <v>0.006503</v>
      </c>
      <c r="P15" s="4" t="n">
        <v>0.006503</v>
      </c>
      <c r="Q15" s="4" t="n">
        <v>0.006503</v>
      </c>
    </row>
    <row r="16">
      <c r="A16" t="inlineStr">
        <is>
          <t>Operating working capital / revenue</t>
        </is>
      </c>
      <c r="B16" t="inlineStr">
        <is>
          <t>a.nwc_pct</t>
        </is>
      </c>
      <c r="H16" s="4" t="n">
        <v>0.642413</v>
      </c>
      <c r="I16" s="4" t="n">
        <v>0.642413</v>
      </c>
      <c r="J16" s="4" t="n">
        <v>0.642413</v>
      </c>
      <c r="K16" s="4" t="n">
        <v>0.642413</v>
      </c>
      <c r="L16" s="4" t="n">
        <v>0.642413</v>
      </c>
      <c r="M16" s="4" t="n">
        <v>0.642413</v>
      </c>
      <c r="N16" s="4" t="n">
        <v>0.642413</v>
      </c>
      <c r="O16" s="4" t="n">
        <v>0.642413</v>
      </c>
      <c r="P16" s="4" t="n">
        <v>0.642413</v>
      </c>
      <c r="Q16" s="4" t="n">
        <v>0.642413</v>
      </c>
    </row>
    <row r="17">
      <c r="A17" t="inlineStr">
        <is>
          <t>Effective tax rate</t>
        </is>
      </c>
      <c r="B17" t="inlineStr">
        <is>
          <t>a.tax_rate</t>
        </is>
      </c>
      <c r="H17" s="4" t="n">
        <v>0.1</v>
      </c>
      <c r="I17" s="4" t="n">
        <v>0.1</v>
      </c>
      <c r="J17" s="4" t="n">
        <v>0.1</v>
      </c>
      <c r="K17" s="4" t="n">
        <v>0.1</v>
      </c>
      <c r="L17" s="4" t="n">
        <v>0.1</v>
      </c>
      <c r="M17" s="4" t="n">
        <v>0.1</v>
      </c>
      <c r="N17" s="4" t="n">
        <v>0.1</v>
      </c>
      <c r="O17" s="4" t="n">
        <v>0.1</v>
      </c>
      <c r="P17" s="4" t="n">
        <v>0.1</v>
      </c>
      <c r="Q17" s="4" t="n">
        <v>0.1</v>
      </c>
    </row>
    <row r="18">
      <c r="A18" t="inlineStr">
        <is>
          <t>Cost of debt (on opening debt)</t>
        </is>
      </c>
      <c r="B18" t="inlineStr">
        <is>
          <t>a.cost_of_debt</t>
        </is>
      </c>
      <c r="C18" s="4" t="n">
        <v>0.063204</v>
      </c>
    </row>
    <row r="19">
      <c r="A19" t="inlineStr">
        <is>
          <t>Yield on opening cash</t>
        </is>
      </c>
      <c r="B19" t="inlineStr">
        <is>
          <t>a.cash_yield</t>
        </is>
      </c>
      <c r="C19" s="4" t="n">
        <v>0.005521</v>
      </c>
    </row>
    <row r="20">
      <c r="A20" t="inlineStr">
        <is>
          <t>Net new borrowing</t>
        </is>
      </c>
      <c r="B20" t="inlineStr">
        <is>
          <t>a.net_borrowing</t>
        </is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</row>
    <row r="21">
      <c r="A21" t="inlineStr">
        <is>
          <t>Other non-operating items</t>
        </is>
      </c>
      <c r="B21" t="inlineStr">
        <is>
          <t>a.other_nonop</t>
        </is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</row>
    <row r="22">
      <c r="A22" t="inlineStr">
        <is>
          <t>Minorities' share of net profit</t>
        </is>
      </c>
      <c r="B22" t="inlineStr">
        <is>
          <t>a.minority_pct</t>
        </is>
      </c>
      <c r="H22" s="4" t="n">
        <v>0.0501</v>
      </c>
      <c r="I22" s="4" t="n">
        <v>0.0501</v>
      </c>
      <c r="J22" s="4" t="n">
        <v>0.0501</v>
      </c>
      <c r="K22" s="4" t="n">
        <v>0.0501</v>
      </c>
      <c r="L22" s="4" t="n">
        <v>0.0501</v>
      </c>
      <c r="M22" s="4" t="n">
        <v>0.0501</v>
      </c>
      <c r="N22" s="4" t="n">
        <v>0.0501</v>
      </c>
      <c r="O22" s="4" t="n">
        <v>0.0501</v>
      </c>
      <c r="P22" s="4" t="n">
        <v>0.0501</v>
      </c>
      <c r="Q22" s="4" t="n">
        <v>0.0501</v>
      </c>
    </row>
    <row r="23">
      <c r="A23" t="inlineStr">
        <is>
          <t>Dividend payout</t>
        </is>
      </c>
      <c r="B23" t="inlineStr">
        <is>
          <t>a.payout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</row>
    <row r="24">
      <c r="A24" t="inlineStr">
        <is>
          <t>Change in share count</t>
        </is>
      </c>
      <c r="B24" t="inlineStr">
        <is>
          <t>a.share_change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</row>
    <row r="25">
      <c r="A25" t="inlineStr">
        <is>
          <t>Terminal growth (DCF)</t>
        </is>
      </c>
      <c r="B25" t="inlineStr">
        <is>
          <t>a.terminal_growth</t>
        </is>
      </c>
      <c r="C25" s="4" t="n">
        <v>0.03</v>
      </c>
    </row>
    <row r="26">
      <c r="A26" t="inlineStr">
        <is>
          <t>Holding-company discount to SOTP</t>
        </is>
      </c>
      <c r="B26" t="inlineStr">
        <is>
          <t>a.holdco_discount</t>
        </is>
      </c>
      <c r="C26" s="4" t="n">
        <v>0.35</v>
      </c>
    </row>
    <row r="28">
      <c r="A28" s="1" t="inlineStr">
        <is>
          <t>MODEL</t>
        </is>
      </c>
    </row>
    <row r="29">
      <c r="A29" t="inlineStr">
        <is>
          <t>Revenue</t>
        </is>
      </c>
      <c r="B29" t="inlineStr">
        <is>
          <t>revenue</t>
        </is>
      </c>
      <c r="D29" s="13" t="n">
        <v>4390.077670408</v>
      </c>
      <c r="E29" s="13" t="n">
        <v>907.226175158</v>
      </c>
      <c r="F29" s="13" t="n">
        <v>572.921229505</v>
      </c>
      <c r="G29" s="13" t="n">
        <v>1011.900895118</v>
      </c>
      <c r="H29" s="14">
        <f>(G29*(1+H11))</f>
        <v/>
      </c>
      <c r="I29" s="14">
        <f>(H29*(1+I11))</f>
        <v/>
      </c>
      <c r="J29" s="14">
        <f>(I29*(1+J11))</f>
        <v/>
      </c>
      <c r="K29" s="14">
        <f>(J29*(1+K11))</f>
        <v/>
      </c>
      <c r="L29" s="14">
        <f>(K29*(1+L11))</f>
        <v/>
      </c>
      <c r="M29" s="14">
        <f>(L29*(1+M11))</f>
        <v/>
      </c>
      <c r="N29" s="14">
        <f>(M29*(1+N11))</f>
        <v/>
      </c>
      <c r="O29" s="14">
        <f>(N29*(1+O11))</f>
        <v/>
      </c>
      <c r="P29" s="14">
        <f>(O29*(1+P11))</f>
        <v/>
      </c>
      <c r="Q29" s="14">
        <f>(P29*(1+Q11))</f>
        <v/>
      </c>
    </row>
    <row r="30">
      <c r="A30" t="inlineStr">
        <is>
          <t>Cost of revenue</t>
        </is>
      </c>
      <c r="B30" t="inlineStr">
        <is>
          <t>cogs</t>
        </is>
      </c>
      <c r="D30" s="13" t="n">
        <v>4052.647405304</v>
      </c>
      <c r="E30" s="13" t="n">
        <v>1277.502673277</v>
      </c>
      <c r="F30" s="13" t="n">
        <v>668.1931600630001</v>
      </c>
      <c r="G30" s="13" t="n">
        <v>1009.114080941</v>
      </c>
      <c r="H30" s="14">
        <f>(H29*(1-H12))</f>
        <v/>
      </c>
      <c r="I30" s="14">
        <f>(I29*(1-I12))</f>
        <v/>
      </c>
      <c r="J30" s="14">
        <f>(J29*(1-J12))</f>
        <v/>
      </c>
      <c r="K30" s="14">
        <f>(K29*(1-K12))</f>
        <v/>
      </c>
      <c r="L30" s="14">
        <f>(L29*(1-L12))</f>
        <v/>
      </c>
      <c r="M30" s="14">
        <f>(M29*(1-M12))</f>
        <v/>
      </c>
      <c r="N30" s="14">
        <f>(N29*(1-N12))</f>
        <v/>
      </c>
      <c r="O30" s="14">
        <f>(O29*(1-O12))</f>
        <v/>
      </c>
      <c r="P30" s="14">
        <f>(P29*(1-P12))</f>
        <v/>
      </c>
      <c r="Q30" s="14">
        <f>(Q29*(1-Q12))</f>
        <v/>
      </c>
    </row>
    <row r="31">
      <c r="A31" t="inlineStr">
        <is>
          <t>Gross profit</t>
        </is>
      </c>
      <c r="B31" t="inlineStr">
        <is>
          <t>gross_profit</t>
        </is>
      </c>
      <c r="D31" s="13" t="n">
        <v>337.430265104</v>
      </c>
      <c r="E31" s="13" t="n">
        <v>-370.276498119</v>
      </c>
      <c r="F31" s="13" t="n">
        <v>-95.271930559</v>
      </c>
      <c r="G31" s="13" t="n">
        <v>2.786814177</v>
      </c>
      <c r="H31" s="14">
        <f>(H29-H30)</f>
        <v/>
      </c>
      <c r="I31" s="14">
        <f>(I29-I30)</f>
        <v/>
      </c>
      <c r="J31" s="14">
        <f>(J29-J30)</f>
        <v/>
      </c>
      <c r="K31" s="14">
        <f>(K29-K30)</f>
        <v/>
      </c>
      <c r="L31" s="14">
        <f>(L29-L30)</f>
        <v/>
      </c>
      <c r="M31" s="14">
        <f>(M29-M30)</f>
        <v/>
      </c>
      <c r="N31" s="14">
        <f>(N29-N30)</f>
        <v/>
      </c>
      <c r="O31" s="14">
        <f>(O29-O30)</f>
        <v/>
      </c>
      <c r="P31" s="14">
        <f>(P29-P30)</f>
        <v/>
      </c>
      <c r="Q31" s="14">
        <f>(Q29-Q30)</f>
        <v/>
      </c>
    </row>
    <row r="32">
      <c r="A32" t="inlineStr">
        <is>
          <t>SG&amp;A and other opex</t>
        </is>
      </c>
      <c r="B32" t="inlineStr">
        <is>
          <t>opex</t>
        </is>
      </c>
      <c r="D32" s="13" t="n">
        <v>434.221929713</v>
      </c>
      <c r="E32" s="13" t="n">
        <v>246.208837449</v>
      </c>
      <c r="F32" s="13" t="n">
        <v>129.134000029</v>
      </c>
      <c r="G32" s="13" t="n">
        <v>103.64157081</v>
      </c>
      <c r="H32" s="14">
        <f>(H29*H13)</f>
        <v/>
      </c>
      <c r="I32" s="14">
        <f>(I29*I13)</f>
        <v/>
      </c>
      <c r="J32" s="14">
        <f>(J29*J13)</f>
        <v/>
      </c>
      <c r="K32" s="14">
        <f>(K29*K13)</f>
        <v/>
      </c>
      <c r="L32" s="14">
        <f>(L29*L13)</f>
        <v/>
      </c>
      <c r="M32" s="14">
        <f>(M29*M13)</f>
        <v/>
      </c>
      <c r="N32" s="14">
        <f>(N29*N13)</f>
        <v/>
      </c>
      <c r="O32" s="14">
        <f>(O29*O13)</f>
        <v/>
      </c>
      <c r="P32" s="14">
        <f>(P29*P13)</f>
        <v/>
      </c>
      <c r="Q32" s="14">
        <f>(Q29*Q13)</f>
        <v/>
      </c>
    </row>
    <row r="33">
      <c r="A33" t="inlineStr">
        <is>
          <t>EBIT</t>
        </is>
      </c>
      <c r="B33" t="inlineStr">
        <is>
          <t>ebit</t>
        </is>
      </c>
      <c r="D33" s="13" t="n">
        <v>-96.79166460899999</v>
      </c>
      <c r="E33" s="13" t="n">
        <v>-616.485335568</v>
      </c>
      <c r="F33" s="13" t="n">
        <v>-224.405930587</v>
      </c>
      <c r="G33" s="13" t="n">
        <v>-100.854756634</v>
      </c>
      <c r="H33" s="14">
        <f>(H31-H32)</f>
        <v/>
      </c>
      <c r="I33" s="14">
        <f>(I31-I32)</f>
        <v/>
      </c>
      <c r="J33" s="14">
        <f>(J31-J32)</f>
        <v/>
      </c>
      <c r="K33" s="14">
        <f>(K31-K32)</f>
        <v/>
      </c>
      <c r="L33" s="14">
        <f>(L31-L32)</f>
        <v/>
      </c>
      <c r="M33" s="14">
        <f>(M31-M32)</f>
        <v/>
      </c>
      <c r="N33" s="14">
        <f>(N31-N32)</f>
        <v/>
      </c>
      <c r="O33" s="14">
        <f>(O31-O32)</f>
        <v/>
      </c>
      <c r="P33" s="14">
        <f>(P31-P32)</f>
        <v/>
      </c>
      <c r="Q33" s="14">
        <f>(Q31-Q32)</f>
        <v/>
      </c>
    </row>
    <row r="34">
      <c r="A34" t="inlineStr">
        <is>
          <t>Depreciation &amp; amortisation</t>
        </is>
      </c>
      <c r="B34" t="inlineStr">
        <is>
          <t>da</t>
        </is>
      </c>
      <c r="D34" s="13" t="n">
        <v>52.144186857</v>
      </c>
      <c r="E34" s="13" t="n">
        <v>62.744606959</v>
      </c>
      <c r="F34" s="13" t="n">
        <v>101.475015116</v>
      </c>
      <c r="G34" s="13" t="n">
        <v>104.924650702</v>
      </c>
      <c r="H34" s="14">
        <f>(H29*H14)</f>
        <v/>
      </c>
      <c r="I34" s="14">
        <f>(I29*I14)</f>
        <v/>
      </c>
      <c r="J34" s="14">
        <f>(J29*J14)</f>
        <v/>
      </c>
      <c r="K34" s="14">
        <f>(K29*K14)</f>
        <v/>
      </c>
      <c r="L34" s="14">
        <f>(L29*L14)</f>
        <v/>
      </c>
      <c r="M34" s="14">
        <f>(M29*M14)</f>
        <v/>
      </c>
      <c r="N34" s="14">
        <f>(N29*N14)</f>
        <v/>
      </c>
      <c r="O34" s="14">
        <f>(O29*O14)</f>
        <v/>
      </c>
      <c r="P34" s="14">
        <f>(P29*P14)</f>
        <v/>
      </c>
      <c r="Q34" s="14">
        <f>(Q29*Q14)</f>
        <v/>
      </c>
    </row>
    <row r="35">
      <c r="A35" t="inlineStr">
        <is>
          <t>EBITDA</t>
        </is>
      </c>
      <c r="B35" t="inlineStr">
        <is>
          <t>ebitda</t>
        </is>
      </c>
      <c r="D35" s="13" t="n">
        <v>-44.64747775199999</v>
      </c>
      <c r="E35" s="13" t="n">
        <v>-553.740728609</v>
      </c>
      <c r="F35" s="13" t="n">
        <v>-122.930915471</v>
      </c>
      <c r="G35" s="13" t="n">
        <v>4.069894067999996</v>
      </c>
      <c r="H35" s="14">
        <f>(H33+H34)</f>
        <v/>
      </c>
      <c r="I35" s="14">
        <f>(I33+I34)</f>
        <v/>
      </c>
      <c r="J35" s="14">
        <f>(J33+J34)</f>
        <v/>
      </c>
      <c r="K35" s="14">
        <f>(K33+K34)</f>
        <v/>
      </c>
      <c r="L35" s="14">
        <f>(L33+L34)</f>
        <v/>
      </c>
      <c r="M35" s="14">
        <f>(M33+M34)</f>
        <v/>
      </c>
      <c r="N35" s="14">
        <f>(N33+N34)</f>
        <v/>
      </c>
      <c r="O35" s="14">
        <f>(O33+O34)</f>
        <v/>
      </c>
      <c r="P35" s="14">
        <f>(P33+P34)</f>
        <v/>
      </c>
      <c r="Q35" s="14">
        <f>(Q33+Q34)</f>
        <v/>
      </c>
    </row>
    <row r="36">
      <c r="A36" t="inlineStr">
        <is>
          <t>Interest expense</t>
        </is>
      </c>
      <c r="B36" t="inlineStr">
        <is>
          <t>interest_expense</t>
        </is>
      </c>
      <c r="D36" s="13" t="n">
        <v>262.594360367</v>
      </c>
      <c r="E36" s="13" t="n">
        <v>243.816250149</v>
      </c>
      <c r="F36" s="13" t="n">
        <v>198.075800193</v>
      </c>
      <c r="G36" s="13" t="n">
        <v>106.901918065</v>
      </c>
      <c r="H36" s="14">
        <f>(G56*$C$18)</f>
        <v/>
      </c>
      <c r="I36" s="14">
        <f>(H56*$C$18)</f>
        <v/>
      </c>
      <c r="J36" s="14">
        <f>(I56*$C$18)</f>
        <v/>
      </c>
      <c r="K36" s="14">
        <f>(J56*$C$18)</f>
        <v/>
      </c>
      <c r="L36" s="14">
        <f>(K56*$C$18)</f>
        <v/>
      </c>
      <c r="M36" s="14">
        <f>(L56*$C$18)</f>
        <v/>
      </c>
      <c r="N36" s="14">
        <f>(M56*$C$18)</f>
        <v/>
      </c>
      <c r="O36" s="14">
        <f>(N56*$C$18)</f>
        <v/>
      </c>
      <c r="P36" s="14">
        <f>(O56*$C$18)</f>
        <v/>
      </c>
      <c r="Q36" s="14">
        <f>(P56*$C$18)</f>
        <v/>
      </c>
    </row>
    <row r="37">
      <c r="A37" t="inlineStr">
        <is>
          <t>Interest income</t>
        </is>
      </c>
      <c r="B37" t="inlineStr">
        <is>
          <t>interest_income</t>
        </is>
      </c>
      <c r="D37" s="13" t="n">
        <v>2.05564288</v>
      </c>
      <c r="E37" s="13" t="n">
        <v>0.901584135</v>
      </c>
      <c r="F37" s="13" t="n">
        <v>0.141039716</v>
      </c>
      <c r="G37" s="13" t="n">
        <v>0.044817023</v>
      </c>
      <c r="H37" s="14">
        <f>(G55*$C$19)</f>
        <v/>
      </c>
      <c r="I37" s="14">
        <f>(H55*$C$19)</f>
        <v/>
      </c>
      <c r="J37" s="14">
        <f>(I55*$C$19)</f>
        <v/>
      </c>
      <c r="K37" s="14">
        <f>(J55*$C$19)</f>
        <v/>
      </c>
      <c r="L37" s="14">
        <f>(K55*$C$19)</f>
        <v/>
      </c>
      <c r="M37" s="14">
        <f>(L55*$C$19)</f>
        <v/>
      </c>
      <c r="N37" s="14">
        <f>(M55*$C$19)</f>
        <v/>
      </c>
      <c r="O37" s="14">
        <f>(N55*$C$19)</f>
        <v/>
      </c>
      <c r="P37" s="14">
        <f>(O55*$C$19)</f>
        <v/>
      </c>
      <c r="Q37" s="14">
        <f>(P55*$C$19)</f>
        <v/>
      </c>
    </row>
    <row r="38">
      <c r="A38" t="inlineStr">
        <is>
          <t>Other non-operating</t>
        </is>
      </c>
      <c r="B38" t="inlineStr">
        <is>
          <t>other_nonop</t>
        </is>
      </c>
      <c r="D38" s="13" t="n">
        <v>-38.005425409</v>
      </c>
      <c r="E38" s="13" t="n">
        <v>-29.44054747900005</v>
      </c>
      <c r="F38" s="13" t="n">
        <v>-267.304524677</v>
      </c>
      <c r="G38" s="13" t="n">
        <v>-67.66447406899999</v>
      </c>
      <c r="H38" s="14">
        <f>H21</f>
        <v/>
      </c>
      <c r="I38" s="14">
        <f>I21</f>
        <v/>
      </c>
      <c r="J38" s="14">
        <f>J21</f>
        <v/>
      </c>
      <c r="K38" s="14">
        <f>K21</f>
        <v/>
      </c>
      <c r="L38" s="14">
        <f>L21</f>
        <v/>
      </c>
      <c r="M38" s="14">
        <f>M21</f>
        <v/>
      </c>
      <c r="N38" s="14">
        <f>N21</f>
        <v/>
      </c>
      <c r="O38" s="14">
        <f>O21</f>
        <v/>
      </c>
      <c r="P38" s="14">
        <f>P21</f>
        <v/>
      </c>
      <c r="Q38" s="14">
        <f>Q21</f>
        <v/>
      </c>
    </row>
    <row r="39">
      <c r="A39" t="inlineStr">
        <is>
          <t>Profit before tax</t>
        </is>
      </c>
      <c r="B39" t="inlineStr">
        <is>
          <t>pbt</t>
        </is>
      </c>
      <c r="D39" s="13" t="n">
        <v>-395.335807505</v>
      </c>
      <c r="E39" s="13" t="n">
        <v>-888.840549061</v>
      </c>
      <c r="F39" s="13" t="n">
        <v>-689.645215741</v>
      </c>
      <c r="G39" s="13" t="n">
        <v>-275.376331745</v>
      </c>
      <c r="H39" s="14">
        <f>(((H33-H36)+H37)+H38)</f>
        <v/>
      </c>
      <c r="I39" s="14">
        <f>(((I33-I36)+I37)+I38)</f>
        <v/>
      </c>
      <c r="J39" s="14">
        <f>(((J33-J36)+J37)+J38)</f>
        <v/>
      </c>
      <c r="K39" s="14">
        <f>(((K33-K36)+K37)+K38)</f>
        <v/>
      </c>
      <c r="L39" s="14">
        <f>(((L33-L36)+L37)+L38)</f>
        <v/>
      </c>
      <c r="M39" s="14">
        <f>(((M33-M36)+M37)+M38)</f>
        <v/>
      </c>
      <c r="N39" s="14">
        <f>(((N33-N36)+N37)+N38)</f>
        <v/>
      </c>
      <c r="O39" s="14">
        <f>(((O33-O36)+O37)+O38)</f>
        <v/>
      </c>
      <c r="P39" s="14">
        <f>(((P33-P36)+P37)+P38)</f>
        <v/>
      </c>
      <c r="Q39" s="14">
        <f>(((Q33-Q36)+Q37)+Q38)</f>
        <v/>
      </c>
    </row>
    <row r="40">
      <c r="A40" t="inlineStr">
        <is>
          <t>Tax</t>
        </is>
      </c>
      <c r="B40" t="inlineStr">
        <is>
          <t>tax</t>
        </is>
      </c>
      <c r="D40" s="13" t="n">
        <v>-78.26460714700001</v>
      </c>
      <c r="E40" s="13" t="n">
        <v>-7.937780405</v>
      </c>
      <c r="F40" s="13" t="n">
        <v>-93.13943814</v>
      </c>
      <c r="G40" s="13" t="n">
        <v>-40.437581029</v>
      </c>
      <c r="H40" s="14">
        <f>(MAX(H39,0)*H17)</f>
        <v/>
      </c>
      <c r="I40" s="14">
        <f>(MAX(I39,0)*I17)</f>
        <v/>
      </c>
      <c r="J40" s="14">
        <f>(MAX(J39,0)*J17)</f>
        <v/>
      </c>
      <c r="K40" s="14">
        <f>(MAX(K39,0)*K17)</f>
        <v/>
      </c>
      <c r="L40" s="14">
        <f>(MAX(L39,0)*L17)</f>
        <v/>
      </c>
      <c r="M40" s="14">
        <f>(MAX(M39,0)*M17)</f>
        <v/>
      </c>
      <c r="N40" s="14">
        <f>(MAX(N39,0)*N17)</f>
        <v/>
      </c>
      <c r="O40" s="14">
        <f>(MAX(O39,0)*O17)</f>
        <v/>
      </c>
      <c r="P40" s="14">
        <f>(MAX(P39,0)*P17)</f>
        <v/>
      </c>
      <c r="Q40" s="14">
        <f>(MAX(Q39,0)*Q17)</f>
        <v/>
      </c>
    </row>
    <row r="41">
      <c r="A41" t="inlineStr">
        <is>
          <t>Net profit (incl. minorities)</t>
        </is>
      </c>
      <c r="B41" t="inlineStr">
        <is>
          <t>np</t>
        </is>
      </c>
      <c r="D41" s="13" t="n">
        <v>-317.071200358</v>
      </c>
      <c r="E41" s="13" t="n">
        <v>-880.902768656</v>
      </c>
      <c r="F41" s="13" t="n">
        <v>-596.505777601</v>
      </c>
      <c r="G41" s="13" t="n">
        <v>-234.938750716</v>
      </c>
      <c r="H41" s="14">
        <f>(H39-H40)</f>
        <v/>
      </c>
      <c r="I41" s="14">
        <f>(I39-I40)</f>
        <v/>
      </c>
      <c r="J41" s="14">
        <f>(J39-J40)</f>
        <v/>
      </c>
      <c r="K41" s="14">
        <f>(K39-K40)</f>
        <v/>
      </c>
      <c r="L41" s="14">
        <f>(L39-L40)</f>
        <v/>
      </c>
      <c r="M41" s="14">
        <f>(M39-M40)</f>
        <v/>
      </c>
      <c r="N41" s="14">
        <f>(N39-N40)</f>
        <v/>
      </c>
      <c r="O41" s="14">
        <f>(O39-O40)</f>
        <v/>
      </c>
      <c r="P41" s="14">
        <f>(P39-P40)</f>
        <v/>
      </c>
      <c r="Q41" s="14">
        <f>(Q39-Q40)</f>
        <v/>
      </c>
    </row>
    <row r="42">
      <c r="A42" t="inlineStr">
        <is>
          <t>Minority interests</t>
        </is>
      </c>
      <c r="B42" t="inlineStr">
        <is>
          <t>minority</t>
        </is>
      </c>
      <c r="D42" s="13" t="n">
        <v>-9.456972838000013</v>
      </c>
      <c r="E42" s="13" t="n">
        <v>-5.276267436000012</v>
      </c>
      <c r="F42" s="13" t="n">
        <v>-28.72616016500001</v>
      </c>
      <c r="G42" s="13" t="n">
        <v>-22.590098474</v>
      </c>
      <c r="H42" s="14">
        <f>(H41*H22)</f>
        <v/>
      </c>
      <c r="I42" s="14">
        <f>(I41*I22)</f>
        <v/>
      </c>
      <c r="J42" s="14">
        <f>(J41*J22)</f>
        <v/>
      </c>
      <c r="K42" s="14">
        <f>(K41*K22)</f>
        <v/>
      </c>
      <c r="L42" s="14">
        <f>(L41*L22)</f>
        <v/>
      </c>
      <c r="M42" s="14">
        <f>(M41*M22)</f>
        <v/>
      </c>
      <c r="N42" s="14">
        <f>(N41*N22)</f>
        <v/>
      </c>
      <c r="O42" s="14">
        <f>(O41*O22)</f>
        <v/>
      </c>
      <c r="P42" s="14">
        <f>(P41*P22)</f>
        <v/>
      </c>
      <c r="Q42" s="14">
        <f>(Q41*Q22)</f>
        <v/>
      </c>
    </row>
    <row r="43">
      <c r="A43" t="inlineStr">
        <is>
          <t>Net profit to parent</t>
        </is>
      </c>
      <c r="B43" t="inlineStr">
        <is>
          <t>np_parent</t>
        </is>
      </c>
      <c r="D43" s="13" t="n">
        <v>-307.61422752</v>
      </c>
      <c r="E43" s="13" t="n">
        <v>-875.62650122</v>
      </c>
      <c r="F43" s="13" t="n">
        <v>-567.779617436</v>
      </c>
      <c r="G43" s="13" t="n">
        <v>-212.348652242</v>
      </c>
      <c r="H43" s="14">
        <f>(H41-H42)</f>
        <v/>
      </c>
      <c r="I43" s="14">
        <f>(I41-I42)</f>
        <v/>
      </c>
      <c r="J43" s="14">
        <f>(J41-J42)</f>
        <v/>
      </c>
      <c r="K43" s="14">
        <f>(K41-K42)</f>
        <v/>
      </c>
      <c r="L43" s="14">
        <f>(L41-L42)</f>
        <v/>
      </c>
      <c r="M43" s="14">
        <f>(M41-M42)</f>
        <v/>
      </c>
      <c r="N43" s="14">
        <f>(N41-N42)</f>
        <v/>
      </c>
      <c r="O43" s="14">
        <f>(O41-O42)</f>
        <v/>
      </c>
      <c r="P43" s="14">
        <f>(P41-P42)</f>
        <v/>
      </c>
      <c r="Q43" s="14">
        <f>(Q41-Q42)</f>
        <v/>
      </c>
    </row>
    <row r="44">
      <c r="A44" t="inlineStr">
        <is>
          <t>Shares outstanding (m)</t>
        </is>
      </c>
      <c r="B44" t="inlineStr">
        <is>
          <t>shares</t>
        </is>
      </c>
      <c r="D44" s="13" t="n">
        <v>29419</v>
      </c>
      <c r="E44" s="13" t="n">
        <v>29419</v>
      </c>
      <c r="F44" s="13" t="n">
        <v>29419</v>
      </c>
      <c r="G44" s="13" t="n">
        <v>29419</v>
      </c>
      <c r="H44" s="14">
        <f>(G44*(1+H24))</f>
        <v/>
      </c>
      <c r="I44" s="14">
        <f>(H44*(1+I24))</f>
        <v/>
      </c>
      <c r="J44" s="14">
        <f>(I44*(1+J24))</f>
        <v/>
      </c>
      <c r="K44" s="14">
        <f>(J44*(1+K24))</f>
        <v/>
      </c>
      <c r="L44" s="14">
        <f>(K44*(1+L24))</f>
        <v/>
      </c>
      <c r="M44" s="14">
        <f>(L44*(1+M24))</f>
        <v/>
      </c>
      <c r="N44" s="14">
        <f>(M44*(1+N24))</f>
        <v/>
      </c>
      <c r="O44" s="14">
        <f>(N44*(1+O24))</f>
        <v/>
      </c>
      <c r="P44" s="14">
        <f>(O44*(1+P24))</f>
        <v/>
      </c>
      <c r="Q44" s="14">
        <f>(P44*(1+Q24))</f>
        <v/>
      </c>
    </row>
    <row r="45">
      <c r="A45" t="inlineStr">
        <is>
          <t>EPS</t>
        </is>
      </c>
      <c r="B45" t="inlineStr">
        <is>
          <t>eps</t>
        </is>
      </c>
      <c r="D45" s="15" t="n">
        <v>-10.45631148305517</v>
      </c>
      <c r="E45" s="15" t="n">
        <v>-29.76397910262076</v>
      </c>
      <c r="F45" s="15" t="n">
        <v>-19.299759252048</v>
      </c>
      <c r="G45" s="15" t="n">
        <v>-7.218078528909888</v>
      </c>
      <c r="H45" s="16">
        <f>(IF(H44=0,0,H43/H44)*$C$7)</f>
        <v/>
      </c>
      <c r="I45" s="16">
        <f>(IF(I44=0,0,I43/I44)*$C$7)</f>
        <v/>
      </c>
      <c r="J45" s="16">
        <f>(IF(J44=0,0,J43/J44)*$C$7)</f>
        <v/>
      </c>
      <c r="K45" s="16">
        <f>(IF(K44=0,0,K43/K44)*$C$7)</f>
        <v/>
      </c>
      <c r="L45" s="16">
        <f>(IF(L44=0,0,L43/L44)*$C$7)</f>
        <v/>
      </c>
      <c r="M45" s="16">
        <f>(IF(M44=0,0,M43/M44)*$C$7)</f>
        <v/>
      </c>
      <c r="N45" s="16">
        <f>(IF(N44=0,0,N43/N44)*$C$7)</f>
        <v/>
      </c>
      <c r="O45" s="16">
        <f>(IF(O44=0,0,O43/O44)*$C$7)</f>
        <v/>
      </c>
      <c r="P45" s="16">
        <f>(IF(P44=0,0,P43/P44)*$C$7)</f>
        <v/>
      </c>
      <c r="Q45" s="16">
        <f>(IF(Q44=0,0,Q43/Q44)*$C$7)</f>
        <v/>
      </c>
    </row>
    <row r="46">
      <c r="A46" t="inlineStr">
        <is>
          <t>DPS (declared on the year)</t>
        </is>
      </c>
      <c r="B46" t="inlineStr">
        <is>
          <t>dps</t>
        </is>
      </c>
      <c r="D46" s="15" t="n">
        <v>0</v>
      </c>
      <c r="E46" s="15" t="n">
        <v>0</v>
      </c>
      <c r="F46" s="15" t="n">
        <v>0</v>
      </c>
      <c r="G46" s="15" t="n">
        <v>0</v>
      </c>
      <c r="H46" s="16">
        <f>(MAX(H45,0)*H23)</f>
        <v/>
      </c>
      <c r="I46" s="16">
        <f>(MAX(I45,0)*I23)</f>
        <v/>
      </c>
      <c r="J46" s="16">
        <f>(MAX(J45,0)*J23)</f>
        <v/>
      </c>
      <c r="K46" s="16">
        <f>(MAX(K45,0)*K23)</f>
        <v/>
      </c>
      <c r="L46" s="16">
        <f>(MAX(L45,0)*L23)</f>
        <v/>
      </c>
      <c r="M46" s="16">
        <f>(MAX(M45,0)*M23)</f>
        <v/>
      </c>
      <c r="N46" s="16">
        <f>(MAX(N45,0)*N23)</f>
        <v/>
      </c>
      <c r="O46" s="16">
        <f>(MAX(O45,0)*O23)</f>
        <v/>
      </c>
      <c r="P46" s="16">
        <f>(MAX(P45,0)*P23)</f>
        <v/>
      </c>
      <c r="Q46" s="16">
        <f>(MAX(Q45,0)*Q23)</f>
        <v/>
      </c>
    </row>
    <row r="47">
      <c r="A47" t="inlineStr">
        <is>
          <t>Dividends paid</t>
        </is>
      </c>
      <c r="B47" t="inlineStr">
        <is>
          <t>dividends_paid</t>
        </is>
      </c>
      <c r="D47" s="13" t="n"/>
      <c r="E47" s="13" t="n"/>
      <c r="F47" s="13" t="n"/>
      <c r="G47" s="13" t="n"/>
      <c r="H47" s="14">
        <f>IF($C$7=0,0,(G46*G44)/$C$7)</f>
        <v/>
      </c>
      <c r="I47" s="14">
        <f>IF($C$7=0,0,(H46*H44)/$C$7)</f>
        <v/>
      </c>
      <c r="J47" s="14">
        <f>IF($C$7=0,0,(I46*I44)/$C$7)</f>
        <v/>
      </c>
      <c r="K47" s="14">
        <f>IF($C$7=0,0,(J46*J44)/$C$7)</f>
        <v/>
      </c>
      <c r="L47" s="14">
        <f>IF($C$7=0,0,(K46*K44)/$C$7)</f>
        <v/>
      </c>
      <c r="M47" s="14">
        <f>IF($C$7=0,0,(L46*L44)/$C$7)</f>
        <v/>
      </c>
      <c r="N47" s="14">
        <f>IF($C$7=0,0,(M46*M44)/$C$7)</f>
        <v/>
      </c>
      <c r="O47" s="14">
        <f>IF($C$7=0,0,(N46*N44)/$C$7)</f>
        <v/>
      </c>
      <c r="P47" s="14">
        <f>IF($C$7=0,0,(O46*O44)/$C$7)</f>
        <v/>
      </c>
      <c r="Q47" s="14">
        <f>IF($C$7=0,0,(P46*P44)/$C$7)</f>
        <v/>
      </c>
    </row>
    <row r="48">
      <c r="A48" t="inlineStr">
        <is>
          <t>Capital expenditure</t>
        </is>
      </c>
      <c r="B48" t="inlineStr">
        <is>
          <t>capex</t>
        </is>
      </c>
      <c r="D48" s="13" t="n">
        <v>625.056489921</v>
      </c>
      <c r="E48" s="13" t="n">
        <v>18.033072613</v>
      </c>
      <c r="F48" s="13" t="n">
        <v>2.983795778</v>
      </c>
      <c r="G48" s="13" t="n">
        <v>6.580033276</v>
      </c>
      <c r="H48" s="14">
        <f>(H29*H15)</f>
        <v/>
      </c>
      <c r="I48" s="14">
        <f>(I29*I15)</f>
        <v/>
      </c>
      <c r="J48" s="14">
        <f>(J29*J15)</f>
        <v/>
      </c>
      <c r="K48" s="14">
        <f>(K29*K15)</f>
        <v/>
      </c>
      <c r="L48" s="14">
        <f>(L29*L15)</f>
        <v/>
      </c>
      <c r="M48" s="14">
        <f>(M29*M15)</f>
        <v/>
      </c>
      <c r="N48" s="14">
        <f>(N29*N15)</f>
        <v/>
      </c>
      <c r="O48" s="14">
        <f>(O29*O15)</f>
        <v/>
      </c>
      <c r="P48" s="14">
        <f>(P29*P15)</f>
        <v/>
      </c>
      <c r="Q48" s="14">
        <f>(Q29*Q15)</f>
        <v/>
      </c>
    </row>
    <row r="49">
      <c r="A49" t="inlineStr">
        <is>
          <t>Change in working capital</t>
        </is>
      </c>
      <c r="B49" t="inlineStr">
        <is>
          <t>delta_nwc</t>
        </is>
      </c>
      <c r="D49" s="13" t="n"/>
      <c r="E49" s="13" t="n">
        <v>-742.9172183379999</v>
      </c>
      <c r="F49" s="13" t="n">
        <v>-394.8435417919998</v>
      </c>
      <c r="G49" s="13" t="n">
        <v>8.509852555999487</v>
      </c>
      <c r="H49" s="14">
        <f>(H54-G54)</f>
        <v/>
      </c>
      <c r="I49" s="14">
        <f>(I54-H54)</f>
        <v/>
      </c>
      <c r="J49" s="14">
        <f>(J54-I54)</f>
        <v/>
      </c>
      <c r="K49" s="14">
        <f>(K54-J54)</f>
        <v/>
      </c>
      <c r="L49" s="14">
        <f>(L54-K54)</f>
        <v/>
      </c>
      <c r="M49" s="14">
        <f>(M54-L54)</f>
        <v/>
      </c>
      <c r="N49" s="14">
        <f>(N54-M54)</f>
        <v/>
      </c>
      <c r="O49" s="14">
        <f>(O54-N54)</f>
        <v/>
      </c>
      <c r="P49" s="14">
        <f>(P54-O54)</f>
        <v/>
      </c>
      <c r="Q49" s="14">
        <f>(Q54-P54)</f>
        <v/>
      </c>
    </row>
    <row r="50">
      <c r="A50" t="inlineStr">
        <is>
          <t>Free cash flow to firm</t>
        </is>
      </c>
      <c r="B50" t="inlineStr">
        <is>
          <t>fcff</t>
        </is>
      </c>
      <c r="D50" s="13" t="n"/>
      <c r="E50" s="13" t="n">
        <v>176.6489323873398</v>
      </c>
      <c r="F50" s="13" t="n">
        <v>299.2357794104686</v>
      </c>
      <c r="G50" s="13" t="n">
        <v>3.790004315561911</v>
      </c>
      <c r="H50" s="14">
        <f>((((H33*(1-H17))+H34)-H48)-H49)</f>
        <v/>
      </c>
      <c r="I50" s="14">
        <f>((((I33*(1-I17))+I34)-I48)-I49)</f>
        <v/>
      </c>
      <c r="J50" s="14">
        <f>((((J33*(1-J17))+J34)-J48)-J49)</f>
        <v/>
      </c>
      <c r="K50" s="14">
        <f>((((K33*(1-K17))+K34)-K48)-K49)</f>
        <v/>
      </c>
      <c r="L50" s="14">
        <f>((((L33*(1-L17))+L34)-L48)-L49)</f>
        <v/>
      </c>
      <c r="M50" s="14">
        <f>((((M33*(1-M17))+M34)-M48)-M49)</f>
        <v/>
      </c>
      <c r="N50" s="14">
        <f>((((N33*(1-N17))+N34)-N48)-N49)</f>
        <v/>
      </c>
      <c r="O50" s="14">
        <f>((((O33*(1-O17))+O34)-O48)-O49)</f>
        <v/>
      </c>
      <c r="P50" s="14">
        <f>((((P33*(1-P17))+P34)-P48)-P49)</f>
        <v/>
      </c>
      <c r="Q50" s="14">
        <f>((((Q33*(1-Q17))+Q34)-Q48)-Q49)</f>
        <v/>
      </c>
    </row>
    <row r="51">
      <c r="A51" t="inlineStr">
        <is>
          <t>Net borrowing</t>
        </is>
      </c>
      <c r="B51" t="inlineStr">
        <is>
          <t>net_borrowing</t>
        </is>
      </c>
      <c r="D51" s="13" t="n"/>
      <c r="E51" s="13" t="n">
        <v>-155.4742177359999</v>
      </c>
      <c r="F51" s="13" t="n">
        <v>63.65359201799993</v>
      </c>
      <c r="G51" s="13" t="n">
        <v>182.861247413</v>
      </c>
      <c r="H51" s="14">
        <f>H20</f>
        <v/>
      </c>
      <c r="I51" s="14">
        <f>I20</f>
        <v/>
      </c>
      <c r="J51" s="14">
        <f>J20</f>
        <v/>
      </c>
      <c r="K51" s="14">
        <f>K20</f>
        <v/>
      </c>
      <c r="L51" s="14">
        <f>L20</f>
        <v/>
      </c>
      <c r="M51" s="14">
        <f>M20</f>
        <v/>
      </c>
      <c r="N51" s="14">
        <f>N20</f>
        <v/>
      </c>
      <c r="O51" s="14">
        <f>O20</f>
        <v/>
      </c>
      <c r="P51" s="14">
        <f>P20</f>
        <v/>
      </c>
      <c r="Q51" s="14">
        <f>Q20</f>
        <v/>
      </c>
    </row>
    <row r="52">
      <c r="A52" t="inlineStr">
        <is>
          <t>Dividends to minorities</t>
        </is>
      </c>
      <c r="B52" t="inlineStr">
        <is>
          <t>minority_div</t>
        </is>
      </c>
      <c r="D52" s="13" t="n"/>
      <c r="E52" s="13" t="n"/>
      <c r="F52" s="13" t="n"/>
      <c r="G52" s="13" t="n"/>
      <c r="H52" s="14">
        <f>(MAX(G42,0)*H23)</f>
        <v/>
      </c>
      <c r="I52" s="14">
        <f>(MAX(H42,0)*I23)</f>
        <v/>
      </c>
      <c r="J52" s="14">
        <f>(MAX(I42,0)*J23)</f>
        <v/>
      </c>
      <c r="K52" s="14">
        <f>(MAX(J42,0)*K23)</f>
        <v/>
      </c>
      <c r="L52" s="14">
        <f>(MAX(K42,0)*L23)</f>
        <v/>
      </c>
      <c r="M52" s="14">
        <f>(MAX(L42,0)*M23)</f>
        <v/>
      </c>
      <c r="N52" s="14">
        <f>(MAX(M42,0)*N23)</f>
        <v/>
      </c>
      <c r="O52" s="14">
        <f>(MAX(N42,0)*O23)</f>
        <v/>
      </c>
      <c r="P52" s="14">
        <f>(MAX(O42,0)*P23)</f>
        <v/>
      </c>
      <c r="Q52" s="14">
        <f>(MAX(P42,0)*Q23)</f>
        <v/>
      </c>
    </row>
    <row r="53">
      <c r="A53" t="inlineStr">
        <is>
          <t>Free cash flow to equity</t>
        </is>
      </c>
      <c r="B53" t="inlineStr">
        <is>
          <t>fcfe</t>
        </is>
      </c>
      <c r="D53" s="13" t="n"/>
      <c r="E53" s="13" t="n"/>
      <c r="F53" s="13" t="n"/>
      <c r="G53" s="13" t="n"/>
      <c r="H53" s="14">
        <f>(((((H41+H34)-H48)-H49)+H51)-H52)</f>
        <v/>
      </c>
      <c r="I53" s="14">
        <f>(((((I41+I34)-I48)-I49)+I51)-I52)</f>
        <v/>
      </c>
      <c r="J53" s="14">
        <f>(((((J41+J34)-J48)-J49)+J51)-J52)</f>
        <v/>
      </c>
      <c r="K53" s="14">
        <f>(((((K41+K34)-K48)-K49)+K51)-K52)</f>
        <v/>
      </c>
      <c r="L53" s="14">
        <f>(((((L41+L34)-L48)-L49)+L51)-L52)</f>
        <v/>
      </c>
      <c r="M53" s="14">
        <f>(((((M41+M34)-M48)-M49)+M51)-M52)</f>
        <v/>
      </c>
      <c r="N53" s="14">
        <f>(((((N41+N34)-N48)-N49)+N51)-N52)</f>
        <v/>
      </c>
      <c r="O53" s="14">
        <f>(((((O41+O34)-O48)-O49)+O51)-O52)</f>
        <v/>
      </c>
      <c r="P53" s="14">
        <f>(((((P41+P34)-P48)-P49)+P51)-P52)</f>
        <v/>
      </c>
      <c r="Q53" s="14">
        <f>(((((Q41+Q34)-Q48)-Q49)+Q51)-Q52)</f>
        <v/>
      </c>
    </row>
    <row r="54">
      <c r="A54" t="inlineStr">
        <is>
          <t>Operating working capital</t>
        </is>
      </c>
      <c r="B54" t="inlineStr">
        <is>
          <t>nwc</t>
        </is>
      </c>
      <c r="D54" s="13" t="n">
        <v>1779.310835635</v>
      </c>
      <c r="E54" s="13" t="n">
        <v>1036.393617297</v>
      </c>
      <c r="F54" s="13" t="n">
        <v>641.5500755050002</v>
      </c>
      <c r="G54" s="13" t="n">
        <v>650.0599280609997</v>
      </c>
      <c r="H54" s="14">
        <f>(H29*H16)</f>
        <v/>
      </c>
      <c r="I54" s="14">
        <f>(I29*I16)</f>
        <v/>
      </c>
      <c r="J54" s="14">
        <f>(J29*J16)</f>
        <v/>
      </c>
      <c r="K54" s="14">
        <f>(K29*K16)</f>
        <v/>
      </c>
      <c r="L54" s="14">
        <f>(L29*L16)</f>
        <v/>
      </c>
      <c r="M54" s="14">
        <f>(M29*M16)</f>
        <v/>
      </c>
      <c r="N54" s="14">
        <f>(N29*N16)</f>
        <v/>
      </c>
      <c r="O54" s="14">
        <f>(O29*O16)</f>
        <v/>
      </c>
      <c r="P54" s="14">
        <f>(P29*P16)</f>
        <v/>
      </c>
      <c r="Q54" s="14">
        <f>(Q29*Q16)</f>
        <v/>
      </c>
    </row>
    <row r="55">
      <c r="A55" t="inlineStr">
        <is>
          <t>Cash &amp; equivalents</t>
        </is>
      </c>
      <c r="B55" t="inlineStr">
        <is>
          <t>cash</t>
        </is>
      </c>
      <c r="D55" s="13" t="n">
        <v>171.154933157</v>
      </c>
      <c r="E55" s="13" t="n">
        <v>28.002933314</v>
      </c>
      <c r="F55" s="13" t="n">
        <v>7.160912785</v>
      </c>
      <c r="G55" s="13" t="n">
        <v>6.037308613</v>
      </c>
      <c r="H55" s="14">
        <f>(((((((G55+H41)+H34)-H48)-H49)+H51)-H47)-H52)</f>
        <v/>
      </c>
      <c r="I55" s="14">
        <f>(((((((H55+I41)+I34)-I48)-I49)+I51)-I47)-I52)</f>
        <v/>
      </c>
      <c r="J55" s="14">
        <f>(((((((I55+J41)+J34)-J48)-J49)+J51)-J47)-J52)</f>
        <v/>
      </c>
      <c r="K55" s="14">
        <f>(((((((J55+K41)+K34)-K48)-K49)+K51)-K47)-K52)</f>
        <v/>
      </c>
      <c r="L55" s="14">
        <f>(((((((K55+L41)+L34)-L48)-L49)+L51)-L47)-L52)</f>
        <v/>
      </c>
      <c r="M55" s="14">
        <f>(((((((L55+M41)+M34)-M48)-M49)+M51)-M47)-M52)</f>
        <v/>
      </c>
      <c r="N55" s="14">
        <f>(((((((M55+N41)+N34)-N48)-N49)+N51)-N47)-N52)</f>
        <v/>
      </c>
      <c r="O55" s="14">
        <f>(((((((N55+O41)+O34)-O48)-O49)+O51)-O47)-O52)</f>
        <v/>
      </c>
      <c r="P55" s="14">
        <f>(((((((O55+P41)+P34)-P48)-P49)+P51)-P47)-P52)</f>
        <v/>
      </c>
      <c r="Q55" s="14">
        <f>(((((((P55+Q41)+Q34)-Q48)-Q49)+Q51)-Q47)-Q52)</f>
        <v/>
      </c>
    </row>
    <row r="56">
      <c r="A56" t="inlineStr">
        <is>
          <t>Total debt</t>
        </is>
      </c>
      <c r="B56" t="inlineStr">
        <is>
          <t>debt</t>
        </is>
      </c>
      <c r="D56" s="13" t="n">
        <v>2969.995172808</v>
      </c>
      <c r="E56" s="13" t="n">
        <v>2814.520955072</v>
      </c>
      <c r="F56" s="13" t="n">
        <v>2878.17454709</v>
      </c>
      <c r="G56" s="13" t="n">
        <v>3061.035794503</v>
      </c>
      <c r="H56" s="14">
        <f>(G56+H51)</f>
        <v/>
      </c>
      <c r="I56" s="14">
        <f>(H56+I51)</f>
        <v/>
      </c>
      <c r="J56" s="14">
        <f>(I56+J51)</f>
        <v/>
      </c>
      <c r="K56" s="14">
        <f>(J56+K51)</f>
        <v/>
      </c>
      <c r="L56" s="14">
        <f>(K56+L51)</f>
        <v/>
      </c>
      <c r="M56" s="14">
        <f>(L56+M51)</f>
        <v/>
      </c>
      <c r="N56" s="14">
        <f>(M56+N51)</f>
        <v/>
      </c>
      <c r="O56" s="14">
        <f>(N56+O51)</f>
        <v/>
      </c>
      <c r="P56" s="14">
        <f>(O56+P51)</f>
        <v/>
      </c>
      <c r="Q56" s="14">
        <f>(P56+Q51)</f>
        <v/>
      </c>
    </row>
    <row r="57">
      <c r="A57" t="inlineStr">
        <is>
          <t>Fixed assets (net)</t>
        </is>
      </c>
      <c r="B57" t="inlineStr">
        <is>
          <t>ppe</t>
        </is>
      </c>
      <c r="D57" s="13" t="n">
        <v>2952.591555542</v>
      </c>
      <c r="E57" s="13" t="n">
        <v>2853.294879628</v>
      </c>
      <c r="F57" s="13" t="n">
        <v>2870.930552266</v>
      </c>
      <c r="G57" s="13" t="n">
        <v>2813.040803448</v>
      </c>
      <c r="H57" s="14">
        <f>((G57+H48)-H34)</f>
        <v/>
      </c>
      <c r="I57" s="14">
        <f>((H57+I48)-I34)</f>
        <v/>
      </c>
      <c r="J57" s="14">
        <f>((I57+J48)-J34)</f>
        <v/>
      </c>
      <c r="K57" s="14">
        <f>((J57+K48)-K34)</f>
        <v/>
      </c>
      <c r="L57" s="14">
        <f>((K57+L48)-L34)</f>
        <v/>
      </c>
      <c r="M57" s="14">
        <f>((L57+M48)-M34)</f>
        <v/>
      </c>
      <c r="N57" s="14">
        <f>((M57+N48)-N34)</f>
        <v/>
      </c>
      <c r="O57" s="14">
        <f>((N57+O48)-O34)</f>
        <v/>
      </c>
      <c r="P57" s="14">
        <f>((O57+P48)-P34)</f>
        <v/>
      </c>
      <c r="Q57" s="14">
        <f>((P57+Q48)-Q34)</f>
        <v/>
      </c>
    </row>
    <row r="58">
      <c r="A58" t="inlineStr">
        <is>
          <t>Parent shareholders' equity</t>
        </is>
      </c>
      <c r="B58" t="inlineStr">
        <is>
          <t>equity</t>
        </is>
      </c>
      <c r="D58" s="13" t="n">
        <v>1798.632074218</v>
      </c>
      <c r="E58" s="13" t="n">
        <v>924.866092465</v>
      </c>
      <c r="F58" s="13" t="n">
        <v>424.584036768</v>
      </c>
      <c r="G58" s="13" t="n">
        <v>254.658106467</v>
      </c>
      <c r="H58" s="14">
        <f>((G58+H43)-H47)</f>
        <v/>
      </c>
      <c r="I58" s="14">
        <f>((H58+I43)-I47)</f>
        <v/>
      </c>
      <c r="J58" s="14">
        <f>((I58+J43)-J47)</f>
        <v/>
      </c>
      <c r="K58" s="14">
        <f>((J58+K43)-K47)</f>
        <v/>
      </c>
      <c r="L58" s="14">
        <f>((K58+L43)-L47)</f>
        <v/>
      </c>
      <c r="M58" s="14">
        <f>((L58+M43)-M47)</f>
        <v/>
      </c>
      <c r="N58" s="14">
        <f>((M58+N43)-N47)</f>
        <v/>
      </c>
      <c r="O58" s="14">
        <f>((N58+O43)-O47)</f>
        <v/>
      </c>
      <c r="P58" s="14">
        <f>((O58+P43)-P47)</f>
        <v/>
      </c>
      <c r="Q58" s="14">
        <f>((P58+Q43)-Q47)</f>
        <v/>
      </c>
    </row>
    <row r="59">
      <c r="A59" t="inlineStr">
        <is>
          <t>Minority interest (balance sheet)</t>
        </is>
      </c>
      <c r="B59" t="inlineStr">
        <is>
          <t>minority_bs</t>
        </is>
      </c>
      <c r="D59" s="13" t="n">
        <v>298.519451372</v>
      </c>
      <c r="E59" s="13" t="n">
        <v>293.328615295</v>
      </c>
      <c r="F59" s="13" t="n">
        <v>268.739716243</v>
      </c>
      <c r="G59" s="13" t="n">
        <v>247.442796831</v>
      </c>
      <c r="H59" s="14">
        <f>((G59+H42)-H52)</f>
        <v/>
      </c>
      <c r="I59" s="14">
        <f>((H59+I42)-I52)</f>
        <v/>
      </c>
      <c r="J59" s="14">
        <f>((I59+J42)-J52)</f>
        <v/>
      </c>
      <c r="K59" s="14">
        <f>((J59+K42)-K52)</f>
        <v/>
      </c>
      <c r="L59" s="14">
        <f>((K59+L42)-L52)</f>
        <v/>
      </c>
      <c r="M59" s="14">
        <f>((L59+M42)-M52)</f>
        <v/>
      </c>
      <c r="N59" s="14">
        <f>((M59+N42)-N52)</f>
        <v/>
      </c>
      <c r="O59" s="14">
        <f>((N59+O42)-O52)</f>
        <v/>
      </c>
      <c r="P59" s="14">
        <f>((O59+P42)-P52)</f>
        <v/>
      </c>
      <c r="Q59" s="14">
        <f>((P59+Q42)-Q52)</f>
        <v/>
      </c>
    </row>
    <row r="60">
      <c r="A60" t="inlineStr">
        <is>
          <t>Other assets less other liabilities</t>
        </is>
      </c>
      <c r="B60" t="inlineStr">
        <is>
          <t>other_net</t>
        </is>
      </c>
      <c r="D60" s="13" t="n">
        <v>164.0893740639995</v>
      </c>
      <c r="E60" s="13" t="n">
        <v>115.0242325929999</v>
      </c>
      <c r="F60" s="13" t="n">
        <v>51.85675954499902</v>
      </c>
      <c r="G60" s="13" t="n">
        <v>93.99865767900019</v>
      </c>
      <c r="H60" s="14">
        <f>G60</f>
        <v/>
      </c>
      <c r="I60" s="14">
        <f>H60</f>
        <v/>
      </c>
      <c r="J60" s="14">
        <f>I60</f>
        <v/>
      </c>
      <c r="K60" s="14">
        <f>J60</f>
        <v/>
      </c>
      <c r="L60" s="14">
        <f>K60</f>
        <v/>
      </c>
      <c r="M60" s="14">
        <f>L60</f>
        <v/>
      </c>
      <c r="N60" s="14">
        <f>M60</f>
        <v/>
      </c>
      <c r="O60" s="14">
        <f>N60</f>
        <v/>
      </c>
      <c r="P60" s="14">
        <f>O60</f>
        <v/>
      </c>
      <c r="Q60" s="14">
        <f>P60</f>
        <v/>
      </c>
    </row>
    <row r="61">
      <c r="A61" t="inlineStr">
        <is>
          <t>Balance check (should be zero)</t>
        </is>
      </c>
      <c r="B61" t="inlineStr">
        <is>
          <t>bs_check</t>
        </is>
      </c>
      <c r="D61" s="13" t="n"/>
      <c r="E61" s="13" t="n"/>
      <c r="F61" s="13" t="n"/>
      <c r="G61" s="13" t="n"/>
      <c r="H61" s="14">
        <f>((((((H55+H54)+H57)+H60)-H56)-H58)-H59)</f>
        <v/>
      </c>
      <c r="I61" s="14">
        <f>((((((I55+I54)+I57)+I60)-I56)-I58)-I59)</f>
        <v/>
      </c>
      <c r="J61" s="14">
        <f>((((((J55+J54)+J57)+J60)-J56)-J58)-J59)</f>
        <v/>
      </c>
      <c r="K61" s="14">
        <f>((((((K55+K54)+K57)+K60)-K56)-K58)-K59)</f>
        <v/>
      </c>
      <c r="L61" s="14">
        <f>((((((L55+L54)+L57)+L60)-L56)-L58)-L59)</f>
        <v/>
      </c>
      <c r="M61" s="14">
        <f>((((((M55+M54)+M57)+M60)-M56)-M58)-M59)</f>
        <v/>
      </c>
      <c r="N61" s="14">
        <f>((((((N55+N54)+N57)+N60)-N56)-N58)-N59)</f>
        <v/>
      </c>
      <c r="O61" s="14">
        <f>((((((O55+O54)+O57)+O60)-O56)-O58)-O59)</f>
        <v/>
      </c>
      <c r="P61" s="14">
        <f>((((((P55+P54)+P57)+P60)-P56)-P58)-P59)</f>
        <v/>
      </c>
      <c r="Q61" s="14">
        <f>((((((Q55+Q54)+Q57)+Q60)-Q56)-Q58)-Q59)</f>
        <v/>
      </c>
    </row>
    <row r="62">
      <c r="A62" t="inlineStr">
        <is>
          <t>Net debt (cash)</t>
        </is>
      </c>
      <c r="B62" t="inlineStr">
        <is>
          <t>net_debt</t>
        </is>
      </c>
      <c r="D62" s="13" t="n">
        <v>2798.840239651</v>
      </c>
      <c r="E62" s="13" t="n">
        <v>2786.518021758</v>
      </c>
      <c r="F62" s="13" t="n">
        <v>2871.013634305</v>
      </c>
      <c r="G62" s="13" t="n">
        <v>3054.99848589</v>
      </c>
      <c r="H62" s="14">
        <f>(H56-H55)</f>
        <v/>
      </c>
      <c r="I62" s="14">
        <f>(I56-I55)</f>
        <v/>
      </c>
      <c r="J62" s="14">
        <f>(J56-J55)</f>
        <v/>
      </c>
      <c r="K62" s="14">
        <f>(K56-K55)</f>
        <v/>
      </c>
      <c r="L62" s="14">
        <f>(L56-L55)</f>
        <v/>
      </c>
      <c r="M62" s="14">
        <f>(M56-M55)</f>
        <v/>
      </c>
      <c r="N62" s="14">
        <f>(N56-N55)</f>
        <v/>
      </c>
      <c r="O62" s="14">
        <f>(O56-O55)</f>
        <v/>
      </c>
      <c r="P62" s="14">
        <f>(P56-P55)</f>
        <v/>
      </c>
      <c r="Q62" s="14">
        <f>(Q56-Q55)</f>
        <v/>
      </c>
    </row>
    <row r="63">
      <c r="A63" t="inlineStr">
        <is>
          <t>Book value per share</t>
        </is>
      </c>
      <c r="B63" t="inlineStr">
        <is>
          <t>bvps</t>
        </is>
      </c>
      <c r="D63" s="15" t="n">
        <v>61.13845046459771</v>
      </c>
      <c r="E63" s="15" t="n">
        <v>31.43771346629729</v>
      </c>
      <c r="F63" s="15" t="n">
        <v>14.43230690261396</v>
      </c>
      <c r="G63" s="15" t="n">
        <v>8.656246183316904</v>
      </c>
      <c r="H63" s="16">
        <f>(IF(H44=0,0,H58/H44)*$C$7)</f>
        <v/>
      </c>
      <c r="I63" s="16">
        <f>(IF(I44=0,0,I58/I44)*$C$7)</f>
        <v/>
      </c>
      <c r="J63" s="16">
        <f>(IF(J44=0,0,J58/J44)*$C$7)</f>
        <v/>
      </c>
      <c r="K63" s="16">
        <f>(IF(K44=0,0,K58/K44)*$C$7)</f>
        <v/>
      </c>
      <c r="L63" s="16">
        <f>(IF(L44=0,0,L58/L44)*$C$7)</f>
        <v/>
      </c>
      <c r="M63" s="16">
        <f>(IF(M44=0,0,M58/M44)*$C$7)</f>
        <v/>
      </c>
      <c r="N63" s="16">
        <f>(IF(N44=0,0,N58/N44)*$C$7)</f>
        <v/>
      </c>
      <c r="O63" s="16">
        <f>(IF(O44=0,0,O58/O44)*$C$7)</f>
        <v/>
      </c>
      <c r="P63" s="16">
        <f>(IF(P44=0,0,P58/P44)*$C$7)</f>
        <v/>
      </c>
      <c r="Q63" s="16">
        <f>(IF(Q44=0,0,Q58/Q44)*$C$7)</f>
        <v/>
      </c>
    </row>
    <row r="64">
      <c r="A64" t="inlineStr">
        <is>
          <t>Revenue growth</t>
        </is>
      </c>
      <c r="B64" t="inlineStr">
        <is>
          <t>revenue_growth</t>
        </is>
      </c>
      <c r="D64" s="4" t="n"/>
      <c r="E64" s="4" t="n">
        <v>-0.7933462131494167</v>
      </c>
      <c r="F64" s="4" t="n">
        <v>-0.3684912922566177</v>
      </c>
      <c r="G64" s="4" t="n">
        <v>0.7662129504125295</v>
      </c>
      <c r="H64" s="17">
        <f>(IF(G29=0,0,H29/G29)-1)</f>
        <v/>
      </c>
      <c r="I64" s="17">
        <f>(IF(H29=0,0,I29/H29)-1)</f>
        <v/>
      </c>
      <c r="J64" s="17">
        <f>(IF(I29=0,0,J29/I29)-1)</f>
        <v/>
      </c>
      <c r="K64" s="17">
        <f>(IF(J29=0,0,K29/J29)-1)</f>
        <v/>
      </c>
      <c r="L64" s="17">
        <f>(IF(K29=0,0,L29/K29)-1)</f>
        <v/>
      </c>
      <c r="M64" s="17">
        <f>(IF(L29=0,0,M29/L29)-1)</f>
        <v/>
      </c>
      <c r="N64" s="17">
        <f>(IF(M29=0,0,N29/M29)-1)</f>
        <v/>
      </c>
      <c r="O64" s="17">
        <f>(IF(N29=0,0,O29/N29)-1)</f>
        <v/>
      </c>
      <c r="P64" s="17">
        <f>(IF(O29=0,0,P29/O29)-1)</f>
        <v/>
      </c>
      <c r="Q64" s="17">
        <f>(IF(P29=0,0,Q29/P29)-1)</f>
        <v/>
      </c>
    </row>
    <row r="65">
      <c r="A65" t="inlineStr">
        <is>
          <t>Gross margin</t>
        </is>
      </c>
      <c r="B65" t="inlineStr">
        <is>
          <t>gross_margin</t>
        </is>
      </c>
      <c r="D65" s="4" t="n">
        <v>0.07686202624124422</v>
      </c>
      <c r="E65" s="4" t="n">
        <v>-0.4081413304179783</v>
      </c>
      <c r="F65" s="4" t="n">
        <v>-0.1662914998651984</v>
      </c>
      <c r="G65" s="4" t="n">
        <v>0.002754038651853375</v>
      </c>
      <c r="H65" s="17">
        <f>IF(H29=0,0,H31/H29)</f>
        <v/>
      </c>
      <c r="I65" s="17">
        <f>IF(I29=0,0,I31/I29)</f>
        <v/>
      </c>
      <c r="J65" s="17">
        <f>IF(J29=0,0,J31/J29)</f>
        <v/>
      </c>
      <c r="K65" s="17">
        <f>IF(K29=0,0,K31/K29)</f>
        <v/>
      </c>
      <c r="L65" s="17">
        <f>IF(L29=0,0,L31/L29)</f>
        <v/>
      </c>
      <c r="M65" s="17">
        <f>IF(M29=0,0,M31/M29)</f>
        <v/>
      </c>
      <c r="N65" s="17">
        <f>IF(N29=0,0,N31/N29)</f>
        <v/>
      </c>
      <c r="O65" s="17">
        <f>IF(O29=0,0,O31/O29)</f>
        <v/>
      </c>
      <c r="P65" s="17">
        <f>IF(P29=0,0,P31/P29)</f>
        <v/>
      </c>
      <c r="Q65" s="17">
        <f>IF(Q29=0,0,Q31/Q29)</f>
        <v/>
      </c>
    </row>
    <row r="66">
      <c r="A66" t="inlineStr">
        <is>
          <t>EBITDA margin</t>
        </is>
      </c>
      <c r="B66" t="inlineStr">
        <is>
          <t>ebitda_margin</t>
        </is>
      </c>
      <c r="D66" s="4" t="n">
        <v>-0.01017008834557831</v>
      </c>
      <c r="E66" s="4" t="n">
        <v>-0.6103667903018363</v>
      </c>
      <c r="F66" s="4" t="n">
        <v>-0.2145686163125976</v>
      </c>
      <c r="G66" s="4" t="n">
        <v>0.004022028330675009</v>
      </c>
      <c r="H66" s="17">
        <f>IF(H29=0,0,H35/H29)</f>
        <v/>
      </c>
      <c r="I66" s="17">
        <f>IF(I29=0,0,I35/I29)</f>
        <v/>
      </c>
      <c r="J66" s="17">
        <f>IF(J29=0,0,J35/J29)</f>
        <v/>
      </c>
      <c r="K66" s="17">
        <f>IF(K29=0,0,K35/K29)</f>
        <v/>
      </c>
      <c r="L66" s="17">
        <f>IF(L29=0,0,L35/L29)</f>
        <v/>
      </c>
      <c r="M66" s="17">
        <f>IF(M29=0,0,M35/M29)</f>
        <v/>
      </c>
      <c r="N66" s="17">
        <f>IF(N29=0,0,N35/N29)</f>
        <v/>
      </c>
      <c r="O66" s="17">
        <f>IF(O29=0,0,O35/O29)</f>
        <v/>
      </c>
      <c r="P66" s="17">
        <f>IF(P29=0,0,P35/P29)</f>
        <v/>
      </c>
      <c r="Q66" s="17">
        <f>IF(Q29=0,0,Q35/Q29)</f>
        <v/>
      </c>
    </row>
    <row r="67">
      <c r="A67" t="inlineStr">
        <is>
          <t>EBIT margin</t>
        </is>
      </c>
      <c r="B67" t="inlineStr">
        <is>
          <t>ebit_margin</t>
        </is>
      </c>
      <c r="D67" s="4" t="n">
        <v>-0.02204782509007511</v>
      </c>
      <c r="E67" s="4" t="n">
        <v>-0.6795277213652203</v>
      </c>
      <c r="F67" s="4" t="n">
        <v>-0.3916872320840426</v>
      </c>
      <c r="G67" s="4" t="n">
        <v>-0.09966861094854462</v>
      </c>
      <c r="H67" s="17">
        <f>IF(H29=0,0,H33/H29)</f>
        <v/>
      </c>
      <c r="I67" s="17">
        <f>IF(I29=0,0,I33/I29)</f>
        <v/>
      </c>
      <c r="J67" s="17">
        <f>IF(J29=0,0,J33/J29)</f>
        <v/>
      </c>
      <c r="K67" s="17">
        <f>IF(K29=0,0,K33/K29)</f>
        <v/>
      </c>
      <c r="L67" s="17">
        <f>IF(L29=0,0,L33/L29)</f>
        <v/>
      </c>
      <c r="M67" s="17">
        <f>IF(M29=0,0,M33/M29)</f>
        <v/>
      </c>
      <c r="N67" s="17">
        <f>IF(N29=0,0,N33/N29)</f>
        <v/>
      </c>
      <c r="O67" s="17">
        <f>IF(O29=0,0,O33/O29)</f>
        <v/>
      </c>
      <c r="P67" s="17">
        <f>IF(P29=0,0,P33/P29)</f>
        <v/>
      </c>
      <c r="Q67" s="17">
        <f>IF(Q29=0,0,Q33/Q29)</f>
        <v/>
      </c>
    </row>
    <row r="68">
      <c r="A68" t="inlineStr">
        <is>
          <t>Net margin</t>
        </is>
      </c>
      <c r="B68" t="inlineStr">
        <is>
          <t>np_margin</t>
        </is>
      </c>
      <c r="D68" s="4" t="n">
        <v>-0.07007033829800358</v>
      </c>
      <c r="E68" s="4" t="n">
        <v>-0.9651689128871346</v>
      </c>
      <c r="F68" s="4" t="n">
        <v>-0.9910256213171881</v>
      </c>
      <c r="G68" s="4" t="n">
        <v>-0.2098512347073648</v>
      </c>
      <c r="H68" s="17">
        <f>IF(H29=0,0,H43/H29)</f>
        <v/>
      </c>
      <c r="I68" s="17">
        <f>IF(I29=0,0,I43/I29)</f>
        <v/>
      </c>
      <c r="J68" s="17">
        <f>IF(J29=0,0,J43/J29)</f>
        <v/>
      </c>
      <c r="K68" s="17">
        <f>IF(K29=0,0,K43/K29)</f>
        <v/>
      </c>
      <c r="L68" s="17">
        <f>IF(L29=0,0,L43/L29)</f>
        <v/>
      </c>
      <c r="M68" s="17">
        <f>IF(M29=0,0,M43/M29)</f>
        <v/>
      </c>
      <c r="N68" s="17">
        <f>IF(N29=0,0,N43/N29)</f>
        <v/>
      </c>
      <c r="O68" s="17">
        <f>IF(O29=0,0,O43/O29)</f>
        <v/>
      </c>
      <c r="P68" s="17">
        <f>IF(P29=0,0,P43/P29)</f>
        <v/>
      </c>
      <c r="Q68" s="17">
        <f>IF(Q29=0,0,Q43/Q29)</f>
        <v/>
      </c>
    </row>
    <row r="69">
      <c r="A69" t="inlineStr">
        <is>
          <t>EPS growth</t>
        </is>
      </c>
      <c r="B69" t="inlineStr">
        <is>
          <t>eps_growth</t>
        </is>
      </c>
      <c r="D69" s="4" t="n"/>
      <c r="E69" s="4" t="n">
        <v>1.846508460545993</v>
      </c>
      <c r="F69" s="4" t="n">
        <v>-0.3515732830779796</v>
      </c>
      <c r="G69" s="4" t="n">
        <v>-0.6260016285879867</v>
      </c>
      <c r="H69" s="17">
        <f>(IF(G45=0,0,H45/G45)-1)</f>
        <v/>
      </c>
      <c r="I69" s="17">
        <f>(IF(H45=0,0,I45/H45)-1)</f>
        <v/>
      </c>
      <c r="J69" s="17">
        <f>(IF(I45=0,0,J45/I45)-1)</f>
        <v/>
      </c>
      <c r="K69" s="17">
        <f>(IF(J45=0,0,K45/J45)-1)</f>
        <v/>
      </c>
      <c r="L69" s="17">
        <f>(IF(K45=0,0,L45/K45)-1)</f>
        <v/>
      </c>
      <c r="M69" s="17">
        <f>(IF(L45=0,0,M45/L45)-1)</f>
        <v/>
      </c>
      <c r="N69" s="17">
        <f>(IF(M45=0,0,N45/M45)-1)</f>
        <v/>
      </c>
      <c r="O69" s="17">
        <f>(IF(N45=0,0,O45/N45)-1)</f>
        <v/>
      </c>
      <c r="P69" s="17">
        <f>(IF(O45=0,0,P45/O45)-1)</f>
        <v/>
      </c>
      <c r="Q69" s="17">
        <f>(IF(P45=0,0,Q45/P45)-1)</f>
        <v/>
      </c>
    </row>
    <row r="70">
      <c r="A70" t="inlineStr">
        <is>
          <t>ROE</t>
        </is>
      </c>
      <c r="B70" t="inlineStr">
        <is>
          <t>roe</t>
        </is>
      </c>
      <c r="D70" s="4" t="n"/>
      <c r="E70" s="4" t="n">
        <v>-0.6430160386606334</v>
      </c>
      <c r="F70" s="4" t="n">
        <v>-0.841497740651912</v>
      </c>
      <c r="G70" s="4" t="n">
        <v>-0.625251699579933</v>
      </c>
      <c r="H70" s="17">
        <f>IF(IF(2=0,0,(H58+G58)/2)=0,0,H43/IF(2=0,0,(H58+G58)/2))</f>
        <v/>
      </c>
      <c r="I70" s="17">
        <f>IF(IF(2=0,0,(I58+H58)/2)=0,0,I43/IF(2=0,0,(I58+H58)/2))</f>
        <v/>
      </c>
      <c r="J70" s="17">
        <f>IF(IF(2=0,0,(J58+I58)/2)=0,0,J43/IF(2=0,0,(J58+I58)/2))</f>
        <v/>
      </c>
      <c r="K70" s="17">
        <f>IF(IF(2=0,0,(K58+J58)/2)=0,0,K43/IF(2=0,0,(K58+J58)/2))</f>
        <v/>
      </c>
      <c r="L70" s="17">
        <f>IF(IF(2=0,0,(L58+K58)/2)=0,0,L43/IF(2=0,0,(L58+K58)/2))</f>
        <v/>
      </c>
      <c r="M70" s="17">
        <f>IF(IF(2=0,0,(M58+L58)/2)=0,0,M43/IF(2=0,0,(M58+L58)/2))</f>
        <v/>
      </c>
      <c r="N70" s="17">
        <f>IF(IF(2=0,0,(N58+M58)/2)=0,0,N43/IF(2=0,0,(N58+M58)/2))</f>
        <v/>
      </c>
      <c r="O70" s="17">
        <f>IF(IF(2=0,0,(O58+N58)/2)=0,0,O43/IF(2=0,0,(O58+N58)/2))</f>
        <v/>
      </c>
      <c r="P70" s="17">
        <f>IF(IF(2=0,0,(P58+O58)/2)=0,0,P43/IF(2=0,0,(P58+O58)/2))</f>
        <v/>
      </c>
      <c r="Q70" s="17">
        <f>IF(IF(2=0,0,(Q58+P58)/2)=0,0,Q43/IF(2=0,0,(Q58+P58)/2))</f>
        <v/>
      </c>
    </row>
    <row r="71">
      <c r="A71" t="inlineStr">
        <is>
          <t>Net debt / EBITDA</t>
        </is>
      </c>
      <c r="B71" t="inlineStr">
        <is>
          <t>net_debt_ebitda</t>
        </is>
      </c>
      <c r="D71" s="18" t="n">
        <v>-62.68753310539755</v>
      </c>
      <c r="E71" s="18" t="n">
        <v>-5.03217097423509</v>
      </c>
      <c r="F71" s="18" t="n">
        <v>-23.35469172506314</v>
      </c>
      <c r="G71" s="18" t="n">
        <v>750.6334157221123</v>
      </c>
      <c r="H71" s="19">
        <f>IF(H35=0,0,H62/H35)</f>
        <v/>
      </c>
      <c r="I71" s="19">
        <f>IF(I35=0,0,I62/I35)</f>
        <v/>
      </c>
      <c r="J71" s="19">
        <f>IF(J35=0,0,J62/J35)</f>
        <v/>
      </c>
      <c r="K71" s="19">
        <f>IF(K35=0,0,K62/K35)</f>
        <v/>
      </c>
      <c r="L71" s="19">
        <f>IF(L35=0,0,L62/L35)</f>
        <v/>
      </c>
      <c r="M71" s="19">
        <f>IF(M35=0,0,M62/M35)</f>
        <v/>
      </c>
      <c r="N71" s="19">
        <f>IF(N35=0,0,N62/N35)</f>
        <v/>
      </c>
      <c r="O71" s="19">
        <f>IF(O35=0,0,O62/O35)</f>
        <v/>
      </c>
      <c r="P71" s="19">
        <f>IF(P35=0,0,P62/P35)</f>
        <v/>
      </c>
      <c r="Q71" s="19">
        <f>IF(Q35=0,0,Q62/Q35)</f>
        <v/>
      </c>
    </row>
    <row r="72">
      <c r="A72" t="inlineStr">
        <is>
          <t>Payout ratio</t>
        </is>
      </c>
      <c r="B72" t="inlineStr">
        <is>
          <t>payout_ratio</t>
        </is>
      </c>
      <c r="D72" s="4" t="n">
        <v>-0</v>
      </c>
      <c r="E72" s="4" t="n">
        <v>-0</v>
      </c>
      <c r="F72" s="4" t="n">
        <v>-0</v>
      </c>
      <c r="G72" s="4" t="n">
        <v>-0</v>
      </c>
      <c r="H72" s="17">
        <f>IF(H45=0,0,H46/H45)</f>
        <v/>
      </c>
      <c r="I72" s="17">
        <f>IF(I45=0,0,I46/I45)</f>
        <v/>
      </c>
      <c r="J72" s="17">
        <f>IF(J45=0,0,J46/J45)</f>
        <v/>
      </c>
      <c r="K72" s="17">
        <f>IF(K45=0,0,K46/K45)</f>
        <v/>
      </c>
      <c r="L72" s="17">
        <f>IF(L45=0,0,L46/L45)</f>
        <v/>
      </c>
      <c r="M72" s="17">
        <f>IF(M45=0,0,M46/M45)</f>
        <v/>
      </c>
      <c r="N72" s="17">
        <f>IF(N45=0,0,N46/N45)</f>
        <v/>
      </c>
      <c r="O72" s="17">
        <f>IF(O45=0,0,O46/O45)</f>
        <v/>
      </c>
      <c r="P72" s="17">
        <f>IF(P45=0,0,P46/P45)</f>
        <v/>
      </c>
      <c r="Q72" s="17">
        <f>IF(Q45=0,0,Q46/Q45)</f>
        <v/>
      </c>
    </row>
    <row r="73">
      <c r="A73" t="inlineStr">
        <is>
          <t>Capex / revenue</t>
        </is>
      </c>
      <c r="B73" t="inlineStr">
        <is>
          <t>capex_revenue</t>
        </is>
      </c>
      <c r="D73" s="4" t="n">
        <v>0.142379369306901</v>
      </c>
      <c r="E73" s="4" t="n">
        <v>0.01987715203417649</v>
      </c>
      <c r="F73" s="4" t="n">
        <v>0.00520803842541841</v>
      </c>
      <c r="G73" s="4" t="n">
        <v>0.006502645968341285</v>
      </c>
      <c r="H73" s="17">
        <f>IF(H29=0,0,H48/H29)</f>
        <v/>
      </c>
      <c r="I73" s="17">
        <f>IF(I29=0,0,I48/I29)</f>
        <v/>
      </c>
      <c r="J73" s="17">
        <f>IF(J29=0,0,J48/J29)</f>
        <v/>
      </c>
      <c r="K73" s="17">
        <f>IF(K29=0,0,K48/K29)</f>
        <v/>
      </c>
      <c r="L73" s="17">
        <f>IF(L29=0,0,L48/L29)</f>
        <v/>
      </c>
      <c r="M73" s="17">
        <f>IF(M29=0,0,M48/M29)</f>
        <v/>
      </c>
      <c r="N73" s="17">
        <f>IF(N29=0,0,N48/N29)</f>
        <v/>
      </c>
      <c r="O73" s="17">
        <f>IF(O29=0,0,O48/O29)</f>
        <v/>
      </c>
      <c r="P73" s="17">
        <f>IF(P29=0,0,P48/P29)</f>
        <v/>
      </c>
      <c r="Q73" s="17">
        <f>IF(Q29=0,0,Q48/Q29)</f>
        <v/>
      </c>
    </row>
    <row r="75">
      <c r="A75" s="1" t="inlineStr">
        <is>
          <t>VALUATION</t>
        </is>
      </c>
    </row>
    <row r="76">
      <c r="A76" t="inlineStr">
        <is>
          <t>Last price (IDR)</t>
        </is>
      </c>
      <c r="C76" s="15" t="n">
        <v>25</v>
      </c>
    </row>
    <row r="77">
      <c r="A77" t="inlineStr">
        <is>
          <t>Shares outstanding (m)</t>
        </is>
      </c>
      <c r="C77" s="13" t="n">
        <v>29419</v>
      </c>
    </row>
    <row r="78">
      <c r="A78" t="inlineStr">
        <is>
          <t>IDR per USD (spot)</t>
        </is>
      </c>
      <c r="C78" s="3" t="n">
        <v>18110</v>
      </c>
    </row>
    <row r="79">
      <c r="A79" t="inlineStr">
        <is>
          <t>Debt at balance-sheet date</t>
        </is>
      </c>
      <c r="C79" s="13" t="n">
        <v>1890.910852461</v>
      </c>
    </row>
    <row r="80">
      <c r="A80" t="inlineStr">
        <is>
          <t>Cash at balance-sheet date</t>
        </is>
      </c>
      <c r="C80" s="13" t="n">
        <v>26.191065334</v>
      </c>
    </row>
    <row r="81">
      <c r="A81" t="inlineStr">
        <is>
          <t>Minority interest (book)</t>
        </is>
      </c>
      <c r="C81" s="13" t="n">
        <v>322.206940587</v>
      </c>
    </row>
    <row r="82">
      <c r="A82" t="inlineStr">
        <is>
          <t>Associates &amp; investments (book)</t>
        </is>
      </c>
      <c r="C82" s="13" t="n">
        <v>0</v>
      </c>
    </row>
    <row r="83">
      <c r="A83" t="inlineStr">
        <is>
          <t>Post-balance-sheet &amp; other items (sourced, probability-weighted)</t>
        </is>
      </c>
      <c r="C83" s="13" t="n">
        <v>0</v>
      </c>
    </row>
    <row r="84">
      <c r="A84" t="inlineStr">
        <is>
          <t>Parent equity at balance-sheet date</t>
        </is>
      </c>
      <c r="C84" s="13" t="n">
        <v>390.142564081</v>
      </c>
    </row>
    <row r="85">
      <c r="A85" t="inlineStr">
        <is>
          <t>Per-share factor</t>
        </is>
      </c>
      <c r="C85" s="20" t="n">
        <v>1000</v>
      </c>
    </row>
    <row r="86">
      <c r="A86" t="inlineStr">
        <is>
          <t>Risk-free rate</t>
        </is>
      </c>
      <c r="C86" s="8">
        <f>Drivers!$C$7</f>
        <v/>
      </c>
    </row>
    <row r="87">
      <c r="A87" t="inlineStr">
        <is>
          <t>Less: default spread (IDR only)</t>
        </is>
      </c>
      <c r="C87" s="8">
        <f>Drivers!$C$9</f>
        <v/>
      </c>
    </row>
    <row r="88">
      <c r="A88" t="inlineStr">
        <is>
          <t>Mature ERP + Indonesia CRP</t>
        </is>
      </c>
      <c r="C88" s="8">
        <f>Drivers!$C$10+Drivers!$C$11</f>
        <v/>
      </c>
    </row>
    <row r="89">
      <c r="A89" t="inlineStr">
        <is>
          <t>Tax rate</t>
        </is>
      </c>
      <c r="C89" s="8">
        <f>Drivers!$C$13</f>
        <v/>
      </c>
    </row>
    <row r="90">
      <c r="A90" t="inlineStr">
        <is>
          <t>Unlevered beta (industry default (config))</t>
        </is>
      </c>
      <c r="C90" s="21" t="n">
        <v>0.9</v>
      </c>
    </row>
    <row r="91">
      <c r="A91" t="inlineStr">
        <is>
          <t>Debt / equity (market)</t>
        </is>
      </c>
      <c r="C91" s="21" t="n">
        <v>2</v>
      </c>
    </row>
    <row r="92">
      <c r="A92" t="inlineStr">
        <is>
          <t>Levered beta</t>
        </is>
      </c>
      <c r="C92" s="22">
        <f>$C$90*(1+(1-$C$89)*$C$91)</f>
        <v/>
      </c>
    </row>
    <row r="93">
      <c r="A93" t="inlineStr">
        <is>
          <t>Explicit company premium</t>
        </is>
      </c>
      <c r="C93" s="4" t="n">
        <v>0</v>
      </c>
    </row>
    <row r="94">
      <c r="A94" t="inlineStr">
        <is>
          <t>Cost of equity</t>
        </is>
      </c>
      <c r="C94" s="10">
        <f>$C$86-$C$87+$C$92*$C$88+$C$93</f>
        <v/>
      </c>
    </row>
    <row r="95">
      <c r="A95" t="inlineStr">
        <is>
          <t>Pre-tax cost of debt</t>
        </is>
      </c>
      <c r="C95" s="10">
        <f>$C$86+Drivers!$C$12</f>
        <v/>
      </c>
    </row>
    <row r="96">
      <c r="A96" t="inlineStr">
        <is>
          <t>WACC</t>
        </is>
      </c>
      <c r="C96" s="10">
        <f>1/(1+$C$91)*$C$94+$C$91/(1+$C$91)*$C$95*(1-$C$89)</f>
        <v/>
      </c>
    </row>
    <row r="97">
      <c r="A97" t="inlineStr">
        <is>
          <t>Terminal growth (capped)</t>
        </is>
      </c>
      <c r="C97" s="4" t="n">
        <v>0.03</v>
      </c>
    </row>
    <row r="99">
      <c r="A99" s="1" t="inlineStr">
        <is>
          <t>Sum of the parts</t>
        </is>
      </c>
    </row>
    <row r="100">
      <c r="A100" t="inlineStr">
        <is>
          <t>Value per share (IDR) — Sum of the parts (engine value)</t>
        </is>
      </c>
      <c r="C100" s="15" t="n">
        <v>9.312716</v>
      </c>
    </row>
    <row r="102">
      <c r="A102" s="1" t="inlineStr">
        <is>
          <t>P/BV</t>
        </is>
      </c>
    </row>
    <row r="103">
      <c r="A103" t="inlineStr">
        <is>
          <t>Target multiple (own five-year average)</t>
        </is>
      </c>
      <c r="C103" s="18" t="n">
        <v>1.254641</v>
      </c>
    </row>
    <row r="104">
      <c r="A104" t="inlineStr">
        <is>
          <t>Metric (LTM, or next-12m DPS for yield)</t>
        </is>
      </c>
      <c r="C104" s="13" t="n">
        <v>390.142564</v>
      </c>
    </row>
    <row r="105">
      <c r="A105" t="inlineStr">
        <is>
          <t>Value per share (IDR) — P/BV</t>
        </is>
      </c>
      <c r="C105" s="23">
        <f>MAX(0,$C$103*$C$104/$C$77*$C$85*1)</f>
        <v/>
      </c>
    </row>
    <row r="107">
      <c r="A107" s="1" t="inlineStr">
        <is>
          <t>TARGET</t>
        </is>
      </c>
    </row>
    <row r="108">
      <c r="A108" t="inlineStr">
        <is>
          <t>Weight: Sum of the parts</t>
        </is>
      </c>
      <c r="C108" s="4" t="n">
        <v>0.8</v>
      </c>
    </row>
    <row r="109">
      <c r="A109" t="inlineStr">
        <is>
          <t>Weight: P/BV</t>
        </is>
      </c>
      <c r="C109" s="4" t="n">
        <v>0.2</v>
      </c>
    </row>
    <row r="110">
      <c r="A110" t="inlineStr">
        <is>
          <t>Value today (weighted)</t>
        </is>
      </c>
      <c r="C110" s="23">
        <f>$C$100*$C$108+$C$105*$C$109</f>
        <v/>
      </c>
    </row>
    <row r="111">
      <c r="A111" t="inlineStr">
        <is>
          <t>DPS expected in next 12 months (IDR)</t>
        </is>
      </c>
      <c r="C111" s="15" t="n">
        <v>0</v>
      </c>
    </row>
    <row r="112">
      <c r="A112" t="inlineStr">
        <is>
          <t>Base-case 12-month value</t>
        </is>
      </c>
      <c r="C112" s="23">
        <f>MAX(0,$C$110*(1+$C$94)-$C$111)</f>
        <v/>
      </c>
    </row>
    <row r="113">
      <c r="A113" t="inlineStr">
        <is>
          <t>Bear probability</t>
        </is>
      </c>
      <c r="C113" s="4" t="n">
        <v>0.25</v>
      </c>
    </row>
    <row r="114">
      <c r="A114" t="inlineStr">
        <is>
          <t>Bear 12-month value (engine)</t>
        </is>
      </c>
      <c r="C114" s="15" t="n">
        <v>11.67783270642968</v>
      </c>
    </row>
    <row r="115">
      <c r="A115" t="inlineStr">
        <is>
          <t>Base probability</t>
        </is>
      </c>
      <c r="C115" s="4" t="n">
        <v>0.55</v>
      </c>
    </row>
    <row r="116">
      <c r="A116" t="inlineStr">
        <is>
          <t>Bull probability</t>
        </is>
      </c>
      <c r="C116" s="4" t="n">
        <v>0.2</v>
      </c>
    </row>
    <row r="117">
      <c r="A117" t="inlineStr">
        <is>
          <t>Bull 12-month value (engine)</t>
        </is>
      </c>
      <c r="C117" s="15" t="n">
        <v>14.45717713047155</v>
      </c>
    </row>
    <row r="118">
      <c r="A118" t="inlineStr">
        <is>
          <t>Probability-weighted 12-month value</t>
        </is>
      </c>
      <c r="C118" s="23">
        <f>$C$113*$C$114+$C$115*$C$112+$C$116*$C$117</f>
        <v/>
      </c>
    </row>
    <row r="119">
      <c r="A119" t="inlineStr">
        <is>
          <t>Liquidity discount (limits.yaml)</t>
        </is>
      </c>
      <c r="C119" s="4" t="n">
        <v>0.1</v>
      </c>
    </row>
    <row r="120">
      <c r="A120" t="inlineStr">
        <is>
          <t>TARGET PRICE (IDR)</t>
        </is>
      </c>
      <c r="C120" s="24">
        <f>$C$118*(1-$C$119)</f>
        <v/>
      </c>
    </row>
    <row r="121">
      <c r="A121" t="inlineStr">
        <is>
          <t>Expected 12-month total return</t>
        </is>
      </c>
      <c r="C121" s="25">
        <f>($C$120+$C$111)/$C$76-1</f>
        <v/>
      </c>
    </row>
    <row r="122">
      <c r="A122" t="inlineStr">
        <is>
          <t>Rating</t>
        </is>
      </c>
      <c r="C122" s="26">
        <f>IF($C$121&gt;=0.25,"BUY",IF($C$121&gt;=0.1,"ADD",IF($C$121&lt;=-0.25,"SELL",IF($C$121&lt;=-0.1,"REDUCE","HOLD"))))</f>
        <v/>
      </c>
    </row>
    <row r="124">
      <c r="A124" s="1" t="inlineStr">
        <is>
          <t>12-month value vs holding-company discount and cost of equity (engine values)</t>
        </is>
      </c>
    </row>
    <row r="125">
      <c r="A125" s="5" t="inlineStr">
        <is>
          <t>rows: Cost of equity (+/- pp) · columns: Holdco discount (+/- pp)</t>
        </is>
      </c>
      <c r="D125" s="1" t="n">
        <v>-0.1</v>
      </c>
      <c r="E125" s="1" t="n">
        <v>-0.05</v>
      </c>
      <c r="F125" s="1" t="n">
        <v>0</v>
      </c>
      <c r="G125" s="1" t="n">
        <v>0.05</v>
      </c>
      <c r="H125" s="1" t="n">
        <v>0.1</v>
      </c>
    </row>
    <row r="126">
      <c r="C126" s="1" t="n">
        <v>-0.01</v>
      </c>
      <c r="D126" s="23" t="n">
        <v>14.337937</v>
      </c>
      <c r="E126" s="23" t="n">
        <v>13.648831</v>
      </c>
      <c r="F126" s="23" t="n">
        <v>12.959726</v>
      </c>
      <c r="G126" s="23" t="n">
        <v>12.270621</v>
      </c>
      <c r="H126" s="23" t="n">
        <v>11.581516</v>
      </c>
    </row>
    <row r="127">
      <c r="C127" s="1" t="n">
        <v>-0.005</v>
      </c>
      <c r="D127" s="23" t="n">
        <v>14.397557</v>
      </c>
      <c r="E127" s="23" t="n">
        <v>13.705586</v>
      </c>
      <c r="F127" s="23" t="n">
        <v>13.013616</v>
      </c>
      <c r="G127" s="23" t="n">
        <v>12.321645</v>
      </c>
      <c r="H127" s="23" t="n">
        <v>11.629674</v>
      </c>
    </row>
    <row r="128">
      <c r="C128" s="1" t="n">
        <v>0</v>
      </c>
      <c r="D128" s="23" t="n">
        <v>14.457177</v>
      </c>
      <c r="E128" s="23" t="n">
        <v>13.762341</v>
      </c>
      <c r="F128" s="23" t="n">
        <v>13.067505</v>
      </c>
      <c r="G128" s="23" t="n">
        <v>12.372669</v>
      </c>
      <c r="H128" s="23" t="n">
        <v>11.677833</v>
      </c>
    </row>
    <row r="129">
      <c r="C129" s="1" t="n">
        <v>0.005</v>
      </c>
      <c r="D129" s="23" t="n">
        <v>14.516797</v>
      </c>
      <c r="E129" s="23" t="n">
        <v>13.819096</v>
      </c>
      <c r="F129" s="23" t="n">
        <v>13.121394</v>
      </c>
      <c r="G129" s="23" t="n">
        <v>12.423693</v>
      </c>
      <c r="H129" s="23" t="n">
        <v>11.725991</v>
      </c>
    </row>
    <row r="130">
      <c r="C130" s="1" t="n">
        <v>0.01</v>
      </c>
      <c r="D130" s="23" t="n">
        <v>14.576418</v>
      </c>
      <c r="E130" s="23" t="n">
        <v>13.875851</v>
      </c>
      <c r="F130" s="23" t="n">
        <v>13.175284</v>
      </c>
      <c r="G130" s="23" t="n">
        <v>12.474717</v>
      </c>
      <c r="H130" s="23" t="n">
        <v>11.77415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2026-10-27T03:28:09Z</dcterms:created>
  <dcterms:modified xsi:type="dcterms:W3CDTF">2026-10-27T03:28:09Z</dcterms:modified>
</cp:coreProperties>
</file>