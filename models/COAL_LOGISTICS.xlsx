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SG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6" fontId="6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distribution, trading &amp; logistics industry model</t>
        </is>
      </c>
    </row>
    <row r="2">
      <c r="A2" s="2" t="inlineStr">
        <is>
          <t>Generated 2026-10-27T10:28:08+07:00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SGER.JK — PT Sumber Global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  <c r="R3" s="1" t="inlineStr">
        <is>
          <t>FY2036E</t>
        </is>
      </c>
      <c r="S3" s="1" t="inlineStr">
        <is>
          <t>FY2037E</t>
        </is>
      </c>
      <c r="T3" s="1" t="inlineStr">
        <is>
          <t>FY2038E</t>
        </is>
      </c>
      <c r="U3" s="1" t="inlineStr">
        <is>
          <t>FY2039E</t>
        </is>
      </c>
      <c r="V3" s="1" t="inlineStr">
        <is>
          <t>FY2040E</t>
        </is>
      </c>
      <c r="W3" s="1" t="inlineStr">
        <is>
          <t>FY2041E</t>
        </is>
      </c>
      <c r="X3" s="1" t="inlineStr">
        <is>
          <t>FY2042E</t>
        </is>
      </c>
      <c r="Y3" s="1" t="inlineStr">
        <is>
          <t>FY2043E</t>
        </is>
      </c>
      <c r="Z3" s="1" t="inlineStr">
        <is>
          <t>FY2044E</t>
        </is>
      </c>
      <c r="AA3" s="1" t="inlineStr">
        <is>
          <t>FY2045E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/>
      <c r="H4" s="3" t="n">
        <v>70</v>
      </c>
      <c r="I4" s="3" t="n">
        <v>70</v>
      </c>
      <c r="J4" s="3" t="n">
        <v>70</v>
      </c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</row>
    <row r="5">
      <c r="A5" t="inlineStr">
        <is>
          <t>Newcastle 6,000 kcal/kg NAR thermal coal</t>
        </is>
      </c>
      <c r="B5" t="inlineStr">
        <is>
          <t>d.coal.newc</t>
        </is>
      </c>
      <c r="C5" t="inlineStr">
        <is>
          <t>USD/t · reviewed</t>
        </is>
      </c>
      <c r="D5" s="3" t="n"/>
      <c r="E5" s="3" t="n"/>
      <c r="F5" s="3" t="n">
        <v>136.1</v>
      </c>
      <c r="G5" s="3" t="n">
        <v>108.4</v>
      </c>
      <c r="H5" s="3" t="n">
        <v>137</v>
      </c>
      <c r="I5" s="3" t="n">
        <v>118</v>
      </c>
      <c r="J5" s="3" t="n">
        <v>110</v>
      </c>
      <c r="K5" s="3" t="n">
        <v>105</v>
      </c>
      <c r="L5" s="3" t="n">
        <v>107.1</v>
      </c>
      <c r="M5" s="3" t="n">
        <v>109.242</v>
      </c>
      <c r="N5" s="3" t="n">
        <v>111.42684</v>
      </c>
      <c r="O5" s="3" t="n">
        <v>113.6553768</v>
      </c>
      <c r="P5" s="3" t="n">
        <v>115.928484336</v>
      </c>
      <c r="Q5" s="3" t="n">
        <v>118.24705402272</v>
      </c>
      <c r="R5" s="3" t="n">
        <v>120.6119951031744</v>
      </c>
      <c r="S5" s="3" t="n">
        <v>123.0242350052379</v>
      </c>
      <c r="T5" s="3" t="n">
        <v>125.4847197053427</v>
      </c>
      <c r="U5" s="3" t="n">
        <v>127.9944140994495</v>
      </c>
      <c r="V5" s="3" t="n">
        <v>130.5543023814385</v>
      </c>
      <c r="W5" s="3" t="n">
        <v>133.1653884290673</v>
      </c>
      <c r="X5" s="3" t="n">
        <v>135.8286961976486</v>
      </c>
      <c r="Y5" s="3" t="n">
        <v>138.5452701216016</v>
      </c>
      <c r="Z5" s="3" t="n">
        <v>141.3161755240336</v>
      </c>
      <c r="AA5" s="3" t="n">
        <v>144.1424990345143</v>
      </c>
    </row>
    <row r="6">
      <c r="A6" t="inlineStr">
        <is>
          <t>IDR per USD</t>
        </is>
      </c>
      <c r="B6" t="inlineStr">
        <is>
          <t>m.usd_idr</t>
        </is>
      </c>
      <c r="C6" t="inlineStr">
        <is>
          <t>IDR/USD · reviewed</t>
        </is>
      </c>
      <c r="D6" s="3" t="n">
        <v>14843.1773</v>
      </c>
      <c r="E6" s="3" t="n">
        <v>15228.8</v>
      </c>
      <c r="F6" s="3" t="n">
        <v>15846.2378</v>
      </c>
      <c r="G6" s="3" t="n">
        <v>16448.0929</v>
      </c>
      <c r="H6" s="3" t="n">
        <v>17570</v>
      </c>
      <c r="I6" s="3" t="n">
        <v>18350</v>
      </c>
      <c r="J6" s="3" t="n">
        <v>18600</v>
      </c>
      <c r="K6" s="3" t="n">
        <v>18850</v>
      </c>
      <c r="L6" s="3" t="n">
        <v>19093.13725490196</v>
      </c>
      <c r="M6" s="3" t="n">
        <v>19186.73106497501</v>
      </c>
      <c r="N6" s="3" t="n">
        <v>19280.78366823469</v>
      </c>
      <c r="O6" s="3" t="n">
        <v>19375.29731366722</v>
      </c>
      <c r="P6" s="3" t="n">
        <v>19470.27426128323</v>
      </c>
      <c r="Q6" s="3" t="n">
        <v>19565.71678217187</v>
      </c>
      <c r="R6" s="3" t="n">
        <v>19661.62715855507</v>
      </c>
      <c r="S6" s="3" t="n">
        <v>19758.0076838421</v>
      </c>
      <c r="T6" s="3" t="n">
        <v>19854.86066268446</v>
      </c>
      <c r="U6" s="3" t="n">
        <v>19952.18841103096</v>
      </c>
      <c r="V6" s="3" t="n">
        <v>20049.99325618306</v>
      </c>
      <c r="W6" s="3" t="n">
        <v>20148.27753685063</v>
      </c>
      <c r="X6" s="3" t="n">
        <v>20247.04360320774</v>
      </c>
      <c r="Y6" s="3" t="n">
        <v>20346.29381694896</v>
      </c>
      <c r="Z6" s="3" t="n">
        <v>20446.03055134577</v>
      </c>
      <c r="AA6" s="3" t="n">
        <v>20546.25619130334</v>
      </c>
    </row>
    <row r="7">
      <c r="A7" t="inlineStr">
        <is>
          <t>Brent crude</t>
        </is>
      </c>
      <c r="B7" t="inlineStr">
        <is>
          <t>d.oil.brent</t>
        </is>
      </c>
      <c r="C7" t="inlineStr">
        <is>
          <t>USD/bbl · reviewed</t>
        </is>
      </c>
      <c r="D7" s="3" t="n">
        <v>98.9663</v>
      </c>
      <c r="E7" s="3" t="n">
        <v>82.1904</v>
      </c>
      <c r="F7" s="3" t="n">
        <v>79.82129999999999</v>
      </c>
      <c r="G7" s="3" t="n">
        <v>68.1015</v>
      </c>
      <c r="H7" s="3" t="n">
        <v>96</v>
      </c>
      <c r="I7" s="3" t="n">
        <v>84</v>
      </c>
      <c r="J7" s="3" t="n">
        <v>80</v>
      </c>
      <c r="K7" s="3" t="n">
        <v>78</v>
      </c>
      <c r="L7" s="3" t="n">
        <v>76.5</v>
      </c>
      <c r="M7" s="3" t="n">
        <v>78.03</v>
      </c>
      <c r="N7" s="3" t="n">
        <v>79.59060000000001</v>
      </c>
      <c r="O7" s="3" t="n">
        <v>81.182412</v>
      </c>
      <c r="P7" s="3" t="n">
        <v>82.80606024000001</v>
      </c>
      <c r="Q7" s="3" t="n">
        <v>84.46218144480001</v>
      </c>
      <c r="R7" s="3" t="n">
        <v>86.151425073696</v>
      </c>
      <c r="S7" s="3" t="n">
        <v>87.87445357516994</v>
      </c>
      <c r="T7" s="3" t="n">
        <v>89.63194264667332</v>
      </c>
      <c r="U7" s="3" t="n">
        <v>91.4245814996068</v>
      </c>
      <c r="V7" s="3" t="n">
        <v>93.25307312959893</v>
      </c>
      <c r="W7" s="3" t="n">
        <v>95.11813459219091</v>
      </c>
      <c r="X7" s="3" t="n">
        <v>97.02049728403475</v>
      </c>
      <c r="Y7" s="3" t="n">
        <v>98.96090722971543</v>
      </c>
      <c r="Z7" s="3" t="n">
        <v>100.9401253743097</v>
      </c>
      <c r="AA7" s="3" t="n">
        <v>102.9589278817959</v>
      </c>
    </row>
    <row r="9">
      <c r="A9" s="1" t="inlineStr">
        <is>
          <t>Cost-of-capital scalars (macro deck)</t>
        </is>
      </c>
    </row>
    <row r="10">
      <c r="A10" t="inlineStr">
        <is>
          <t>10-year Indonesian government bond yield (IDR)</t>
        </is>
      </c>
      <c r="B10" t="inlineStr">
        <is>
          <t>m.rf_idr</t>
        </is>
      </c>
      <c r="C10" s="4" t="n">
        <v>0.0745</v>
      </c>
      <c r="D10" s="5" t="inlineStr">
        <is>
          <t>investor.id — "Yield SUN 7,45%, Saatnya Borong atau Tunggu Lebih Tinggi?" (25 Okt 2026 20:58 WIB; deck source S3); corroborated by kalderanews S1 (10Y SUN 7.41%</t>
        </is>
      </c>
    </row>
    <row r="11">
      <c r="A11" t="inlineStr">
        <is>
          <t>10-year US Treasury yield</t>
        </is>
      </c>
      <c r="B11" t="inlineStr">
        <is>
          <t>m.rf_usd</t>
        </is>
      </c>
      <c r="C11" s="4" t="n">
        <v>0.04986</v>
      </c>
      <c r="D11" s="5" t="inlineStr">
        <is>
          <t>Yahoo Finance ^TNX (US 10-year Treasury yield)</t>
        </is>
      </c>
    </row>
    <row r="12">
      <c r="A12" t="inlineStr">
        <is>
          <t>Indonesia sovereign default spread (Damodaran)</t>
        </is>
      </c>
      <c r="B12" t="inlineStr">
        <is>
          <t>m.default_spread_id</t>
        </is>
      </c>
      <c r="C12" s="4" t="n">
        <v>0.0162</v>
      </c>
      <c r="D12" s="5" t="inlineStr">
        <is>
          <t>Damodaran country risk premiums (https://pages.stern.nyu.edu/~adamodar/New_Home_Page/datafile/ctryprem.html), page dated January 5, 2026, read 2026-10-27</t>
        </is>
      </c>
    </row>
    <row r="13">
      <c r="A13" t="inlineStr">
        <is>
          <t>Mature-market equity risk premium (Damodaran)</t>
        </is>
      </c>
      <c r="B13" t="inlineStr">
        <is>
          <t>m.erp_mature</t>
        </is>
      </c>
      <c r="C13" s="4" t="n">
        <v>0.0423</v>
      </c>
      <c r="D13" s="5" t="inlineStr">
        <is>
          <t>Damodaran country risk premiums (https://pages.stern.nyu.edu/~adamodar/New_Home_Page/datafile/ctryprem.html), page dated January 5, 2026, read 2026-10-27</t>
        </is>
      </c>
    </row>
    <row r="14">
      <c r="A14" t="inlineStr">
        <is>
          <t>Indonesia country risk premium (Damodaran)</t>
        </is>
      </c>
      <c r="B14" t="inlineStr">
        <is>
          <t>m.crp_id</t>
        </is>
      </c>
      <c r="C14" s="4" t="n">
        <v>0.0246</v>
      </c>
      <c r="D14" s="5" t="inlineStr">
        <is>
          <t>Damodaran country risk premiums (https://pages.stern.nyu.edu/~adamodar/New_Home_Page/datafile/ctryprem.html), page dated January 5, 2026, read 2026-10-27</t>
        </is>
      </c>
    </row>
    <row r="15">
      <c r="A15" t="inlineStr">
        <is>
          <t>House pre-tax corporate debt spread over the risk-free</t>
        </is>
      </c>
      <c r="B15" t="inlineStr">
        <is>
          <t>m.debt_spread_corp</t>
        </is>
      </c>
      <c r="C15" s="4" t="n">
        <v>0.02</v>
      </c>
      <c r="D15" s="5" t="inlineStr">
        <is>
          <t>SEED house assumption pending the macro desk: 200 bp over the risk-free rate for an average IDX corporate borrower</t>
        </is>
      </c>
    </row>
    <row r="16">
      <c r="A16" t="inlineStr">
        <is>
          <t>Indonesia statutory corporate income tax rate</t>
        </is>
      </c>
      <c r="B16" t="inlineStr">
        <is>
          <t>m.tax_rate_id</t>
        </is>
      </c>
      <c r="C16" s="4" t="n">
        <v>0.22</v>
      </c>
      <c r="D16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SGER.JK</t>
        </is>
      </c>
      <c r="B2" t="inlineStr">
        <is>
          <t>PT Sumber Global Energy Tbk</t>
        </is>
      </c>
      <c r="C2" s="6">
        <f>'SGER'!$C$176</f>
        <v/>
      </c>
      <c r="D2" s="7">
        <f>'SGER'!$C$174</f>
        <v/>
      </c>
      <c r="E2" s="7">
        <f>'SGER'!$C$101</f>
        <v/>
      </c>
      <c r="F2" s="8">
        <f>'SGER'!$C$175</f>
        <v/>
      </c>
      <c r="G2" s="7">
        <f>'SGER'!$C$164</f>
        <v/>
      </c>
      <c r="H2" s="9" t="n">
        <v>72.63986199999999</v>
      </c>
      <c r="I2" s="9" t="n">
        <v>33.980182</v>
      </c>
      <c r="J2" s="10" t="n">
        <v>0.002065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9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Sumber Global Energy Tbk (SGER.JK) — Coal producers</t>
        </is>
      </c>
    </row>
    <row r="2">
      <c r="A2" s="5" t="inlineStr">
        <is>
          <t>Units: IDR bn; per-share in IDR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reserves</t>
        </is>
      </c>
      <c r="C8" s="12" t="n">
        <v>0</v>
      </c>
    </row>
    <row r="9">
      <c r="A9" t="inlineStr">
        <is>
          <t>unit_factor</t>
        </is>
      </c>
      <c r="C9" s="12" t="n">
        <v>1</v>
      </c>
    </row>
    <row r="10">
      <c r="A10" t="inlineStr">
        <is>
          <t>vp_factor</t>
        </is>
      </c>
      <c r="C10" s="12" t="n">
        <v>1</v>
      </c>
    </row>
    <row r="12">
      <c r="A12" s="1" t="inlineStr">
        <is>
          <t>INPUTS (company assumptions)</t>
        </is>
      </c>
    </row>
    <row r="13">
      <c r="A13" t="inlineStr">
        <is>
          <t>Sales volume plan</t>
        </is>
      </c>
      <c r="B13" t="inlineStr">
        <is>
          <t>a.volume</t>
        </is>
      </c>
      <c r="H13" s="13" t="n">
        <v>4.6</v>
      </c>
      <c r="I13" s="13" t="n">
        <v>4.8</v>
      </c>
      <c r="J13" s="13" t="n">
        <v>4.9</v>
      </c>
      <c r="K13" s="13" t="n">
        <v>5</v>
      </c>
      <c r="L13" s="13" t="n">
        <v>5.1</v>
      </c>
      <c r="M13" s="13" t="n">
        <v>5.1</v>
      </c>
      <c r="N13" s="13" t="n">
        <v>5.1</v>
      </c>
      <c r="O13" s="13" t="n">
        <v>5.1</v>
      </c>
      <c r="P13" s="13" t="n">
        <v>5.1</v>
      </c>
      <c r="Q13" s="13" t="n">
        <v>5.1</v>
      </c>
      <c r="R13" s="13" t="n">
        <v>5.1</v>
      </c>
      <c r="S13" s="13" t="n">
        <v>5.1</v>
      </c>
      <c r="T13" s="13" t="n">
        <v>5.1</v>
      </c>
      <c r="U13" s="13" t="n">
        <v>5.1</v>
      </c>
      <c r="V13" s="13" t="n">
        <v>5.1</v>
      </c>
      <c r="W13" s="13" t="n">
        <v>5.1</v>
      </c>
      <c r="X13" s="13" t="n">
        <v>5.1</v>
      </c>
      <c r="Y13" s="13" t="n">
        <v>5.1</v>
      </c>
      <c r="Z13" s="13" t="n">
        <v>5.1</v>
      </c>
      <c r="AA13" s="13" t="n">
        <v>5.1</v>
      </c>
    </row>
    <row r="14">
      <c r="A14" t="inlineStr">
        <is>
          <t>Realised price / benchmark</t>
        </is>
      </c>
      <c r="B14" t="inlineStr">
        <is>
          <t>a.realisation</t>
        </is>
      </c>
      <c r="H14" s="14" t="n">
        <v>0.48</v>
      </c>
      <c r="I14" s="14" t="n">
        <v>0.48</v>
      </c>
      <c r="J14" s="14" t="n">
        <v>0.48</v>
      </c>
      <c r="K14" s="14" t="n">
        <v>0.48</v>
      </c>
      <c r="L14" s="14" t="n">
        <v>0.48</v>
      </c>
      <c r="M14" s="14" t="n">
        <v>0.48</v>
      </c>
      <c r="N14" s="14" t="n">
        <v>0.48</v>
      </c>
      <c r="O14" s="14" t="n">
        <v>0.48</v>
      </c>
      <c r="P14" s="14" t="n">
        <v>0.48</v>
      </c>
      <c r="Q14" s="14" t="n">
        <v>0.48</v>
      </c>
      <c r="R14" s="14" t="n">
        <v>0.48</v>
      </c>
      <c r="S14" s="14" t="n">
        <v>0.48</v>
      </c>
      <c r="T14" s="14" t="n">
        <v>0.48</v>
      </c>
      <c r="U14" s="14" t="n">
        <v>0.48</v>
      </c>
      <c r="V14" s="14" t="n">
        <v>0.48</v>
      </c>
      <c r="W14" s="14" t="n">
        <v>0.48</v>
      </c>
      <c r="X14" s="14" t="n">
        <v>0.48</v>
      </c>
      <c r="Y14" s="14" t="n">
        <v>0.48</v>
      </c>
      <c r="Z14" s="14" t="n">
        <v>0.48</v>
      </c>
      <c r="AA14" s="14" t="n">
        <v>0.48</v>
      </c>
    </row>
    <row r="15">
      <c r="A15" t="inlineStr">
        <is>
          <t>Share of volume under a price cap (e.g. DMO)</t>
        </is>
      </c>
      <c r="B15" t="inlineStr">
        <is>
          <t>a.capped_share</t>
        </is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t="inlineStr">
        <is>
          <t>Strip ratio (bcm per tonne) or cost-intensity factor</t>
        </is>
      </c>
      <c r="B16" t="inlineStr">
        <is>
          <t>a.strip_ratio</t>
        </is>
      </c>
      <c r="H16" s="14" t="n">
        <v>1</v>
      </c>
      <c r="I16" s="14" t="n">
        <v>1</v>
      </c>
      <c r="J16" s="14" t="n">
        <v>1</v>
      </c>
      <c r="K16" s="14" t="n">
        <v>1</v>
      </c>
      <c r="L16" s="14" t="n">
        <v>1</v>
      </c>
      <c r="M16" s="14" t="n">
        <v>1</v>
      </c>
      <c r="N16" s="14" t="n">
        <v>1</v>
      </c>
      <c r="O16" s="14" t="n">
        <v>1</v>
      </c>
      <c r="P16" s="14" t="n">
        <v>1</v>
      </c>
      <c r="Q16" s="14" t="n">
        <v>1</v>
      </c>
      <c r="R16" s="14" t="n">
        <v>1</v>
      </c>
      <c r="S16" s="14" t="n">
        <v>1</v>
      </c>
      <c r="T16" s="14" t="n">
        <v>1</v>
      </c>
      <c r="U16" s="14" t="n">
        <v>1</v>
      </c>
      <c r="V16" s="14" t="n">
        <v>1</v>
      </c>
      <c r="W16" s="14" t="n">
        <v>1</v>
      </c>
      <c r="X16" s="14" t="n">
        <v>1</v>
      </c>
      <c r="Y16" s="14" t="n">
        <v>1</v>
      </c>
      <c r="Z16" s="14" t="n">
        <v>1</v>
      </c>
      <c r="AA16" s="14" t="n">
        <v>1</v>
      </c>
    </row>
    <row r="17">
      <c r="A17" t="inlineStr">
        <is>
          <t>Mining cost per bcm (or per unit when intensity is 1)</t>
        </is>
      </c>
      <c r="B17" t="inlineStr">
        <is>
          <t>a.cost_per_bcm</t>
        </is>
      </c>
      <c r="H17" s="3" t="n">
        <v>60.53</v>
      </c>
      <c r="I17" s="3" t="n">
        <v>52.13</v>
      </c>
      <c r="J17" s="3" t="n">
        <v>48.59</v>
      </c>
      <c r="K17" s="3" t="n">
        <v>46.38</v>
      </c>
      <c r="L17" s="3" t="n">
        <v>46.38</v>
      </c>
      <c r="M17" s="3" t="n">
        <v>47.3076</v>
      </c>
      <c r="N17" s="3" t="n">
        <v>48.25375200000001</v>
      </c>
      <c r="O17" s="3" t="n">
        <v>49.21882704000001</v>
      </c>
      <c r="P17" s="3" t="n">
        <v>50.2032035808</v>
      </c>
      <c r="Q17" s="3" t="n">
        <v>51.207267652416</v>
      </c>
      <c r="R17" s="3" t="n">
        <v>52.23141300546433</v>
      </c>
      <c r="S17" s="3" t="n">
        <v>53.27604126557361</v>
      </c>
      <c r="T17" s="3" t="n">
        <v>54.34156209088509</v>
      </c>
      <c r="U17" s="3" t="n">
        <v>55.42839333270279</v>
      </c>
      <c r="V17" s="3" t="n">
        <v>56.53696119935685</v>
      </c>
      <c r="W17" s="3" t="n">
        <v>57.66770042334399</v>
      </c>
      <c r="X17" s="3" t="n">
        <v>58.82105443181086</v>
      </c>
      <c r="Y17" s="3" t="n">
        <v>59.99747552044709</v>
      </c>
      <c r="Z17" s="3" t="n">
        <v>61.19742503085602</v>
      </c>
      <c r="AA17" s="3" t="n">
        <v>62.42137353147315</v>
      </c>
    </row>
    <row r="18">
      <c r="A18" t="inlineStr">
        <is>
          <t>Fuel share of mining cost</t>
        </is>
      </c>
      <c r="B18" t="inlineStr">
        <is>
          <t>a.fuel_share</t>
        </is>
      </c>
      <c r="C18" s="4" t="n">
        <v>0</v>
      </c>
    </row>
    <row r="19">
      <c r="A19" t="inlineStr">
        <is>
          <t>Other cash cost per unit (haul, barge, process)</t>
        </is>
      </c>
      <c r="B19" t="inlineStr">
        <is>
          <t>a.other_cost_unit</t>
        </is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</row>
    <row r="20">
      <c r="A20" t="inlineStr">
        <is>
          <t>Royalty rate (flat regimes)</t>
        </is>
      </c>
      <c r="B20" t="inlineStr">
        <is>
          <t>a.royalty_rate</t>
        </is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t="inlineStr">
        <is>
          <t>Other revenue</t>
        </is>
      </c>
      <c r="B21" t="inlineStr">
        <is>
          <t>a.other_revenue</t>
        </is>
      </c>
      <c r="H21" s="13" t="n">
        <v>2330</v>
      </c>
      <c r="I21" s="13" t="n">
        <v>2560</v>
      </c>
      <c r="J21" s="13" t="n">
        <v>2750</v>
      </c>
      <c r="K21" s="13" t="n">
        <v>2900</v>
      </c>
      <c r="L21" s="13" t="n">
        <v>3000</v>
      </c>
      <c r="M21" s="13" t="n">
        <v>3060</v>
      </c>
      <c r="N21" s="13" t="n">
        <v>3121.2</v>
      </c>
      <c r="O21" s="13" t="n">
        <v>3183.624</v>
      </c>
      <c r="P21" s="13" t="n">
        <v>3247.29648</v>
      </c>
      <c r="Q21" s="13" t="n">
        <v>3312.2424096</v>
      </c>
      <c r="R21" s="13" t="n">
        <v>3378.487257792</v>
      </c>
      <c r="S21" s="13" t="n">
        <v>3446.05700294784</v>
      </c>
      <c r="T21" s="13" t="n">
        <v>3514.978143006797</v>
      </c>
      <c r="U21" s="13" t="n">
        <v>3585.277705866933</v>
      </c>
      <c r="V21" s="13" t="n">
        <v>3656.983259984272</v>
      </c>
      <c r="W21" s="13" t="n">
        <v>3730.122925183957</v>
      </c>
      <c r="X21" s="13" t="n">
        <v>3804.725383687637</v>
      </c>
      <c r="Y21" s="13" t="n">
        <v>3880.81989136139</v>
      </c>
      <c r="Z21" s="13" t="n">
        <v>3958.436289188617</v>
      </c>
      <c r="AA21" s="13" t="n">
        <v>4037.60501497239</v>
      </c>
    </row>
    <row r="22">
      <c r="A22" t="inlineStr">
        <is>
          <t>Gross margin on other revenue</t>
        </is>
      </c>
      <c r="B22" t="inlineStr">
        <is>
          <t>a.other_margin</t>
        </is>
      </c>
      <c r="C22" s="4" t="n">
        <v>0.075</v>
      </c>
    </row>
    <row r="23">
      <c r="A23" t="inlineStr">
        <is>
          <t>D&amp;A per unit (reporting currency)</t>
        </is>
      </c>
      <c r="B23" t="inlineStr">
        <is>
          <t>a.da_unit</t>
        </is>
      </c>
      <c r="H23" s="3" t="n">
        <v>3330</v>
      </c>
      <c r="I23" s="3" t="n">
        <v>3330</v>
      </c>
      <c r="J23" s="3" t="n">
        <v>3330</v>
      </c>
      <c r="K23" s="3" t="n">
        <v>3330</v>
      </c>
      <c r="L23" s="3" t="n">
        <v>3330</v>
      </c>
      <c r="M23" s="3" t="n">
        <v>3396.6</v>
      </c>
      <c r="N23" s="3" t="n">
        <v>3464.532</v>
      </c>
      <c r="O23" s="3" t="n">
        <v>3533.82264</v>
      </c>
      <c r="P23" s="3" t="n">
        <v>3604.4990928</v>
      </c>
      <c r="Q23" s="3" t="n">
        <v>3676.589074656</v>
      </c>
      <c r="R23" s="3" t="n">
        <v>3750.12085614912</v>
      </c>
      <c r="S23" s="3" t="n">
        <v>3825.123273272102</v>
      </c>
      <c r="T23" s="3" t="n">
        <v>3901.625738737545</v>
      </c>
      <c r="U23" s="3" t="n">
        <v>3979.658253512296</v>
      </c>
      <c r="V23" s="3" t="n">
        <v>4059.251418582542</v>
      </c>
      <c r="W23" s="3" t="n">
        <v>4140.436446954192</v>
      </c>
      <c r="X23" s="3" t="n">
        <v>4223.245175893277</v>
      </c>
      <c r="Y23" s="3" t="n">
        <v>4307.710079411142</v>
      </c>
      <c r="Z23" s="3" t="n">
        <v>4393.864280999365</v>
      </c>
      <c r="AA23" s="3" t="n">
        <v>4481.741566619353</v>
      </c>
    </row>
    <row r="24">
      <c r="A24" t="inlineStr">
        <is>
          <t>Sustaining capex per unit (reporting currency)</t>
        </is>
      </c>
      <c r="B24" t="inlineStr">
        <is>
          <t>a.capex_unit</t>
        </is>
      </c>
      <c r="H24" s="3" t="n">
        <v>8000</v>
      </c>
      <c r="I24" s="3" t="n">
        <v>8000</v>
      </c>
      <c r="J24" s="3" t="n">
        <v>8000</v>
      </c>
      <c r="K24" s="3" t="n">
        <v>8000</v>
      </c>
      <c r="L24" s="3" t="n">
        <v>8000</v>
      </c>
      <c r="M24" s="3" t="n">
        <v>8160</v>
      </c>
      <c r="N24" s="3" t="n">
        <v>8323.200000000001</v>
      </c>
      <c r="O24" s="3" t="n">
        <v>8489.664000000001</v>
      </c>
      <c r="P24" s="3" t="n">
        <v>8659.457280000001</v>
      </c>
      <c r="Q24" s="3" t="n">
        <v>8832.6464256</v>
      </c>
      <c r="R24" s="3" t="n">
        <v>9009.299354112001</v>
      </c>
      <c r="S24" s="3" t="n">
        <v>9189.48534119424</v>
      </c>
      <c r="T24" s="3" t="n">
        <v>9373.275048018126</v>
      </c>
      <c r="U24" s="3" t="n">
        <v>9560.740548978489</v>
      </c>
      <c r="V24" s="3" t="n">
        <v>9751.955359958059</v>
      </c>
      <c r="W24" s="3" t="n">
        <v>9946.994467157219</v>
      </c>
      <c r="X24" s="3" t="n">
        <v>10145.93435650036</v>
      </c>
      <c r="Y24" s="3" t="n">
        <v>10348.85304363037</v>
      </c>
      <c r="Z24" s="3" t="n">
        <v>10555.83010450298</v>
      </c>
      <c r="AA24" s="3" t="n">
        <v>10766.94670659304</v>
      </c>
    </row>
    <row r="25">
      <c r="A25" t="inlineStr">
        <is>
          <t>Other capex (expansion projects)</t>
        </is>
      </c>
      <c r="B25" t="inlineStr">
        <is>
          <t>a.capex_other</t>
        </is>
      </c>
      <c r="H25" s="13" t="n">
        <v>300</v>
      </c>
      <c r="I25" s="13" t="n">
        <v>250</v>
      </c>
      <c r="J25" s="13" t="n">
        <v>200</v>
      </c>
      <c r="K25" s="13" t="n">
        <v>150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3" t="n">
        <v>0</v>
      </c>
      <c r="U25" s="13" t="n">
        <v>0</v>
      </c>
      <c r="V25" s="13" t="n">
        <v>0</v>
      </c>
      <c r="W25" s="13" t="n">
        <v>0</v>
      </c>
      <c r="X25" s="13" t="n">
        <v>0</v>
      </c>
      <c r="Y25" s="13" t="n">
        <v>0</v>
      </c>
      <c r="Z25" s="13" t="n">
        <v>0</v>
      </c>
      <c r="AA25" s="13" t="n">
        <v>0</v>
      </c>
    </row>
    <row r="26">
      <c r="A26" t="inlineStr">
        <is>
          <t>Operating working capital / revenue</t>
        </is>
      </c>
      <c r="B26" t="inlineStr">
        <is>
          <t>a.nwc_pct</t>
        </is>
      </c>
      <c r="H26" s="4" t="n">
        <v>0.3</v>
      </c>
      <c r="I26" s="4" t="n">
        <v>0.3</v>
      </c>
      <c r="J26" s="4" t="n">
        <v>0.3</v>
      </c>
      <c r="K26" s="4" t="n">
        <v>0.3</v>
      </c>
      <c r="L26" s="4" t="n">
        <v>0.3</v>
      </c>
      <c r="M26" s="4" t="n">
        <v>0.3</v>
      </c>
      <c r="N26" s="4" t="n">
        <v>0.3</v>
      </c>
      <c r="O26" s="4" t="n">
        <v>0.3</v>
      </c>
      <c r="P26" s="4" t="n">
        <v>0.3</v>
      </c>
      <c r="Q26" s="4" t="n">
        <v>0.3</v>
      </c>
      <c r="R26" s="4" t="n">
        <v>0.3</v>
      </c>
      <c r="S26" s="4" t="n">
        <v>0.3</v>
      </c>
      <c r="T26" s="4" t="n">
        <v>0.3</v>
      </c>
      <c r="U26" s="4" t="n">
        <v>0.3</v>
      </c>
      <c r="V26" s="4" t="n">
        <v>0.3</v>
      </c>
      <c r="W26" s="4" t="n">
        <v>0.3</v>
      </c>
      <c r="X26" s="4" t="n">
        <v>0.3</v>
      </c>
      <c r="Y26" s="4" t="n">
        <v>0.3</v>
      </c>
      <c r="Z26" s="4" t="n">
        <v>0.3</v>
      </c>
      <c r="AA26" s="4" t="n">
        <v>0.3</v>
      </c>
    </row>
    <row r="27">
      <c r="A27" t="inlineStr">
        <is>
          <t>Effective tax rate</t>
        </is>
      </c>
      <c r="B27" t="inlineStr">
        <is>
          <t>a.tax_rate</t>
        </is>
      </c>
      <c r="H27" s="4" t="n">
        <v>0.1279</v>
      </c>
      <c r="I27" s="4" t="n">
        <v>0.1279</v>
      </c>
      <c r="J27" s="4" t="n">
        <v>0.1279</v>
      </c>
      <c r="K27" s="4" t="n">
        <v>0.1279</v>
      </c>
      <c r="L27" s="4" t="n">
        <v>0.1279</v>
      </c>
      <c r="M27" s="4" t="n">
        <v>0.1279</v>
      </c>
      <c r="N27" s="4" t="n">
        <v>0.1279</v>
      </c>
      <c r="O27" s="4" t="n">
        <v>0.1279</v>
      </c>
      <c r="P27" s="4" t="n">
        <v>0.1279</v>
      </c>
      <c r="Q27" s="4" t="n">
        <v>0.1279</v>
      </c>
      <c r="R27" s="4" t="n">
        <v>0.1279</v>
      </c>
      <c r="S27" s="4" t="n">
        <v>0.1279</v>
      </c>
      <c r="T27" s="4" t="n">
        <v>0.1279</v>
      </c>
      <c r="U27" s="4" t="n">
        <v>0.1279</v>
      </c>
      <c r="V27" s="4" t="n">
        <v>0.1279</v>
      </c>
      <c r="W27" s="4" t="n">
        <v>0.1279</v>
      </c>
      <c r="X27" s="4" t="n">
        <v>0.1279</v>
      </c>
      <c r="Y27" s="4" t="n">
        <v>0.1279</v>
      </c>
      <c r="Z27" s="4" t="n">
        <v>0.1279</v>
      </c>
      <c r="AA27" s="4" t="n">
        <v>0.1279</v>
      </c>
    </row>
    <row r="28">
      <c r="A28" t="inlineStr">
        <is>
          <t>Cost of debt (on opening debt)</t>
        </is>
      </c>
      <c r="B28" t="inlineStr">
        <is>
          <t>a.cost_of_debt</t>
        </is>
      </c>
      <c r="C28" s="4" t="n">
        <v>0.08500000000000001</v>
      </c>
    </row>
    <row r="29">
      <c r="A29" t="inlineStr">
        <is>
          <t>Yield on opening cash</t>
        </is>
      </c>
      <c r="B29" t="inlineStr">
        <is>
          <t>a.cash_yield</t>
        </is>
      </c>
      <c r="C29" s="4" t="n">
        <v>0.025</v>
      </c>
    </row>
    <row r="30">
      <c r="A30" t="inlineStr">
        <is>
          <t>Net new borrowing</t>
        </is>
      </c>
      <c r="B30" t="inlineStr">
        <is>
          <t>a.net_borrowing</t>
        </is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</row>
    <row r="31">
      <c r="A31" t="inlineStr">
        <is>
          <t>Other non-operating items</t>
        </is>
      </c>
      <c r="B31" t="inlineStr">
        <is>
          <t>a.other_nonop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Minorities' share of net profit</t>
        </is>
      </c>
      <c r="B32" t="inlineStr">
        <is>
          <t>a.minority_pct</t>
        </is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</row>
    <row r="33">
      <c r="A33" t="inlineStr">
        <is>
          <t>Dividend payout</t>
        </is>
      </c>
      <c r="B33" t="inlineStr">
        <is>
          <t>a.payout</t>
        </is>
      </c>
      <c r="H33" s="4" t="n">
        <v>0.15</v>
      </c>
      <c r="I33" s="4" t="n">
        <v>0.15</v>
      </c>
      <c r="J33" s="4" t="n">
        <v>0.15</v>
      </c>
      <c r="K33" s="4" t="n">
        <v>0.15</v>
      </c>
      <c r="L33" s="4" t="n">
        <v>0.15</v>
      </c>
      <c r="M33" s="4" t="n">
        <v>0.15</v>
      </c>
      <c r="N33" s="4" t="n">
        <v>0.15</v>
      </c>
      <c r="O33" s="4" t="n">
        <v>0.15</v>
      </c>
      <c r="P33" s="4" t="n">
        <v>0.15</v>
      </c>
      <c r="Q33" s="4" t="n">
        <v>0.15</v>
      </c>
      <c r="R33" s="4" t="n">
        <v>0.15</v>
      </c>
      <c r="S33" s="4" t="n">
        <v>0.15</v>
      </c>
      <c r="T33" s="4" t="n">
        <v>0.15</v>
      </c>
      <c r="U33" s="4" t="n">
        <v>0.15</v>
      </c>
      <c r="V33" s="4" t="n">
        <v>0.15</v>
      </c>
      <c r="W33" s="4" t="n">
        <v>0.15</v>
      </c>
      <c r="X33" s="4" t="n">
        <v>0.15</v>
      </c>
      <c r="Y33" s="4" t="n">
        <v>0.15</v>
      </c>
      <c r="Z33" s="4" t="n">
        <v>0.15</v>
      </c>
      <c r="AA33" s="4" t="n">
        <v>0.15</v>
      </c>
    </row>
    <row r="34">
      <c r="A34" t="inlineStr">
        <is>
          <t>Change in share count</t>
        </is>
      </c>
      <c r="B34" t="inlineStr">
        <is>
          <t>a.share_change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</row>
    <row r="35">
      <c r="A35" t="inlineStr">
        <is>
          <t>Terminal growth (DCF)</t>
        </is>
      </c>
      <c r="B35" t="inlineStr">
        <is>
          <t>a.terminal_growth</t>
        </is>
      </c>
      <c r="C35" s="4" t="n">
        <v>0.035</v>
      </c>
    </row>
    <row r="36">
      <c r="A36" t="inlineStr">
        <is>
          <t>SG&amp;A / revenue</t>
        </is>
      </c>
      <c r="B36" t="inlineStr">
        <is>
          <t>a.opex_pct</t>
        </is>
      </c>
      <c r="H36" s="4" t="n">
        <v>0.026</v>
      </c>
      <c r="I36" s="4" t="n">
        <v>0.026</v>
      </c>
      <c r="J36" s="4" t="n">
        <v>0.026</v>
      </c>
      <c r="K36" s="4" t="n">
        <v>0.026</v>
      </c>
      <c r="L36" s="4" t="n">
        <v>0.026</v>
      </c>
      <c r="M36" s="4" t="n">
        <v>0.026</v>
      </c>
      <c r="N36" s="4" t="n">
        <v>0.026</v>
      </c>
      <c r="O36" s="4" t="n">
        <v>0.026</v>
      </c>
      <c r="P36" s="4" t="n">
        <v>0.026</v>
      </c>
      <c r="Q36" s="4" t="n">
        <v>0.026</v>
      </c>
      <c r="R36" s="4" t="n">
        <v>0.026</v>
      </c>
      <c r="S36" s="4" t="n">
        <v>0.026</v>
      </c>
      <c r="T36" s="4" t="n">
        <v>0.026</v>
      </c>
      <c r="U36" s="4" t="n">
        <v>0.026</v>
      </c>
      <c r="V36" s="4" t="n">
        <v>0.026</v>
      </c>
      <c r="W36" s="4" t="n">
        <v>0.026</v>
      </c>
      <c r="X36" s="4" t="n">
        <v>0.026</v>
      </c>
      <c r="Y36" s="4" t="n">
        <v>0.026</v>
      </c>
      <c r="Z36" s="4" t="n">
        <v>0.026</v>
      </c>
      <c r="AA36" s="4" t="n">
        <v>0.026</v>
      </c>
    </row>
    <row r="38">
      <c r="A38" s="1" t="inlineStr">
        <is>
          <t>MODEL</t>
        </is>
      </c>
    </row>
    <row r="39">
      <c r="A39" t="inlineStr">
        <is>
          <t>Reserves remaining (close)</t>
        </is>
      </c>
      <c r="B39" t="inlineStr">
        <is>
          <t>reserves</t>
        </is>
      </c>
      <c r="D39" s="13" t="n"/>
      <c r="E39" s="13" t="n"/>
      <c r="F39" s="13" t="n"/>
      <c r="G39" s="13" t="n"/>
      <c r="H39" s="15">
        <f>MAX((G39-H40),0)</f>
        <v/>
      </c>
      <c r="I39" s="15">
        <f>MAX((H39-I40),0)</f>
        <v/>
      </c>
      <c r="J39" s="15">
        <f>MAX((I39-J40),0)</f>
        <v/>
      </c>
      <c r="K39" s="15">
        <f>MAX((J39-K40),0)</f>
        <v/>
      </c>
      <c r="L39" s="15">
        <f>MAX((K39-L40),0)</f>
        <v/>
      </c>
      <c r="M39" s="15">
        <f>MAX((L39-M40),0)</f>
        <v/>
      </c>
      <c r="N39" s="15">
        <f>MAX((M39-N40),0)</f>
        <v/>
      </c>
      <c r="O39" s="15">
        <f>MAX((N39-O40),0)</f>
        <v/>
      </c>
      <c r="P39" s="15">
        <f>MAX((O39-P40),0)</f>
        <v/>
      </c>
      <c r="Q39" s="15">
        <f>MAX((P39-Q40),0)</f>
        <v/>
      </c>
      <c r="R39" s="15">
        <f>MAX((Q39-R40),0)</f>
        <v/>
      </c>
      <c r="S39" s="15">
        <f>MAX((R39-S40),0)</f>
        <v/>
      </c>
      <c r="T39" s="15">
        <f>MAX((S39-T40),0)</f>
        <v/>
      </c>
      <c r="U39" s="15">
        <f>MAX((T39-U40),0)</f>
        <v/>
      </c>
      <c r="V39" s="15">
        <f>MAX((U39-V40),0)</f>
        <v/>
      </c>
      <c r="W39" s="15">
        <f>MAX((V39-W40),0)</f>
        <v/>
      </c>
      <c r="X39" s="15">
        <f>MAX((W39-X40),0)</f>
        <v/>
      </c>
      <c r="Y39" s="15">
        <f>MAX((X39-Y40),0)</f>
        <v/>
      </c>
      <c r="Z39" s="15">
        <f>MAX((Y39-Z40),0)</f>
        <v/>
      </c>
      <c r="AA39" s="15">
        <f>MAX((Z39-AA40),0)</f>
        <v/>
      </c>
    </row>
    <row r="40">
      <c r="A40" t="inlineStr">
        <is>
          <t>Sales volume</t>
        </is>
      </c>
      <c r="B40" t="inlineStr">
        <is>
          <t>volume</t>
        </is>
      </c>
      <c r="D40" s="13" t="n">
        <v>7.5</v>
      </c>
      <c r="E40" s="13" t="n">
        <v>10</v>
      </c>
      <c r="F40" s="13" t="n"/>
      <c r="G40" s="13" t="n"/>
      <c r="H40" s="15">
        <f>IF(($C$8&gt;0),MIN(H13,MAX(G39,0)),H13)</f>
        <v/>
      </c>
      <c r="I40" s="15">
        <f>IF(($C$8&gt;0),MIN(I13,MAX(H39,0)),I13)</f>
        <v/>
      </c>
      <c r="J40" s="15">
        <f>IF(($C$8&gt;0),MIN(J13,MAX(I39,0)),J13)</f>
        <v/>
      </c>
      <c r="K40" s="15">
        <f>IF(($C$8&gt;0),MIN(K13,MAX(J39,0)),K13)</f>
        <v/>
      </c>
      <c r="L40" s="15">
        <f>IF(($C$8&gt;0),MIN(L13,MAX(K39,0)),L13)</f>
        <v/>
      </c>
      <c r="M40" s="15">
        <f>IF(($C$8&gt;0),MIN(M13,MAX(L39,0)),M13)</f>
        <v/>
      </c>
      <c r="N40" s="15">
        <f>IF(($C$8&gt;0),MIN(N13,MAX(M39,0)),N13)</f>
        <v/>
      </c>
      <c r="O40" s="15">
        <f>IF(($C$8&gt;0),MIN(O13,MAX(N39,0)),O13)</f>
        <v/>
      </c>
      <c r="P40" s="15">
        <f>IF(($C$8&gt;0),MIN(P13,MAX(O39,0)),P13)</f>
        <v/>
      </c>
      <c r="Q40" s="15">
        <f>IF(($C$8&gt;0),MIN(Q13,MAX(P39,0)),Q13)</f>
        <v/>
      </c>
      <c r="R40" s="15">
        <f>IF(($C$8&gt;0),MIN(R13,MAX(Q39,0)),R13)</f>
        <v/>
      </c>
      <c r="S40" s="15">
        <f>IF(($C$8&gt;0),MIN(S13,MAX(R39,0)),S13)</f>
        <v/>
      </c>
      <c r="T40" s="15">
        <f>IF(($C$8&gt;0),MIN(T13,MAX(S39,0)),T13)</f>
        <v/>
      </c>
      <c r="U40" s="15">
        <f>IF(($C$8&gt;0),MIN(U13,MAX(T39,0)),U13)</f>
        <v/>
      </c>
      <c r="V40" s="15">
        <f>IF(($C$8&gt;0),MIN(V13,MAX(U39,0)),V13)</f>
        <v/>
      </c>
      <c r="W40" s="15">
        <f>IF(($C$8&gt;0),MIN(W13,MAX(V39,0)),W13)</f>
        <v/>
      </c>
      <c r="X40" s="15">
        <f>IF(($C$8&gt;0),MIN(X13,MAX(W39,0)),X13)</f>
        <v/>
      </c>
      <c r="Y40" s="15">
        <f>IF(($C$8&gt;0),MIN(Y13,MAX(X39,0)),Y13)</f>
        <v/>
      </c>
      <c r="Z40" s="15">
        <f>IF(($C$8&gt;0),MIN(Z13,MAX(Y39,0)),Z13)</f>
        <v/>
      </c>
      <c r="AA40" s="15">
        <f>IF(($C$8&gt;0),MIN(AA13,MAX(Z39,0)),AA13)</f>
        <v/>
      </c>
    </row>
    <row r="41">
      <c r="A41" t="inlineStr">
        <is>
          <t>Benchmark price</t>
        </is>
      </c>
      <c r="B41" t="inlineStr">
        <is>
          <t>benchmark</t>
        </is>
      </c>
      <c r="D41" s="3" t="n"/>
      <c r="E41" s="3" t="n"/>
      <c r="F41" s="3" t="n"/>
      <c r="G41" s="3" t="n"/>
      <c r="H41" s="16">
        <f>Drivers!$H$5</f>
        <v/>
      </c>
      <c r="I41" s="16">
        <f>Drivers!$I$5</f>
        <v/>
      </c>
      <c r="J41" s="16">
        <f>Drivers!$J$5</f>
        <v/>
      </c>
      <c r="K41" s="16">
        <f>Drivers!$K$5</f>
        <v/>
      </c>
      <c r="L41" s="16">
        <f>Drivers!$L$5</f>
        <v/>
      </c>
      <c r="M41" s="16">
        <f>Drivers!$M$5</f>
        <v/>
      </c>
      <c r="N41" s="16">
        <f>Drivers!$N$5</f>
        <v/>
      </c>
      <c r="O41" s="16">
        <f>Drivers!$O$5</f>
        <v/>
      </c>
      <c r="P41" s="16">
        <f>Drivers!$P$5</f>
        <v/>
      </c>
      <c r="Q41" s="16">
        <f>Drivers!$Q$5</f>
        <v/>
      </c>
      <c r="R41" s="16">
        <f>Drivers!$R$5</f>
        <v/>
      </c>
      <c r="S41" s="16">
        <f>Drivers!$S$5</f>
        <v/>
      </c>
      <c r="T41" s="16">
        <f>Drivers!$T$5</f>
        <v/>
      </c>
      <c r="U41" s="16">
        <f>Drivers!$U$5</f>
        <v/>
      </c>
      <c r="V41" s="16">
        <f>Drivers!$V$5</f>
        <v/>
      </c>
      <c r="W41" s="16">
        <f>Drivers!$W$5</f>
        <v/>
      </c>
      <c r="X41" s="16">
        <f>Drivers!$X$5</f>
        <v/>
      </c>
      <c r="Y41" s="16">
        <f>Drivers!$Y$5</f>
        <v/>
      </c>
      <c r="Z41" s="16">
        <f>Drivers!$Z$5</f>
        <v/>
      </c>
      <c r="AA41" s="16">
        <f>Drivers!$AA$5</f>
        <v/>
      </c>
    </row>
    <row r="42">
      <c r="A42" t="inlineStr">
        <is>
          <t>Average selling price</t>
        </is>
      </c>
      <c r="B42" t="inlineStr">
        <is>
          <t>asp</t>
        </is>
      </c>
      <c r="D42" s="3" t="n"/>
      <c r="E42" s="3" t="n"/>
      <c r="F42" s="3" t="n"/>
      <c r="G42" s="3" t="n"/>
      <c r="H42" s="16">
        <f>(((H14*H41)*(1-H15))+(MIN(Drivers!$H$4,(H14*H41))*H15))</f>
        <v/>
      </c>
      <c r="I42" s="16">
        <f>(((I14*I41)*(1-I15))+(MIN(Drivers!$I$4,(I14*I41))*I15))</f>
        <v/>
      </c>
      <c r="J42" s="16">
        <f>(((J14*J41)*(1-J15))+(MIN(Drivers!$J$4,(J14*J41))*J15))</f>
        <v/>
      </c>
      <c r="K42" s="16">
        <f>(((K14*K41)*(1-K15))+(MIN(Drivers!$K$4,(K14*K41))*K15))</f>
        <v/>
      </c>
      <c r="L42" s="16">
        <f>(((L14*L41)*(1-L15))+(MIN(Drivers!$L$4,(L14*L41))*L15))</f>
        <v/>
      </c>
      <c r="M42" s="16">
        <f>(((M14*M41)*(1-M15))+(MIN(Drivers!$M$4,(M14*M41))*M15))</f>
        <v/>
      </c>
      <c r="N42" s="16">
        <f>(((N14*N41)*(1-N15))+(MIN(Drivers!$N$4,(N14*N41))*N15))</f>
        <v/>
      </c>
      <c r="O42" s="16">
        <f>(((O14*O41)*(1-O15))+(MIN(Drivers!$O$4,(O14*O41))*O15))</f>
        <v/>
      </c>
      <c r="P42" s="16">
        <f>(((P14*P41)*(1-P15))+(MIN(Drivers!$P$4,(P14*P41))*P15))</f>
        <v/>
      </c>
      <c r="Q42" s="16">
        <f>(((Q14*Q41)*(1-Q15))+(MIN(Drivers!$Q$4,(Q14*Q41))*Q15))</f>
        <v/>
      </c>
      <c r="R42" s="16">
        <f>(((R14*R41)*(1-R15))+(MIN(Drivers!$R$4,(R14*R41))*R15))</f>
        <v/>
      </c>
      <c r="S42" s="16">
        <f>(((S14*S41)*(1-S15))+(MIN(Drivers!$S$4,(S14*S41))*S15))</f>
        <v/>
      </c>
      <c r="T42" s="16">
        <f>(((T14*T41)*(1-T15))+(MIN(Drivers!$T$4,(T14*T41))*T15))</f>
        <v/>
      </c>
      <c r="U42" s="16">
        <f>(((U14*U41)*(1-U15))+(MIN(Drivers!$U$4,(U14*U41))*U15))</f>
        <v/>
      </c>
      <c r="V42" s="16">
        <f>(((V14*V41)*(1-V15))+(MIN(Drivers!$V$4,(V14*V41))*V15))</f>
        <v/>
      </c>
      <c r="W42" s="16">
        <f>(((W14*W41)*(1-W15))+(MIN(Drivers!$W$4,(W14*W41))*W15))</f>
        <v/>
      </c>
      <c r="X42" s="16">
        <f>(((X14*X41)*(1-X15))+(MIN(Drivers!$X$4,(X14*X41))*X15))</f>
        <v/>
      </c>
      <c r="Y42" s="16">
        <f>(((Y14*Y41)*(1-Y15))+(MIN(Drivers!$Y$4,(Y14*Y41))*Y15))</f>
        <v/>
      </c>
      <c r="Z42" s="16">
        <f>(((Z14*Z41)*(1-Z15))+(MIN(Drivers!$Z$4,(Z14*Z41))*Z15))</f>
        <v/>
      </c>
      <c r="AA42" s="16">
        <f>(((AA14*AA41)*(1-AA15))+(MIN(Drivers!$AA$4,(AA14*AA41))*AA15))</f>
        <v/>
      </c>
    </row>
    <row r="43">
      <c r="A43" t="inlineStr">
        <is>
          <t>Realisation vs benchmark</t>
        </is>
      </c>
      <c r="B43" t="inlineStr">
        <is>
          <t>realisation_line</t>
        </is>
      </c>
      <c r="D43" s="4" t="n"/>
      <c r="E43" s="4" t="n"/>
      <c r="F43" s="4" t="n"/>
      <c r="G43" s="4" t="n"/>
      <c r="H43" s="17">
        <f>IF(H41=0,0,H42/H41)</f>
        <v/>
      </c>
      <c r="I43" s="17">
        <f>IF(I41=0,0,I42/I41)</f>
        <v/>
      </c>
      <c r="J43" s="17">
        <f>IF(J41=0,0,J42/J41)</f>
        <v/>
      </c>
      <c r="K43" s="17">
        <f>IF(K41=0,0,K42/K41)</f>
        <v/>
      </c>
      <c r="L43" s="17">
        <f>IF(L41=0,0,L42/L41)</f>
        <v/>
      </c>
      <c r="M43" s="17">
        <f>IF(M41=0,0,M42/M41)</f>
        <v/>
      </c>
      <c r="N43" s="17">
        <f>IF(N41=0,0,N42/N41)</f>
        <v/>
      </c>
      <c r="O43" s="17">
        <f>IF(O41=0,0,O42/O41)</f>
        <v/>
      </c>
      <c r="P43" s="17">
        <f>IF(P41=0,0,P42/P41)</f>
        <v/>
      </c>
      <c r="Q43" s="17">
        <f>IF(Q41=0,0,Q42/Q41)</f>
        <v/>
      </c>
      <c r="R43" s="17">
        <f>IF(R41=0,0,R42/R41)</f>
        <v/>
      </c>
      <c r="S43" s="17">
        <f>IF(S41=0,0,S42/S41)</f>
        <v/>
      </c>
      <c r="T43" s="17">
        <f>IF(T41=0,0,T42/T41)</f>
        <v/>
      </c>
      <c r="U43" s="17">
        <f>IF(U41=0,0,U42/U41)</f>
        <v/>
      </c>
      <c r="V43" s="17">
        <f>IF(V41=0,0,V42/V41)</f>
        <v/>
      </c>
      <c r="W43" s="17">
        <f>IF(W41=0,0,W42/W41)</f>
        <v/>
      </c>
      <c r="X43" s="17">
        <f>IF(X41=0,0,X42/X41)</f>
        <v/>
      </c>
      <c r="Y43" s="17">
        <f>IF(Y41=0,0,Y42/Y41)</f>
        <v/>
      </c>
      <c r="Z43" s="17">
        <f>IF(Z41=0,0,Z42/Z41)</f>
        <v/>
      </c>
      <c r="AA43" s="17">
        <f>IF(AA41=0,0,AA42/AA41)</f>
        <v/>
      </c>
    </row>
    <row r="44">
      <c r="A44" t="inlineStr">
        <is>
          <t>Cash cost per unit (ex-royalty)</t>
        </is>
      </c>
      <c r="B44" t="inlineStr">
        <is>
          <t>unit_cost</t>
        </is>
      </c>
      <c r="D44" s="3" t="n"/>
      <c r="E44" s="3" t="n"/>
      <c r="F44" s="3" t="n"/>
      <c r="G44" s="3" t="n"/>
      <c r="H44" s="16">
        <f>(((H16*H17)*(1+($C$18*(IF(Drivers!$G$7=0,0,Drivers!$H$7/Drivers!$G$7)-1))))+H19)</f>
        <v/>
      </c>
      <c r="I44" s="16">
        <f>(((I16*I17)*(1+($C$18*(IF(Drivers!$G$7=0,0,Drivers!$I$7/Drivers!$G$7)-1))))+I19)</f>
        <v/>
      </c>
      <c r="J44" s="16">
        <f>(((J16*J17)*(1+($C$18*(IF(Drivers!$G$7=0,0,Drivers!$J$7/Drivers!$G$7)-1))))+J19)</f>
        <v/>
      </c>
      <c r="K44" s="16">
        <f>(((K16*K17)*(1+($C$18*(IF(Drivers!$G$7=0,0,Drivers!$K$7/Drivers!$G$7)-1))))+K19)</f>
        <v/>
      </c>
      <c r="L44" s="16">
        <f>(((L16*L17)*(1+($C$18*(IF(Drivers!$G$7=0,0,Drivers!$L$7/Drivers!$G$7)-1))))+L19)</f>
        <v/>
      </c>
      <c r="M44" s="16">
        <f>(((M16*M17)*(1+($C$18*(IF(Drivers!$G$7=0,0,Drivers!$M$7/Drivers!$G$7)-1))))+M19)</f>
        <v/>
      </c>
      <c r="N44" s="16">
        <f>(((N16*N17)*(1+($C$18*(IF(Drivers!$G$7=0,0,Drivers!$N$7/Drivers!$G$7)-1))))+N19)</f>
        <v/>
      </c>
      <c r="O44" s="16">
        <f>(((O16*O17)*(1+($C$18*(IF(Drivers!$G$7=0,0,Drivers!$O$7/Drivers!$G$7)-1))))+O19)</f>
        <v/>
      </c>
      <c r="P44" s="16">
        <f>(((P16*P17)*(1+($C$18*(IF(Drivers!$G$7=0,0,Drivers!$P$7/Drivers!$G$7)-1))))+P19)</f>
        <v/>
      </c>
      <c r="Q44" s="16">
        <f>(((Q16*Q17)*(1+($C$18*(IF(Drivers!$G$7=0,0,Drivers!$Q$7/Drivers!$G$7)-1))))+Q19)</f>
        <v/>
      </c>
      <c r="R44" s="16">
        <f>(((R16*R17)*(1+($C$18*(IF(Drivers!$G$7=0,0,Drivers!$R$7/Drivers!$G$7)-1))))+R19)</f>
        <v/>
      </c>
      <c r="S44" s="16">
        <f>(((S16*S17)*(1+($C$18*(IF(Drivers!$G$7=0,0,Drivers!$S$7/Drivers!$G$7)-1))))+S19)</f>
        <v/>
      </c>
      <c r="T44" s="16">
        <f>(((T16*T17)*(1+($C$18*(IF(Drivers!$G$7=0,0,Drivers!$T$7/Drivers!$G$7)-1))))+T19)</f>
        <v/>
      </c>
      <c r="U44" s="16">
        <f>(((U16*U17)*(1+($C$18*(IF(Drivers!$G$7=0,0,Drivers!$U$7/Drivers!$G$7)-1))))+U19)</f>
        <v/>
      </c>
      <c r="V44" s="16">
        <f>(((V16*V17)*(1+($C$18*(IF(Drivers!$G$7=0,0,Drivers!$V$7/Drivers!$G$7)-1))))+V19)</f>
        <v/>
      </c>
      <c r="W44" s="16">
        <f>(((W16*W17)*(1+($C$18*(IF(Drivers!$G$7=0,0,Drivers!$W$7/Drivers!$G$7)-1))))+W19)</f>
        <v/>
      </c>
      <c r="X44" s="16">
        <f>(((X16*X17)*(1+($C$18*(IF(Drivers!$G$7=0,0,Drivers!$X$7/Drivers!$G$7)-1))))+X19)</f>
        <v/>
      </c>
      <c r="Y44" s="16">
        <f>(((Y16*Y17)*(1+($C$18*(IF(Drivers!$G$7=0,0,Drivers!$Y$7/Drivers!$G$7)-1))))+Y19)</f>
        <v/>
      </c>
      <c r="Z44" s="16">
        <f>(((Z16*Z17)*(1+($C$18*(IF(Drivers!$G$7=0,0,Drivers!$Z$7/Drivers!$G$7)-1))))+Z19)</f>
        <v/>
      </c>
      <c r="AA44" s="16">
        <f>(((AA16*AA17)*(1+($C$18*(IF(Drivers!$G$7=0,0,Drivers!$AA$7/Drivers!$G$7)-1))))+AA19)</f>
        <v/>
      </c>
    </row>
    <row r="45">
      <c r="A45" t="inlineStr">
        <is>
          <t>Strip ratio</t>
        </is>
      </c>
      <c r="B45" t="inlineStr">
        <is>
          <t>strip_ratio_line</t>
        </is>
      </c>
      <c r="D45" s="14" t="n"/>
      <c r="E45" s="14" t="n"/>
      <c r="F45" s="14" t="n"/>
      <c r="G45" s="14" t="n"/>
      <c r="H45" s="18">
        <f>H16</f>
        <v/>
      </c>
      <c r="I45" s="18">
        <f>I16</f>
        <v/>
      </c>
      <c r="J45" s="18">
        <f>J16</f>
        <v/>
      </c>
      <c r="K45" s="18">
        <f>K16</f>
        <v/>
      </c>
      <c r="L45" s="18">
        <f>L16</f>
        <v/>
      </c>
      <c r="M45" s="18">
        <f>M16</f>
        <v/>
      </c>
      <c r="N45" s="18">
        <f>N16</f>
        <v/>
      </c>
      <c r="O45" s="18">
        <f>O16</f>
        <v/>
      </c>
      <c r="P45" s="18">
        <f>P16</f>
        <v/>
      </c>
      <c r="Q45" s="18">
        <f>Q16</f>
        <v/>
      </c>
      <c r="R45" s="18">
        <f>R16</f>
        <v/>
      </c>
      <c r="S45" s="18">
        <f>S16</f>
        <v/>
      </c>
      <c r="T45" s="18">
        <f>T16</f>
        <v/>
      </c>
      <c r="U45" s="18">
        <f>U16</f>
        <v/>
      </c>
      <c r="V45" s="18">
        <f>V16</f>
        <v/>
      </c>
      <c r="W45" s="18">
        <f>W16</f>
        <v/>
      </c>
      <c r="X45" s="18">
        <f>X16</f>
        <v/>
      </c>
      <c r="Y45" s="18">
        <f>Y16</f>
        <v/>
      </c>
      <c r="Z45" s="18">
        <f>Z16</f>
        <v/>
      </c>
      <c r="AA45" s="18">
        <f>AA16</f>
        <v/>
      </c>
    </row>
    <row r="46">
      <c r="A46" t="inlineStr">
        <is>
          <t>Royalty rate</t>
        </is>
      </c>
      <c r="B46" t="inlineStr">
        <is>
          <t>royalty_rate</t>
        </is>
      </c>
      <c r="D46" s="4" t="n"/>
      <c r="E46" s="4" t="n"/>
      <c r="F46" s="4" t="n"/>
      <c r="G46" s="4" t="n"/>
      <c r="H46" s="17">
        <f>H20</f>
        <v/>
      </c>
      <c r="I46" s="17">
        <f>I20</f>
        <v/>
      </c>
      <c r="J46" s="17">
        <f>J20</f>
        <v/>
      </c>
      <c r="K46" s="17">
        <f>K20</f>
        <v/>
      </c>
      <c r="L46" s="17">
        <f>L20</f>
        <v/>
      </c>
      <c r="M46" s="17">
        <f>M20</f>
        <v/>
      </c>
      <c r="N46" s="17">
        <f>N20</f>
        <v/>
      </c>
      <c r="O46" s="17">
        <f>O20</f>
        <v/>
      </c>
      <c r="P46" s="17">
        <f>P20</f>
        <v/>
      </c>
      <c r="Q46" s="17">
        <f>Q20</f>
        <v/>
      </c>
      <c r="R46" s="17">
        <f>R20</f>
        <v/>
      </c>
      <c r="S46" s="17">
        <f>S20</f>
        <v/>
      </c>
      <c r="T46" s="17">
        <f>T20</f>
        <v/>
      </c>
      <c r="U46" s="17">
        <f>U20</f>
        <v/>
      </c>
      <c r="V46" s="17">
        <f>V20</f>
        <v/>
      </c>
      <c r="W46" s="17">
        <f>W20</f>
        <v/>
      </c>
      <c r="X46" s="17">
        <f>X20</f>
        <v/>
      </c>
      <c r="Y46" s="17">
        <f>Y20</f>
        <v/>
      </c>
      <c r="Z46" s="17">
        <f>Z20</f>
        <v/>
      </c>
      <c r="AA46" s="17">
        <f>AA20</f>
        <v/>
      </c>
    </row>
    <row r="47">
      <c r="A47" t="inlineStr">
        <is>
          <t>EBITDA per unit (price currency)</t>
        </is>
      </c>
      <c r="B47" t="inlineStr">
        <is>
          <t>ebitda_per_unit</t>
        </is>
      </c>
      <c r="D47" s="3" t="n">
        <v>5.568371331925006</v>
      </c>
      <c r="E47" s="3" t="n">
        <v>5.901299428812513</v>
      </c>
      <c r="F47" s="3" t="n"/>
      <c r="G47" s="3" t="n"/>
      <c r="H47" s="16">
        <f>IF(IF(1000=0,0,((H40*$C$9)*Drivers!$H$6)/1000)=0,0,H60/IF(1000=0,0,((H40*$C$9)*Drivers!$H$6)/1000))</f>
        <v/>
      </c>
      <c r="I47" s="16">
        <f>IF(IF(1000=0,0,((I40*$C$9)*Drivers!$I$6)/1000)=0,0,I60/IF(1000=0,0,((I40*$C$9)*Drivers!$I$6)/1000))</f>
        <v/>
      </c>
      <c r="J47" s="16">
        <f>IF(IF(1000=0,0,((J40*$C$9)*Drivers!$J$6)/1000)=0,0,J60/IF(1000=0,0,((J40*$C$9)*Drivers!$J$6)/1000))</f>
        <v/>
      </c>
      <c r="K47" s="16">
        <f>IF(IF(1000=0,0,((K40*$C$9)*Drivers!$K$6)/1000)=0,0,K60/IF(1000=0,0,((K40*$C$9)*Drivers!$K$6)/1000))</f>
        <v/>
      </c>
      <c r="L47" s="16">
        <f>IF(IF(1000=0,0,((L40*$C$9)*Drivers!$L$6)/1000)=0,0,L60/IF(1000=0,0,((L40*$C$9)*Drivers!$L$6)/1000))</f>
        <v/>
      </c>
      <c r="M47" s="16">
        <f>IF(IF(1000=0,0,((M40*$C$9)*Drivers!$M$6)/1000)=0,0,M60/IF(1000=0,0,((M40*$C$9)*Drivers!$M$6)/1000))</f>
        <v/>
      </c>
      <c r="N47" s="16">
        <f>IF(IF(1000=0,0,((N40*$C$9)*Drivers!$N$6)/1000)=0,0,N60/IF(1000=0,0,((N40*$C$9)*Drivers!$N$6)/1000))</f>
        <v/>
      </c>
      <c r="O47" s="16">
        <f>IF(IF(1000=0,0,((O40*$C$9)*Drivers!$O$6)/1000)=0,0,O60/IF(1000=0,0,((O40*$C$9)*Drivers!$O$6)/1000))</f>
        <v/>
      </c>
      <c r="P47" s="16">
        <f>IF(IF(1000=0,0,((P40*$C$9)*Drivers!$P$6)/1000)=0,0,P60/IF(1000=0,0,((P40*$C$9)*Drivers!$P$6)/1000))</f>
        <v/>
      </c>
      <c r="Q47" s="16">
        <f>IF(IF(1000=0,0,((Q40*$C$9)*Drivers!$Q$6)/1000)=0,0,Q60/IF(1000=0,0,((Q40*$C$9)*Drivers!$Q$6)/1000))</f>
        <v/>
      </c>
      <c r="R47" s="16">
        <f>IF(IF(1000=0,0,((R40*$C$9)*Drivers!$R$6)/1000)=0,0,R60/IF(1000=0,0,((R40*$C$9)*Drivers!$R$6)/1000))</f>
        <v/>
      </c>
      <c r="S47" s="16">
        <f>IF(IF(1000=0,0,((S40*$C$9)*Drivers!$S$6)/1000)=0,0,S60/IF(1000=0,0,((S40*$C$9)*Drivers!$S$6)/1000))</f>
        <v/>
      </c>
      <c r="T47" s="16">
        <f>IF(IF(1000=0,0,((T40*$C$9)*Drivers!$T$6)/1000)=0,0,T60/IF(1000=0,0,((T40*$C$9)*Drivers!$T$6)/1000))</f>
        <v/>
      </c>
      <c r="U47" s="16">
        <f>IF(IF(1000=0,0,((U40*$C$9)*Drivers!$U$6)/1000)=0,0,U60/IF(1000=0,0,((U40*$C$9)*Drivers!$U$6)/1000))</f>
        <v/>
      </c>
      <c r="V47" s="16">
        <f>IF(IF(1000=0,0,((V40*$C$9)*Drivers!$V$6)/1000)=0,0,V60/IF(1000=0,0,((V40*$C$9)*Drivers!$V$6)/1000))</f>
        <v/>
      </c>
      <c r="W47" s="16">
        <f>IF(IF(1000=0,0,((W40*$C$9)*Drivers!$W$6)/1000)=0,0,W60/IF(1000=0,0,((W40*$C$9)*Drivers!$W$6)/1000))</f>
        <v/>
      </c>
      <c r="X47" s="16">
        <f>IF(IF(1000=0,0,((X40*$C$9)*Drivers!$X$6)/1000)=0,0,X60/IF(1000=0,0,((X40*$C$9)*Drivers!$X$6)/1000))</f>
        <v/>
      </c>
      <c r="Y47" s="16">
        <f>IF(IF(1000=0,0,((Y40*$C$9)*Drivers!$Y$6)/1000)=0,0,Y60/IF(1000=0,0,((Y40*$C$9)*Drivers!$Y$6)/1000))</f>
        <v/>
      </c>
      <c r="Z47" s="16">
        <f>IF(IF(1000=0,0,((Z40*$C$9)*Drivers!$Z$6)/1000)=0,0,Z60/IF(1000=0,0,((Z40*$C$9)*Drivers!$Z$6)/1000))</f>
        <v/>
      </c>
      <c r="AA47" s="16">
        <f>IF(IF(1000=0,0,((AA40*$C$9)*Drivers!$AA$6)/1000)=0,0,AA60/IF(1000=0,0,((AA40*$C$9)*Drivers!$AA$6)/1000))</f>
        <v/>
      </c>
    </row>
    <row r="48">
      <c r="A48" t="inlineStr">
        <is>
          <t>Cash cost + royalty per unit (price currency)</t>
        </is>
      </c>
      <c r="B48" t="inlineStr">
        <is>
          <t>cash_cost_money_per_unit</t>
        </is>
      </c>
      <c r="D48" s="3" t="n"/>
      <c r="E48" s="3" t="n"/>
      <c r="F48" s="3" t="n"/>
      <c r="G48" s="3" t="n"/>
      <c r="H48" s="16">
        <f>IF(IF(1000=0,0,((H40*$C$9)*Drivers!$H$6)/1000)=0,0,(H52+H51)/IF(1000=0,0,((H40*$C$9)*Drivers!$H$6)/1000))</f>
        <v/>
      </c>
      <c r="I48" s="16">
        <f>IF(IF(1000=0,0,((I40*$C$9)*Drivers!$I$6)/1000)=0,0,(I52+I51)/IF(1000=0,0,((I40*$C$9)*Drivers!$I$6)/1000))</f>
        <v/>
      </c>
      <c r="J48" s="16">
        <f>IF(IF(1000=0,0,((J40*$C$9)*Drivers!$J$6)/1000)=0,0,(J52+J51)/IF(1000=0,0,((J40*$C$9)*Drivers!$J$6)/1000))</f>
        <v/>
      </c>
      <c r="K48" s="16">
        <f>IF(IF(1000=0,0,((K40*$C$9)*Drivers!$K$6)/1000)=0,0,(K52+K51)/IF(1000=0,0,((K40*$C$9)*Drivers!$K$6)/1000))</f>
        <v/>
      </c>
      <c r="L48" s="16">
        <f>IF(IF(1000=0,0,((L40*$C$9)*Drivers!$L$6)/1000)=0,0,(L52+L51)/IF(1000=0,0,((L40*$C$9)*Drivers!$L$6)/1000))</f>
        <v/>
      </c>
      <c r="M48" s="16">
        <f>IF(IF(1000=0,0,((M40*$C$9)*Drivers!$M$6)/1000)=0,0,(M52+M51)/IF(1000=0,0,((M40*$C$9)*Drivers!$M$6)/1000))</f>
        <v/>
      </c>
      <c r="N48" s="16">
        <f>IF(IF(1000=0,0,((N40*$C$9)*Drivers!$N$6)/1000)=0,0,(N52+N51)/IF(1000=0,0,((N40*$C$9)*Drivers!$N$6)/1000))</f>
        <v/>
      </c>
      <c r="O48" s="16">
        <f>IF(IF(1000=0,0,((O40*$C$9)*Drivers!$O$6)/1000)=0,0,(O52+O51)/IF(1000=0,0,((O40*$C$9)*Drivers!$O$6)/1000))</f>
        <v/>
      </c>
      <c r="P48" s="16">
        <f>IF(IF(1000=0,0,((P40*$C$9)*Drivers!$P$6)/1000)=0,0,(P52+P51)/IF(1000=0,0,((P40*$C$9)*Drivers!$P$6)/1000))</f>
        <v/>
      </c>
      <c r="Q48" s="16">
        <f>IF(IF(1000=0,0,((Q40*$C$9)*Drivers!$Q$6)/1000)=0,0,(Q52+Q51)/IF(1000=0,0,((Q40*$C$9)*Drivers!$Q$6)/1000))</f>
        <v/>
      </c>
      <c r="R48" s="16">
        <f>IF(IF(1000=0,0,((R40*$C$9)*Drivers!$R$6)/1000)=0,0,(R52+R51)/IF(1000=0,0,((R40*$C$9)*Drivers!$R$6)/1000))</f>
        <v/>
      </c>
      <c r="S48" s="16">
        <f>IF(IF(1000=0,0,((S40*$C$9)*Drivers!$S$6)/1000)=0,0,(S52+S51)/IF(1000=0,0,((S40*$C$9)*Drivers!$S$6)/1000))</f>
        <v/>
      </c>
      <c r="T48" s="16">
        <f>IF(IF(1000=0,0,((T40*$C$9)*Drivers!$T$6)/1000)=0,0,(T52+T51)/IF(1000=0,0,((T40*$C$9)*Drivers!$T$6)/1000))</f>
        <v/>
      </c>
      <c r="U48" s="16">
        <f>IF(IF(1000=0,0,((U40*$C$9)*Drivers!$U$6)/1000)=0,0,(U52+U51)/IF(1000=0,0,((U40*$C$9)*Drivers!$U$6)/1000))</f>
        <v/>
      </c>
      <c r="V48" s="16">
        <f>IF(IF(1000=0,0,((V40*$C$9)*Drivers!$V$6)/1000)=0,0,(V52+V51)/IF(1000=0,0,((V40*$C$9)*Drivers!$V$6)/1000))</f>
        <v/>
      </c>
      <c r="W48" s="16">
        <f>IF(IF(1000=0,0,((W40*$C$9)*Drivers!$W$6)/1000)=0,0,(W52+W51)/IF(1000=0,0,((W40*$C$9)*Drivers!$W$6)/1000))</f>
        <v/>
      </c>
      <c r="X48" s="16">
        <f>IF(IF(1000=0,0,((X40*$C$9)*Drivers!$X$6)/1000)=0,0,(X52+X51)/IF(1000=0,0,((X40*$C$9)*Drivers!$X$6)/1000))</f>
        <v/>
      </c>
      <c r="Y48" s="16">
        <f>IF(IF(1000=0,0,((Y40*$C$9)*Drivers!$Y$6)/1000)=0,0,(Y52+Y51)/IF(1000=0,0,((Y40*$C$9)*Drivers!$Y$6)/1000))</f>
        <v/>
      </c>
      <c r="Z48" s="16">
        <f>IF(IF(1000=0,0,((Z40*$C$9)*Drivers!$Z$6)/1000)=0,0,(Z52+Z51)/IF(1000=0,0,((Z40*$C$9)*Drivers!$Z$6)/1000))</f>
        <v/>
      </c>
      <c r="AA48" s="16">
        <f>IF(IF(1000=0,0,((AA40*$C$9)*Drivers!$AA$6)/1000)=0,0,(AA52+AA51)/IF(1000=0,0,((AA40*$C$9)*Drivers!$AA$6)/1000))</f>
        <v/>
      </c>
    </row>
    <row r="49">
      <c r="A49" t="inlineStr">
        <is>
          <t>Main product revenue</t>
        </is>
      </c>
      <c r="B49" t="inlineStr">
        <is>
          <t>revenue_main</t>
        </is>
      </c>
      <c r="D49" s="13" t="n"/>
      <c r="E49" s="13" t="n"/>
      <c r="F49" s="13" t="n"/>
      <c r="G49" s="13" t="n"/>
      <c r="H49" s="19">
        <f>IF(1000=0,0,(((H40*H42)*$C$9)*Drivers!$H$6)/1000)</f>
        <v/>
      </c>
      <c r="I49" s="19">
        <f>IF(1000=0,0,(((I40*I42)*$C$9)*Drivers!$I$6)/1000)</f>
        <v/>
      </c>
      <c r="J49" s="19">
        <f>IF(1000=0,0,(((J40*J42)*$C$9)*Drivers!$J$6)/1000)</f>
        <v/>
      </c>
      <c r="K49" s="19">
        <f>IF(1000=0,0,(((K40*K42)*$C$9)*Drivers!$K$6)/1000)</f>
        <v/>
      </c>
      <c r="L49" s="19">
        <f>IF(1000=0,0,(((L40*L42)*$C$9)*Drivers!$L$6)/1000)</f>
        <v/>
      </c>
      <c r="M49" s="19">
        <f>IF(1000=0,0,(((M40*M42)*$C$9)*Drivers!$M$6)/1000)</f>
        <v/>
      </c>
      <c r="N49" s="19">
        <f>IF(1000=0,0,(((N40*N42)*$C$9)*Drivers!$N$6)/1000)</f>
        <v/>
      </c>
      <c r="O49" s="19">
        <f>IF(1000=0,0,(((O40*O42)*$C$9)*Drivers!$O$6)/1000)</f>
        <v/>
      </c>
      <c r="P49" s="19">
        <f>IF(1000=0,0,(((P40*P42)*$C$9)*Drivers!$P$6)/1000)</f>
        <v/>
      </c>
      <c r="Q49" s="19">
        <f>IF(1000=0,0,(((Q40*Q42)*$C$9)*Drivers!$Q$6)/1000)</f>
        <v/>
      </c>
      <c r="R49" s="19">
        <f>IF(1000=0,0,(((R40*R42)*$C$9)*Drivers!$R$6)/1000)</f>
        <v/>
      </c>
      <c r="S49" s="19">
        <f>IF(1000=0,0,(((S40*S42)*$C$9)*Drivers!$S$6)/1000)</f>
        <v/>
      </c>
      <c r="T49" s="19">
        <f>IF(1000=0,0,(((T40*T42)*$C$9)*Drivers!$T$6)/1000)</f>
        <v/>
      </c>
      <c r="U49" s="19">
        <f>IF(1000=0,0,(((U40*U42)*$C$9)*Drivers!$U$6)/1000)</f>
        <v/>
      </c>
      <c r="V49" s="19">
        <f>IF(1000=0,0,(((V40*V42)*$C$9)*Drivers!$V$6)/1000)</f>
        <v/>
      </c>
      <c r="W49" s="19">
        <f>IF(1000=0,0,(((W40*W42)*$C$9)*Drivers!$W$6)/1000)</f>
        <v/>
      </c>
      <c r="X49" s="19">
        <f>IF(1000=0,0,(((X40*X42)*$C$9)*Drivers!$X$6)/1000)</f>
        <v/>
      </c>
      <c r="Y49" s="19">
        <f>IF(1000=0,0,(((Y40*Y42)*$C$9)*Drivers!$Y$6)/1000)</f>
        <v/>
      </c>
      <c r="Z49" s="19">
        <f>IF(1000=0,0,(((Z40*Z42)*$C$9)*Drivers!$Z$6)/1000)</f>
        <v/>
      </c>
      <c r="AA49" s="19">
        <f>IF(1000=0,0,(((AA40*AA42)*$C$9)*Drivers!$AA$6)/1000)</f>
        <v/>
      </c>
    </row>
    <row r="50">
      <c r="A50" t="inlineStr">
        <is>
          <t>Other revenue</t>
        </is>
      </c>
      <c r="B50" t="inlineStr">
        <is>
          <t>other_revenue</t>
        </is>
      </c>
      <c r="D50" s="13" t="n"/>
      <c r="E50" s="13" t="n"/>
      <c r="F50" s="13" t="n"/>
      <c r="G50" s="13" t="n"/>
      <c r="H50" s="15">
        <f>H21</f>
        <v/>
      </c>
      <c r="I50" s="15">
        <f>I21</f>
        <v/>
      </c>
      <c r="J50" s="15">
        <f>J21</f>
        <v/>
      </c>
      <c r="K50" s="15">
        <f>K21</f>
        <v/>
      </c>
      <c r="L50" s="15">
        <f>L21</f>
        <v/>
      </c>
      <c r="M50" s="15">
        <f>M21</f>
        <v/>
      </c>
      <c r="N50" s="15">
        <f>N21</f>
        <v/>
      </c>
      <c r="O50" s="15">
        <f>O21</f>
        <v/>
      </c>
      <c r="P50" s="15">
        <f>P21</f>
        <v/>
      </c>
      <c r="Q50" s="15">
        <f>Q21</f>
        <v/>
      </c>
      <c r="R50" s="15">
        <f>R21</f>
        <v/>
      </c>
      <c r="S50" s="15">
        <f>S21</f>
        <v/>
      </c>
      <c r="T50" s="15">
        <f>T21</f>
        <v/>
      </c>
      <c r="U50" s="15">
        <f>U21</f>
        <v/>
      </c>
      <c r="V50" s="15">
        <f>V21</f>
        <v/>
      </c>
      <c r="W50" s="15">
        <f>W21</f>
        <v/>
      </c>
      <c r="X50" s="15">
        <f>X21</f>
        <v/>
      </c>
      <c r="Y50" s="15">
        <f>Y21</f>
        <v/>
      </c>
      <c r="Z50" s="15">
        <f>Z21</f>
        <v/>
      </c>
      <c r="AA50" s="15">
        <f>AA21</f>
        <v/>
      </c>
    </row>
    <row r="51">
      <c r="A51" t="inlineStr">
        <is>
          <t>Royalty</t>
        </is>
      </c>
      <c r="B51" t="inlineStr">
        <is>
          <t>royalty</t>
        </is>
      </c>
      <c r="D51" s="13" t="n"/>
      <c r="E51" s="13" t="n"/>
      <c r="F51" s="13" t="n"/>
      <c r="G51" s="13" t="n"/>
      <c r="H51" s="15">
        <f>(H49*H46)</f>
        <v/>
      </c>
      <c r="I51" s="15">
        <f>(I49*I46)</f>
        <v/>
      </c>
      <c r="J51" s="15">
        <f>(J49*J46)</f>
        <v/>
      </c>
      <c r="K51" s="15">
        <f>(K49*K46)</f>
        <v/>
      </c>
      <c r="L51" s="15">
        <f>(L49*L46)</f>
        <v/>
      </c>
      <c r="M51" s="15">
        <f>(M49*M46)</f>
        <v/>
      </c>
      <c r="N51" s="15">
        <f>(N49*N46)</f>
        <v/>
      </c>
      <c r="O51" s="15">
        <f>(O49*O46)</f>
        <v/>
      </c>
      <c r="P51" s="15">
        <f>(P49*P46)</f>
        <v/>
      </c>
      <c r="Q51" s="15">
        <f>(Q49*Q46)</f>
        <v/>
      </c>
      <c r="R51" s="15">
        <f>(R49*R46)</f>
        <v/>
      </c>
      <c r="S51" s="15">
        <f>(S49*S46)</f>
        <v/>
      </c>
      <c r="T51" s="15">
        <f>(T49*T46)</f>
        <v/>
      </c>
      <c r="U51" s="15">
        <f>(U49*U46)</f>
        <v/>
      </c>
      <c r="V51" s="15">
        <f>(V49*V46)</f>
        <v/>
      </c>
      <c r="W51" s="15">
        <f>(W49*W46)</f>
        <v/>
      </c>
      <c r="X51" s="15">
        <f>(X49*X46)</f>
        <v/>
      </c>
      <c r="Y51" s="15">
        <f>(Y49*Y46)</f>
        <v/>
      </c>
      <c r="Z51" s="15">
        <f>(Z49*Z46)</f>
        <v/>
      </c>
      <c r="AA51" s="15">
        <f>(AA49*AA46)</f>
        <v/>
      </c>
    </row>
    <row r="52">
      <c r="A52" t="inlineStr">
        <is>
          <t>Cash costs</t>
        </is>
      </c>
      <c r="B52" t="inlineStr">
        <is>
          <t>cash_cost</t>
        </is>
      </c>
      <c r="D52" s="13" t="n"/>
      <c r="E52" s="13" t="n"/>
      <c r="F52" s="13" t="n"/>
      <c r="G52" s="13" t="n"/>
      <c r="H52" s="19">
        <f>IF(1000=0,0,(((H40*H44)*$C$9)*Drivers!$H$6)/1000)</f>
        <v/>
      </c>
      <c r="I52" s="19">
        <f>IF(1000=0,0,(((I40*I44)*$C$9)*Drivers!$I$6)/1000)</f>
        <v/>
      </c>
      <c r="J52" s="19">
        <f>IF(1000=0,0,(((J40*J44)*$C$9)*Drivers!$J$6)/1000)</f>
        <v/>
      </c>
      <c r="K52" s="19">
        <f>IF(1000=0,0,(((K40*K44)*$C$9)*Drivers!$K$6)/1000)</f>
        <v/>
      </c>
      <c r="L52" s="19">
        <f>IF(1000=0,0,(((L40*L44)*$C$9)*Drivers!$L$6)/1000)</f>
        <v/>
      </c>
      <c r="M52" s="19">
        <f>IF(1000=0,0,(((M40*M44)*$C$9)*Drivers!$M$6)/1000)</f>
        <v/>
      </c>
      <c r="N52" s="19">
        <f>IF(1000=0,0,(((N40*N44)*$C$9)*Drivers!$N$6)/1000)</f>
        <v/>
      </c>
      <c r="O52" s="19">
        <f>IF(1000=0,0,(((O40*O44)*$C$9)*Drivers!$O$6)/1000)</f>
        <v/>
      </c>
      <c r="P52" s="19">
        <f>IF(1000=0,0,(((P40*P44)*$C$9)*Drivers!$P$6)/1000)</f>
        <v/>
      </c>
      <c r="Q52" s="19">
        <f>IF(1000=0,0,(((Q40*Q44)*$C$9)*Drivers!$Q$6)/1000)</f>
        <v/>
      </c>
      <c r="R52" s="19">
        <f>IF(1000=0,0,(((R40*R44)*$C$9)*Drivers!$R$6)/1000)</f>
        <v/>
      </c>
      <c r="S52" s="19">
        <f>IF(1000=0,0,(((S40*S44)*$C$9)*Drivers!$S$6)/1000)</f>
        <v/>
      </c>
      <c r="T52" s="19">
        <f>IF(1000=0,0,(((T40*T44)*$C$9)*Drivers!$T$6)/1000)</f>
        <v/>
      </c>
      <c r="U52" s="19">
        <f>IF(1000=0,0,(((U40*U44)*$C$9)*Drivers!$U$6)/1000)</f>
        <v/>
      </c>
      <c r="V52" s="19">
        <f>IF(1000=0,0,(((V40*V44)*$C$9)*Drivers!$V$6)/1000)</f>
        <v/>
      </c>
      <c r="W52" s="19">
        <f>IF(1000=0,0,(((W40*W44)*$C$9)*Drivers!$W$6)/1000)</f>
        <v/>
      </c>
      <c r="X52" s="19">
        <f>IF(1000=0,0,(((X40*X44)*$C$9)*Drivers!$X$6)/1000)</f>
        <v/>
      </c>
      <c r="Y52" s="19">
        <f>IF(1000=0,0,(((Y40*Y44)*$C$9)*Drivers!$Y$6)/1000)</f>
        <v/>
      </c>
      <c r="Z52" s="19">
        <f>IF(1000=0,0,(((Z40*Z44)*$C$9)*Drivers!$Z$6)/1000)</f>
        <v/>
      </c>
      <c r="AA52" s="19">
        <f>IF(1000=0,0,(((AA40*AA44)*$C$9)*Drivers!$AA$6)/1000)</f>
        <v/>
      </c>
    </row>
    <row r="53">
      <c r="A53" t="inlineStr">
        <is>
          <t>Cost of other revenue</t>
        </is>
      </c>
      <c r="B53" t="inlineStr">
        <is>
          <t>other_cogs</t>
        </is>
      </c>
      <c r="D53" s="13" t="n"/>
      <c r="E53" s="13" t="n"/>
      <c r="F53" s="13" t="n"/>
      <c r="G53" s="13" t="n"/>
      <c r="H53" s="15">
        <f>(H50*(1-$C$22))</f>
        <v/>
      </c>
      <c r="I53" s="15">
        <f>(I50*(1-$C$22))</f>
        <v/>
      </c>
      <c r="J53" s="15">
        <f>(J50*(1-$C$22))</f>
        <v/>
      </c>
      <c r="K53" s="15">
        <f>(K50*(1-$C$22))</f>
        <v/>
      </c>
      <c r="L53" s="15">
        <f>(L50*(1-$C$22))</f>
        <v/>
      </c>
      <c r="M53" s="15">
        <f>(M50*(1-$C$22))</f>
        <v/>
      </c>
      <c r="N53" s="15">
        <f>(N50*(1-$C$22))</f>
        <v/>
      </c>
      <c r="O53" s="15">
        <f>(O50*(1-$C$22))</f>
        <v/>
      </c>
      <c r="P53" s="15">
        <f>(P50*(1-$C$22))</f>
        <v/>
      </c>
      <c r="Q53" s="15">
        <f>(Q50*(1-$C$22))</f>
        <v/>
      </c>
      <c r="R53" s="15">
        <f>(R50*(1-$C$22))</f>
        <v/>
      </c>
      <c r="S53" s="15">
        <f>(S50*(1-$C$22))</f>
        <v/>
      </c>
      <c r="T53" s="15">
        <f>(T50*(1-$C$22))</f>
        <v/>
      </c>
      <c r="U53" s="15">
        <f>(U50*(1-$C$22))</f>
        <v/>
      </c>
      <c r="V53" s="15">
        <f>(V50*(1-$C$22))</f>
        <v/>
      </c>
      <c r="W53" s="15">
        <f>(W50*(1-$C$22))</f>
        <v/>
      </c>
      <c r="X53" s="15">
        <f>(X50*(1-$C$22))</f>
        <v/>
      </c>
      <c r="Y53" s="15">
        <f>(Y50*(1-$C$22))</f>
        <v/>
      </c>
      <c r="Z53" s="15">
        <f>(Z50*(1-$C$22))</f>
        <v/>
      </c>
      <c r="AA53" s="15">
        <f>(AA50*(1-$C$22))</f>
        <v/>
      </c>
    </row>
    <row r="54">
      <c r="A54" t="inlineStr">
        <is>
          <t>Revenue</t>
        </is>
      </c>
      <c r="B54" t="inlineStr">
        <is>
          <t>revenue</t>
        </is>
      </c>
      <c r="D54" s="13" t="n">
        <v>10448.875185271</v>
      </c>
      <c r="E54" s="13" t="n">
        <v>12312.861734739</v>
      </c>
      <c r="F54" s="13" t="n">
        <v>14762.475115697</v>
      </c>
      <c r="G54" s="13" t="n">
        <v>6739.5202794</v>
      </c>
      <c r="H54" s="15">
        <f>(H49+H50)</f>
        <v/>
      </c>
      <c r="I54" s="15">
        <f>(I49+I50)</f>
        <v/>
      </c>
      <c r="J54" s="15">
        <f>(J49+J50)</f>
        <v/>
      </c>
      <c r="K54" s="15">
        <f>(K49+K50)</f>
        <v/>
      </c>
      <c r="L54" s="15">
        <f>(L49+L50)</f>
        <v/>
      </c>
      <c r="M54" s="15">
        <f>(M49+M50)</f>
        <v/>
      </c>
      <c r="N54" s="15">
        <f>(N49+N50)</f>
        <v/>
      </c>
      <c r="O54" s="15">
        <f>(O49+O50)</f>
        <v/>
      </c>
      <c r="P54" s="15">
        <f>(P49+P50)</f>
        <v/>
      </c>
      <c r="Q54" s="15">
        <f>(Q49+Q50)</f>
        <v/>
      </c>
      <c r="R54" s="15">
        <f>(R49+R50)</f>
        <v/>
      </c>
      <c r="S54" s="15">
        <f>(S49+S50)</f>
        <v/>
      </c>
      <c r="T54" s="15">
        <f>(T49+T50)</f>
        <v/>
      </c>
      <c r="U54" s="15">
        <f>(U49+U50)</f>
        <v/>
      </c>
      <c r="V54" s="15">
        <f>(V49+V50)</f>
        <v/>
      </c>
      <c r="W54" s="15">
        <f>(W49+W50)</f>
        <v/>
      </c>
      <c r="X54" s="15">
        <f>(X49+X50)</f>
        <v/>
      </c>
      <c r="Y54" s="15">
        <f>(Y49+Y50)</f>
        <v/>
      </c>
      <c r="Z54" s="15">
        <f>(Z49+Z50)</f>
        <v/>
      </c>
      <c r="AA54" s="15">
        <f>(AA49+AA50)</f>
        <v/>
      </c>
    </row>
    <row r="55">
      <c r="A55" t="inlineStr">
        <is>
          <t>Cost of revenue</t>
        </is>
      </c>
      <c r="B55" t="inlineStr">
        <is>
          <t>cogs</t>
        </is>
      </c>
      <c r="D55" s="13" t="n">
        <v>9718.905432718</v>
      </c>
      <c r="E55" s="13" t="n">
        <v>11254.655600773</v>
      </c>
      <c r="F55" s="13" t="n">
        <v>13732.693926425</v>
      </c>
      <c r="G55" s="13" t="n">
        <v>6202.578351684</v>
      </c>
      <c r="H55" s="15">
        <f>(((H52+H51)+H53)+H59)</f>
        <v/>
      </c>
      <c r="I55" s="15">
        <f>(((I52+I51)+I53)+I59)</f>
        <v/>
      </c>
      <c r="J55" s="15">
        <f>(((J52+J51)+J53)+J59)</f>
        <v/>
      </c>
      <c r="K55" s="15">
        <f>(((K52+K51)+K53)+K59)</f>
        <v/>
      </c>
      <c r="L55" s="15">
        <f>(((L52+L51)+L53)+L59)</f>
        <v/>
      </c>
      <c r="M55" s="15">
        <f>(((M52+M51)+M53)+M59)</f>
        <v/>
      </c>
      <c r="N55" s="15">
        <f>(((N52+N51)+N53)+N59)</f>
        <v/>
      </c>
      <c r="O55" s="15">
        <f>(((O52+O51)+O53)+O59)</f>
        <v/>
      </c>
      <c r="P55" s="15">
        <f>(((P52+P51)+P53)+P59)</f>
        <v/>
      </c>
      <c r="Q55" s="15">
        <f>(((Q52+Q51)+Q53)+Q59)</f>
        <v/>
      </c>
      <c r="R55" s="15">
        <f>(((R52+R51)+R53)+R59)</f>
        <v/>
      </c>
      <c r="S55" s="15">
        <f>(((S52+S51)+S53)+S59)</f>
        <v/>
      </c>
      <c r="T55" s="15">
        <f>(((T52+T51)+T53)+T59)</f>
        <v/>
      </c>
      <c r="U55" s="15">
        <f>(((U52+U51)+U53)+U59)</f>
        <v/>
      </c>
      <c r="V55" s="15">
        <f>(((V52+V51)+V53)+V59)</f>
        <v/>
      </c>
      <c r="W55" s="15">
        <f>(((W52+W51)+W53)+W59)</f>
        <v/>
      </c>
      <c r="X55" s="15">
        <f>(((X52+X51)+X53)+X59)</f>
        <v/>
      </c>
      <c r="Y55" s="15">
        <f>(((Y52+Y51)+Y53)+Y59)</f>
        <v/>
      </c>
      <c r="Z55" s="15">
        <f>(((Z52+Z51)+Z53)+Z59)</f>
        <v/>
      </c>
      <c r="AA55" s="15">
        <f>(((AA52+AA51)+AA53)+AA59)</f>
        <v/>
      </c>
    </row>
    <row r="56">
      <c r="A56" t="inlineStr">
        <is>
          <t>Gross profit</t>
        </is>
      </c>
      <c r="B56" t="inlineStr">
        <is>
          <t>gross_profit</t>
        </is>
      </c>
      <c r="D56" s="13" t="n">
        <v>729.969752553</v>
      </c>
      <c r="E56" s="13" t="n">
        <v>1058.206133966</v>
      </c>
      <c r="F56" s="13" t="n">
        <v>1029.781189272</v>
      </c>
      <c r="G56" s="13" t="n">
        <v>536.941927716</v>
      </c>
      <c r="H56" s="15">
        <f>(H54-H55)</f>
        <v/>
      </c>
      <c r="I56" s="15">
        <f>(I54-I55)</f>
        <v/>
      </c>
      <c r="J56" s="15">
        <f>(J54-J55)</f>
        <v/>
      </c>
      <c r="K56" s="15">
        <f>(K54-K55)</f>
        <v/>
      </c>
      <c r="L56" s="15">
        <f>(L54-L55)</f>
        <v/>
      </c>
      <c r="M56" s="15">
        <f>(M54-M55)</f>
        <v/>
      </c>
      <c r="N56" s="15">
        <f>(N54-N55)</f>
        <v/>
      </c>
      <c r="O56" s="15">
        <f>(O54-O55)</f>
        <v/>
      </c>
      <c r="P56" s="15">
        <f>(P54-P55)</f>
        <v/>
      </c>
      <c r="Q56" s="15">
        <f>(Q54-Q55)</f>
        <v/>
      </c>
      <c r="R56" s="15">
        <f>(R54-R55)</f>
        <v/>
      </c>
      <c r="S56" s="15">
        <f>(S54-S55)</f>
        <v/>
      </c>
      <c r="T56" s="15">
        <f>(T54-T55)</f>
        <v/>
      </c>
      <c r="U56" s="15">
        <f>(U54-U55)</f>
        <v/>
      </c>
      <c r="V56" s="15">
        <f>(V54-V55)</f>
        <v/>
      </c>
      <c r="W56" s="15">
        <f>(W54-W55)</f>
        <v/>
      </c>
      <c r="X56" s="15">
        <f>(X54-X55)</f>
        <v/>
      </c>
      <c r="Y56" s="15">
        <f>(Y54-Y55)</f>
        <v/>
      </c>
      <c r="Z56" s="15">
        <f>(Z54-Z55)</f>
        <v/>
      </c>
      <c r="AA56" s="15">
        <f>(AA54-AA55)</f>
        <v/>
      </c>
    </row>
    <row r="57">
      <c r="A57" t="inlineStr">
        <is>
          <t>SG&amp;A and other opex</t>
        </is>
      </c>
      <c r="B57" t="inlineStr">
        <is>
          <t>opex</t>
        </is>
      </c>
      <c r="D57" s="13" t="n">
        <v>113.7125300160001</v>
      </c>
      <c r="E57" s="13" t="n">
        <v>165.2133127599999</v>
      </c>
      <c r="F57" s="13" t="n">
        <v>184.6725967569998</v>
      </c>
      <c r="G57" s="13" t="n">
        <v>241.73618944</v>
      </c>
      <c r="H57" s="15">
        <f>(H54*H36)</f>
        <v/>
      </c>
      <c r="I57" s="15">
        <f>(I54*I36)</f>
        <v/>
      </c>
      <c r="J57" s="15">
        <f>(J54*J36)</f>
        <v/>
      </c>
      <c r="K57" s="15">
        <f>(K54*K36)</f>
        <v/>
      </c>
      <c r="L57" s="15">
        <f>(L54*L36)</f>
        <v/>
      </c>
      <c r="M57" s="15">
        <f>(M54*M36)</f>
        <v/>
      </c>
      <c r="N57" s="15">
        <f>(N54*N36)</f>
        <v/>
      </c>
      <c r="O57" s="15">
        <f>(O54*O36)</f>
        <v/>
      </c>
      <c r="P57" s="15">
        <f>(P54*P36)</f>
        <v/>
      </c>
      <c r="Q57" s="15">
        <f>(Q54*Q36)</f>
        <v/>
      </c>
      <c r="R57" s="15">
        <f>(R54*R36)</f>
        <v/>
      </c>
      <c r="S57" s="15">
        <f>(S54*S36)</f>
        <v/>
      </c>
      <c r="T57" s="15">
        <f>(T54*T36)</f>
        <v/>
      </c>
      <c r="U57" s="15">
        <f>(U54*U36)</f>
        <v/>
      </c>
      <c r="V57" s="15">
        <f>(V54*V36)</f>
        <v/>
      </c>
      <c r="W57" s="15">
        <f>(W54*W36)</f>
        <v/>
      </c>
      <c r="X57" s="15">
        <f>(X54*X36)</f>
        <v/>
      </c>
      <c r="Y57" s="15">
        <f>(Y54*Y36)</f>
        <v/>
      </c>
      <c r="Z57" s="15">
        <f>(Z54*Z36)</f>
        <v/>
      </c>
      <c r="AA57" s="15">
        <f>(AA54*AA36)</f>
        <v/>
      </c>
    </row>
    <row r="58">
      <c r="A58" t="inlineStr">
        <is>
          <t>EBIT</t>
        </is>
      </c>
      <c r="B58" t="inlineStr">
        <is>
          <t>ebit</t>
        </is>
      </c>
      <c r="D58" s="13" t="n">
        <v>616.257222537</v>
      </c>
      <c r="E58" s="13" t="n">
        <v>892.992821206</v>
      </c>
      <c r="F58" s="13" t="n">
        <v>845.1085925150001</v>
      </c>
      <c r="G58" s="13" t="n">
        <v>295.205738276</v>
      </c>
      <c r="H58" s="15">
        <f>(H56-H57)</f>
        <v/>
      </c>
      <c r="I58" s="15">
        <f>(I56-I57)</f>
        <v/>
      </c>
      <c r="J58" s="15">
        <f>(J56-J57)</f>
        <v/>
      </c>
      <c r="K58" s="15">
        <f>(K56-K57)</f>
        <v/>
      </c>
      <c r="L58" s="15">
        <f>(L56-L57)</f>
        <v/>
      </c>
      <c r="M58" s="15">
        <f>(M56-M57)</f>
        <v/>
      </c>
      <c r="N58" s="15">
        <f>(N56-N57)</f>
        <v/>
      </c>
      <c r="O58" s="15">
        <f>(O56-O57)</f>
        <v/>
      </c>
      <c r="P58" s="15">
        <f>(P56-P57)</f>
        <v/>
      </c>
      <c r="Q58" s="15">
        <f>(Q56-Q57)</f>
        <v/>
      </c>
      <c r="R58" s="15">
        <f>(R56-R57)</f>
        <v/>
      </c>
      <c r="S58" s="15">
        <f>(S56-S57)</f>
        <v/>
      </c>
      <c r="T58" s="15">
        <f>(T56-T57)</f>
        <v/>
      </c>
      <c r="U58" s="15">
        <f>(U56-U57)</f>
        <v/>
      </c>
      <c r="V58" s="15">
        <f>(V56-V57)</f>
        <v/>
      </c>
      <c r="W58" s="15">
        <f>(W56-W57)</f>
        <v/>
      </c>
      <c r="X58" s="15">
        <f>(X56-X57)</f>
        <v/>
      </c>
      <c r="Y58" s="15">
        <f>(Y56-Y57)</f>
        <v/>
      </c>
      <c r="Z58" s="15">
        <f>(Z56-Z57)</f>
        <v/>
      </c>
      <c r="AA58" s="15">
        <f>(AA56-AA57)</f>
        <v/>
      </c>
    </row>
    <row r="59">
      <c r="A59" t="inlineStr">
        <is>
          <t>Depreciation &amp; amortisation</t>
        </is>
      </c>
      <c r="B59" t="inlineStr">
        <is>
          <t>da</t>
        </is>
      </c>
      <c r="D59" s="13" t="n">
        <v>3.635199603</v>
      </c>
      <c r="E59" s="13" t="n">
        <v>5.704266209</v>
      </c>
      <c r="F59" s="13" t="n">
        <v>13.040679232</v>
      </c>
      <c r="G59" s="13" t="n">
        <v>17.740538907</v>
      </c>
      <c r="H59" s="15">
        <f>IF(1000=0,0,((H40*H23)*$C$9)/1000)</f>
        <v/>
      </c>
      <c r="I59" s="15">
        <f>IF(1000=0,0,((I40*I23)*$C$9)/1000)</f>
        <v/>
      </c>
      <c r="J59" s="15">
        <f>IF(1000=0,0,((J40*J23)*$C$9)/1000)</f>
        <v/>
      </c>
      <c r="K59" s="15">
        <f>IF(1000=0,0,((K40*K23)*$C$9)/1000)</f>
        <v/>
      </c>
      <c r="L59" s="15">
        <f>IF(1000=0,0,((L40*L23)*$C$9)/1000)</f>
        <v/>
      </c>
      <c r="M59" s="15">
        <f>IF(1000=0,0,((M40*M23)*$C$9)/1000)</f>
        <v/>
      </c>
      <c r="N59" s="15">
        <f>IF(1000=0,0,((N40*N23)*$C$9)/1000)</f>
        <v/>
      </c>
      <c r="O59" s="15">
        <f>IF(1000=0,0,((O40*O23)*$C$9)/1000)</f>
        <v/>
      </c>
      <c r="P59" s="15">
        <f>IF(1000=0,0,((P40*P23)*$C$9)/1000)</f>
        <v/>
      </c>
      <c r="Q59" s="15">
        <f>IF(1000=0,0,((Q40*Q23)*$C$9)/1000)</f>
        <v/>
      </c>
      <c r="R59" s="15">
        <f>IF(1000=0,0,((R40*R23)*$C$9)/1000)</f>
        <v/>
      </c>
      <c r="S59" s="15">
        <f>IF(1000=0,0,((S40*S23)*$C$9)/1000)</f>
        <v/>
      </c>
      <c r="T59" s="15">
        <f>IF(1000=0,0,((T40*T23)*$C$9)/1000)</f>
        <v/>
      </c>
      <c r="U59" s="15">
        <f>IF(1000=0,0,((U40*U23)*$C$9)/1000)</f>
        <v/>
      </c>
      <c r="V59" s="15">
        <f>IF(1000=0,0,((V40*V23)*$C$9)/1000)</f>
        <v/>
      </c>
      <c r="W59" s="15">
        <f>IF(1000=0,0,((W40*W23)*$C$9)/1000)</f>
        <v/>
      </c>
      <c r="X59" s="15">
        <f>IF(1000=0,0,((X40*X23)*$C$9)/1000)</f>
        <v/>
      </c>
      <c r="Y59" s="15">
        <f>IF(1000=0,0,((Y40*Y23)*$C$9)/1000)</f>
        <v/>
      </c>
      <c r="Z59" s="15">
        <f>IF(1000=0,0,((Z40*Z23)*$C$9)/1000)</f>
        <v/>
      </c>
      <c r="AA59" s="15">
        <f>IF(1000=0,0,((AA40*AA23)*$C$9)/1000)</f>
        <v/>
      </c>
    </row>
    <row r="60">
      <c r="A60" t="inlineStr">
        <is>
          <t>EBITDA</t>
        </is>
      </c>
      <c r="B60" t="inlineStr">
        <is>
          <t>ebitda</t>
        </is>
      </c>
      <c r="D60" s="13" t="n">
        <v>619.89242214</v>
      </c>
      <c r="E60" s="13" t="n">
        <v>898.6970874150001</v>
      </c>
      <c r="F60" s="13" t="n">
        <v>858.1492717470001</v>
      </c>
      <c r="G60" s="13" t="n">
        <v>312.946277183</v>
      </c>
      <c r="H60" s="15">
        <f>(H58+H59)</f>
        <v/>
      </c>
      <c r="I60" s="15">
        <f>(I58+I59)</f>
        <v/>
      </c>
      <c r="J60" s="15">
        <f>(J58+J59)</f>
        <v/>
      </c>
      <c r="K60" s="15">
        <f>(K58+K59)</f>
        <v/>
      </c>
      <c r="L60" s="15">
        <f>(L58+L59)</f>
        <v/>
      </c>
      <c r="M60" s="15">
        <f>(M58+M59)</f>
        <v/>
      </c>
      <c r="N60" s="15">
        <f>(N58+N59)</f>
        <v/>
      </c>
      <c r="O60" s="15">
        <f>(O58+O59)</f>
        <v/>
      </c>
      <c r="P60" s="15">
        <f>(P58+P59)</f>
        <v/>
      </c>
      <c r="Q60" s="15">
        <f>(Q58+Q59)</f>
        <v/>
      </c>
      <c r="R60" s="15">
        <f>(R58+R59)</f>
        <v/>
      </c>
      <c r="S60" s="15">
        <f>(S58+S59)</f>
        <v/>
      </c>
      <c r="T60" s="15">
        <f>(T58+T59)</f>
        <v/>
      </c>
      <c r="U60" s="15">
        <f>(U58+U59)</f>
        <v/>
      </c>
      <c r="V60" s="15">
        <f>(V58+V59)</f>
        <v/>
      </c>
      <c r="W60" s="15">
        <f>(W58+W59)</f>
        <v/>
      </c>
      <c r="X60" s="15">
        <f>(X58+X59)</f>
        <v/>
      </c>
      <c r="Y60" s="15">
        <f>(Y58+Y59)</f>
        <v/>
      </c>
      <c r="Z60" s="15">
        <f>(Z58+Z59)</f>
        <v/>
      </c>
      <c r="AA60" s="15">
        <f>(AA58+AA59)</f>
        <v/>
      </c>
    </row>
    <row r="61">
      <c r="A61" t="inlineStr">
        <is>
          <t>Interest expense</t>
        </is>
      </c>
      <c r="B61" t="inlineStr">
        <is>
          <t>interest_expense</t>
        </is>
      </c>
      <c r="D61" s="13" t="n">
        <v>33.217495651</v>
      </c>
      <c r="E61" s="13" t="n">
        <v>42.482408866</v>
      </c>
      <c r="F61" s="13" t="n">
        <v>106.497805113</v>
      </c>
      <c r="G61" s="13" t="n">
        <v>151.150515754</v>
      </c>
      <c r="H61" s="15">
        <f>(G81*$C$28)</f>
        <v/>
      </c>
      <c r="I61" s="15">
        <f>(H81*$C$28)</f>
        <v/>
      </c>
      <c r="J61" s="15">
        <f>(I81*$C$28)</f>
        <v/>
      </c>
      <c r="K61" s="15">
        <f>(J81*$C$28)</f>
        <v/>
      </c>
      <c r="L61" s="15">
        <f>(K81*$C$28)</f>
        <v/>
      </c>
      <c r="M61" s="15">
        <f>(L81*$C$28)</f>
        <v/>
      </c>
      <c r="N61" s="15">
        <f>(M81*$C$28)</f>
        <v/>
      </c>
      <c r="O61" s="15">
        <f>(N81*$C$28)</f>
        <v/>
      </c>
      <c r="P61" s="15">
        <f>(O81*$C$28)</f>
        <v/>
      </c>
      <c r="Q61" s="15">
        <f>(P81*$C$28)</f>
        <v/>
      </c>
      <c r="R61" s="15">
        <f>(Q81*$C$28)</f>
        <v/>
      </c>
      <c r="S61" s="15">
        <f>(R81*$C$28)</f>
        <v/>
      </c>
      <c r="T61" s="15">
        <f>(S81*$C$28)</f>
        <v/>
      </c>
      <c r="U61" s="15">
        <f>(T81*$C$28)</f>
        <v/>
      </c>
      <c r="V61" s="15">
        <f>(U81*$C$28)</f>
        <v/>
      </c>
      <c r="W61" s="15">
        <f>(V81*$C$28)</f>
        <v/>
      </c>
      <c r="X61" s="15">
        <f>(W81*$C$28)</f>
        <v/>
      </c>
      <c r="Y61" s="15">
        <f>(X81*$C$28)</f>
        <v/>
      </c>
      <c r="Z61" s="15">
        <f>(Y81*$C$28)</f>
        <v/>
      </c>
      <c r="AA61" s="15">
        <f>(Z81*$C$28)</f>
        <v/>
      </c>
    </row>
    <row r="62">
      <c r="A62" t="inlineStr">
        <is>
          <t>Interest income</t>
        </is>
      </c>
      <c r="B62" t="inlineStr">
        <is>
          <t>interest_income</t>
        </is>
      </c>
      <c r="D62" s="13" t="n"/>
      <c r="E62" s="13" t="n"/>
      <c r="F62" s="13" t="n"/>
      <c r="G62" s="13" t="n"/>
      <c r="H62" s="15">
        <f>(G80*$C$29)</f>
        <v/>
      </c>
      <c r="I62" s="15">
        <f>(H80*$C$29)</f>
        <v/>
      </c>
      <c r="J62" s="15">
        <f>(I80*$C$29)</f>
        <v/>
      </c>
      <c r="K62" s="15">
        <f>(J80*$C$29)</f>
        <v/>
      </c>
      <c r="L62" s="15">
        <f>(K80*$C$29)</f>
        <v/>
      </c>
      <c r="M62" s="15">
        <f>(L80*$C$29)</f>
        <v/>
      </c>
      <c r="N62" s="15">
        <f>(M80*$C$29)</f>
        <v/>
      </c>
      <c r="O62" s="15">
        <f>(N80*$C$29)</f>
        <v/>
      </c>
      <c r="P62" s="15">
        <f>(O80*$C$29)</f>
        <v/>
      </c>
      <c r="Q62" s="15">
        <f>(P80*$C$29)</f>
        <v/>
      </c>
      <c r="R62" s="15">
        <f>(Q80*$C$29)</f>
        <v/>
      </c>
      <c r="S62" s="15">
        <f>(R80*$C$29)</f>
        <v/>
      </c>
      <c r="T62" s="15">
        <f>(S80*$C$29)</f>
        <v/>
      </c>
      <c r="U62" s="15">
        <f>(T80*$C$29)</f>
        <v/>
      </c>
      <c r="V62" s="15">
        <f>(U80*$C$29)</f>
        <v/>
      </c>
      <c r="W62" s="15">
        <f>(V80*$C$29)</f>
        <v/>
      </c>
      <c r="X62" s="15">
        <f>(W80*$C$29)</f>
        <v/>
      </c>
      <c r="Y62" s="15">
        <f>(X80*$C$29)</f>
        <v/>
      </c>
      <c r="Z62" s="15">
        <f>(Y80*$C$29)</f>
        <v/>
      </c>
      <c r="AA62" s="15">
        <f>(Z80*$C$29)</f>
        <v/>
      </c>
    </row>
    <row r="63">
      <c r="A63" t="inlineStr">
        <is>
          <t>Other non-operating</t>
        </is>
      </c>
      <c r="B63" t="inlineStr">
        <is>
          <t>other_nonop</t>
        </is>
      </c>
      <c r="D63" s="13" t="n"/>
      <c r="E63" s="13" t="n"/>
      <c r="F63" s="13" t="n"/>
      <c r="G63" s="13" t="n"/>
      <c r="H63" s="15">
        <f>H31</f>
        <v/>
      </c>
      <c r="I63" s="15">
        <f>I31</f>
        <v/>
      </c>
      <c r="J63" s="15">
        <f>J31</f>
        <v/>
      </c>
      <c r="K63" s="15">
        <f>K31</f>
        <v/>
      </c>
      <c r="L63" s="15">
        <f>L31</f>
        <v/>
      </c>
      <c r="M63" s="15">
        <f>M31</f>
        <v/>
      </c>
      <c r="N63" s="15">
        <f>N31</f>
        <v/>
      </c>
      <c r="O63" s="15">
        <f>O31</f>
        <v/>
      </c>
      <c r="P63" s="15">
        <f>P31</f>
        <v/>
      </c>
      <c r="Q63" s="15">
        <f>Q31</f>
        <v/>
      </c>
      <c r="R63" s="15">
        <f>R31</f>
        <v/>
      </c>
      <c r="S63" s="15">
        <f>S31</f>
        <v/>
      </c>
      <c r="T63" s="15">
        <f>T31</f>
        <v/>
      </c>
      <c r="U63" s="15">
        <f>U31</f>
        <v/>
      </c>
      <c r="V63" s="15">
        <f>V31</f>
        <v/>
      </c>
      <c r="W63" s="15">
        <f>W31</f>
        <v/>
      </c>
      <c r="X63" s="15">
        <f>X31</f>
        <v/>
      </c>
      <c r="Y63" s="15">
        <f>Y31</f>
        <v/>
      </c>
      <c r="Z63" s="15">
        <f>Z31</f>
        <v/>
      </c>
      <c r="AA63" s="15">
        <f>AA31</f>
        <v/>
      </c>
    </row>
    <row r="64">
      <c r="A64" t="inlineStr">
        <is>
          <t>Profit before tax</t>
        </is>
      </c>
      <c r="B64" t="inlineStr">
        <is>
          <t>pbt</t>
        </is>
      </c>
      <c r="D64" s="13" t="n">
        <v>748.250494759</v>
      </c>
      <c r="E64" s="13" t="n">
        <v>840.910489431</v>
      </c>
      <c r="F64" s="13" t="n">
        <v>810.9434556579999</v>
      </c>
      <c r="G64" s="13" t="n">
        <v>238.256115308</v>
      </c>
      <c r="H64" s="15">
        <f>(((H58-H61)+H62)+H63)</f>
        <v/>
      </c>
      <c r="I64" s="15">
        <f>(((I58-I61)+I62)+I63)</f>
        <v/>
      </c>
      <c r="J64" s="15">
        <f>(((J58-J61)+J62)+J63)</f>
        <v/>
      </c>
      <c r="K64" s="15">
        <f>(((K58-K61)+K62)+K63)</f>
        <v/>
      </c>
      <c r="L64" s="15">
        <f>(((L58-L61)+L62)+L63)</f>
        <v/>
      </c>
      <c r="M64" s="15">
        <f>(((M58-M61)+M62)+M63)</f>
        <v/>
      </c>
      <c r="N64" s="15">
        <f>(((N58-N61)+N62)+N63)</f>
        <v/>
      </c>
      <c r="O64" s="15">
        <f>(((O58-O61)+O62)+O63)</f>
        <v/>
      </c>
      <c r="P64" s="15">
        <f>(((P58-P61)+P62)+P63)</f>
        <v/>
      </c>
      <c r="Q64" s="15">
        <f>(((Q58-Q61)+Q62)+Q63)</f>
        <v/>
      </c>
      <c r="R64" s="15">
        <f>(((R58-R61)+R62)+R63)</f>
        <v/>
      </c>
      <c r="S64" s="15">
        <f>(((S58-S61)+S62)+S63)</f>
        <v/>
      </c>
      <c r="T64" s="15">
        <f>(((T58-T61)+T62)+T63)</f>
        <v/>
      </c>
      <c r="U64" s="15">
        <f>(((U58-U61)+U62)+U63)</f>
        <v/>
      </c>
      <c r="V64" s="15">
        <f>(((V58-V61)+V62)+V63)</f>
        <v/>
      </c>
      <c r="W64" s="15">
        <f>(((W58-W61)+W62)+W63)</f>
        <v/>
      </c>
      <c r="X64" s="15">
        <f>(((X58-X61)+X62)+X63)</f>
        <v/>
      </c>
      <c r="Y64" s="15">
        <f>(((Y58-Y61)+Y62)+Y63)</f>
        <v/>
      </c>
      <c r="Z64" s="15">
        <f>(((Z58-Z61)+Z62)+Z63)</f>
        <v/>
      </c>
      <c r="AA64" s="15">
        <f>(((AA58-AA61)+AA62)+AA63)</f>
        <v/>
      </c>
    </row>
    <row r="65">
      <c r="A65" t="inlineStr">
        <is>
          <t>Tax</t>
        </is>
      </c>
      <c r="B65" t="inlineStr">
        <is>
          <t>tax</t>
        </is>
      </c>
      <c r="D65" s="13" t="n">
        <v>157.31943228</v>
      </c>
      <c r="E65" s="13" t="n">
        <v>159.603994721</v>
      </c>
      <c r="F65" s="13" t="n">
        <v>156.284696169</v>
      </c>
      <c r="G65" s="13" t="n">
        <v>30.467121672</v>
      </c>
      <c r="H65" s="15">
        <f>(MAX(H64,0)*H27)</f>
        <v/>
      </c>
      <c r="I65" s="15">
        <f>(MAX(I64,0)*I27)</f>
        <v/>
      </c>
      <c r="J65" s="15">
        <f>(MAX(J64,0)*J27)</f>
        <v/>
      </c>
      <c r="K65" s="15">
        <f>(MAX(K64,0)*K27)</f>
        <v/>
      </c>
      <c r="L65" s="15">
        <f>(MAX(L64,0)*L27)</f>
        <v/>
      </c>
      <c r="M65" s="15">
        <f>(MAX(M64,0)*M27)</f>
        <v/>
      </c>
      <c r="N65" s="15">
        <f>(MAX(N64,0)*N27)</f>
        <v/>
      </c>
      <c r="O65" s="15">
        <f>(MAX(O64,0)*O27)</f>
        <v/>
      </c>
      <c r="P65" s="15">
        <f>(MAX(P64,0)*P27)</f>
        <v/>
      </c>
      <c r="Q65" s="15">
        <f>(MAX(Q64,0)*Q27)</f>
        <v/>
      </c>
      <c r="R65" s="15">
        <f>(MAX(R64,0)*R27)</f>
        <v/>
      </c>
      <c r="S65" s="15">
        <f>(MAX(S64,0)*S27)</f>
        <v/>
      </c>
      <c r="T65" s="15">
        <f>(MAX(T64,0)*T27)</f>
        <v/>
      </c>
      <c r="U65" s="15">
        <f>(MAX(U64,0)*U27)</f>
        <v/>
      </c>
      <c r="V65" s="15">
        <f>(MAX(V64,0)*V27)</f>
        <v/>
      </c>
      <c r="W65" s="15">
        <f>(MAX(W64,0)*W27)</f>
        <v/>
      </c>
      <c r="X65" s="15">
        <f>(MAX(X64,0)*X27)</f>
        <v/>
      </c>
      <c r="Y65" s="15">
        <f>(MAX(Y64,0)*Y27)</f>
        <v/>
      </c>
      <c r="Z65" s="15">
        <f>(MAX(Z64,0)*Z27)</f>
        <v/>
      </c>
      <c r="AA65" s="15">
        <f>(MAX(AA64,0)*AA27)</f>
        <v/>
      </c>
    </row>
    <row r="66">
      <c r="A66" t="inlineStr">
        <is>
          <t>Net profit (incl. minorities)</t>
        </is>
      </c>
      <c r="B66" t="inlineStr">
        <is>
          <t>np</t>
        </is>
      </c>
      <c r="D66" s="13" t="n">
        <v>590.931062479</v>
      </c>
      <c r="E66" s="13" t="n">
        <v>681.30649471</v>
      </c>
      <c r="F66" s="13" t="n">
        <v>654.658759489</v>
      </c>
      <c r="G66" s="13" t="n">
        <v>207.788993636</v>
      </c>
      <c r="H66" s="15">
        <f>(H64-H65)</f>
        <v/>
      </c>
      <c r="I66" s="15">
        <f>(I64-I65)</f>
        <v/>
      </c>
      <c r="J66" s="15">
        <f>(J64-J65)</f>
        <v/>
      </c>
      <c r="K66" s="15">
        <f>(K64-K65)</f>
        <v/>
      </c>
      <c r="L66" s="15">
        <f>(L64-L65)</f>
        <v/>
      </c>
      <c r="M66" s="15">
        <f>(M64-M65)</f>
        <v/>
      </c>
      <c r="N66" s="15">
        <f>(N64-N65)</f>
        <v/>
      </c>
      <c r="O66" s="15">
        <f>(O64-O65)</f>
        <v/>
      </c>
      <c r="P66" s="15">
        <f>(P64-P65)</f>
        <v/>
      </c>
      <c r="Q66" s="15">
        <f>(Q64-Q65)</f>
        <v/>
      </c>
      <c r="R66" s="15">
        <f>(R64-R65)</f>
        <v/>
      </c>
      <c r="S66" s="15">
        <f>(S64-S65)</f>
        <v/>
      </c>
      <c r="T66" s="15">
        <f>(T64-T65)</f>
        <v/>
      </c>
      <c r="U66" s="15">
        <f>(U64-U65)</f>
        <v/>
      </c>
      <c r="V66" s="15">
        <f>(V64-V65)</f>
        <v/>
      </c>
      <c r="W66" s="15">
        <f>(W64-W65)</f>
        <v/>
      </c>
      <c r="X66" s="15">
        <f>(X64-X65)</f>
        <v/>
      </c>
      <c r="Y66" s="15">
        <f>(Y64-Y65)</f>
        <v/>
      </c>
      <c r="Z66" s="15">
        <f>(Z64-Z65)</f>
        <v/>
      </c>
      <c r="AA66" s="15">
        <f>(AA64-AA65)</f>
        <v/>
      </c>
    </row>
    <row r="67">
      <c r="A67" t="inlineStr">
        <is>
          <t>Minority interests</t>
        </is>
      </c>
      <c r="B67" t="inlineStr">
        <is>
          <t>minority</t>
        </is>
      </c>
      <c r="D67" s="13" t="n">
        <v>-14.73476171499999</v>
      </c>
      <c r="E67" s="13" t="n">
        <v>-6.639140516999987</v>
      </c>
      <c r="F67" s="13" t="n">
        <v>-4.037466950000066</v>
      </c>
      <c r="G67" s="13" t="n">
        <v>-5.480021612000002</v>
      </c>
      <c r="H67" s="15">
        <f>(H66*H32)</f>
        <v/>
      </c>
      <c r="I67" s="15">
        <f>(I66*I32)</f>
        <v/>
      </c>
      <c r="J67" s="15">
        <f>(J66*J32)</f>
        <v/>
      </c>
      <c r="K67" s="15">
        <f>(K66*K32)</f>
        <v/>
      </c>
      <c r="L67" s="15">
        <f>(L66*L32)</f>
        <v/>
      </c>
      <c r="M67" s="15">
        <f>(M66*M32)</f>
        <v/>
      </c>
      <c r="N67" s="15">
        <f>(N66*N32)</f>
        <v/>
      </c>
      <c r="O67" s="15">
        <f>(O66*O32)</f>
        <v/>
      </c>
      <c r="P67" s="15">
        <f>(P66*P32)</f>
        <v/>
      </c>
      <c r="Q67" s="15">
        <f>(Q66*Q32)</f>
        <v/>
      </c>
      <c r="R67" s="15">
        <f>(R66*R32)</f>
        <v/>
      </c>
      <c r="S67" s="15">
        <f>(S66*S32)</f>
        <v/>
      </c>
      <c r="T67" s="15">
        <f>(T66*T32)</f>
        <v/>
      </c>
      <c r="U67" s="15">
        <f>(U66*U32)</f>
        <v/>
      </c>
      <c r="V67" s="15">
        <f>(V66*V32)</f>
        <v/>
      </c>
      <c r="W67" s="15">
        <f>(W66*W32)</f>
        <v/>
      </c>
      <c r="X67" s="15">
        <f>(X66*X32)</f>
        <v/>
      </c>
      <c r="Y67" s="15">
        <f>(Y66*Y32)</f>
        <v/>
      </c>
      <c r="Z67" s="15">
        <f>(Z66*Z32)</f>
        <v/>
      </c>
      <c r="AA67" s="15">
        <f>(AA66*AA32)</f>
        <v/>
      </c>
    </row>
    <row r="68">
      <c r="A68" t="inlineStr">
        <is>
          <t>Net profit to parent</t>
        </is>
      </c>
      <c r="B68" t="inlineStr">
        <is>
          <t>np_parent</t>
        </is>
      </c>
      <c r="D68" s="13" t="n">
        <v>605.665824194</v>
      </c>
      <c r="E68" s="13" t="n">
        <v>687.945635227</v>
      </c>
      <c r="F68" s="13" t="n">
        <v>658.696226439</v>
      </c>
      <c r="G68" s="13" t="n">
        <v>213.269015248</v>
      </c>
      <c r="H68" s="15">
        <f>(H66-H67)</f>
        <v/>
      </c>
      <c r="I68" s="15">
        <f>(I66-I67)</f>
        <v/>
      </c>
      <c r="J68" s="15">
        <f>(J66-J67)</f>
        <v/>
      </c>
      <c r="K68" s="15">
        <f>(K66-K67)</f>
        <v/>
      </c>
      <c r="L68" s="15">
        <f>(L66-L67)</f>
        <v/>
      </c>
      <c r="M68" s="15">
        <f>(M66-M67)</f>
        <v/>
      </c>
      <c r="N68" s="15">
        <f>(N66-N67)</f>
        <v/>
      </c>
      <c r="O68" s="15">
        <f>(O66-O67)</f>
        <v/>
      </c>
      <c r="P68" s="15">
        <f>(P66-P67)</f>
        <v/>
      </c>
      <c r="Q68" s="15">
        <f>(Q66-Q67)</f>
        <v/>
      </c>
      <c r="R68" s="15">
        <f>(R66-R67)</f>
        <v/>
      </c>
      <c r="S68" s="15">
        <f>(S66-S67)</f>
        <v/>
      </c>
      <c r="T68" s="15">
        <f>(T66-T67)</f>
        <v/>
      </c>
      <c r="U68" s="15">
        <f>(U66-U67)</f>
        <v/>
      </c>
      <c r="V68" s="15">
        <f>(V66-V67)</f>
        <v/>
      </c>
      <c r="W68" s="15">
        <f>(W66-W67)</f>
        <v/>
      </c>
      <c r="X68" s="15">
        <f>(X66-X67)</f>
        <v/>
      </c>
      <c r="Y68" s="15">
        <f>(Y66-Y67)</f>
        <v/>
      </c>
      <c r="Z68" s="15">
        <f>(Z66-Z67)</f>
        <v/>
      </c>
      <c r="AA68" s="15">
        <f>(AA66-AA67)</f>
        <v/>
      </c>
    </row>
    <row r="69">
      <c r="A69" t="inlineStr">
        <is>
          <t>Shares outstanding (m)</t>
        </is>
      </c>
      <c r="B69" t="inlineStr">
        <is>
          <t>shares</t>
        </is>
      </c>
      <c r="D69" s="13" t="n">
        <v>14143.778715</v>
      </c>
      <c r="E69" s="13" t="n">
        <v>15586.913235</v>
      </c>
      <c r="F69" s="13" t="n">
        <v>15586.909438</v>
      </c>
      <c r="G69" s="13" t="n">
        <v>15586.909438</v>
      </c>
      <c r="H69" s="15">
        <f>(G69*(1+H34))</f>
        <v/>
      </c>
      <c r="I69" s="15">
        <f>(H69*(1+I34))</f>
        <v/>
      </c>
      <c r="J69" s="15">
        <f>(I69*(1+J34))</f>
        <v/>
      </c>
      <c r="K69" s="15">
        <f>(J69*(1+K34))</f>
        <v/>
      </c>
      <c r="L69" s="15">
        <f>(K69*(1+L34))</f>
        <v/>
      </c>
      <c r="M69" s="15">
        <f>(L69*(1+M34))</f>
        <v/>
      </c>
      <c r="N69" s="15">
        <f>(M69*(1+N34))</f>
        <v/>
      </c>
      <c r="O69" s="15">
        <f>(N69*(1+O34))</f>
        <v/>
      </c>
      <c r="P69" s="15">
        <f>(O69*(1+P34))</f>
        <v/>
      </c>
      <c r="Q69" s="15">
        <f>(P69*(1+Q34))</f>
        <v/>
      </c>
      <c r="R69" s="15">
        <f>(Q69*(1+R34))</f>
        <v/>
      </c>
      <c r="S69" s="15">
        <f>(R69*(1+S34))</f>
        <v/>
      </c>
      <c r="T69" s="15">
        <f>(S69*(1+T34))</f>
        <v/>
      </c>
      <c r="U69" s="15">
        <f>(T69*(1+U34))</f>
        <v/>
      </c>
      <c r="V69" s="15">
        <f>(U69*(1+V34))</f>
        <v/>
      </c>
      <c r="W69" s="15">
        <f>(V69*(1+W34))</f>
        <v/>
      </c>
      <c r="X69" s="15">
        <f>(W69*(1+X34))</f>
        <v/>
      </c>
      <c r="Y69" s="15">
        <f>(X69*(1+Y34))</f>
        <v/>
      </c>
      <c r="Z69" s="15">
        <f>(Y69*(1+Z34))</f>
        <v/>
      </c>
      <c r="AA69" s="15">
        <f>(Z69*(1+AA34))</f>
        <v/>
      </c>
    </row>
    <row r="70">
      <c r="A70" t="inlineStr">
        <is>
          <t>EPS</t>
        </is>
      </c>
      <c r="B70" t="inlineStr">
        <is>
          <t>eps</t>
        </is>
      </c>
      <c r="D70" s="20" t="n">
        <v>42.82206589895733</v>
      </c>
      <c r="E70" s="20" t="n">
        <v>44.13610474729765</v>
      </c>
      <c r="F70" s="20" t="n">
        <v>42.25957872271562</v>
      </c>
      <c r="G70" s="20" t="n">
        <v>13.68257229544571</v>
      </c>
      <c r="H70" s="21">
        <f>(IF(H69=0,0,H68/H69)*$C$7)</f>
        <v/>
      </c>
      <c r="I70" s="21">
        <f>(IF(I69=0,0,I68/I69)*$C$7)</f>
        <v/>
      </c>
      <c r="J70" s="21">
        <f>(IF(J69=0,0,J68/J69)*$C$7)</f>
        <v/>
      </c>
      <c r="K70" s="21">
        <f>(IF(K69=0,0,K68/K69)*$C$7)</f>
        <v/>
      </c>
      <c r="L70" s="21">
        <f>(IF(L69=0,0,L68/L69)*$C$7)</f>
        <v/>
      </c>
      <c r="M70" s="21">
        <f>(IF(M69=0,0,M68/M69)*$C$7)</f>
        <v/>
      </c>
      <c r="N70" s="21">
        <f>(IF(N69=0,0,N68/N69)*$C$7)</f>
        <v/>
      </c>
      <c r="O70" s="21">
        <f>(IF(O69=0,0,O68/O69)*$C$7)</f>
        <v/>
      </c>
      <c r="P70" s="21">
        <f>(IF(P69=0,0,P68/P69)*$C$7)</f>
        <v/>
      </c>
      <c r="Q70" s="21">
        <f>(IF(Q69=0,0,Q68/Q69)*$C$7)</f>
        <v/>
      </c>
      <c r="R70" s="21">
        <f>(IF(R69=0,0,R68/R69)*$C$7)</f>
        <v/>
      </c>
      <c r="S70" s="21">
        <f>(IF(S69=0,0,S68/S69)*$C$7)</f>
        <v/>
      </c>
      <c r="T70" s="21">
        <f>(IF(T69=0,0,T68/T69)*$C$7)</f>
        <v/>
      </c>
      <c r="U70" s="21">
        <f>(IF(U69=0,0,U68/U69)*$C$7)</f>
        <v/>
      </c>
      <c r="V70" s="21">
        <f>(IF(V69=0,0,V68/V69)*$C$7)</f>
        <v/>
      </c>
      <c r="W70" s="21">
        <f>(IF(W69=0,0,W68/W69)*$C$7)</f>
        <v/>
      </c>
      <c r="X70" s="21">
        <f>(IF(X69=0,0,X68/X69)*$C$7)</f>
        <v/>
      </c>
      <c r="Y70" s="21">
        <f>(IF(Y69=0,0,Y68/Y69)*$C$7)</f>
        <v/>
      </c>
      <c r="Z70" s="21">
        <f>(IF(Z69=0,0,Z68/Z69)*$C$7)</f>
        <v/>
      </c>
      <c r="AA70" s="21">
        <f>(IF(AA69=0,0,AA68/AA69)*$C$7)</f>
        <v/>
      </c>
    </row>
    <row r="71">
      <c r="A71" t="inlineStr">
        <is>
          <t>DPS (declared on the year)</t>
        </is>
      </c>
      <c r="B71" t="inlineStr">
        <is>
          <t>dps</t>
        </is>
      </c>
      <c r="D71" s="20" t="n">
        <v>17.149783</v>
      </c>
      <c r="E71" s="20" t="n">
        <v>28</v>
      </c>
      <c r="F71" s="20" t="n">
        <v>9</v>
      </c>
      <c r="G71" s="20" t="n">
        <v>0</v>
      </c>
      <c r="H71" s="21">
        <f>(MAX(H70,0)*H33)</f>
        <v/>
      </c>
      <c r="I71" s="21">
        <f>(MAX(I70,0)*I33)</f>
        <v/>
      </c>
      <c r="J71" s="21">
        <f>(MAX(J70,0)*J33)</f>
        <v/>
      </c>
      <c r="K71" s="21">
        <f>(MAX(K70,0)*K33)</f>
        <v/>
      </c>
      <c r="L71" s="21">
        <f>(MAX(L70,0)*L33)</f>
        <v/>
      </c>
      <c r="M71" s="21">
        <f>(MAX(M70,0)*M33)</f>
        <v/>
      </c>
      <c r="N71" s="21">
        <f>(MAX(N70,0)*N33)</f>
        <v/>
      </c>
      <c r="O71" s="21">
        <f>(MAX(O70,0)*O33)</f>
        <v/>
      </c>
      <c r="P71" s="21">
        <f>(MAX(P70,0)*P33)</f>
        <v/>
      </c>
      <c r="Q71" s="21">
        <f>(MAX(Q70,0)*Q33)</f>
        <v/>
      </c>
      <c r="R71" s="21">
        <f>(MAX(R70,0)*R33)</f>
        <v/>
      </c>
      <c r="S71" s="21">
        <f>(MAX(S70,0)*S33)</f>
        <v/>
      </c>
      <c r="T71" s="21">
        <f>(MAX(T70,0)*T33)</f>
        <v/>
      </c>
      <c r="U71" s="21">
        <f>(MAX(U70,0)*U33)</f>
        <v/>
      </c>
      <c r="V71" s="21">
        <f>(MAX(V70,0)*V33)</f>
        <v/>
      </c>
      <c r="W71" s="21">
        <f>(MAX(W70,0)*W33)</f>
        <v/>
      </c>
      <c r="X71" s="21">
        <f>(MAX(X70,0)*X33)</f>
        <v/>
      </c>
      <c r="Y71" s="21">
        <f>(MAX(Y70,0)*Y33)</f>
        <v/>
      </c>
      <c r="Z71" s="21">
        <f>(MAX(Z70,0)*Z33)</f>
        <v/>
      </c>
      <c r="AA71" s="21">
        <f>(MAX(AA70,0)*AA33)</f>
        <v/>
      </c>
    </row>
    <row r="72">
      <c r="A72" t="inlineStr">
        <is>
          <t>Dividends paid</t>
        </is>
      </c>
      <c r="B72" t="inlineStr">
        <is>
          <t>dividends_paid</t>
        </is>
      </c>
      <c r="D72" s="13" t="n">
        <v>33.317417</v>
      </c>
      <c r="E72" s="13" t="n">
        <v>267.312308819</v>
      </c>
      <c r="F72" s="13" t="n">
        <v>122.201399768</v>
      </c>
      <c r="G72" s="13" t="n">
        <v>140.282184942</v>
      </c>
      <c r="H72" s="15">
        <f>IF($C$7=0,0,(G71*G69)/$C$7)</f>
        <v/>
      </c>
      <c r="I72" s="15">
        <f>IF($C$7=0,0,(H71*H69)/$C$7)</f>
        <v/>
      </c>
      <c r="J72" s="15">
        <f>IF($C$7=0,0,(I71*I69)/$C$7)</f>
        <v/>
      </c>
      <c r="K72" s="15">
        <f>IF($C$7=0,0,(J71*J69)/$C$7)</f>
        <v/>
      </c>
      <c r="L72" s="15">
        <f>IF($C$7=0,0,(K71*K69)/$C$7)</f>
        <v/>
      </c>
      <c r="M72" s="15">
        <f>IF($C$7=0,0,(L71*L69)/$C$7)</f>
        <v/>
      </c>
      <c r="N72" s="15">
        <f>IF($C$7=0,0,(M71*M69)/$C$7)</f>
        <v/>
      </c>
      <c r="O72" s="15">
        <f>IF($C$7=0,0,(N71*N69)/$C$7)</f>
        <v/>
      </c>
      <c r="P72" s="15">
        <f>IF($C$7=0,0,(O71*O69)/$C$7)</f>
        <v/>
      </c>
      <c r="Q72" s="15">
        <f>IF($C$7=0,0,(P71*P69)/$C$7)</f>
        <v/>
      </c>
      <c r="R72" s="15">
        <f>IF($C$7=0,0,(Q71*Q69)/$C$7)</f>
        <v/>
      </c>
      <c r="S72" s="15">
        <f>IF($C$7=0,0,(R71*R69)/$C$7)</f>
        <v/>
      </c>
      <c r="T72" s="15">
        <f>IF($C$7=0,0,(S71*S69)/$C$7)</f>
        <v/>
      </c>
      <c r="U72" s="15">
        <f>IF($C$7=0,0,(T71*T69)/$C$7)</f>
        <v/>
      </c>
      <c r="V72" s="15">
        <f>IF($C$7=0,0,(U71*U69)/$C$7)</f>
        <v/>
      </c>
      <c r="W72" s="15">
        <f>IF($C$7=0,0,(V71*V69)/$C$7)</f>
        <v/>
      </c>
      <c r="X72" s="15">
        <f>IF($C$7=0,0,(W71*W69)/$C$7)</f>
        <v/>
      </c>
      <c r="Y72" s="15">
        <f>IF($C$7=0,0,(X71*X69)/$C$7)</f>
        <v/>
      </c>
      <c r="Z72" s="15">
        <f>IF($C$7=0,0,(Y71*Y69)/$C$7)</f>
        <v/>
      </c>
      <c r="AA72" s="15">
        <f>IF($C$7=0,0,(Z71*Z69)/$C$7)</f>
        <v/>
      </c>
    </row>
    <row r="73">
      <c r="A73" t="inlineStr">
        <is>
          <t>Capital expenditure</t>
        </is>
      </c>
      <c r="B73" t="inlineStr">
        <is>
          <t>capex</t>
        </is>
      </c>
      <c r="D73" s="13" t="n">
        <v>1.183807131</v>
      </c>
      <c r="E73" s="13" t="n">
        <v>73.80651360500001</v>
      </c>
      <c r="F73" s="13" t="n">
        <v>292.869413831</v>
      </c>
      <c r="G73" s="13" t="n">
        <v>475.353823608</v>
      </c>
      <c r="H73" s="15">
        <f>(IF(1000=0,0,((H40*H24)*$C$9)/1000)+H25)</f>
        <v/>
      </c>
      <c r="I73" s="15">
        <f>(IF(1000=0,0,((I40*I24)*$C$9)/1000)+I25)</f>
        <v/>
      </c>
      <c r="J73" s="15">
        <f>(IF(1000=0,0,((J40*J24)*$C$9)/1000)+J25)</f>
        <v/>
      </c>
      <c r="K73" s="15">
        <f>(IF(1000=0,0,((K40*K24)*$C$9)/1000)+K25)</f>
        <v/>
      </c>
      <c r="L73" s="15">
        <f>(IF(1000=0,0,((L40*L24)*$C$9)/1000)+L25)</f>
        <v/>
      </c>
      <c r="M73" s="15">
        <f>(IF(1000=0,0,((M40*M24)*$C$9)/1000)+M25)</f>
        <v/>
      </c>
      <c r="N73" s="15">
        <f>(IF(1000=0,0,((N40*N24)*$C$9)/1000)+N25)</f>
        <v/>
      </c>
      <c r="O73" s="15">
        <f>(IF(1000=0,0,((O40*O24)*$C$9)/1000)+O25)</f>
        <v/>
      </c>
      <c r="P73" s="15">
        <f>(IF(1000=0,0,((P40*P24)*$C$9)/1000)+P25)</f>
        <v/>
      </c>
      <c r="Q73" s="15">
        <f>(IF(1000=0,0,((Q40*Q24)*$C$9)/1000)+Q25)</f>
        <v/>
      </c>
      <c r="R73" s="15">
        <f>(IF(1000=0,0,((R40*R24)*$C$9)/1000)+R25)</f>
        <v/>
      </c>
      <c r="S73" s="15">
        <f>(IF(1000=0,0,((S40*S24)*$C$9)/1000)+S25)</f>
        <v/>
      </c>
      <c r="T73" s="15">
        <f>(IF(1000=0,0,((T40*T24)*$C$9)/1000)+T25)</f>
        <v/>
      </c>
      <c r="U73" s="15">
        <f>(IF(1000=0,0,((U40*U24)*$C$9)/1000)+U25)</f>
        <v/>
      </c>
      <c r="V73" s="15">
        <f>(IF(1000=0,0,((V40*V24)*$C$9)/1000)+V25)</f>
        <v/>
      </c>
      <c r="W73" s="15">
        <f>(IF(1000=0,0,((W40*W24)*$C$9)/1000)+W25)</f>
        <v/>
      </c>
      <c r="X73" s="15">
        <f>(IF(1000=0,0,((X40*X24)*$C$9)/1000)+X25)</f>
        <v/>
      </c>
      <c r="Y73" s="15">
        <f>(IF(1000=0,0,((Y40*Y24)*$C$9)/1000)+Y25)</f>
        <v/>
      </c>
      <c r="Z73" s="15">
        <f>(IF(1000=0,0,((Z40*Z24)*$C$9)/1000)+Z25)</f>
        <v/>
      </c>
      <c r="AA73" s="15">
        <f>(IF(1000=0,0,((AA40*AA24)*$C$9)/1000)+AA25)</f>
        <v/>
      </c>
    </row>
    <row r="74">
      <c r="A74" t="inlineStr">
        <is>
          <t>Change in working capital</t>
        </is>
      </c>
      <c r="B74" t="inlineStr">
        <is>
          <t>delta_nwc</t>
        </is>
      </c>
      <c r="D74" s="13" t="n"/>
      <c r="E74" s="13" t="n">
        <v>916.6269799919996</v>
      </c>
      <c r="F74" s="13" t="n">
        <v>1131.392724111</v>
      </c>
      <c r="G74" s="13" t="n">
        <v>505.7311411649998</v>
      </c>
      <c r="H74" s="15">
        <f>(H79-G79)</f>
        <v/>
      </c>
      <c r="I74" s="15">
        <f>(I79-H79)</f>
        <v/>
      </c>
      <c r="J74" s="15">
        <f>(J79-I79)</f>
        <v/>
      </c>
      <c r="K74" s="15">
        <f>(K79-J79)</f>
        <v/>
      </c>
      <c r="L74" s="15">
        <f>(L79-K79)</f>
        <v/>
      </c>
      <c r="M74" s="15">
        <f>(M79-L79)</f>
        <v/>
      </c>
      <c r="N74" s="15">
        <f>(N79-M79)</f>
        <v/>
      </c>
      <c r="O74" s="15">
        <f>(O79-N79)</f>
        <v/>
      </c>
      <c r="P74" s="15">
        <f>(P79-O79)</f>
        <v/>
      </c>
      <c r="Q74" s="15">
        <f>(Q79-P79)</f>
        <v/>
      </c>
      <c r="R74" s="15">
        <f>(R79-Q79)</f>
        <v/>
      </c>
      <c r="S74" s="15">
        <f>(S79-R79)</f>
        <v/>
      </c>
      <c r="T74" s="15">
        <f>(T79-S79)</f>
        <v/>
      </c>
      <c r="U74" s="15">
        <f>(U79-T79)</f>
        <v/>
      </c>
      <c r="V74" s="15">
        <f>(V79-U79)</f>
        <v/>
      </c>
      <c r="W74" s="15">
        <f>(W79-V79)</f>
        <v/>
      </c>
      <c r="X74" s="15">
        <f>(X79-W79)</f>
        <v/>
      </c>
      <c r="Y74" s="15">
        <f>(Y79-X79)</f>
        <v/>
      </c>
      <c r="Z74" s="15">
        <f>(Z79-Y79)</f>
        <v/>
      </c>
      <c r="AA74" s="15">
        <f>(AA79-Z79)</f>
        <v/>
      </c>
    </row>
    <row r="75">
      <c r="A75" t="inlineStr">
        <is>
          <t>Free cash flow to firm</t>
        </is>
      </c>
      <c r="B75" t="inlineStr">
        <is>
          <t>fcff</t>
        </is>
      </c>
      <c r="D75" s="13" t="n"/>
      <c r="E75" s="13" t="n">
        <v>-261.2255769236949</v>
      </c>
      <c r="F75" s="13" t="n">
        <v>-728.9818537791591</v>
      </c>
      <c r="G75" s="13" t="n">
        <v>-705.8882712038376</v>
      </c>
      <c r="H75" s="15">
        <f>((((H58*(1-H27))+H59)-H73)-H74)</f>
        <v/>
      </c>
      <c r="I75" s="15">
        <f>((((I58*(1-I27))+I59)-I73)-I74)</f>
        <v/>
      </c>
      <c r="J75" s="15">
        <f>((((J58*(1-J27))+J59)-J73)-J74)</f>
        <v/>
      </c>
      <c r="K75" s="15">
        <f>((((K58*(1-K27))+K59)-K73)-K74)</f>
        <v/>
      </c>
      <c r="L75" s="15">
        <f>((((L58*(1-L27))+L59)-L73)-L74)</f>
        <v/>
      </c>
      <c r="M75" s="15">
        <f>((((M58*(1-M27))+M59)-M73)-M74)</f>
        <v/>
      </c>
      <c r="N75" s="15">
        <f>((((N58*(1-N27))+N59)-N73)-N74)</f>
        <v/>
      </c>
      <c r="O75" s="15">
        <f>((((O58*(1-O27))+O59)-O73)-O74)</f>
        <v/>
      </c>
      <c r="P75" s="15">
        <f>((((P58*(1-P27))+P59)-P73)-P74)</f>
        <v/>
      </c>
      <c r="Q75" s="15">
        <f>((((Q58*(1-Q27))+Q59)-Q73)-Q74)</f>
        <v/>
      </c>
      <c r="R75" s="15">
        <f>((((R58*(1-R27))+R59)-R73)-R74)</f>
        <v/>
      </c>
      <c r="S75" s="15">
        <f>((((S58*(1-S27))+S59)-S73)-S74)</f>
        <v/>
      </c>
      <c r="T75" s="15">
        <f>((((T58*(1-T27))+T59)-T73)-T74)</f>
        <v/>
      </c>
      <c r="U75" s="15">
        <f>((((U58*(1-U27))+U59)-U73)-U74)</f>
        <v/>
      </c>
      <c r="V75" s="15">
        <f>((((V58*(1-V27))+V59)-V73)-V74)</f>
        <v/>
      </c>
      <c r="W75" s="15">
        <f>((((W58*(1-W27))+W59)-W73)-W74)</f>
        <v/>
      </c>
      <c r="X75" s="15">
        <f>((((X58*(1-X27))+X59)-X73)-X74)</f>
        <v/>
      </c>
      <c r="Y75" s="15">
        <f>((((Y58*(1-Y27))+Y59)-Y73)-Y74)</f>
        <v/>
      </c>
      <c r="Z75" s="15">
        <f>((((Z58*(1-Z27))+Z59)-Z73)-Z74)</f>
        <v/>
      </c>
      <c r="AA75" s="15">
        <f>((((AA58*(1-AA27))+AA59)-AA73)-AA74)</f>
        <v/>
      </c>
    </row>
    <row r="76">
      <c r="A76" t="inlineStr">
        <is>
          <t>Net borrowing</t>
        </is>
      </c>
      <c r="B76" t="inlineStr">
        <is>
          <t>net_borrowing</t>
        </is>
      </c>
      <c r="D76" s="13" t="n"/>
      <c r="E76" s="13" t="n">
        <v>444.007160466</v>
      </c>
      <c r="F76" s="13" t="n">
        <v>493.7497542130001</v>
      </c>
      <c r="G76" s="13" t="n">
        <v>1049.665488868</v>
      </c>
      <c r="H76" s="15">
        <f>H30</f>
        <v/>
      </c>
      <c r="I76" s="15">
        <f>I30</f>
        <v/>
      </c>
      <c r="J76" s="15">
        <f>J30</f>
        <v/>
      </c>
      <c r="K76" s="15">
        <f>K30</f>
        <v/>
      </c>
      <c r="L76" s="15">
        <f>L30</f>
        <v/>
      </c>
      <c r="M76" s="15">
        <f>M30</f>
        <v/>
      </c>
      <c r="N76" s="15">
        <f>N30</f>
        <v/>
      </c>
      <c r="O76" s="15">
        <f>O30</f>
        <v/>
      </c>
      <c r="P76" s="15">
        <f>P30</f>
        <v/>
      </c>
      <c r="Q76" s="15">
        <f>Q30</f>
        <v/>
      </c>
      <c r="R76" s="15">
        <f>R30</f>
        <v/>
      </c>
      <c r="S76" s="15">
        <f>S30</f>
        <v/>
      </c>
      <c r="T76" s="15">
        <f>T30</f>
        <v/>
      </c>
      <c r="U76" s="15">
        <f>U30</f>
        <v/>
      </c>
      <c r="V76" s="15">
        <f>V30</f>
        <v/>
      </c>
      <c r="W76" s="15">
        <f>W30</f>
        <v/>
      </c>
      <c r="X76" s="15">
        <f>X30</f>
        <v/>
      </c>
      <c r="Y76" s="15">
        <f>Y30</f>
        <v/>
      </c>
      <c r="Z76" s="15">
        <f>Z30</f>
        <v/>
      </c>
      <c r="AA76" s="15">
        <f>AA30</f>
        <v/>
      </c>
    </row>
    <row r="77">
      <c r="A77" t="inlineStr">
        <is>
          <t>Dividends to minorities</t>
        </is>
      </c>
      <c r="B77" t="inlineStr">
        <is>
          <t>minority_div</t>
        </is>
      </c>
      <c r="D77" s="13" t="n"/>
      <c r="E77" s="13" t="n"/>
      <c r="F77" s="13" t="n"/>
      <c r="G77" s="13" t="n"/>
      <c r="H77" s="15">
        <f>(MAX(G67,0)*H33)</f>
        <v/>
      </c>
      <c r="I77" s="15">
        <f>(MAX(H67,0)*I33)</f>
        <v/>
      </c>
      <c r="J77" s="15">
        <f>(MAX(I67,0)*J33)</f>
        <v/>
      </c>
      <c r="K77" s="15">
        <f>(MAX(J67,0)*K33)</f>
        <v/>
      </c>
      <c r="L77" s="15">
        <f>(MAX(K67,0)*L33)</f>
        <v/>
      </c>
      <c r="M77" s="15">
        <f>(MAX(L67,0)*M33)</f>
        <v/>
      </c>
      <c r="N77" s="15">
        <f>(MAX(M67,0)*N33)</f>
        <v/>
      </c>
      <c r="O77" s="15">
        <f>(MAX(N67,0)*O33)</f>
        <v/>
      </c>
      <c r="P77" s="15">
        <f>(MAX(O67,0)*P33)</f>
        <v/>
      </c>
      <c r="Q77" s="15">
        <f>(MAX(P67,0)*Q33)</f>
        <v/>
      </c>
      <c r="R77" s="15">
        <f>(MAX(Q67,0)*R33)</f>
        <v/>
      </c>
      <c r="S77" s="15">
        <f>(MAX(R67,0)*S33)</f>
        <v/>
      </c>
      <c r="T77" s="15">
        <f>(MAX(S67,0)*T33)</f>
        <v/>
      </c>
      <c r="U77" s="15">
        <f>(MAX(T67,0)*U33)</f>
        <v/>
      </c>
      <c r="V77" s="15">
        <f>(MAX(U67,0)*V33)</f>
        <v/>
      </c>
      <c r="W77" s="15">
        <f>(MAX(V67,0)*W33)</f>
        <v/>
      </c>
      <c r="X77" s="15">
        <f>(MAX(W67,0)*X33)</f>
        <v/>
      </c>
      <c r="Y77" s="15">
        <f>(MAX(X67,0)*Y33)</f>
        <v/>
      </c>
      <c r="Z77" s="15">
        <f>(MAX(Y67,0)*Z33)</f>
        <v/>
      </c>
      <c r="AA77" s="15">
        <f>(MAX(Z67,0)*AA33)</f>
        <v/>
      </c>
    </row>
    <row r="78">
      <c r="A78" t="inlineStr">
        <is>
          <t>Free cash flow to equity</t>
        </is>
      </c>
      <c r="B78" t="inlineStr">
        <is>
          <t>fcfe</t>
        </is>
      </c>
      <c r="D78" s="13" t="n"/>
      <c r="E78" s="13" t="n"/>
      <c r="F78" s="13" t="n"/>
      <c r="G78" s="13" t="n"/>
      <c r="H78" s="15">
        <f>(((((H66+H59)-H73)-H74)+H76)-H77)</f>
        <v/>
      </c>
      <c r="I78" s="15">
        <f>(((((I66+I59)-I73)-I74)+I76)-I77)</f>
        <v/>
      </c>
      <c r="J78" s="15">
        <f>(((((J66+J59)-J73)-J74)+J76)-J77)</f>
        <v/>
      </c>
      <c r="K78" s="15">
        <f>(((((K66+K59)-K73)-K74)+K76)-K77)</f>
        <v/>
      </c>
      <c r="L78" s="15">
        <f>(((((L66+L59)-L73)-L74)+L76)-L77)</f>
        <v/>
      </c>
      <c r="M78" s="15">
        <f>(((((M66+M59)-M73)-M74)+M76)-M77)</f>
        <v/>
      </c>
      <c r="N78" s="15">
        <f>(((((N66+N59)-N73)-N74)+N76)-N77)</f>
        <v/>
      </c>
      <c r="O78" s="15">
        <f>(((((O66+O59)-O73)-O74)+O76)-O77)</f>
        <v/>
      </c>
      <c r="P78" s="15">
        <f>(((((P66+P59)-P73)-P74)+P76)-P77)</f>
        <v/>
      </c>
      <c r="Q78" s="15">
        <f>(((((Q66+Q59)-Q73)-Q74)+Q76)-Q77)</f>
        <v/>
      </c>
      <c r="R78" s="15">
        <f>(((((R66+R59)-R73)-R74)+R76)-R77)</f>
        <v/>
      </c>
      <c r="S78" s="15">
        <f>(((((S66+S59)-S73)-S74)+S76)-S77)</f>
        <v/>
      </c>
      <c r="T78" s="15">
        <f>(((((T66+T59)-T73)-T74)+T76)-T77)</f>
        <v/>
      </c>
      <c r="U78" s="15">
        <f>(((((U66+U59)-U73)-U74)+U76)-U77)</f>
        <v/>
      </c>
      <c r="V78" s="15">
        <f>(((((V66+V59)-V73)-V74)+V76)-V77)</f>
        <v/>
      </c>
      <c r="W78" s="15">
        <f>(((((W66+W59)-W73)-W74)+W76)-W77)</f>
        <v/>
      </c>
      <c r="X78" s="15">
        <f>(((((X66+X59)-X73)-X74)+X76)-X77)</f>
        <v/>
      </c>
      <c r="Y78" s="15">
        <f>(((((Y66+Y59)-Y73)-Y74)+Y76)-Y77)</f>
        <v/>
      </c>
      <c r="Z78" s="15">
        <f>(((((Z66+Z59)-Z73)-Z74)+Z76)-Z77)</f>
        <v/>
      </c>
      <c r="AA78" s="15">
        <f>(((((AA66+AA59)-AA73)-AA74)+AA76)-AA77)</f>
        <v/>
      </c>
    </row>
    <row r="79">
      <c r="A79" t="inlineStr">
        <is>
          <t>Operating working capital</t>
        </is>
      </c>
      <c r="B79" t="inlineStr">
        <is>
          <t>nwc</t>
        </is>
      </c>
      <c r="D79" s="13" t="n">
        <v>884.8959801410001</v>
      </c>
      <c r="E79" s="13" t="n">
        <v>1801.522960133</v>
      </c>
      <c r="F79" s="13" t="n">
        <v>2932.915684244</v>
      </c>
      <c r="G79" s="13" t="n">
        <v>3438.646825409</v>
      </c>
      <c r="H79" s="15">
        <f>(H54*H26)</f>
        <v/>
      </c>
      <c r="I79" s="15">
        <f>(I54*I26)</f>
        <v/>
      </c>
      <c r="J79" s="15">
        <f>(J54*J26)</f>
        <v/>
      </c>
      <c r="K79" s="15">
        <f>(K54*K26)</f>
        <v/>
      </c>
      <c r="L79" s="15">
        <f>(L54*L26)</f>
        <v/>
      </c>
      <c r="M79" s="15">
        <f>(M54*M26)</f>
        <v/>
      </c>
      <c r="N79" s="15">
        <f>(N54*N26)</f>
        <v/>
      </c>
      <c r="O79" s="15">
        <f>(O54*O26)</f>
        <v/>
      </c>
      <c r="P79" s="15">
        <f>(P54*P26)</f>
        <v/>
      </c>
      <c r="Q79" s="15">
        <f>(Q54*Q26)</f>
        <v/>
      </c>
      <c r="R79" s="15">
        <f>(R54*R26)</f>
        <v/>
      </c>
      <c r="S79" s="15">
        <f>(S54*S26)</f>
        <v/>
      </c>
      <c r="T79" s="15">
        <f>(T54*T26)</f>
        <v/>
      </c>
      <c r="U79" s="15">
        <f>(U54*U26)</f>
        <v/>
      </c>
      <c r="V79" s="15">
        <f>(V54*V26)</f>
        <v/>
      </c>
      <c r="W79" s="15">
        <f>(W54*W26)</f>
        <v/>
      </c>
      <c r="X79" s="15">
        <f>(X54*X26)</f>
        <v/>
      </c>
      <c r="Y79" s="15">
        <f>(Y54*Y26)</f>
        <v/>
      </c>
      <c r="Z79" s="15">
        <f>(Z54*Z26)</f>
        <v/>
      </c>
      <c r="AA79" s="15">
        <f>(AA54*AA26)</f>
        <v/>
      </c>
    </row>
    <row r="80">
      <c r="A80" t="inlineStr">
        <is>
          <t>Cash &amp; equivalents</t>
        </is>
      </c>
      <c r="B80" t="inlineStr">
        <is>
          <t>cash</t>
        </is>
      </c>
      <c r="D80" s="13" t="n">
        <v>388.545087523</v>
      </c>
      <c r="E80" s="13" t="n">
        <v>295.962651657</v>
      </c>
      <c r="F80" s="13" t="n">
        <v>150.244231902</v>
      </c>
      <c r="G80" s="13" t="n">
        <v>361.272686633</v>
      </c>
      <c r="H80" s="15">
        <f>(((((((G80+H66)+H59)-H73)-H74)+H76)-H72)-H77)</f>
        <v/>
      </c>
      <c r="I80" s="15">
        <f>(((((((H80+I66)+I59)-I73)-I74)+I76)-I72)-I77)</f>
        <v/>
      </c>
      <c r="J80" s="15">
        <f>(((((((I80+J66)+J59)-J73)-J74)+J76)-J72)-J77)</f>
        <v/>
      </c>
      <c r="K80" s="15">
        <f>(((((((J80+K66)+K59)-K73)-K74)+K76)-K72)-K77)</f>
        <v/>
      </c>
      <c r="L80" s="15">
        <f>(((((((K80+L66)+L59)-L73)-L74)+L76)-L72)-L77)</f>
        <v/>
      </c>
      <c r="M80" s="15">
        <f>(((((((L80+M66)+M59)-M73)-M74)+M76)-M72)-M77)</f>
        <v/>
      </c>
      <c r="N80" s="15">
        <f>(((((((M80+N66)+N59)-N73)-N74)+N76)-N72)-N77)</f>
        <v/>
      </c>
      <c r="O80" s="15">
        <f>(((((((N80+O66)+O59)-O73)-O74)+O76)-O72)-O77)</f>
        <v/>
      </c>
      <c r="P80" s="15">
        <f>(((((((O80+P66)+P59)-P73)-P74)+P76)-P72)-P77)</f>
        <v/>
      </c>
      <c r="Q80" s="15">
        <f>(((((((P80+Q66)+Q59)-Q73)-Q74)+Q76)-Q72)-Q77)</f>
        <v/>
      </c>
      <c r="R80" s="15">
        <f>(((((((Q80+R66)+R59)-R73)-R74)+R76)-R72)-R77)</f>
        <v/>
      </c>
      <c r="S80" s="15">
        <f>(((((((R80+S66)+S59)-S73)-S74)+S76)-S72)-S77)</f>
        <v/>
      </c>
      <c r="T80" s="15">
        <f>(((((((S80+T66)+T59)-T73)-T74)+T76)-T72)-T77)</f>
        <v/>
      </c>
      <c r="U80" s="15">
        <f>(((((((T80+U66)+U59)-U73)-U74)+U76)-U72)-U77)</f>
        <v/>
      </c>
      <c r="V80" s="15">
        <f>(((((((U80+V66)+V59)-V73)-V74)+V76)-V72)-V77)</f>
        <v/>
      </c>
      <c r="W80" s="15">
        <f>(((((((V80+W66)+W59)-W73)-W74)+W76)-W72)-W77)</f>
        <v/>
      </c>
      <c r="X80" s="15">
        <f>(((((((W80+X66)+X59)-X73)-X74)+X76)-X72)-X77)</f>
        <v/>
      </c>
      <c r="Y80" s="15">
        <f>(((((((X80+Y66)+Y59)-Y73)-Y74)+Y76)-Y72)-Y77)</f>
        <v/>
      </c>
      <c r="Z80" s="15">
        <f>(((((((Y80+Z66)+Z59)-Z73)-Z74)+Z76)-Z72)-Z77)</f>
        <v/>
      </c>
      <c r="AA80" s="15">
        <f>(((((((Z80+AA66)+AA59)-AA73)-AA74)+AA76)-AA72)-AA77)</f>
        <v/>
      </c>
    </row>
    <row r="81">
      <c r="A81" t="inlineStr">
        <is>
          <t>Total debt</t>
        </is>
      </c>
      <c r="B81" t="inlineStr">
        <is>
          <t>debt</t>
        </is>
      </c>
      <c r="D81" s="13" t="n">
        <v>313.268947722</v>
      </c>
      <c r="E81" s="13" t="n">
        <v>757.276108188</v>
      </c>
      <c r="F81" s="13" t="n">
        <v>1251.025862401</v>
      </c>
      <c r="G81" s="13" t="n">
        <v>2300.691351269</v>
      </c>
      <c r="H81" s="15">
        <f>(G81+H76)</f>
        <v/>
      </c>
      <c r="I81" s="15">
        <f>(H81+I76)</f>
        <v/>
      </c>
      <c r="J81" s="15">
        <f>(I81+J76)</f>
        <v/>
      </c>
      <c r="K81" s="15">
        <f>(J81+K76)</f>
        <v/>
      </c>
      <c r="L81" s="15">
        <f>(K81+L76)</f>
        <v/>
      </c>
      <c r="M81" s="15">
        <f>(L81+M76)</f>
        <v/>
      </c>
      <c r="N81" s="15">
        <f>(M81+N76)</f>
        <v/>
      </c>
      <c r="O81" s="15">
        <f>(N81+O76)</f>
        <v/>
      </c>
      <c r="P81" s="15">
        <f>(O81+P76)</f>
        <v/>
      </c>
      <c r="Q81" s="15">
        <f>(P81+Q76)</f>
        <v/>
      </c>
      <c r="R81" s="15">
        <f>(Q81+R76)</f>
        <v/>
      </c>
      <c r="S81" s="15">
        <f>(R81+S76)</f>
        <v/>
      </c>
      <c r="T81" s="15">
        <f>(S81+T76)</f>
        <v/>
      </c>
      <c r="U81" s="15">
        <f>(T81+U76)</f>
        <v/>
      </c>
      <c r="V81" s="15">
        <f>(U81+V76)</f>
        <v/>
      </c>
      <c r="W81" s="15">
        <f>(V81+W76)</f>
        <v/>
      </c>
      <c r="X81" s="15">
        <f>(W81+X76)</f>
        <v/>
      </c>
      <c r="Y81" s="15">
        <f>(X81+Y76)</f>
        <v/>
      </c>
      <c r="Z81" s="15">
        <f>(Y81+Z76)</f>
        <v/>
      </c>
      <c r="AA81" s="15">
        <f>(Z81+AA76)</f>
        <v/>
      </c>
    </row>
    <row r="82">
      <c r="A82" t="inlineStr">
        <is>
          <t>Fixed assets (net)</t>
        </is>
      </c>
      <c r="B82" t="inlineStr">
        <is>
          <t>ppe</t>
        </is>
      </c>
      <c r="D82" s="13" t="n">
        <v>39.973687151</v>
      </c>
      <c r="E82" s="13" t="n">
        <v>131.12921052</v>
      </c>
      <c r="F82" s="13" t="n">
        <v>402.937544988</v>
      </c>
      <c r="G82" s="13" t="n">
        <v>862.105011699</v>
      </c>
      <c r="H82" s="15">
        <f>((G82+H73)-H59)</f>
        <v/>
      </c>
      <c r="I82" s="15">
        <f>((H82+I73)-I59)</f>
        <v/>
      </c>
      <c r="J82" s="15">
        <f>((I82+J73)-J59)</f>
        <v/>
      </c>
      <c r="K82" s="15">
        <f>((J82+K73)-K59)</f>
        <v/>
      </c>
      <c r="L82" s="15">
        <f>((K82+L73)-L59)</f>
        <v/>
      </c>
      <c r="M82" s="15">
        <f>((L82+M73)-M59)</f>
        <v/>
      </c>
      <c r="N82" s="15">
        <f>((M82+N73)-N59)</f>
        <v/>
      </c>
      <c r="O82" s="15">
        <f>((N82+O73)-O59)</f>
        <v/>
      </c>
      <c r="P82" s="15">
        <f>((O82+P73)-P59)</f>
        <v/>
      </c>
      <c r="Q82" s="15">
        <f>((P82+Q73)-Q59)</f>
        <v/>
      </c>
      <c r="R82" s="15">
        <f>((Q82+R73)-R59)</f>
        <v/>
      </c>
      <c r="S82" s="15">
        <f>((R82+S73)-S59)</f>
        <v/>
      </c>
      <c r="T82" s="15">
        <f>((S82+T73)-T59)</f>
        <v/>
      </c>
      <c r="U82" s="15">
        <f>((T82+U73)-U59)</f>
        <v/>
      </c>
      <c r="V82" s="15">
        <f>((U82+V73)-V59)</f>
        <v/>
      </c>
      <c r="W82" s="15">
        <f>((V82+W73)-W59)</f>
        <v/>
      </c>
      <c r="X82" s="15">
        <f>((W82+X73)-X59)</f>
        <v/>
      </c>
      <c r="Y82" s="15">
        <f>((X82+Y73)-Y59)</f>
        <v/>
      </c>
      <c r="Z82" s="15">
        <f>((Y82+Z73)-Z59)</f>
        <v/>
      </c>
      <c r="AA82" s="15">
        <f>((Z82+AA73)-AA59)</f>
        <v/>
      </c>
    </row>
    <row r="83">
      <c r="A83" t="inlineStr">
        <is>
          <t>Parent shareholders' equity</t>
        </is>
      </c>
      <c r="B83" t="inlineStr">
        <is>
          <t>equity</t>
        </is>
      </c>
      <c r="D83" s="13" t="n">
        <v>983.176862312</v>
      </c>
      <c r="E83" s="13" t="n">
        <v>1449.87836595</v>
      </c>
      <c r="F83" s="13" t="n">
        <v>2125.969629322</v>
      </c>
      <c r="G83" s="13" t="n">
        <v>2233.913688487</v>
      </c>
      <c r="H83" s="15">
        <f>((G83+H68)-H72)</f>
        <v/>
      </c>
      <c r="I83" s="15">
        <f>((H83+I68)-I72)</f>
        <v/>
      </c>
      <c r="J83" s="15">
        <f>((I83+J68)-J72)</f>
        <v/>
      </c>
      <c r="K83" s="15">
        <f>((J83+K68)-K72)</f>
        <v/>
      </c>
      <c r="L83" s="15">
        <f>((K83+L68)-L72)</f>
        <v/>
      </c>
      <c r="M83" s="15">
        <f>((L83+M68)-M72)</f>
        <v/>
      </c>
      <c r="N83" s="15">
        <f>((M83+N68)-N72)</f>
        <v/>
      </c>
      <c r="O83" s="15">
        <f>((N83+O68)-O72)</f>
        <v/>
      </c>
      <c r="P83" s="15">
        <f>((O83+P68)-P72)</f>
        <v/>
      </c>
      <c r="Q83" s="15">
        <f>((P83+Q68)-Q72)</f>
        <v/>
      </c>
      <c r="R83" s="15">
        <f>((Q83+R68)-R72)</f>
        <v/>
      </c>
      <c r="S83" s="15">
        <f>((R83+S68)-S72)</f>
        <v/>
      </c>
      <c r="T83" s="15">
        <f>((S83+T68)-T72)</f>
        <v/>
      </c>
      <c r="U83" s="15">
        <f>((T83+U68)-U72)</f>
        <v/>
      </c>
      <c r="V83" s="15">
        <f>((U83+V68)-V72)</f>
        <v/>
      </c>
      <c r="W83" s="15">
        <f>((V83+W68)-W72)</f>
        <v/>
      </c>
      <c r="X83" s="15">
        <f>((W83+X68)-X72)</f>
        <v/>
      </c>
      <c r="Y83" s="15">
        <f>((X83+Y68)-Y72)</f>
        <v/>
      </c>
      <c r="Z83" s="15">
        <f>((Y83+Z68)-Z72)</f>
        <v/>
      </c>
      <c r="AA83" s="15">
        <f>((Z83+AA68)-AA72)</f>
        <v/>
      </c>
    </row>
    <row r="84">
      <c r="A84" t="inlineStr">
        <is>
          <t>Minority interest (balance sheet)</t>
        </is>
      </c>
      <c r="B84" t="inlineStr">
        <is>
          <t>minority_bs</t>
        </is>
      </c>
      <c r="D84" s="13" t="n">
        <v>28.956019605</v>
      </c>
      <c r="E84" s="13" t="n">
        <v>31.889428227</v>
      </c>
      <c r="F84" s="13" t="n">
        <v>115.166554542</v>
      </c>
      <c r="G84" s="13" t="n">
        <v>131.608679787</v>
      </c>
      <c r="H84" s="15">
        <f>((G84+H67)-H77)</f>
        <v/>
      </c>
      <c r="I84" s="15">
        <f>((H84+I67)-I77)</f>
        <v/>
      </c>
      <c r="J84" s="15">
        <f>((I84+J67)-J77)</f>
        <v/>
      </c>
      <c r="K84" s="15">
        <f>((J84+K67)-K77)</f>
        <v/>
      </c>
      <c r="L84" s="15">
        <f>((K84+L67)-L77)</f>
        <v/>
      </c>
      <c r="M84" s="15">
        <f>((L84+M67)-M77)</f>
        <v/>
      </c>
      <c r="N84" s="15">
        <f>((M84+N67)-N77)</f>
        <v/>
      </c>
      <c r="O84" s="15">
        <f>((N84+O67)-O77)</f>
        <v/>
      </c>
      <c r="P84" s="15">
        <f>((O84+P67)-P77)</f>
        <v/>
      </c>
      <c r="Q84" s="15">
        <f>((P84+Q67)-Q77)</f>
        <v/>
      </c>
      <c r="R84" s="15">
        <f>((Q84+R67)-R77)</f>
        <v/>
      </c>
      <c r="S84" s="15">
        <f>((R84+S67)-S77)</f>
        <v/>
      </c>
      <c r="T84" s="15">
        <f>((S84+T67)-T77)</f>
        <v/>
      </c>
      <c r="U84" s="15">
        <f>((T84+U67)-U77)</f>
        <v/>
      </c>
      <c r="V84" s="15">
        <f>((U84+V67)-V77)</f>
        <v/>
      </c>
      <c r="W84" s="15">
        <f>((V84+W67)-W77)</f>
        <v/>
      </c>
      <c r="X84" s="15">
        <f>((W84+X67)-X77)</f>
        <v/>
      </c>
      <c r="Y84" s="15">
        <f>((X84+Y67)-Y77)</f>
        <v/>
      </c>
      <c r="Z84" s="15">
        <f>((Y84+Z67)-Z77)</f>
        <v/>
      </c>
      <c r="AA84" s="15">
        <f>((Z84+AA67)-AA77)</f>
        <v/>
      </c>
    </row>
    <row r="85">
      <c r="A85" t="inlineStr">
        <is>
          <t>Other assets less other liabilities</t>
        </is>
      </c>
      <c r="B85" t="inlineStr">
        <is>
          <t>other_net</t>
        </is>
      </c>
      <c r="D85" s="13" t="n">
        <v>11.98707482399985</v>
      </c>
      <c r="E85" s="13" t="n">
        <v>10.42908005500001</v>
      </c>
      <c r="F85" s="13" t="n">
        <v>6.064585130999944</v>
      </c>
      <c r="G85" s="13" t="n">
        <v>4.189195801999631</v>
      </c>
      <c r="H85" s="15">
        <f>G85</f>
        <v/>
      </c>
      <c r="I85" s="15">
        <f>H85</f>
        <v/>
      </c>
      <c r="J85" s="15">
        <f>I85</f>
        <v/>
      </c>
      <c r="K85" s="15">
        <f>J85</f>
        <v/>
      </c>
      <c r="L85" s="15">
        <f>K85</f>
        <v/>
      </c>
      <c r="M85" s="15">
        <f>L85</f>
        <v/>
      </c>
      <c r="N85" s="15">
        <f>M85</f>
        <v/>
      </c>
      <c r="O85" s="15">
        <f>N85</f>
        <v/>
      </c>
      <c r="P85" s="15">
        <f>O85</f>
        <v/>
      </c>
      <c r="Q85" s="15">
        <f>P85</f>
        <v/>
      </c>
      <c r="R85" s="15">
        <f>Q85</f>
        <v/>
      </c>
      <c r="S85" s="15">
        <f>R85</f>
        <v/>
      </c>
      <c r="T85" s="15">
        <f>S85</f>
        <v/>
      </c>
      <c r="U85" s="15">
        <f>T85</f>
        <v/>
      </c>
      <c r="V85" s="15">
        <f>U85</f>
        <v/>
      </c>
      <c r="W85" s="15">
        <f>V85</f>
        <v/>
      </c>
      <c r="X85" s="15">
        <f>W85</f>
        <v/>
      </c>
      <c r="Y85" s="15">
        <f>X85</f>
        <v/>
      </c>
      <c r="Z85" s="15">
        <f>Y85</f>
        <v/>
      </c>
      <c r="AA85" s="15">
        <f>Z85</f>
        <v/>
      </c>
    </row>
    <row r="86">
      <c r="A86" t="inlineStr">
        <is>
          <t>Balance check (should be zero)</t>
        </is>
      </c>
      <c r="B86" t="inlineStr">
        <is>
          <t>bs_check</t>
        </is>
      </c>
      <c r="D86" s="13" t="n"/>
      <c r="E86" s="13" t="n"/>
      <c r="F86" s="13" t="n"/>
      <c r="G86" s="13" t="n"/>
      <c r="H86" s="15">
        <f>((((((H80+H79)+H82)+H85)-H81)-H83)-H84)</f>
        <v/>
      </c>
      <c r="I86" s="15">
        <f>((((((I80+I79)+I82)+I85)-I81)-I83)-I84)</f>
        <v/>
      </c>
      <c r="J86" s="15">
        <f>((((((J80+J79)+J82)+J85)-J81)-J83)-J84)</f>
        <v/>
      </c>
      <c r="K86" s="15">
        <f>((((((K80+K79)+K82)+K85)-K81)-K83)-K84)</f>
        <v/>
      </c>
      <c r="L86" s="15">
        <f>((((((L80+L79)+L82)+L85)-L81)-L83)-L84)</f>
        <v/>
      </c>
      <c r="M86" s="15">
        <f>((((((M80+M79)+M82)+M85)-M81)-M83)-M84)</f>
        <v/>
      </c>
      <c r="N86" s="15">
        <f>((((((N80+N79)+N82)+N85)-N81)-N83)-N84)</f>
        <v/>
      </c>
      <c r="O86" s="15">
        <f>((((((O80+O79)+O82)+O85)-O81)-O83)-O84)</f>
        <v/>
      </c>
      <c r="P86" s="15">
        <f>((((((P80+P79)+P82)+P85)-P81)-P83)-P84)</f>
        <v/>
      </c>
      <c r="Q86" s="15">
        <f>((((((Q80+Q79)+Q82)+Q85)-Q81)-Q83)-Q84)</f>
        <v/>
      </c>
      <c r="R86" s="15">
        <f>((((((R80+R79)+R82)+R85)-R81)-R83)-R84)</f>
        <v/>
      </c>
      <c r="S86" s="15">
        <f>((((((S80+S79)+S82)+S85)-S81)-S83)-S84)</f>
        <v/>
      </c>
      <c r="T86" s="15">
        <f>((((((T80+T79)+T82)+T85)-T81)-T83)-T84)</f>
        <v/>
      </c>
      <c r="U86" s="15">
        <f>((((((U80+U79)+U82)+U85)-U81)-U83)-U84)</f>
        <v/>
      </c>
      <c r="V86" s="15">
        <f>((((((V80+V79)+V82)+V85)-V81)-V83)-V84)</f>
        <v/>
      </c>
      <c r="W86" s="15">
        <f>((((((W80+W79)+W82)+W85)-W81)-W83)-W84)</f>
        <v/>
      </c>
      <c r="X86" s="15">
        <f>((((((X80+X79)+X82)+X85)-X81)-X83)-X84)</f>
        <v/>
      </c>
      <c r="Y86" s="15">
        <f>((((((Y80+Y79)+Y82)+Y85)-Y81)-Y83)-Y84)</f>
        <v/>
      </c>
      <c r="Z86" s="15">
        <f>((((((Z80+Z79)+Z82)+Z85)-Z81)-Z83)-Z84)</f>
        <v/>
      </c>
      <c r="AA86" s="15">
        <f>((((((AA80+AA79)+AA82)+AA85)-AA81)-AA83)-AA84)</f>
        <v/>
      </c>
    </row>
    <row r="87">
      <c r="A87" t="inlineStr">
        <is>
          <t>Net debt (cash)</t>
        </is>
      </c>
      <c r="B87" t="inlineStr">
        <is>
          <t>net_debt</t>
        </is>
      </c>
      <c r="D87" s="13" t="n">
        <v>-75.276139801</v>
      </c>
      <c r="E87" s="13" t="n">
        <v>461.313456531</v>
      </c>
      <c r="F87" s="13" t="n">
        <v>1100.781630499</v>
      </c>
      <c r="G87" s="13" t="n">
        <v>1939.418664636</v>
      </c>
      <c r="H87" s="15">
        <f>(H81-H80)</f>
        <v/>
      </c>
      <c r="I87" s="15">
        <f>(I81-I80)</f>
        <v/>
      </c>
      <c r="J87" s="15">
        <f>(J81-J80)</f>
        <v/>
      </c>
      <c r="K87" s="15">
        <f>(K81-K80)</f>
        <v/>
      </c>
      <c r="L87" s="15">
        <f>(L81-L80)</f>
        <v/>
      </c>
      <c r="M87" s="15">
        <f>(M81-M80)</f>
        <v/>
      </c>
      <c r="N87" s="15">
        <f>(N81-N80)</f>
        <v/>
      </c>
      <c r="O87" s="15">
        <f>(O81-O80)</f>
        <v/>
      </c>
      <c r="P87" s="15">
        <f>(P81-P80)</f>
        <v/>
      </c>
      <c r="Q87" s="15">
        <f>(Q81-Q80)</f>
        <v/>
      </c>
      <c r="R87" s="15">
        <f>(R81-R80)</f>
        <v/>
      </c>
      <c r="S87" s="15">
        <f>(S81-S80)</f>
        <v/>
      </c>
      <c r="T87" s="15">
        <f>(T81-T80)</f>
        <v/>
      </c>
      <c r="U87" s="15">
        <f>(U81-U80)</f>
        <v/>
      </c>
      <c r="V87" s="15">
        <f>(V81-V80)</f>
        <v/>
      </c>
      <c r="W87" s="15">
        <f>(W81-W80)</f>
        <v/>
      </c>
      <c r="X87" s="15">
        <f>(X81-X80)</f>
        <v/>
      </c>
      <c r="Y87" s="15">
        <f>(Y81-Y80)</f>
        <v/>
      </c>
      <c r="Z87" s="15">
        <f>(Z81-Z80)</f>
        <v/>
      </c>
      <c r="AA87" s="15">
        <f>(AA81-AA80)</f>
        <v/>
      </c>
    </row>
    <row r="88">
      <c r="A88" t="inlineStr">
        <is>
          <t>Book value per share</t>
        </is>
      </c>
      <c r="B88" t="inlineStr">
        <is>
          <t>bvps</t>
        </is>
      </c>
      <c r="D88" s="20" t="n">
        <v>69.51302633639939</v>
      </c>
      <c r="E88" s="20" t="n">
        <v>93.01895404757477</v>
      </c>
      <c r="F88" s="20" t="n">
        <v>136.3945583810865</v>
      </c>
      <c r="G88" s="20" t="n">
        <v>143.3198606415743</v>
      </c>
      <c r="H88" s="21">
        <f>(IF(H69=0,0,H83/H69)*$C$7)</f>
        <v/>
      </c>
      <c r="I88" s="21">
        <f>(IF(I69=0,0,I83/I69)*$C$7)</f>
        <v/>
      </c>
      <c r="J88" s="21">
        <f>(IF(J69=0,0,J83/J69)*$C$7)</f>
        <v/>
      </c>
      <c r="K88" s="21">
        <f>(IF(K69=0,0,K83/K69)*$C$7)</f>
        <v/>
      </c>
      <c r="L88" s="21">
        <f>(IF(L69=0,0,L83/L69)*$C$7)</f>
        <v/>
      </c>
      <c r="M88" s="21">
        <f>(IF(M69=0,0,M83/M69)*$C$7)</f>
        <v/>
      </c>
      <c r="N88" s="21">
        <f>(IF(N69=0,0,N83/N69)*$C$7)</f>
        <v/>
      </c>
      <c r="O88" s="21">
        <f>(IF(O69=0,0,O83/O69)*$C$7)</f>
        <v/>
      </c>
      <c r="P88" s="21">
        <f>(IF(P69=0,0,P83/P69)*$C$7)</f>
        <v/>
      </c>
      <c r="Q88" s="21">
        <f>(IF(Q69=0,0,Q83/Q69)*$C$7)</f>
        <v/>
      </c>
      <c r="R88" s="21">
        <f>(IF(R69=0,0,R83/R69)*$C$7)</f>
        <v/>
      </c>
      <c r="S88" s="21">
        <f>(IF(S69=0,0,S83/S69)*$C$7)</f>
        <v/>
      </c>
      <c r="T88" s="21">
        <f>(IF(T69=0,0,T83/T69)*$C$7)</f>
        <v/>
      </c>
      <c r="U88" s="21">
        <f>(IF(U69=0,0,U83/U69)*$C$7)</f>
        <v/>
      </c>
      <c r="V88" s="21">
        <f>(IF(V69=0,0,V83/V69)*$C$7)</f>
        <v/>
      </c>
      <c r="W88" s="21">
        <f>(IF(W69=0,0,W83/W69)*$C$7)</f>
        <v/>
      </c>
      <c r="X88" s="21">
        <f>(IF(X69=0,0,X83/X69)*$C$7)</f>
        <v/>
      </c>
      <c r="Y88" s="21">
        <f>(IF(Y69=0,0,Y83/Y69)*$C$7)</f>
        <v/>
      </c>
      <c r="Z88" s="21">
        <f>(IF(Z69=0,0,Z83/Z69)*$C$7)</f>
        <v/>
      </c>
      <c r="AA88" s="21">
        <f>(IF(AA69=0,0,AA83/AA69)*$C$7)</f>
        <v/>
      </c>
    </row>
    <row r="89">
      <c r="A89" t="inlineStr">
        <is>
          <t>Revenue growth</t>
        </is>
      </c>
      <c r="B89" t="inlineStr">
        <is>
          <t>revenue_growth</t>
        </is>
      </c>
      <c r="D89" s="4" t="n"/>
      <c r="E89" s="4" t="n">
        <v>0.1783911202323025</v>
      </c>
      <c r="F89" s="4" t="n">
        <v>0.198947526069164</v>
      </c>
      <c r="G89" s="4" t="n">
        <v>-0.5434694909504816</v>
      </c>
      <c r="H89" s="17">
        <f>(IF(G54=0,0,H54/G54)-1)</f>
        <v/>
      </c>
      <c r="I89" s="17">
        <f>(IF(H54=0,0,I54/H54)-1)</f>
        <v/>
      </c>
      <c r="J89" s="17">
        <f>(IF(I54=0,0,J54/I54)-1)</f>
        <v/>
      </c>
      <c r="K89" s="17">
        <f>(IF(J54=0,0,K54/J54)-1)</f>
        <v/>
      </c>
      <c r="L89" s="17">
        <f>(IF(K54=0,0,L54/K54)-1)</f>
        <v/>
      </c>
      <c r="M89" s="17">
        <f>(IF(L54=0,0,M54/L54)-1)</f>
        <v/>
      </c>
      <c r="N89" s="17">
        <f>(IF(M54=0,0,N54/M54)-1)</f>
        <v/>
      </c>
      <c r="O89" s="17">
        <f>(IF(N54=0,0,O54/N54)-1)</f>
        <v/>
      </c>
      <c r="P89" s="17">
        <f>(IF(O54=0,0,P54/O54)-1)</f>
        <v/>
      </c>
      <c r="Q89" s="17">
        <f>(IF(P54=0,0,Q54/P54)-1)</f>
        <v/>
      </c>
      <c r="R89" s="17">
        <f>(IF(Q54=0,0,R54/Q54)-1)</f>
        <v/>
      </c>
      <c r="S89" s="17">
        <f>(IF(R54=0,0,S54/R54)-1)</f>
        <v/>
      </c>
      <c r="T89" s="17">
        <f>(IF(S54=0,0,T54/S54)-1)</f>
        <v/>
      </c>
      <c r="U89" s="17">
        <f>(IF(T54=0,0,U54/T54)-1)</f>
        <v/>
      </c>
      <c r="V89" s="17">
        <f>(IF(U54=0,0,V54/U54)-1)</f>
        <v/>
      </c>
      <c r="W89" s="17">
        <f>(IF(V54=0,0,W54/V54)-1)</f>
        <v/>
      </c>
      <c r="X89" s="17">
        <f>(IF(W54=0,0,X54/W54)-1)</f>
        <v/>
      </c>
      <c r="Y89" s="17">
        <f>(IF(X54=0,0,Y54/X54)-1)</f>
        <v/>
      </c>
      <c r="Z89" s="17">
        <f>(IF(Y54=0,0,Z54/Y54)-1)</f>
        <v/>
      </c>
      <c r="AA89" s="17">
        <f>(IF(Z54=0,0,AA54/Z54)-1)</f>
        <v/>
      </c>
    </row>
    <row r="90">
      <c r="A90" t="inlineStr">
        <is>
          <t>Gross margin</t>
        </is>
      </c>
      <c r="B90" t="inlineStr">
        <is>
          <t>gross_margin</t>
        </is>
      </c>
      <c r="D90" s="4" t="n">
        <v>0.06986108452917343</v>
      </c>
      <c r="E90" s="4" t="n">
        <v>0.08594315089078119</v>
      </c>
      <c r="F90" s="4" t="n">
        <v>0.069756675706571</v>
      </c>
      <c r="G90" s="4" t="n">
        <v>0.07967064500973686</v>
      </c>
      <c r="H90" s="17">
        <f>IF(H54=0,0,H56/H54)</f>
        <v/>
      </c>
      <c r="I90" s="17">
        <f>IF(I54=0,0,I56/I54)</f>
        <v/>
      </c>
      <c r="J90" s="17">
        <f>IF(J54=0,0,J56/J54)</f>
        <v/>
      </c>
      <c r="K90" s="17">
        <f>IF(K54=0,0,K56/K54)</f>
        <v/>
      </c>
      <c r="L90" s="17">
        <f>IF(L54=0,0,L56/L54)</f>
        <v/>
      </c>
      <c r="M90" s="17">
        <f>IF(M54=0,0,M56/M54)</f>
        <v/>
      </c>
      <c r="N90" s="17">
        <f>IF(N54=0,0,N56/N54)</f>
        <v/>
      </c>
      <c r="O90" s="17">
        <f>IF(O54=0,0,O56/O54)</f>
        <v/>
      </c>
      <c r="P90" s="17">
        <f>IF(P54=0,0,P56/P54)</f>
        <v/>
      </c>
      <c r="Q90" s="17">
        <f>IF(Q54=0,0,Q56/Q54)</f>
        <v/>
      </c>
      <c r="R90" s="17">
        <f>IF(R54=0,0,R56/R54)</f>
        <v/>
      </c>
      <c r="S90" s="17">
        <f>IF(S54=0,0,S56/S54)</f>
        <v/>
      </c>
      <c r="T90" s="17">
        <f>IF(T54=0,0,T56/T54)</f>
        <v/>
      </c>
      <c r="U90" s="17">
        <f>IF(U54=0,0,U56/U54)</f>
        <v/>
      </c>
      <c r="V90" s="17">
        <f>IF(V54=0,0,V56/V54)</f>
        <v/>
      </c>
      <c r="W90" s="17">
        <f>IF(W54=0,0,W56/W54)</f>
        <v/>
      </c>
      <c r="X90" s="17">
        <f>IF(X54=0,0,X56/X54)</f>
        <v/>
      </c>
      <c r="Y90" s="17">
        <f>IF(Y54=0,0,Y56/Y54)</f>
        <v/>
      </c>
      <c r="Z90" s="17">
        <f>IF(Z54=0,0,Z56/Z54)</f>
        <v/>
      </c>
      <c r="AA90" s="17">
        <f>IF(AA54=0,0,AA56/AA54)</f>
        <v/>
      </c>
    </row>
    <row r="91">
      <c r="A91" t="inlineStr">
        <is>
          <t>EBITDA margin</t>
        </is>
      </c>
      <c r="B91" t="inlineStr">
        <is>
          <t>ebitda_margin</t>
        </is>
      </c>
      <c r="D91" s="4" t="n">
        <v>0.0593262347524082</v>
      </c>
      <c r="E91" s="4" t="n">
        <v>0.07298848202603081</v>
      </c>
      <c r="F91" s="4" t="n">
        <v>0.0581304466237187</v>
      </c>
      <c r="G91" s="4" t="n">
        <v>0.04643450337846015</v>
      </c>
      <c r="H91" s="17">
        <f>IF(H54=0,0,H60/H54)</f>
        <v/>
      </c>
      <c r="I91" s="17">
        <f>IF(I54=0,0,I60/I54)</f>
        <v/>
      </c>
      <c r="J91" s="17">
        <f>IF(J54=0,0,J60/J54)</f>
        <v/>
      </c>
      <c r="K91" s="17">
        <f>IF(K54=0,0,K60/K54)</f>
        <v/>
      </c>
      <c r="L91" s="17">
        <f>IF(L54=0,0,L60/L54)</f>
        <v/>
      </c>
      <c r="M91" s="17">
        <f>IF(M54=0,0,M60/M54)</f>
        <v/>
      </c>
      <c r="N91" s="17">
        <f>IF(N54=0,0,N60/N54)</f>
        <v/>
      </c>
      <c r="O91" s="17">
        <f>IF(O54=0,0,O60/O54)</f>
        <v/>
      </c>
      <c r="P91" s="17">
        <f>IF(P54=0,0,P60/P54)</f>
        <v/>
      </c>
      <c r="Q91" s="17">
        <f>IF(Q54=0,0,Q60/Q54)</f>
        <v/>
      </c>
      <c r="R91" s="17">
        <f>IF(R54=0,0,R60/R54)</f>
        <v/>
      </c>
      <c r="S91" s="17">
        <f>IF(S54=0,0,S60/S54)</f>
        <v/>
      </c>
      <c r="T91" s="17">
        <f>IF(T54=0,0,T60/T54)</f>
        <v/>
      </c>
      <c r="U91" s="17">
        <f>IF(U54=0,0,U60/U54)</f>
        <v/>
      </c>
      <c r="V91" s="17">
        <f>IF(V54=0,0,V60/V54)</f>
        <v/>
      </c>
      <c r="W91" s="17">
        <f>IF(W54=0,0,W60/W54)</f>
        <v/>
      </c>
      <c r="X91" s="17">
        <f>IF(X54=0,0,X60/X54)</f>
        <v/>
      </c>
      <c r="Y91" s="17">
        <f>IF(Y54=0,0,Y60/Y54)</f>
        <v/>
      </c>
      <c r="Z91" s="17">
        <f>IF(Z54=0,0,Z60/Z54)</f>
        <v/>
      </c>
      <c r="AA91" s="17">
        <f>IF(AA54=0,0,AA60/AA54)</f>
        <v/>
      </c>
    </row>
    <row r="92">
      <c r="A92" t="inlineStr">
        <is>
          <t>EBIT margin</t>
        </is>
      </c>
      <c r="B92" t="inlineStr">
        <is>
          <t>ebit_margin</t>
        </is>
      </c>
      <c r="D92" s="4" t="n">
        <v>0.05897833131413914</v>
      </c>
      <c r="E92" s="4" t="n">
        <v>0.0725252049802969</v>
      </c>
      <c r="F92" s="4" t="n">
        <v>0.05724707990304367</v>
      </c>
      <c r="G92" s="4" t="n">
        <v>0.04380218858875239</v>
      </c>
      <c r="H92" s="17">
        <f>IF(H54=0,0,H58/H54)</f>
        <v/>
      </c>
      <c r="I92" s="17">
        <f>IF(I54=0,0,I58/I54)</f>
        <v/>
      </c>
      <c r="J92" s="17">
        <f>IF(J54=0,0,J58/J54)</f>
        <v/>
      </c>
      <c r="K92" s="17">
        <f>IF(K54=0,0,K58/K54)</f>
        <v/>
      </c>
      <c r="L92" s="17">
        <f>IF(L54=0,0,L58/L54)</f>
        <v/>
      </c>
      <c r="M92" s="17">
        <f>IF(M54=0,0,M58/M54)</f>
        <v/>
      </c>
      <c r="N92" s="17">
        <f>IF(N54=0,0,N58/N54)</f>
        <v/>
      </c>
      <c r="O92" s="17">
        <f>IF(O54=0,0,O58/O54)</f>
        <v/>
      </c>
      <c r="P92" s="17">
        <f>IF(P54=0,0,P58/P54)</f>
        <v/>
      </c>
      <c r="Q92" s="17">
        <f>IF(Q54=0,0,Q58/Q54)</f>
        <v/>
      </c>
      <c r="R92" s="17">
        <f>IF(R54=0,0,R58/R54)</f>
        <v/>
      </c>
      <c r="S92" s="17">
        <f>IF(S54=0,0,S58/S54)</f>
        <v/>
      </c>
      <c r="T92" s="17">
        <f>IF(T54=0,0,T58/T54)</f>
        <v/>
      </c>
      <c r="U92" s="17">
        <f>IF(U54=0,0,U58/U54)</f>
        <v/>
      </c>
      <c r="V92" s="17">
        <f>IF(V54=0,0,V58/V54)</f>
        <v/>
      </c>
      <c r="W92" s="17">
        <f>IF(W54=0,0,W58/W54)</f>
        <v/>
      </c>
      <c r="X92" s="17">
        <f>IF(X54=0,0,X58/X54)</f>
        <v/>
      </c>
      <c r="Y92" s="17">
        <f>IF(Y54=0,0,Y58/Y54)</f>
        <v/>
      </c>
      <c r="Z92" s="17">
        <f>IF(Z54=0,0,Z58/Z54)</f>
        <v/>
      </c>
      <c r="AA92" s="17">
        <f>IF(AA54=0,0,AA58/AA54)</f>
        <v/>
      </c>
    </row>
    <row r="93">
      <c r="A93" t="inlineStr">
        <is>
          <t>Net margin</t>
        </is>
      </c>
      <c r="B93" t="inlineStr">
        <is>
          <t>np_margin</t>
        </is>
      </c>
      <c r="D93" s="4" t="n">
        <v>0.05796469126626778</v>
      </c>
      <c r="E93" s="4" t="n">
        <v>0.05587211568258405</v>
      </c>
      <c r="F93" s="4" t="n">
        <v>0.04461963331193735</v>
      </c>
      <c r="G93" s="4" t="n">
        <v>0.03164453943404214</v>
      </c>
      <c r="H93" s="17">
        <f>IF(H54=0,0,H68/H54)</f>
        <v/>
      </c>
      <c r="I93" s="17">
        <f>IF(I54=0,0,I68/I54)</f>
        <v/>
      </c>
      <c r="J93" s="17">
        <f>IF(J54=0,0,J68/J54)</f>
        <v/>
      </c>
      <c r="K93" s="17">
        <f>IF(K54=0,0,K68/K54)</f>
        <v/>
      </c>
      <c r="L93" s="17">
        <f>IF(L54=0,0,L68/L54)</f>
        <v/>
      </c>
      <c r="M93" s="17">
        <f>IF(M54=0,0,M68/M54)</f>
        <v/>
      </c>
      <c r="N93" s="17">
        <f>IF(N54=0,0,N68/N54)</f>
        <v/>
      </c>
      <c r="O93" s="17">
        <f>IF(O54=0,0,O68/O54)</f>
        <v/>
      </c>
      <c r="P93" s="17">
        <f>IF(P54=0,0,P68/P54)</f>
        <v/>
      </c>
      <c r="Q93" s="17">
        <f>IF(Q54=0,0,Q68/Q54)</f>
        <v/>
      </c>
      <c r="R93" s="17">
        <f>IF(R54=0,0,R68/R54)</f>
        <v/>
      </c>
      <c r="S93" s="17">
        <f>IF(S54=0,0,S68/S54)</f>
        <v/>
      </c>
      <c r="T93" s="17">
        <f>IF(T54=0,0,T68/T54)</f>
        <v/>
      </c>
      <c r="U93" s="17">
        <f>IF(U54=0,0,U68/U54)</f>
        <v/>
      </c>
      <c r="V93" s="17">
        <f>IF(V54=0,0,V68/V54)</f>
        <v/>
      </c>
      <c r="W93" s="17">
        <f>IF(W54=0,0,W68/W54)</f>
        <v/>
      </c>
      <c r="X93" s="17">
        <f>IF(X54=0,0,X68/X54)</f>
        <v/>
      </c>
      <c r="Y93" s="17">
        <f>IF(Y54=0,0,Y68/Y54)</f>
        <v/>
      </c>
      <c r="Z93" s="17">
        <f>IF(Z54=0,0,Z68/Z54)</f>
        <v/>
      </c>
      <c r="AA93" s="17">
        <f>IF(AA54=0,0,AA68/AA54)</f>
        <v/>
      </c>
    </row>
    <row r="94">
      <c r="A94" t="inlineStr">
        <is>
          <t>EPS growth</t>
        </is>
      </c>
      <c r="B94" t="inlineStr">
        <is>
          <t>eps_growth</t>
        </is>
      </c>
      <c r="D94" s="4" t="n"/>
      <c r="E94" s="4" t="n">
        <v>0.03068602181503599</v>
      </c>
      <c r="F94" s="4" t="n">
        <v>-0.04251680195445728</v>
      </c>
      <c r="G94" s="4" t="n">
        <v>-0.6762255396528369</v>
      </c>
      <c r="H94" s="17">
        <f>(IF(G70=0,0,H70/G70)-1)</f>
        <v/>
      </c>
      <c r="I94" s="17">
        <f>(IF(H70=0,0,I70/H70)-1)</f>
        <v/>
      </c>
      <c r="J94" s="17">
        <f>(IF(I70=0,0,J70/I70)-1)</f>
        <v/>
      </c>
      <c r="K94" s="17">
        <f>(IF(J70=0,0,K70/J70)-1)</f>
        <v/>
      </c>
      <c r="L94" s="17">
        <f>(IF(K70=0,0,L70/K70)-1)</f>
        <v/>
      </c>
      <c r="M94" s="17">
        <f>(IF(L70=0,0,M70/L70)-1)</f>
        <v/>
      </c>
      <c r="N94" s="17">
        <f>(IF(M70=0,0,N70/M70)-1)</f>
        <v/>
      </c>
      <c r="O94" s="17">
        <f>(IF(N70=0,0,O70/N70)-1)</f>
        <v/>
      </c>
      <c r="P94" s="17">
        <f>(IF(O70=0,0,P70/O70)-1)</f>
        <v/>
      </c>
      <c r="Q94" s="17">
        <f>(IF(P70=0,0,Q70/P70)-1)</f>
        <v/>
      </c>
      <c r="R94" s="17">
        <f>(IF(Q70=0,0,R70/Q70)-1)</f>
        <v/>
      </c>
      <c r="S94" s="17">
        <f>(IF(R70=0,0,S70/R70)-1)</f>
        <v/>
      </c>
      <c r="T94" s="17">
        <f>(IF(S70=0,0,T70/S70)-1)</f>
        <v/>
      </c>
      <c r="U94" s="17">
        <f>(IF(T70=0,0,U70/T70)-1)</f>
        <v/>
      </c>
      <c r="V94" s="17">
        <f>(IF(U70=0,0,V70/U70)-1)</f>
        <v/>
      </c>
      <c r="W94" s="17">
        <f>(IF(V70=0,0,W70/V70)-1)</f>
        <v/>
      </c>
      <c r="X94" s="17">
        <f>(IF(W70=0,0,X70/W70)-1)</f>
        <v/>
      </c>
      <c r="Y94" s="17">
        <f>(IF(X70=0,0,Y70/X70)-1)</f>
        <v/>
      </c>
      <c r="Z94" s="17">
        <f>(IF(Y70=0,0,Z70/Y70)-1)</f>
        <v/>
      </c>
      <c r="AA94" s="17">
        <f>(IF(Z70=0,0,AA70/Z70)-1)</f>
        <v/>
      </c>
    </row>
    <row r="95">
      <c r="A95" t="inlineStr">
        <is>
          <t>ROE</t>
        </is>
      </c>
      <c r="B95" t="inlineStr">
        <is>
          <t>roe</t>
        </is>
      </c>
      <c r="D95" s="4" t="n"/>
      <c r="E95" s="4" t="n">
        <v>0.5654993994677375</v>
      </c>
      <c r="F95" s="4" t="n">
        <v>0.3684139970770182</v>
      </c>
      <c r="G95" s="4" t="n">
        <v>0.097832441697167</v>
      </c>
      <c r="H95" s="17">
        <f>IF(IF(2=0,0,(H83+G83)/2)=0,0,H68/IF(2=0,0,(H83+G83)/2))</f>
        <v/>
      </c>
      <c r="I95" s="17">
        <f>IF(IF(2=0,0,(I83+H83)/2)=0,0,I68/IF(2=0,0,(I83+H83)/2))</f>
        <v/>
      </c>
      <c r="J95" s="17">
        <f>IF(IF(2=0,0,(J83+I83)/2)=0,0,J68/IF(2=0,0,(J83+I83)/2))</f>
        <v/>
      </c>
      <c r="K95" s="17">
        <f>IF(IF(2=0,0,(K83+J83)/2)=0,0,K68/IF(2=0,0,(K83+J83)/2))</f>
        <v/>
      </c>
      <c r="L95" s="17">
        <f>IF(IF(2=0,0,(L83+K83)/2)=0,0,L68/IF(2=0,0,(L83+K83)/2))</f>
        <v/>
      </c>
      <c r="M95" s="17">
        <f>IF(IF(2=0,0,(M83+L83)/2)=0,0,M68/IF(2=0,0,(M83+L83)/2))</f>
        <v/>
      </c>
      <c r="N95" s="17">
        <f>IF(IF(2=0,0,(N83+M83)/2)=0,0,N68/IF(2=0,0,(N83+M83)/2))</f>
        <v/>
      </c>
      <c r="O95" s="17">
        <f>IF(IF(2=0,0,(O83+N83)/2)=0,0,O68/IF(2=0,0,(O83+N83)/2))</f>
        <v/>
      </c>
      <c r="P95" s="17">
        <f>IF(IF(2=0,0,(P83+O83)/2)=0,0,P68/IF(2=0,0,(P83+O83)/2))</f>
        <v/>
      </c>
      <c r="Q95" s="17">
        <f>IF(IF(2=0,0,(Q83+P83)/2)=0,0,Q68/IF(2=0,0,(Q83+P83)/2))</f>
        <v/>
      </c>
      <c r="R95" s="17">
        <f>IF(IF(2=0,0,(R83+Q83)/2)=0,0,R68/IF(2=0,0,(R83+Q83)/2))</f>
        <v/>
      </c>
      <c r="S95" s="17">
        <f>IF(IF(2=0,0,(S83+R83)/2)=0,0,S68/IF(2=0,0,(S83+R83)/2))</f>
        <v/>
      </c>
      <c r="T95" s="17">
        <f>IF(IF(2=0,0,(T83+S83)/2)=0,0,T68/IF(2=0,0,(T83+S83)/2))</f>
        <v/>
      </c>
      <c r="U95" s="17">
        <f>IF(IF(2=0,0,(U83+T83)/2)=0,0,U68/IF(2=0,0,(U83+T83)/2))</f>
        <v/>
      </c>
      <c r="V95" s="17">
        <f>IF(IF(2=0,0,(V83+U83)/2)=0,0,V68/IF(2=0,0,(V83+U83)/2))</f>
        <v/>
      </c>
      <c r="W95" s="17">
        <f>IF(IF(2=0,0,(W83+V83)/2)=0,0,W68/IF(2=0,0,(W83+V83)/2))</f>
        <v/>
      </c>
      <c r="X95" s="17">
        <f>IF(IF(2=0,0,(X83+W83)/2)=0,0,X68/IF(2=0,0,(X83+W83)/2))</f>
        <v/>
      </c>
      <c r="Y95" s="17">
        <f>IF(IF(2=0,0,(Y83+X83)/2)=0,0,Y68/IF(2=0,0,(Y83+X83)/2))</f>
        <v/>
      </c>
      <c r="Z95" s="17">
        <f>IF(IF(2=0,0,(Z83+Y83)/2)=0,0,Z68/IF(2=0,0,(Z83+Y83)/2))</f>
        <v/>
      </c>
      <c r="AA95" s="17">
        <f>IF(IF(2=0,0,(AA83+Z83)/2)=0,0,AA68/IF(2=0,0,(AA83+Z83)/2))</f>
        <v/>
      </c>
    </row>
    <row r="96">
      <c r="A96" t="inlineStr">
        <is>
          <t>Net debt / EBITDA</t>
        </is>
      </c>
      <c r="B96" t="inlineStr">
        <is>
          <t>net_debt_ebitda</t>
        </is>
      </c>
      <c r="D96" s="22" t="n">
        <v>-0.1214341990843037</v>
      </c>
      <c r="E96" s="22" t="n">
        <v>0.5133136214538268</v>
      </c>
      <c r="F96" s="22" t="n">
        <v>1.282739106983165</v>
      </c>
      <c r="G96" s="22" t="n">
        <v>6.197289458413643</v>
      </c>
      <c r="H96" s="23">
        <f>IF(H60=0,0,H87/H60)</f>
        <v/>
      </c>
      <c r="I96" s="23">
        <f>IF(I60=0,0,I87/I60)</f>
        <v/>
      </c>
      <c r="J96" s="23">
        <f>IF(J60=0,0,J87/J60)</f>
        <v/>
      </c>
      <c r="K96" s="23">
        <f>IF(K60=0,0,K87/K60)</f>
        <v/>
      </c>
      <c r="L96" s="23">
        <f>IF(L60=0,0,L87/L60)</f>
        <v/>
      </c>
      <c r="M96" s="23">
        <f>IF(M60=0,0,M87/M60)</f>
        <v/>
      </c>
      <c r="N96" s="23">
        <f>IF(N60=0,0,N87/N60)</f>
        <v/>
      </c>
      <c r="O96" s="23">
        <f>IF(O60=0,0,O87/O60)</f>
        <v/>
      </c>
      <c r="P96" s="23">
        <f>IF(P60=0,0,P87/P60)</f>
        <v/>
      </c>
      <c r="Q96" s="23">
        <f>IF(Q60=0,0,Q87/Q60)</f>
        <v/>
      </c>
      <c r="R96" s="23">
        <f>IF(R60=0,0,R87/R60)</f>
        <v/>
      </c>
      <c r="S96" s="23">
        <f>IF(S60=0,0,S87/S60)</f>
        <v/>
      </c>
      <c r="T96" s="23">
        <f>IF(T60=0,0,T87/T60)</f>
        <v/>
      </c>
      <c r="U96" s="23">
        <f>IF(U60=0,0,U87/U60)</f>
        <v/>
      </c>
      <c r="V96" s="23">
        <f>IF(V60=0,0,V87/V60)</f>
        <v/>
      </c>
      <c r="W96" s="23">
        <f>IF(W60=0,0,W87/W60)</f>
        <v/>
      </c>
      <c r="X96" s="23">
        <f>IF(X60=0,0,X87/X60)</f>
        <v/>
      </c>
      <c r="Y96" s="23">
        <f>IF(Y60=0,0,Y87/Y60)</f>
        <v/>
      </c>
      <c r="Z96" s="23">
        <f>IF(Z60=0,0,Z87/Z60)</f>
        <v/>
      </c>
      <c r="AA96" s="23">
        <f>IF(AA60=0,0,AA87/AA60)</f>
        <v/>
      </c>
    </row>
    <row r="97">
      <c r="A97" t="inlineStr">
        <is>
          <t>Payout ratio</t>
        </is>
      </c>
      <c r="B97" t="inlineStr">
        <is>
          <t>payout_ratio</t>
        </is>
      </c>
      <c r="D97" s="4" t="n">
        <v>0.4004893888227279</v>
      </c>
      <c r="E97" s="4" t="n">
        <v>0.634401249505698</v>
      </c>
      <c r="F97" s="4" t="n">
        <v>0.2129694680359477</v>
      </c>
      <c r="G97" s="4" t="n">
        <v>0</v>
      </c>
      <c r="H97" s="17">
        <f>IF(H70=0,0,H71/H70)</f>
        <v/>
      </c>
      <c r="I97" s="17">
        <f>IF(I70=0,0,I71/I70)</f>
        <v/>
      </c>
      <c r="J97" s="17">
        <f>IF(J70=0,0,J71/J70)</f>
        <v/>
      </c>
      <c r="K97" s="17">
        <f>IF(K70=0,0,K71/K70)</f>
        <v/>
      </c>
      <c r="L97" s="17">
        <f>IF(L70=0,0,L71/L70)</f>
        <v/>
      </c>
      <c r="M97" s="17">
        <f>IF(M70=0,0,M71/M70)</f>
        <v/>
      </c>
      <c r="N97" s="17">
        <f>IF(N70=0,0,N71/N70)</f>
        <v/>
      </c>
      <c r="O97" s="17">
        <f>IF(O70=0,0,O71/O70)</f>
        <v/>
      </c>
      <c r="P97" s="17">
        <f>IF(P70=0,0,P71/P70)</f>
        <v/>
      </c>
      <c r="Q97" s="17">
        <f>IF(Q70=0,0,Q71/Q70)</f>
        <v/>
      </c>
      <c r="R97" s="17">
        <f>IF(R70=0,0,R71/R70)</f>
        <v/>
      </c>
      <c r="S97" s="17">
        <f>IF(S70=0,0,S71/S70)</f>
        <v/>
      </c>
      <c r="T97" s="17">
        <f>IF(T70=0,0,T71/T70)</f>
        <v/>
      </c>
      <c r="U97" s="17">
        <f>IF(U70=0,0,U71/U70)</f>
        <v/>
      </c>
      <c r="V97" s="17">
        <f>IF(V70=0,0,V71/V70)</f>
        <v/>
      </c>
      <c r="W97" s="17">
        <f>IF(W70=0,0,W71/W70)</f>
        <v/>
      </c>
      <c r="X97" s="17">
        <f>IF(X70=0,0,X71/X70)</f>
        <v/>
      </c>
      <c r="Y97" s="17">
        <f>IF(Y70=0,0,Y71/Y70)</f>
        <v/>
      </c>
      <c r="Z97" s="17">
        <f>IF(Z70=0,0,Z71/Z70)</f>
        <v/>
      </c>
      <c r="AA97" s="17">
        <f>IF(AA70=0,0,AA71/AA70)</f>
        <v/>
      </c>
    </row>
    <row r="98">
      <c r="A98" t="inlineStr">
        <is>
          <t>Capex / revenue</t>
        </is>
      </c>
      <c r="B98" t="inlineStr">
        <is>
          <t>capex_revenue</t>
        </is>
      </c>
      <c r="D98" s="4" t="n">
        <v>0.0001132951738832831</v>
      </c>
      <c r="E98" s="4" t="n">
        <v>0.005994261544963617</v>
      </c>
      <c r="F98" s="4" t="n">
        <v>0.01983877442879418</v>
      </c>
      <c r="G98" s="4" t="n">
        <v>0.0705322936798581</v>
      </c>
      <c r="H98" s="17">
        <f>IF(H54=0,0,H73/H54)</f>
        <v/>
      </c>
      <c r="I98" s="17">
        <f>IF(I54=0,0,I73/I54)</f>
        <v/>
      </c>
      <c r="J98" s="17">
        <f>IF(J54=0,0,J73/J54)</f>
        <v/>
      </c>
      <c r="K98" s="17">
        <f>IF(K54=0,0,K73/K54)</f>
        <v/>
      </c>
      <c r="L98" s="17">
        <f>IF(L54=0,0,L73/L54)</f>
        <v/>
      </c>
      <c r="M98" s="17">
        <f>IF(M54=0,0,M73/M54)</f>
        <v/>
      </c>
      <c r="N98" s="17">
        <f>IF(N54=0,0,N73/N54)</f>
        <v/>
      </c>
      <c r="O98" s="17">
        <f>IF(O54=0,0,O73/O54)</f>
        <v/>
      </c>
      <c r="P98" s="17">
        <f>IF(P54=0,0,P73/P54)</f>
        <v/>
      </c>
      <c r="Q98" s="17">
        <f>IF(Q54=0,0,Q73/Q54)</f>
        <v/>
      </c>
      <c r="R98" s="17">
        <f>IF(R54=0,0,R73/R54)</f>
        <v/>
      </c>
      <c r="S98" s="17">
        <f>IF(S54=0,0,S73/S54)</f>
        <v/>
      </c>
      <c r="T98" s="17">
        <f>IF(T54=0,0,T73/T54)</f>
        <v/>
      </c>
      <c r="U98" s="17">
        <f>IF(U54=0,0,U73/U54)</f>
        <v/>
      </c>
      <c r="V98" s="17">
        <f>IF(V54=0,0,V73/V54)</f>
        <v/>
      </c>
      <c r="W98" s="17">
        <f>IF(W54=0,0,W73/W54)</f>
        <v/>
      </c>
      <c r="X98" s="17">
        <f>IF(X54=0,0,X73/X54)</f>
        <v/>
      </c>
      <c r="Y98" s="17">
        <f>IF(Y54=0,0,Y73/Y54)</f>
        <v/>
      </c>
      <c r="Z98" s="17">
        <f>IF(Z54=0,0,Z73/Z54)</f>
        <v/>
      </c>
      <c r="AA98" s="17">
        <f>IF(AA54=0,0,AA73/AA54)</f>
        <v/>
      </c>
    </row>
    <row r="100">
      <c r="A100" s="1" t="inlineStr">
        <is>
          <t>VALUATION</t>
        </is>
      </c>
    </row>
    <row r="101">
      <c r="A101" t="inlineStr">
        <is>
          <t>Last price (IDR)</t>
        </is>
      </c>
      <c r="C101" s="20" t="n">
        <v>800</v>
      </c>
    </row>
    <row r="102">
      <c r="A102" t="inlineStr">
        <is>
          <t>Shares outstanding (m)</t>
        </is>
      </c>
      <c r="C102" s="13" t="n">
        <v>15586.909438</v>
      </c>
    </row>
    <row r="103">
      <c r="A103" t="inlineStr">
        <is>
          <t>IDR per USD (spot)</t>
        </is>
      </c>
      <c r="C103" s="3" t="n">
        <v>18110</v>
      </c>
    </row>
    <row r="104">
      <c r="A104" t="inlineStr">
        <is>
          <t>Debt at balance-sheet date</t>
        </is>
      </c>
      <c r="C104" s="13" t="n">
        <v>2222.316719668</v>
      </c>
    </row>
    <row r="105">
      <c r="A105" t="inlineStr">
        <is>
          <t>Cash at balance-sheet date</t>
        </is>
      </c>
      <c r="C105" s="13" t="n">
        <v>270.021002061</v>
      </c>
    </row>
    <row r="106">
      <c r="A106" t="inlineStr">
        <is>
          <t>Minority interest (book)</t>
        </is>
      </c>
      <c r="C106" s="13" t="n">
        <v>133.739754302</v>
      </c>
    </row>
    <row r="107">
      <c r="A107" t="inlineStr">
        <is>
          <t>Associates &amp; investments (book)</t>
        </is>
      </c>
      <c r="C107" s="13" t="n">
        <v>4.365436924</v>
      </c>
    </row>
    <row r="108">
      <c r="A108" t="inlineStr">
        <is>
          <t>Post-balance-sheet &amp; other items (sourced, probability-weighted)</t>
        </is>
      </c>
      <c r="C108" s="13" t="n">
        <v>0</v>
      </c>
    </row>
    <row r="109">
      <c r="A109" t="inlineStr">
        <is>
          <t>Parent equity at balance-sheet date</t>
        </is>
      </c>
      <c r="C109" s="13" t="n">
        <v>2447.012104329</v>
      </c>
    </row>
    <row r="110">
      <c r="A110" t="inlineStr">
        <is>
          <t>Per-share factor</t>
        </is>
      </c>
      <c r="C110" s="24" t="n">
        <v>1000</v>
      </c>
    </row>
    <row r="111">
      <c r="A111" t="inlineStr">
        <is>
          <t>Risk-free rate</t>
        </is>
      </c>
      <c r="C111" s="8">
        <f>Drivers!$C$10</f>
        <v/>
      </c>
    </row>
    <row r="112">
      <c r="A112" t="inlineStr">
        <is>
          <t>Less: default spread (IDR only)</t>
        </is>
      </c>
      <c r="C112" s="8">
        <f>Drivers!$C$12</f>
        <v/>
      </c>
    </row>
    <row r="113">
      <c r="A113" t="inlineStr">
        <is>
          <t>Mature ERP + Indonesia CRP</t>
        </is>
      </c>
      <c r="C113" s="8">
        <f>Drivers!$C$13+Drivers!$C$14</f>
        <v/>
      </c>
    </row>
    <row r="114">
      <c r="A114" t="inlineStr">
        <is>
          <t>Tax rate</t>
        </is>
      </c>
      <c r="C114" s="8">
        <f>Drivers!$C$16</f>
        <v/>
      </c>
    </row>
    <row r="115">
      <c r="A115" t="inlineStr">
        <is>
          <t>Unlevered beta (industry median of 19 regressions vs ^JKSE)</t>
        </is>
      </c>
      <c r="C115" s="14" t="n">
        <v>0.8008</v>
      </c>
    </row>
    <row r="116">
      <c r="A116" t="inlineStr">
        <is>
          <t>Debt / equity (market)</t>
        </is>
      </c>
      <c r="C116" s="14" t="n">
        <v>0.1782198010859451</v>
      </c>
    </row>
    <row r="117">
      <c r="A117" t="inlineStr">
        <is>
          <t>Levered beta</t>
        </is>
      </c>
      <c r="C117" s="25">
        <f>$C$115*(1+(1-$C$114)*$C$116)</f>
        <v/>
      </c>
    </row>
    <row r="118">
      <c r="A118" t="inlineStr">
        <is>
          <t>Explicit company premium</t>
        </is>
      </c>
      <c r="C118" s="4" t="n">
        <v>0</v>
      </c>
    </row>
    <row r="119">
      <c r="A119" t="inlineStr">
        <is>
          <t>Cost of equity</t>
        </is>
      </c>
      <c r="C119" s="10">
        <f>$C$111-$C$112+$C$117*$C$113+$C$118</f>
        <v/>
      </c>
    </row>
    <row r="120">
      <c r="A120" t="inlineStr">
        <is>
          <t>Pre-tax cost of debt</t>
        </is>
      </c>
      <c r="C120" s="10">
        <f>$C$111+Drivers!$C$15</f>
        <v/>
      </c>
    </row>
    <row r="121">
      <c r="A121" t="inlineStr">
        <is>
          <t>WACC</t>
        </is>
      </c>
      <c r="C121" s="10">
        <f>1/(1+$C$116)*$C$119+$C$116/(1+$C$116)*$C$120*(1-$C$114)</f>
        <v/>
      </c>
    </row>
    <row r="122">
      <c r="A122" t="inlineStr">
        <is>
          <t>Terminal growth (capped)</t>
        </is>
      </c>
      <c r="C122" s="4" t="n">
        <v>0.035</v>
      </c>
    </row>
    <row r="124">
      <c r="A124" s="1" t="inlineStr">
        <is>
          <t>DCF (FCFF, terminal value)</t>
        </is>
      </c>
    </row>
    <row r="125">
      <c r="A125" t="inlineStr">
        <is>
          <t>Share of year after balance-sheet date</t>
        </is>
      </c>
      <c r="H125" s="12" t="n">
        <v>0.503765</v>
      </c>
      <c r="I125" s="12" t="n">
        <v>0.996578</v>
      </c>
      <c r="J125" s="12" t="n">
        <v>0.999316</v>
      </c>
      <c r="K125" s="12" t="n">
        <v>0.996578</v>
      </c>
      <c r="L125" s="12" t="n">
        <v>0.996578</v>
      </c>
      <c r="M125" s="12" t="n">
        <v>0.996578</v>
      </c>
      <c r="N125" s="12" t="n">
        <v>0.999316</v>
      </c>
      <c r="O125" s="12" t="n">
        <v>0.996578</v>
      </c>
      <c r="P125" s="12" t="n">
        <v>0.996578</v>
      </c>
      <c r="Q125" s="12" t="n">
        <v>0.996578</v>
      </c>
      <c r="R125" s="12" t="n">
        <v>0.999316</v>
      </c>
      <c r="S125" s="12" t="n">
        <v>0.996578</v>
      </c>
      <c r="T125" s="12" t="n">
        <v>0.996578</v>
      </c>
      <c r="U125" s="12" t="n">
        <v>0.996578</v>
      </c>
      <c r="V125" s="12" t="n">
        <v>0.999316</v>
      </c>
      <c r="W125" s="12" t="n">
        <v>0.996578</v>
      </c>
      <c r="X125" s="12" t="n">
        <v>0.996578</v>
      </c>
      <c r="Y125" s="12" t="n">
        <v>0.996578</v>
      </c>
      <c r="Z125" s="12" t="n">
        <v>0.999316</v>
      </c>
      <c r="AA125" s="12" t="n">
        <v>0.996578</v>
      </c>
    </row>
    <row r="126">
      <c r="A126" t="inlineStr">
        <is>
          <t>Discount time from valuation date (years)</t>
        </is>
      </c>
      <c r="H126" s="12" t="n">
        <v>0</v>
      </c>
      <c r="I126" s="12" t="n">
        <v>0.678987</v>
      </c>
      <c r="J126" s="12" t="n">
        <v>1.678303</v>
      </c>
      <c r="K126" s="12" t="n">
        <v>2.680356</v>
      </c>
      <c r="L126" s="12" t="n">
        <v>3.679671</v>
      </c>
      <c r="M126" s="12" t="n">
        <v>4.678987</v>
      </c>
      <c r="N126" s="12" t="n">
        <v>5.678303</v>
      </c>
      <c r="O126" s="12" t="n">
        <v>6.680356</v>
      </c>
      <c r="P126" s="12" t="n">
        <v>7.679671</v>
      </c>
      <c r="Q126" s="12" t="n">
        <v>8.678986999999999</v>
      </c>
      <c r="R126" s="12" t="n">
        <v>9.678303</v>
      </c>
      <c r="S126" s="12" t="n">
        <v>10.680356</v>
      </c>
      <c r="T126" s="12" t="n">
        <v>11.679671</v>
      </c>
      <c r="U126" s="12" t="n">
        <v>12.678987</v>
      </c>
      <c r="V126" s="12" t="n">
        <v>13.678303</v>
      </c>
      <c r="W126" s="12" t="n">
        <v>14.680356</v>
      </c>
      <c r="X126" s="12" t="n">
        <v>15.679671</v>
      </c>
      <c r="Y126" s="12" t="n">
        <v>16.678987</v>
      </c>
      <c r="Z126" s="12" t="n">
        <v>17.678303</v>
      </c>
      <c r="AA126" s="12" t="n">
        <v>18.680356</v>
      </c>
    </row>
    <row r="127">
      <c r="A127" t="inlineStr">
        <is>
          <t>Discount factor</t>
        </is>
      </c>
      <c r="H127">
        <f>1/(1+$C$121)^H126</f>
        <v/>
      </c>
      <c r="I127">
        <f>1/(1+$C$121)^I126</f>
        <v/>
      </c>
      <c r="J127">
        <f>1/(1+$C$121)^J126</f>
        <v/>
      </c>
      <c r="K127">
        <f>1/(1+$C$121)^K126</f>
        <v/>
      </c>
      <c r="L127">
        <f>1/(1+$C$121)^L126</f>
        <v/>
      </c>
      <c r="M127">
        <f>1/(1+$C$121)^M126</f>
        <v/>
      </c>
      <c r="N127">
        <f>1/(1+$C$121)^N126</f>
        <v/>
      </c>
      <c r="O127">
        <f>1/(1+$C$121)^O126</f>
        <v/>
      </c>
      <c r="P127">
        <f>1/(1+$C$121)^P126</f>
        <v/>
      </c>
      <c r="Q127">
        <f>1/(1+$C$121)^Q126</f>
        <v/>
      </c>
      <c r="R127">
        <f>1/(1+$C$121)^R126</f>
        <v/>
      </c>
      <c r="S127">
        <f>1/(1+$C$121)^S126</f>
        <v/>
      </c>
      <c r="T127">
        <f>1/(1+$C$121)^T126</f>
        <v/>
      </c>
      <c r="U127">
        <f>1/(1+$C$121)^U126</f>
        <v/>
      </c>
      <c r="V127">
        <f>1/(1+$C$121)^V126</f>
        <v/>
      </c>
      <c r="W127">
        <f>1/(1+$C$121)^W126</f>
        <v/>
      </c>
      <c r="X127">
        <f>1/(1+$C$121)^X126</f>
        <v/>
      </c>
      <c r="Y127">
        <f>1/(1+$C$121)^Y126</f>
        <v/>
      </c>
      <c r="Z127">
        <f>1/(1+$C$121)^Z126</f>
        <v/>
      </c>
      <c r="AA127">
        <f>1/(1+$C$121)^AA126</f>
        <v/>
      </c>
    </row>
    <row r="128">
      <c r="A128" t="inlineStr">
        <is>
          <t>PV of FCFF</t>
        </is>
      </c>
      <c r="H128" s="26">
        <f>H75*H125*H127</f>
        <v/>
      </c>
      <c r="I128" s="26">
        <f>I75*I125*I127</f>
        <v/>
      </c>
      <c r="J128" s="26">
        <f>J75*J125*J127</f>
        <v/>
      </c>
      <c r="K128" s="26">
        <f>K75*K125*K127</f>
        <v/>
      </c>
      <c r="L128" s="26">
        <f>L75*L125*L127</f>
        <v/>
      </c>
      <c r="M128" s="26">
        <f>M75*M125*M127</f>
        <v/>
      </c>
      <c r="N128" s="26">
        <f>N75*N125*N127</f>
        <v/>
      </c>
      <c r="O128" s="26">
        <f>O75*O125*O127</f>
        <v/>
      </c>
      <c r="P128" s="26">
        <f>P75*P125*P127</f>
        <v/>
      </c>
      <c r="Q128" s="26">
        <f>Q75*Q125*Q127</f>
        <v/>
      </c>
      <c r="R128" s="26">
        <f>R75*R125*R127</f>
        <v/>
      </c>
      <c r="S128" s="26">
        <f>S75*S125*S127</f>
        <v/>
      </c>
      <c r="T128" s="26">
        <f>T75*T125*T127</f>
        <v/>
      </c>
      <c r="U128" s="26">
        <f>U75*U125*U127</f>
        <v/>
      </c>
      <c r="V128" s="26">
        <f>V75*V125*V127</f>
        <v/>
      </c>
      <c r="W128" s="26">
        <f>W75*W125*W127</f>
        <v/>
      </c>
      <c r="X128" s="26">
        <f>X75*X125*X127</f>
        <v/>
      </c>
      <c r="Y128" s="26">
        <f>Y75*Y125*Y127</f>
        <v/>
      </c>
      <c r="Z128" s="26">
        <f>Z75*Z125*Z127</f>
        <v/>
      </c>
      <c r="AA128" s="26">
        <f>AA75*AA125*AA127</f>
        <v/>
      </c>
    </row>
    <row r="129">
      <c r="A129" t="inlineStr">
        <is>
          <t>Sum of PV</t>
        </is>
      </c>
      <c r="C129" s="26">
        <f>SUM(H128:AA128)</f>
        <v/>
      </c>
    </row>
    <row r="130">
      <c r="A130" t="inlineStr">
        <is>
          <t>Years to end of horizon</t>
        </is>
      </c>
      <c r="C130" s="24" t="n">
        <v>19.178645</v>
      </c>
    </row>
    <row r="131">
      <c r="A131" t="inlineStr">
        <is>
          <t>Terminal value</t>
        </is>
      </c>
      <c r="C131" s="26">
        <f>AA75*(1+$C$122)/($C$121-$C$122)</f>
        <v/>
      </c>
    </row>
    <row r="132">
      <c r="A132" t="inlineStr">
        <is>
          <t>PV of terminal value</t>
        </is>
      </c>
      <c r="C132" s="26">
        <f>$C$131/(1+$C$121)^$C$130</f>
        <v/>
      </c>
    </row>
    <row r="133">
      <c r="A133" t="inlineStr">
        <is>
          <t>Enterprise value</t>
        </is>
      </c>
      <c r="C133" s="26">
        <f>$C$129+$C$132</f>
        <v/>
      </c>
    </row>
    <row r="134">
      <c r="A134" t="inlineStr">
        <is>
          <t>Equity value</t>
        </is>
      </c>
      <c r="C134" s="26">
        <f>$C$133-($C$104-$C$105)-$C$106+$C$107+$C$108</f>
        <v/>
      </c>
    </row>
    <row r="135">
      <c r="A135" t="inlineStr">
        <is>
          <t>Value per share (IDR) — DCF (FCFF, terminal value)</t>
        </is>
      </c>
      <c r="C135" s="27">
        <f>MAX(0,$C$134/$C$102*$C$110*1)</f>
        <v/>
      </c>
    </row>
    <row r="137">
      <c r="A137" s="1" t="inlineStr">
        <is>
          <t>DCF to end of life (no terminal value)</t>
        </is>
      </c>
    </row>
    <row r="138">
      <c r="A138" t="inlineStr">
        <is>
          <t>Share of year after balance-sheet date</t>
        </is>
      </c>
      <c r="H138" s="12" t="n">
        <v>0.503765</v>
      </c>
      <c r="I138" s="12" t="n">
        <v>0.996578</v>
      </c>
      <c r="J138" s="12" t="n">
        <v>0.999316</v>
      </c>
      <c r="K138" s="12" t="n">
        <v>0.996578</v>
      </c>
      <c r="L138" s="12" t="n">
        <v>0.996578</v>
      </c>
      <c r="M138" s="12" t="n">
        <v>0.996578</v>
      </c>
      <c r="N138" s="12" t="n">
        <v>0.999316</v>
      </c>
      <c r="O138" s="12" t="n">
        <v>0.996578</v>
      </c>
      <c r="P138" s="12" t="n">
        <v>0.996578</v>
      </c>
      <c r="Q138" s="12" t="n">
        <v>0.996578</v>
      </c>
      <c r="R138" s="12" t="n">
        <v>0.999316</v>
      </c>
      <c r="S138" s="12" t="n">
        <v>0.996578</v>
      </c>
      <c r="T138" s="12" t="n">
        <v>0.996578</v>
      </c>
      <c r="U138" s="12" t="n">
        <v>0.996578</v>
      </c>
      <c r="V138" s="12" t="n">
        <v>0.999316</v>
      </c>
      <c r="W138" s="12" t="n">
        <v>0.996578</v>
      </c>
      <c r="X138" s="12" t="n">
        <v>0.996578</v>
      </c>
      <c r="Y138" s="12" t="n">
        <v>0.996578</v>
      </c>
      <c r="Z138" s="12" t="n">
        <v>0.999316</v>
      </c>
      <c r="AA138" s="12" t="n">
        <v>0.996578</v>
      </c>
    </row>
    <row r="139">
      <c r="A139" t="inlineStr">
        <is>
          <t>Discount time from valuation date (years)</t>
        </is>
      </c>
      <c r="H139" s="12" t="n">
        <v>0</v>
      </c>
      <c r="I139" s="12" t="n">
        <v>0.678987</v>
      </c>
      <c r="J139" s="12" t="n">
        <v>1.678303</v>
      </c>
      <c r="K139" s="12" t="n">
        <v>2.680356</v>
      </c>
      <c r="L139" s="12" t="n">
        <v>3.679671</v>
      </c>
      <c r="M139" s="12" t="n">
        <v>4.678987</v>
      </c>
      <c r="N139" s="12" t="n">
        <v>5.678303</v>
      </c>
      <c r="O139" s="12" t="n">
        <v>6.680356</v>
      </c>
      <c r="P139" s="12" t="n">
        <v>7.679671</v>
      </c>
      <c r="Q139" s="12" t="n">
        <v>8.678986999999999</v>
      </c>
      <c r="R139" s="12" t="n">
        <v>9.678303</v>
      </c>
      <c r="S139" s="12" t="n">
        <v>10.680356</v>
      </c>
      <c r="T139" s="12" t="n">
        <v>11.679671</v>
      </c>
      <c r="U139" s="12" t="n">
        <v>12.678987</v>
      </c>
      <c r="V139" s="12" t="n">
        <v>13.678303</v>
      </c>
      <c r="W139" s="12" t="n">
        <v>14.680356</v>
      </c>
      <c r="X139" s="12" t="n">
        <v>15.679671</v>
      </c>
      <c r="Y139" s="12" t="n">
        <v>16.678987</v>
      </c>
      <c r="Z139" s="12" t="n">
        <v>17.678303</v>
      </c>
      <c r="AA139" s="12" t="n">
        <v>18.680356</v>
      </c>
    </row>
    <row r="140">
      <c r="A140" t="inlineStr">
        <is>
          <t>Discount factor</t>
        </is>
      </c>
      <c r="H140">
        <f>1/(1+$C$121)^H139</f>
        <v/>
      </c>
      <c r="I140">
        <f>1/(1+$C$121)^I139</f>
        <v/>
      </c>
      <c r="J140">
        <f>1/(1+$C$121)^J139</f>
        <v/>
      </c>
      <c r="K140">
        <f>1/(1+$C$121)^K139</f>
        <v/>
      </c>
      <c r="L140">
        <f>1/(1+$C$121)^L139</f>
        <v/>
      </c>
      <c r="M140">
        <f>1/(1+$C$121)^M139</f>
        <v/>
      </c>
      <c r="N140">
        <f>1/(1+$C$121)^N139</f>
        <v/>
      </c>
      <c r="O140">
        <f>1/(1+$C$121)^O139</f>
        <v/>
      </c>
      <c r="P140">
        <f>1/(1+$C$121)^P139</f>
        <v/>
      </c>
      <c r="Q140">
        <f>1/(1+$C$121)^Q139</f>
        <v/>
      </c>
      <c r="R140">
        <f>1/(1+$C$121)^R139</f>
        <v/>
      </c>
      <c r="S140">
        <f>1/(1+$C$121)^S139</f>
        <v/>
      </c>
      <c r="T140">
        <f>1/(1+$C$121)^T139</f>
        <v/>
      </c>
      <c r="U140">
        <f>1/(1+$C$121)^U139</f>
        <v/>
      </c>
      <c r="V140">
        <f>1/(1+$C$121)^V139</f>
        <v/>
      </c>
      <c r="W140">
        <f>1/(1+$C$121)^W139</f>
        <v/>
      </c>
      <c r="X140">
        <f>1/(1+$C$121)^X139</f>
        <v/>
      </c>
      <c r="Y140">
        <f>1/(1+$C$121)^Y139</f>
        <v/>
      </c>
      <c r="Z140">
        <f>1/(1+$C$121)^Z139</f>
        <v/>
      </c>
      <c r="AA140">
        <f>1/(1+$C$121)^AA139</f>
        <v/>
      </c>
    </row>
    <row r="141">
      <c r="A141" t="inlineStr">
        <is>
          <t>PV of FCFF</t>
        </is>
      </c>
      <c r="H141" s="26">
        <f>H75*H138*H140</f>
        <v/>
      </c>
      <c r="I141" s="26">
        <f>I75*I138*I140</f>
        <v/>
      </c>
      <c r="J141" s="26">
        <f>J75*J138*J140</f>
        <v/>
      </c>
      <c r="K141" s="26">
        <f>K75*K138*K140</f>
        <v/>
      </c>
      <c r="L141" s="26">
        <f>L75*L138*L140</f>
        <v/>
      </c>
      <c r="M141" s="26">
        <f>M75*M138*M140</f>
        <v/>
      </c>
      <c r="N141" s="26">
        <f>N75*N138*N140</f>
        <v/>
      </c>
      <c r="O141" s="26">
        <f>O75*O138*O140</f>
        <v/>
      </c>
      <c r="P141" s="26">
        <f>P75*P138*P140</f>
        <v/>
      </c>
      <c r="Q141" s="26">
        <f>Q75*Q138*Q140</f>
        <v/>
      </c>
      <c r="R141" s="26">
        <f>R75*R138*R140</f>
        <v/>
      </c>
      <c r="S141" s="26">
        <f>S75*S138*S140</f>
        <v/>
      </c>
      <c r="T141" s="26">
        <f>T75*T138*T140</f>
        <v/>
      </c>
      <c r="U141" s="26">
        <f>U75*U138*U140</f>
        <v/>
      </c>
      <c r="V141" s="26">
        <f>V75*V138*V140</f>
        <v/>
      </c>
      <c r="W141" s="26">
        <f>W75*W138*W140</f>
        <v/>
      </c>
      <c r="X141" s="26">
        <f>X75*X138*X140</f>
        <v/>
      </c>
      <c r="Y141" s="26">
        <f>Y75*Y138*Y140</f>
        <v/>
      </c>
      <c r="Z141" s="26">
        <f>Z75*Z138*Z140</f>
        <v/>
      </c>
      <c r="AA141" s="26">
        <f>AA75*AA138*AA140</f>
        <v/>
      </c>
    </row>
    <row r="142">
      <c r="A142" t="inlineStr">
        <is>
          <t>Cumulative PV (production stops at its peak)</t>
        </is>
      </c>
      <c r="H142" s="26">
        <f>H141</f>
        <v/>
      </c>
      <c r="I142" s="26">
        <f>H142+I141</f>
        <v/>
      </c>
      <c r="J142" s="26">
        <f>I142+J141</f>
        <v/>
      </c>
      <c r="K142" s="26">
        <f>J142+K141</f>
        <v/>
      </c>
      <c r="L142" s="26">
        <f>K142+L141</f>
        <v/>
      </c>
      <c r="M142" s="26">
        <f>L142+M141</f>
        <v/>
      </c>
      <c r="N142" s="26">
        <f>M142+N141</f>
        <v/>
      </c>
      <c r="O142" s="26">
        <f>N142+O141</f>
        <v/>
      </c>
      <c r="P142" s="26">
        <f>O142+P141</f>
        <v/>
      </c>
      <c r="Q142" s="26">
        <f>P142+Q141</f>
        <v/>
      </c>
      <c r="R142" s="26">
        <f>Q142+R141</f>
        <v/>
      </c>
      <c r="S142" s="26">
        <f>R142+S141</f>
        <v/>
      </c>
      <c r="T142" s="26">
        <f>S142+T141</f>
        <v/>
      </c>
      <c r="U142" s="26">
        <f>T142+U141</f>
        <v/>
      </c>
      <c r="V142" s="26">
        <f>U142+V141</f>
        <v/>
      </c>
      <c r="W142" s="26">
        <f>V142+W141</f>
        <v/>
      </c>
      <c r="X142" s="26">
        <f>W142+X141</f>
        <v/>
      </c>
      <c r="Y142" s="26">
        <f>X142+Y141</f>
        <v/>
      </c>
      <c r="Z142" s="26">
        <f>Y142+Z141</f>
        <v/>
      </c>
      <c r="AA142" s="26">
        <f>Z142+AA141</f>
        <v/>
      </c>
    </row>
    <row r="143">
      <c r="A143" t="inlineStr">
        <is>
          <t>Best cumulative PV (never below zero)</t>
        </is>
      </c>
      <c r="C143" s="26">
        <f>MAX(0,MAX(H142:AA142))</f>
        <v/>
      </c>
    </row>
    <row r="144">
      <c r="A144" t="inlineStr">
        <is>
          <t>No terminal value (end of life)</t>
        </is>
      </c>
      <c r="C144" s="26" t="n">
        <v>0</v>
      </c>
    </row>
    <row r="145">
      <c r="A145" t="inlineStr">
        <is>
          <t>Enterprise value</t>
        </is>
      </c>
      <c r="C145" s="26">
        <f>$C$143+$C$144</f>
        <v/>
      </c>
    </row>
    <row r="146">
      <c r="A146" t="inlineStr">
        <is>
          <t>Equity value</t>
        </is>
      </c>
      <c r="C146" s="26">
        <f>$C$145-($C$104-$C$105)-$C$106+$C$107+$C$108</f>
        <v/>
      </c>
    </row>
    <row r="147">
      <c r="A147" t="inlineStr">
        <is>
          <t>Value per share (IDR) — DCF to end of life (no terminal value)</t>
        </is>
      </c>
      <c r="C147" s="27">
        <f>MAX(0,$C$146/$C$102*$C$110*1)</f>
        <v/>
      </c>
    </row>
    <row r="149">
      <c r="A149" s="1" t="inlineStr">
        <is>
          <t>EV/EBITDA</t>
        </is>
      </c>
    </row>
    <row r="150">
      <c r="A150" t="inlineStr">
        <is>
          <t>Target multiple (average of peer median and own five-year average)</t>
        </is>
      </c>
      <c r="C150" s="22" t="n">
        <v>9.714473999999999</v>
      </c>
    </row>
    <row r="151">
      <c r="A151" t="inlineStr">
        <is>
          <t>Metric (LTM, or next-12m DPS for yield)</t>
        </is>
      </c>
      <c r="C151" s="13" t="n">
        <v>312.946277</v>
      </c>
    </row>
    <row r="152">
      <c r="A152" t="inlineStr">
        <is>
          <t>Value per share (IDR) — EV/EBITDA</t>
        </is>
      </c>
      <c r="C152" s="27">
        <f>MAX(0,($C$150*$C$151-($C$104-$C$105)-$C$106+$C$107+$C$108)/$C$102*$C$110*1)</f>
        <v/>
      </c>
    </row>
    <row r="154">
      <c r="A154" s="1" t="inlineStr">
        <is>
          <t>Dividend yield</t>
        </is>
      </c>
    </row>
    <row r="155">
      <c r="A155" t="inlineStr">
        <is>
          <t>Target multiple (average of peer median and own five-year average)</t>
        </is>
      </c>
      <c r="C155" s="4" t="n">
        <v>0.053001</v>
      </c>
    </row>
    <row r="156">
      <c r="A156" t="inlineStr">
        <is>
          <t>Metric (LTM, or next-12m DPS for yield)</t>
        </is>
      </c>
      <c r="C156" s="13" t="n">
        <v>1.651986</v>
      </c>
    </row>
    <row r="157">
      <c r="A157" t="inlineStr">
        <is>
          <t>Value per share (IDR) — Dividend yield</t>
        </is>
      </c>
      <c r="C157" s="27">
        <f>MAX(0,$C$156/$C$155*1)</f>
        <v/>
      </c>
    </row>
    <row r="159">
      <c r="A159" s="1" t="inlineStr">
        <is>
          <t>TARGET</t>
        </is>
      </c>
    </row>
    <row r="160">
      <c r="A160" t="inlineStr">
        <is>
          <t>Weight: DCF (FCFF, terminal value)</t>
        </is>
      </c>
      <c r="C160" s="4" t="n">
        <v>0.4</v>
      </c>
    </row>
    <row r="161">
      <c r="A161" t="inlineStr">
        <is>
          <t>Weight: DCF to end of life (no terminal value)</t>
        </is>
      </c>
      <c r="C161" s="4" t="n">
        <v>0.2</v>
      </c>
    </row>
    <row r="162">
      <c r="A162" t="inlineStr">
        <is>
          <t>Weight: EV/EBITDA</t>
        </is>
      </c>
      <c r="C162" s="4" t="n">
        <v>0.25</v>
      </c>
    </row>
    <row r="163">
      <c r="A163" t="inlineStr">
        <is>
          <t>Weight: Dividend yield</t>
        </is>
      </c>
      <c r="C163" s="4" t="n">
        <v>0.15</v>
      </c>
    </row>
    <row r="164">
      <c r="A164" t="inlineStr">
        <is>
          <t>Value today (weighted)</t>
        </is>
      </c>
      <c r="C164" s="27">
        <f>$C$135*$C$160+$C$147*$C$161+$C$152*$C$162+$C$157*$C$163</f>
        <v/>
      </c>
    </row>
    <row r="165">
      <c r="A165" t="inlineStr">
        <is>
          <t>DPS expected in next 12 months (IDR)</t>
        </is>
      </c>
      <c r="C165" s="20" t="n">
        <v>1.6519855093065</v>
      </c>
    </row>
    <row r="166">
      <c r="A166" t="inlineStr">
        <is>
          <t>Base-case 12-month value</t>
        </is>
      </c>
      <c r="C166" s="27">
        <f>MAX(0,$C$164*(1+$C$119)-$C$165)</f>
        <v/>
      </c>
    </row>
    <row r="167">
      <c r="A167" t="inlineStr">
        <is>
          <t>Bear probability</t>
        </is>
      </c>
      <c r="C167" s="4" t="n">
        <v>0.25</v>
      </c>
    </row>
    <row r="168">
      <c r="A168" t="inlineStr">
        <is>
          <t>Bear 12-month value (engine)</t>
        </is>
      </c>
      <c r="C168" s="20" t="n">
        <v>20.2432346896642</v>
      </c>
    </row>
    <row r="169">
      <c r="A169" t="inlineStr">
        <is>
          <t>Base probability</t>
        </is>
      </c>
      <c r="C169" s="4" t="n">
        <v>0.5</v>
      </c>
    </row>
    <row r="170">
      <c r="A170" t="inlineStr">
        <is>
          <t>Bull probability</t>
        </is>
      </c>
      <c r="C170" s="4" t="n">
        <v>0.25</v>
      </c>
    </row>
    <row r="171">
      <c r="A171" t="inlineStr">
        <is>
          <t>Bull 12-month value (engine)</t>
        </is>
      </c>
      <c r="C171" s="20" t="n">
        <v>185.5390395648609</v>
      </c>
    </row>
    <row r="172">
      <c r="A172" t="inlineStr">
        <is>
          <t>Probability-weighted 12-month value</t>
        </is>
      </c>
      <c r="C172" s="27">
        <f>$C$167*$C$168+$C$169*$C$166+$C$170*$C$171</f>
        <v/>
      </c>
    </row>
    <row r="173">
      <c r="A173" t="inlineStr">
        <is>
          <t>Liquidity discount (limits.yaml)</t>
        </is>
      </c>
      <c r="C173" s="4" t="n">
        <v>0</v>
      </c>
    </row>
    <row r="174">
      <c r="A174" t="inlineStr">
        <is>
          <t>TARGET PRICE (IDR)</t>
        </is>
      </c>
      <c r="C174" s="28">
        <f>$C$172*(1-$C$173)</f>
        <v/>
      </c>
    </row>
    <row r="175">
      <c r="A175" t="inlineStr">
        <is>
          <t>Expected 12-month total return</t>
        </is>
      </c>
      <c r="C175" s="29">
        <f>($C$174+$C$165)/$C$101-1</f>
        <v/>
      </c>
    </row>
    <row r="176">
      <c r="A176" t="inlineStr">
        <is>
          <t>Rating</t>
        </is>
      </c>
      <c r="C176" s="30">
        <f>IF($C$175&gt;=0.25,"BUY",IF($C$175&gt;=0.1,"ADD",IF($C$175&lt;=-0.25,"SELL",IF($C$175&lt;=-0.1,"REDUCE","HOLD"))))</f>
        <v/>
      </c>
    </row>
    <row r="178">
      <c r="A178" s="1" t="inlineStr">
        <is>
          <t>12-month value vs benchmark price and IDR/USD (engine values)</t>
        </is>
      </c>
    </row>
    <row r="179">
      <c r="A179" s="5" t="inlineStr">
        <is>
          <t>rows: IDR per USD (x deck) · columns: Benchmark price (x deck)</t>
        </is>
      </c>
      <c r="D179" s="1" t="n">
        <v>0.8</v>
      </c>
      <c r="E179" s="1" t="n">
        <v>0.9</v>
      </c>
      <c r="F179" s="1" t="n">
        <v>1</v>
      </c>
      <c r="G179" s="1" t="n">
        <v>1.1</v>
      </c>
      <c r="H179" s="1" t="n">
        <v>1.2</v>
      </c>
    </row>
    <row r="180">
      <c r="C180" s="1" t="n">
        <v>0.9</v>
      </c>
      <c r="D180" s="27" t="n">
        <v>20.243235</v>
      </c>
      <c r="E180" s="27" t="n">
        <v>20.243235</v>
      </c>
      <c r="F180" s="27" t="n">
        <v>20.270323</v>
      </c>
      <c r="G180" s="27" t="n">
        <v>78.281496</v>
      </c>
      <c r="H180" s="27" t="n">
        <v>238.859133</v>
      </c>
    </row>
    <row r="181">
      <c r="C181" s="1" t="n">
        <v>0.95</v>
      </c>
      <c r="D181" s="27" t="n">
        <v>20.243235</v>
      </c>
      <c r="E181" s="27" t="n">
        <v>20.243235</v>
      </c>
      <c r="F181" s="27" t="n">
        <v>20.52914</v>
      </c>
      <c r="G181" s="27" t="n">
        <v>83.604372</v>
      </c>
      <c r="H181" s="27" t="n">
        <v>253.034158</v>
      </c>
    </row>
    <row r="182">
      <c r="C182" s="1" t="n">
        <v>1</v>
      </c>
      <c r="D182" s="27" t="n">
        <v>20.243235</v>
      </c>
      <c r="E182" s="27" t="n">
        <v>20.243235</v>
      </c>
      <c r="F182" s="27" t="n">
        <v>20.787957</v>
      </c>
      <c r="G182" s="27" t="n">
        <v>88.92724800000001</v>
      </c>
      <c r="H182" s="27" t="n">
        <v>267.209182</v>
      </c>
    </row>
    <row r="183">
      <c r="C183" s="1" t="n">
        <v>1.05</v>
      </c>
      <c r="D183" s="27" t="n">
        <v>20.243235</v>
      </c>
      <c r="E183" s="27" t="n">
        <v>20.243235</v>
      </c>
      <c r="F183" s="27" t="n">
        <v>21.046773</v>
      </c>
      <c r="G183" s="27" t="n">
        <v>94.250124</v>
      </c>
      <c r="H183" s="27" t="n">
        <v>281.393438</v>
      </c>
    </row>
    <row r="184">
      <c r="C184" s="1" t="n">
        <v>1.1</v>
      </c>
      <c r="D184" s="27" t="n">
        <v>20.243235</v>
      </c>
      <c r="E184" s="27" t="n">
        <v>20.243235</v>
      </c>
      <c r="F184" s="27" t="n">
        <v>21.30559</v>
      </c>
      <c r="G184" s="27" t="n">
        <v>99.57299999999999</v>
      </c>
      <c r="H184" s="27" t="n">
        <v>295.578766</v>
      </c>
    </row>
    <row r="186">
      <c r="A186" s="1" t="inlineStr">
        <is>
          <t>12-month value vs volume and unit cost intensity (engine values)</t>
        </is>
      </c>
    </row>
    <row r="187">
      <c r="A187" s="5" t="inlineStr">
        <is>
          <t>rows: Volume (x plan) · columns: Cost intensity / strip ratio (x)</t>
        </is>
      </c>
      <c r="D187" s="1" t="n">
        <v>0.85</v>
      </c>
      <c r="E187" s="1" t="n">
        <v>0.925</v>
      </c>
      <c r="F187" s="1" t="n">
        <v>1</v>
      </c>
      <c r="G187" s="1" t="n">
        <v>1.075</v>
      </c>
      <c r="H187" s="1" t="n">
        <v>1.15</v>
      </c>
    </row>
    <row r="188">
      <c r="C188" s="1" t="n">
        <v>0.9</v>
      </c>
      <c r="D188" s="27" t="n">
        <v>339.31792</v>
      </c>
      <c r="E188" s="27" t="n">
        <v>207.702293</v>
      </c>
      <c r="F188" s="27" t="n">
        <v>76.086665</v>
      </c>
      <c r="G188" s="27" t="n">
        <v>20.243235</v>
      </c>
      <c r="H188" s="27" t="n">
        <v>20.243235</v>
      </c>
    </row>
    <row r="189">
      <c r="C189" s="1" t="n">
        <v>0.95</v>
      </c>
      <c r="D189" s="27" t="n">
        <v>358.076683</v>
      </c>
      <c r="E189" s="27" t="n">
        <v>219.149076</v>
      </c>
      <c r="F189" s="27" t="n">
        <v>80.221468</v>
      </c>
      <c r="G189" s="27" t="n">
        <v>20.243235</v>
      </c>
      <c r="H189" s="27" t="n">
        <v>20.243235</v>
      </c>
    </row>
    <row r="190">
      <c r="C190" s="1" t="n">
        <v>1</v>
      </c>
      <c r="D190" s="27" t="n">
        <v>376.835445</v>
      </c>
      <c r="E190" s="27" t="n">
        <v>230.595859</v>
      </c>
      <c r="F190" s="27" t="n">
        <v>84.356272</v>
      </c>
      <c r="G190" s="27" t="n">
        <v>20.243235</v>
      </c>
      <c r="H190" s="27" t="n">
        <v>20.243235</v>
      </c>
    </row>
    <row r="191">
      <c r="C191" s="1" t="n">
        <v>1.05</v>
      </c>
      <c r="D191" s="27" t="n">
        <v>395.594208</v>
      </c>
      <c r="E191" s="27" t="n">
        <v>242.042642</v>
      </c>
      <c r="F191" s="27" t="n">
        <v>88.49107600000001</v>
      </c>
      <c r="G191" s="27" t="n">
        <v>20.243235</v>
      </c>
      <c r="H191" s="27" t="n">
        <v>20.243235</v>
      </c>
    </row>
    <row r="192">
      <c r="C192" s="1" t="n">
        <v>1.1</v>
      </c>
      <c r="D192" s="27" t="n">
        <v>414.35297</v>
      </c>
      <c r="E192" s="27" t="n">
        <v>253.489425</v>
      </c>
      <c r="F192" s="27" t="n">
        <v>92.62588</v>
      </c>
      <c r="G192" s="27" t="n">
        <v>20.243235</v>
      </c>
      <c r="H192" s="27" t="n">
        <v>20.243235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2026-10-27T03:28:08Z</dcterms:created>
  <dcterms:modified xsi:type="dcterms:W3CDTF">2026-10-27T03:28:08Z</dcterms:modified>
</cp:coreProperties>
</file>