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rivers" sheetId="2" state="visible" r:id="rId2"/>
    <sheet name="Comps" sheetId="3" state="visible" r:id="rId3"/>
    <sheet name="ALII" sheetId="4" state="visible" r:id="rId4"/>
    <sheet name="BBRM" sheetId="5" state="visible" r:id="rId5"/>
    <sheet name="BESS" sheetId="6" state="visible" r:id="rId6"/>
    <sheet name="DWGL" sheetId="7" state="visible" r:id="rId7"/>
    <sheet name="FIRE" sheetId="8" state="visible" r:id="rId8"/>
    <sheet name="SG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;(#,##0.00);&quot;-&quot;"/>
    <numFmt numFmtId="165" formatCode="0.0%;(0.0%);&quot;-&quot;"/>
    <numFmt numFmtId="166" formatCode="#,##0.0;(#,##0.0);&quot;-&quot;"/>
    <numFmt numFmtId="167" formatCode="#,##0;(#,##0);&quot;-&quot;"/>
    <numFmt numFmtId="168" formatCode="0.0&quot;x&quot;;(0.0&quot;x&quot;);&quot;-&quot;"/>
    <numFmt numFmtId="169" formatCode="#,##0.000;(#,##0.000);&quot;-&quot;"/>
    <numFmt numFmtId="170" formatCode="0.00;(0.00);&quot;-&quot;"/>
  </numFmts>
  <fonts count="8">
    <font>
      <name val="Calibri"/>
      <family val="2"/>
      <color theme="1"/>
      <sz val="11"/>
      <scheme val="minor"/>
    </font>
    <font>
      <b val="1"/>
    </font>
    <font>
      <color rgb="FF0000FF"/>
    </font>
    <font>
      <color rgb="FF6B7280"/>
    </font>
    <font>
      <b val="1"/>
      <sz val="12"/>
    </font>
    <font>
      <color rgb="FF000000"/>
    </font>
    <font>
      <color rgb="FF008000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49" fontId="6" fillId="0" borderId="0" pivotButton="0" quotePrefix="0" xfId="0"/>
    <xf numFmtId="167" fontId="6" fillId="0" borderId="0" pivotButton="0" quotePrefix="0" xfId="0"/>
    <xf numFmtId="165" fontId="6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6" fontId="5" fillId="0" borderId="0" pivotButton="0" quotePrefix="0" xfId="0"/>
    <xf numFmtId="166" fontId="6" fillId="0" borderId="0" pivotButton="0" quotePrefix="0" xfId="0"/>
    <xf numFmtId="167" fontId="2" fillId="0" borderId="0" pivotButton="0" quotePrefix="0" xfId="0"/>
    <xf numFmtId="167" fontId="5" fillId="0" borderId="0" pivotButton="0" quotePrefix="0" xfId="0"/>
    <xf numFmtId="165" fontId="5" fillId="0" borderId="0" pivotButton="0" quotePrefix="0" xfId="0"/>
    <xf numFmtId="168" fontId="2" fillId="0" borderId="0" pivotButton="0" quotePrefix="0" xfId="0"/>
    <xf numFmtId="168" fontId="5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17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9" fontId="0" fillId="0" borderId="0" pivotButton="0" quotePrefix="0" xfId="0"/>
    <xf numFmtId="167" fontId="1" fillId="0" borderId="0" pivotButton="0" quotePrefix="0" xfId="0"/>
    <xf numFmtId="165" fontId="1" fillId="0" borderId="0" pivotButton="0" quotePrefix="0" xfId="0"/>
    <xf numFmtId="49" fontId="1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Six South — Coal distribution, trading &amp; logistics industry model</t>
        </is>
      </c>
    </row>
    <row r="2">
      <c r="A2" s="2" t="inlineStr">
        <is>
          <t>Generated 2026-10-30T07:57:06+07:00 by the coverage engine. The engine (scripts/cov_engine.py) is the source of truth; this workbook is a live rendering of it.</t>
        </is>
      </c>
    </row>
    <row r="3">
      <c r="A3" s="2" t="inlineStr">
        <is>
          <t>Colour key: blue = input or hard-coded history; black = formula; green = link to another sheet.</t>
        </is>
      </c>
    </row>
    <row r="4">
      <c r="A4" s="2" t="inlineStr">
        <is>
          <t>Drivers: every deck variable these models read. Change one and every ticker tab and the Comps sheet recalculate (forecasts, cash flows, DCF value, base-case value, target, rating).</t>
        </is>
      </c>
    </row>
    <row r="5">
      <c r="A5" s="2" t="inlineStr">
        <is>
          <t>Scenario (bear/bull) and sensitivity tables need full model re-runs and are engine values.</t>
        </is>
      </c>
    </row>
    <row r="6">
      <c r="A6" s="2" t="inlineStr">
        <is>
          <t>Paper fund — research for education and process transparency, not investment advice.</t>
        </is>
      </c>
    </row>
    <row r="7">
      <c r="A7" s="2" t="inlineStr"/>
    </row>
    <row r="8">
      <c r="A8" s="1" t="inlineStr">
        <is>
          <t>Tickers:</t>
        </is>
      </c>
    </row>
    <row r="9">
      <c r="A9" t="inlineStr">
        <is>
          <t>ALII.JK — PT Ancara Logistics Indonesia Tbk</t>
        </is>
      </c>
    </row>
    <row r="10">
      <c r="A10" t="inlineStr">
        <is>
          <t>BBRM.JK — PT Pelayaran Nasional Bina Buana Raya Tbk</t>
        </is>
      </c>
    </row>
    <row r="11">
      <c r="A11" t="inlineStr">
        <is>
          <t>BESS.JK — PT Batulicin Nusantara Maritim Tbk</t>
        </is>
      </c>
    </row>
    <row r="12">
      <c r="A12" t="inlineStr">
        <is>
          <t>DWGL.JK — PT Dwi Guna Laksana Tbk</t>
        </is>
      </c>
    </row>
    <row r="13">
      <c r="A13" t="inlineStr">
        <is>
          <t>FIRE.JK — PT Alfa Energi Investama Tbk</t>
        </is>
      </c>
    </row>
    <row r="14">
      <c r="A14" t="inlineStr">
        <is>
          <t>SGER.JK — PT Sumber Global Energy Tbk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</cols>
  <sheetData>
    <row r="1">
      <c r="A1" s="1" t="inlineStr">
        <is>
          <t>Driver decks (state/drivers) — edit a blue cell to flow it through every ticker tab</t>
        </is>
      </c>
    </row>
    <row r="3">
      <c r="A3" s="1" t="inlineStr">
        <is>
          <t>Variable</t>
        </is>
      </c>
      <c r="B3" s="1" t="inlineStr">
        <is>
          <t>Key</t>
        </is>
      </c>
      <c r="C3" s="1" t="inlineStr">
        <is>
          <t>Unit / status</t>
        </is>
      </c>
      <c r="D3" s="1" t="inlineStr">
        <is>
          <t>FY2022A</t>
        </is>
      </c>
      <c r="E3" s="1" t="inlineStr">
        <is>
          <t>FY2023A</t>
        </is>
      </c>
      <c r="F3" s="1" t="inlineStr">
        <is>
          <t>FY2024A</t>
        </is>
      </c>
      <c r="G3" s="1" t="inlineStr">
        <is>
          <t>FY2025A</t>
        </is>
      </c>
      <c r="H3" s="1" t="inlineStr">
        <is>
          <t>FY2026E</t>
        </is>
      </c>
      <c r="I3" s="1" t="inlineStr">
        <is>
          <t>FY2027E</t>
        </is>
      </c>
      <c r="J3" s="1" t="inlineStr">
        <is>
          <t>FY2028E</t>
        </is>
      </c>
      <c r="K3" s="1" t="inlineStr">
        <is>
          <t>FY2029E</t>
        </is>
      </c>
      <c r="L3" s="1" t="inlineStr">
        <is>
          <t>FY2030E</t>
        </is>
      </c>
      <c r="M3" s="1" t="inlineStr">
        <is>
          <t>FY2031E</t>
        </is>
      </c>
      <c r="N3" s="1" t="inlineStr">
        <is>
          <t>FY2032E</t>
        </is>
      </c>
      <c r="O3" s="1" t="inlineStr">
        <is>
          <t>FY2033E</t>
        </is>
      </c>
      <c r="P3" s="1" t="inlineStr">
        <is>
          <t>FY2034E</t>
        </is>
      </c>
      <c r="Q3" s="1" t="inlineStr">
        <is>
          <t>FY2035E</t>
        </is>
      </c>
    </row>
    <row r="4">
      <c r="A4" t="inlineStr">
        <is>
          <t>Newcastle 6,000 kcal/kg NAR thermal coal</t>
        </is>
      </c>
      <c r="B4" t="inlineStr">
        <is>
          <t>d.coal.newc</t>
        </is>
      </c>
      <c r="C4" t="inlineStr">
        <is>
          <t>USD/t · reviewed</t>
        </is>
      </c>
      <c r="D4" s="3" t="n"/>
      <c r="E4" s="3" t="n"/>
      <c r="F4" s="3" t="n">
        <v>136.1</v>
      </c>
      <c r="G4" s="3" t="n">
        <v>108.4</v>
      </c>
      <c r="H4" s="3" t="n">
        <v>137</v>
      </c>
      <c r="I4" s="3" t="n">
        <v>118</v>
      </c>
      <c r="J4" s="3" t="n">
        <v>110</v>
      </c>
      <c r="K4" s="3" t="n">
        <v>105</v>
      </c>
      <c r="L4" s="3" t="n">
        <v>107.1</v>
      </c>
      <c r="M4" s="3" t="n">
        <v>109.242</v>
      </c>
      <c r="N4" s="3" t="n">
        <v>111.42684</v>
      </c>
      <c r="O4" s="3" t="n">
        <v>113.6553768</v>
      </c>
      <c r="P4" s="3" t="n">
        <v>115.928484336</v>
      </c>
      <c r="Q4" s="3" t="n">
        <v>118.24705402272</v>
      </c>
    </row>
    <row r="5">
      <c r="A5" t="inlineStr">
        <is>
          <t>IDR per USD</t>
        </is>
      </c>
      <c r="B5" t="inlineStr">
        <is>
          <t>m.usd_idr</t>
        </is>
      </c>
      <c r="C5" t="inlineStr">
        <is>
          <t>IDR/USD · reviewed</t>
        </is>
      </c>
      <c r="D5" s="3" t="n">
        <v>14843.1773</v>
      </c>
      <c r="E5" s="3" t="n">
        <v>15228.8</v>
      </c>
      <c r="F5" s="3" t="n">
        <v>15846.2378</v>
      </c>
      <c r="G5" s="3" t="n">
        <v>16448.0929</v>
      </c>
      <c r="H5" s="3" t="n">
        <v>17570</v>
      </c>
      <c r="I5" s="3" t="n">
        <v>18350</v>
      </c>
      <c r="J5" s="3" t="n">
        <v>18600</v>
      </c>
      <c r="K5" s="3" t="n">
        <v>18850</v>
      </c>
      <c r="L5" s="3" t="n">
        <v>19093.13725490196</v>
      </c>
      <c r="M5" s="3" t="n">
        <v>19186.73106497501</v>
      </c>
      <c r="N5" s="3" t="n">
        <v>19280.78366823469</v>
      </c>
      <c r="O5" s="3" t="n">
        <v>19375.29731366722</v>
      </c>
      <c r="P5" s="3" t="n">
        <v>19470.27426128323</v>
      </c>
      <c r="Q5" s="3" t="n">
        <v>19565.71678217187</v>
      </c>
    </row>
    <row r="6">
      <c r="A6" t="inlineStr">
        <is>
          <t>Brent crude</t>
        </is>
      </c>
      <c r="B6" t="inlineStr">
        <is>
          <t>d.oil.brent</t>
        </is>
      </c>
      <c r="C6" t="inlineStr">
        <is>
          <t>USD/bbl · reviewed</t>
        </is>
      </c>
      <c r="D6" s="3" t="n">
        <v>98.9663</v>
      </c>
      <c r="E6" s="3" t="n">
        <v>82.1904</v>
      </c>
      <c r="F6" s="3" t="n">
        <v>79.82129999999999</v>
      </c>
      <c r="G6" s="3" t="n">
        <v>68.1015</v>
      </c>
      <c r="H6" s="3" t="n">
        <v>96</v>
      </c>
      <c r="I6" s="3" t="n">
        <v>84</v>
      </c>
      <c r="J6" s="3" t="n">
        <v>80</v>
      </c>
      <c r="K6" s="3" t="n">
        <v>78</v>
      </c>
      <c r="L6" s="3" t="n">
        <v>76.5</v>
      </c>
      <c r="M6" s="3" t="n">
        <v>78.03</v>
      </c>
      <c r="N6" s="3" t="n">
        <v>79.59060000000001</v>
      </c>
      <c r="O6" s="3" t="n">
        <v>81.182412</v>
      </c>
      <c r="P6" s="3" t="n">
        <v>82.80606024000001</v>
      </c>
      <c r="Q6" s="3" t="n">
        <v>84.46218144480001</v>
      </c>
    </row>
    <row r="8">
      <c r="A8" s="1" t="inlineStr">
        <is>
          <t>Cost-of-capital scalars (macro deck)</t>
        </is>
      </c>
    </row>
    <row r="9">
      <c r="A9" t="inlineStr">
        <is>
          <t>10-year Indonesian government bond yield (IDR)</t>
        </is>
      </c>
      <c r="B9" t="inlineStr">
        <is>
          <t>m.rf_idr</t>
        </is>
      </c>
      <c r="C9" s="4" t="n">
        <v>0.0745</v>
      </c>
      <c r="D9" s="5" t="inlineStr">
        <is>
          <t>investor.id — "Yield SUN 7,45%, Saatnya Borong atau Tunggu Lebih Tinggi?" (25 Okt 2026 20:58 WIB; deck source S3); corroborated by kalderanews S1 (10Y SUN 7.41%</t>
        </is>
      </c>
    </row>
    <row r="10">
      <c r="A10" t="inlineStr">
        <is>
          <t>10-year US Treasury yield</t>
        </is>
      </c>
      <c r="B10" t="inlineStr">
        <is>
          <t>m.rf_usd</t>
        </is>
      </c>
      <c r="C10" s="4" t="n">
        <v>0.04989</v>
      </c>
      <c r="D10" s="5" t="inlineStr">
        <is>
          <t>Yahoo Finance ^TNX (US 10-year Treasury yield)</t>
        </is>
      </c>
    </row>
    <row r="11">
      <c r="A11" t="inlineStr">
        <is>
          <t>Indonesia sovereign default spread (Damodaran)</t>
        </is>
      </c>
      <c r="B11" t="inlineStr">
        <is>
          <t>m.default_spread_id</t>
        </is>
      </c>
      <c r="C11" s="4" t="n">
        <v>0.0162</v>
      </c>
      <c r="D11" s="5" t="inlineStr">
        <is>
          <t>Damodaran country risk premiums (https://pages.stern.nyu.edu/~adamodar/New_Home_Page/datafile/ctryprem.html), page dated January 5, 2026, read 2026-10-30</t>
        </is>
      </c>
    </row>
    <row r="12">
      <c r="A12" t="inlineStr">
        <is>
          <t>Mature-market equity risk premium (Damodaran)</t>
        </is>
      </c>
      <c r="B12" t="inlineStr">
        <is>
          <t>m.erp_mature</t>
        </is>
      </c>
      <c r="C12" s="4" t="n">
        <v>0.0423</v>
      </c>
      <c r="D12" s="5" t="inlineStr">
        <is>
          <t>Damodaran country risk premiums (https://pages.stern.nyu.edu/~adamodar/New_Home_Page/datafile/ctryprem.html), page dated January 5, 2026, read 2026-10-30</t>
        </is>
      </c>
    </row>
    <row r="13">
      <c r="A13" t="inlineStr">
        <is>
          <t>Indonesia country risk premium (Damodaran)</t>
        </is>
      </c>
      <c r="B13" t="inlineStr">
        <is>
          <t>m.crp_id</t>
        </is>
      </c>
      <c r="C13" s="4" t="n">
        <v>0.0246</v>
      </c>
      <c r="D13" s="5" t="inlineStr">
        <is>
          <t>Damodaran country risk premiums (https://pages.stern.nyu.edu/~adamodar/New_Home_Page/datafile/ctryprem.html), page dated January 5, 2026, read 2026-10-30</t>
        </is>
      </c>
    </row>
    <row r="14">
      <c r="A14" t="inlineStr">
        <is>
          <t>House pre-tax corporate debt spread over the risk-free</t>
        </is>
      </c>
      <c r="B14" t="inlineStr">
        <is>
          <t>m.debt_spread_corp</t>
        </is>
      </c>
      <c r="C14" s="4" t="n">
        <v>0.02</v>
      </c>
      <c r="D14" s="5" t="inlineStr">
        <is>
          <t>SEED house assumption pending the macro desk: 200 bp over the risk-free rate for an average IDX corporate borrower</t>
        </is>
      </c>
    </row>
    <row r="15">
      <c r="A15" t="inlineStr">
        <is>
          <t>Indonesia statutory corporate income tax rate</t>
        </is>
      </c>
      <c r="B15" t="inlineStr">
        <is>
          <t>m.tax_rate_id</t>
        </is>
      </c>
      <c r="C15" s="4" t="n">
        <v>0.22</v>
      </c>
      <c r="D15" s="5" t="inlineStr">
        <is>
          <t>Law 7/2021 on Harmonisation of Tax Regulations (UU HPP): 22% corporate income tax from fiscal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Rating</t>
        </is>
      </c>
      <c r="D1" s="1" t="inlineStr">
        <is>
          <t>Target (IDR)</t>
        </is>
      </c>
      <c r="E1" s="1" t="inlineStr">
        <is>
          <t>Price (IDR)</t>
        </is>
      </c>
      <c r="F1" s="1" t="inlineStr">
        <is>
          <t>Exp. 12m TR</t>
        </is>
      </c>
      <c r="G1" s="1" t="inlineStr">
        <is>
          <t>Value today</t>
        </is>
      </c>
      <c r="H1" s="1" t="inlineStr">
        <is>
          <t>P/E FY+0</t>
        </is>
      </c>
      <c r="I1" s="1" t="inlineStr">
        <is>
          <t>EV/EBITDA FY+0</t>
        </is>
      </c>
      <c r="J1" s="1" t="inlineStr">
        <is>
          <t>Div. yield FY+0</t>
        </is>
      </c>
    </row>
    <row r="2">
      <c r="A2" t="inlineStr">
        <is>
          <t>ALII.JK</t>
        </is>
      </c>
      <c r="B2" t="inlineStr">
        <is>
          <t>PT Ancara Logistics Indonesia Tbk</t>
        </is>
      </c>
      <c r="C2" s="6">
        <f>'ALII'!$C$151</f>
        <v/>
      </c>
      <c r="D2" s="7">
        <f>'ALII'!$C$149</f>
        <v/>
      </c>
      <c r="E2" s="7">
        <f>'ALII'!$C$80</f>
        <v/>
      </c>
      <c r="F2" s="8">
        <f>'ALII'!$C$150</f>
        <v/>
      </c>
      <c r="G2" s="7">
        <f>'ALII'!$C$130</f>
        <v/>
      </c>
      <c r="H2" s="9" t="n">
        <v>30.913676</v>
      </c>
      <c r="I2" s="9" t="n">
        <v>28.567517</v>
      </c>
      <c r="J2" s="10" t="n">
        <v>0.017791</v>
      </c>
    </row>
    <row r="3">
      <c r="A3" t="inlineStr">
        <is>
          <t>BBRM.JK</t>
        </is>
      </c>
      <c r="B3" t="inlineStr">
        <is>
          <t>PT Pelayaran Nasional Bina Buana Raya Tbk</t>
        </is>
      </c>
      <c r="C3" s="6">
        <f>'BBRM'!$C$141</f>
        <v/>
      </c>
      <c r="D3" s="7">
        <f>'BBRM'!$C$139</f>
        <v/>
      </c>
      <c r="E3" s="7">
        <f>'BBRM'!$C$79</f>
        <v/>
      </c>
      <c r="F3" s="8">
        <f>'BBRM'!$C$140</f>
        <v/>
      </c>
      <c r="G3" s="7">
        <f>'BBRM'!$C$129</f>
        <v/>
      </c>
      <c r="H3" s="9" t="n">
        <v>8.560511</v>
      </c>
      <c r="I3" s="9" t="n">
        <v>4.591957</v>
      </c>
      <c r="J3" s="10" t="n">
        <v>0</v>
      </c>
    </row>
    <row r="4">
      <c r="A4" t="inlineStr">
        <is>
          <t>BESS.JK</t>
        </is>
      </c>
      <c r="B4" t="inlineStr">
        <is>
          <t>PT Batulicin Nusantara Maritim Tbk</t>
        </is>
      </c>
      <c r="C4" s="6">
        <f>'BESS'!$C$136</f>
        <v/>
      </c>
      <c r="D4" s="7">
        <f>'BESS'!$C$134</f>
        <v/>
      </c>
      <c r="E4" s="7">
        <f>'BESS'!$C$80</f>
        <v/>
      </c>
      <c r="F4" s="8">
        <f>'BESS'!$C$135</f>
        <v/>
      </c>
      <c r="G4" s="7">
        <f>'BESS'!$C$124</f>
        <v/>
      </c>
      <c r="H4" s="9" t="n"/>
      <c r="I4" s="9" t="n">
        <v>84.55140299999999</v>
      </c>
      <c r="J4" s="10" t="n">
        <v>0</v>
      </c>
    </row>
    <row r="5">
      <c r="A5" t="inlineStr">
        <is>
          <t>DWGL.JK</t>
        </is>
      </c>
      <c r="B5" t="inlineStr">
        <is>
          <t>PT Dwi Guna Laksana Tbk</t>
        </is>
      </c>
      <c r="C5" s="6">
        <f>'DWGL'!$C$142</f>
        <v/>
      </c>
      <c r="D5" s="7">
        <f>'DWGL'!$C$140</f>
        <v/>
      </c>
      <c r="E5" s="7">
        <f>'DWGL'!$C$80</f>
        <v/>
      </c>
      <c r="F5" s="8">
        <f>'DWGL'!$C$141</f>
        <v/>
      </c>
      <c r="G5" s="7">
        <f>'DWGL'!$C$130</f>
        <v/>
      </c>
      <c r="H5" s="9" t="n">
        <v>8.431587</v>
      </c>
      <c r="I5" s="9" t="n">
        <v>4.622804</v>
      </c>
      <c r="J5" s="10" t="n">
        <v>0</v>
      </c>
    </row>
    <row r="6">
      <c r="A6" t="inlineStr">
        <is>
          <t>FIRE.JK</t>
        </is>
      </c>
      <c r="B6" t="inlineStr">
        <is>
          <t>PT Alfa Energi Investama Tbk</t>
        </is>
      </c>
      <c r="C6" s="6">
        <f>'FIRE'!$C$152</f>
        <v/>
      </c>
      <c r="D6" s="7">
        <f>'FIRE'!$C$150</f>
        <v/>
      </c>
      <c r="E6" s="7">
        <f>'FIRE'!$C$83</f>
        <v/>
      </c>
      <c r="F6" s="8">
        <f>'FIRE'!$C$151</f>
        <v/>
      </c>
      <c r="G6" s="7">
        <f>'FIRE'!$C$140</f>
        <v/>
      </c>
      <c r="H6" s="9" t="n">
        <v>10.959457</v>
      </c>
      <c r="I6" s="9" t="n">
        <v>3.947332</v>
      </c>
      <c r="J6" s="10" t="n">
        <v>0</v>
      </c>
    </row>
    <row r="7">
      <c r="A7" t="inlineStr">
        <is>
          <t>SGER.JK</t>
        </is>
      </c>
      <c r="B7" t="inlineStr">
        <is>
          <t>PT Sumber Global Energy Tbk</t>
        </is>
      </c>
      <c r="C7" s="6">
        <f>'SGER'!$C$135</f>
        <v/>
      </c>
      <c r="D7" s="7">
        <f>'SGER'!$C$133</f>
        <v/>
      </c>
      <c r="E7" s="7">
        <f>'SGER'!$C$79</f>
        <v/>
      </c>
      <c r="F7" s="8">
        <f>'SGER'!$C$134</f>
        <v/>
      </c>
      <c r="G7" s="7">
        <f>'SGER'!$C$123</f>
        <v/>
      </c>
      <c r="H7" s="9" t="n">
        <v>64.63765600000001</v>
      </c>
      <c r="I7" s="9" t="n">
        <v>31.814343</v>
      </c>
      <c r="J7" s="10" t="n">
        <v>0.002321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Ancara Logistics Indonesia Tbk (ALII.JK) — Coal distribution, trading &amp; logistics</t>
        </is>
      </c>
    </row>
    <row r="2">
      <c r="A2" s="5" t="inlineStr">
        <is>
          <t>Units: IDR bn; per-share in IDR unless marked IDR. Model asof 2026-10-30 · data 2026-10-28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12" t="n">
        <v>10</v>
      </c>
    </row>
    <row r="8">
      <c r="A8" t="inlineStr">
        <is>
          <t>ps_factor</t>
        </is>
      </c>
      <c r="C8" s="12" t="n">
        <v>1000</v>
      </c>
    </row>
    <row r="9">
      <c r="A9" t="inlineStr">
        <is>
          <t>vp_factor</t>
        </is>
      </c>
      <c r="C9" s="12" t="n">
        <v>1</v>
      </c>
    </row>
    <row r="11">
      <c r="A11" s="1" t="inlineStr">
        <is>
          <t>INPUTS (company assumptions)</t>
        </is>
      </c>
    </row>
    <row r="12">
      <c r="A12" t="inlineStr">
        <is>
          <t>Revenue growth</t>
        </is>
      </c>
      <c r="B12" t="inlineStr">
        <is>
          <t>a.revenue_growth</t>
        </is>
      </c>
      <c r="H12" s="4" t="n">
        <v>-0.151</v>
      </c>
      <c r="I12" s="4" t="n">
        <v>0.08</v>
      </c>
      <c r="J12" s="4" t="n">
        <v>0.08</v>
      </c>
      <c r="K12" s="4" t="n">
        <v>0.06</v>
      </c>
      <c r="L12" s="4" t="n">
        <v>0.05</v>
      </c>
      <c r="M12" s="4" t="n">
        <v>0.04</v>
      </c>
      <c r="N12" s="4" t="n">
        <v>0.04</v>
      </c>
      <c r="O12" s="4" t="n">
        <v>0.04</v>
      </c>
      <c r="P12" s="4" t="n">
        <v>0.04</v>
      </c>
      <c r="Q12" s="4" t="n">
        <v>0.04</v>
      </c>
    </row>
    <row r="13">
      <c r="A13" t="inlineStr">
        <is>
          <t>Gross margin at base input costs</t>
        </is>
      </c>
      <c r="B13" t="inlineStr">
        <is>
          <t>a.gross_margin</t>
        </is>
      </c>
      <c r="H13" s="4" t="n">
        <v>0.452</v>
      </c>
      <c r="I13" s="4" t="n">
        <v>0.45</v>
      </c>
      <c r="J13" s="4" t="n">
        <v>0.45</v>
      </c>
      <c r="K13" s="4" t="n">
        <v>0.45</v>
      </c>
      <c r="L13" s="4" t="n">
        <v>0.45</v>
      </c>
      <c r="M13" s="4" t="n">
        <v>0.45</v>
      </c>
      <c r="N13" s="4" t="n">
        <v>0.45</v>
      </c>
      <c r="O13" s="4" t="n">
        <v>0.45</v>
      </c>
      <c r="P13" s="4" t="n">
        <v>0.45</v>
      </c>
      <c r="Q13" s="4" t="n">
        <v>0.45</v>
      </c>
    </row>
    <row r="14">
      <c r="A14" t="inlineStr">
        <is>
          <t>Cost link 1: share of COGS exposed</t>
        </is>
      </c>
      <c r="B14" t="inlineStr">
        <is>
          <t>a.link1_share</t>
        </is>
      </c>
      <c r="C14" s="4" t="n">
        <v>0</v>
      </c>
    </row>
    <row r="15">
      <c r="A15" t="inlineStr">
        <is>
          <t>Cost link 1: pass-through to prices</t>
        </is>
      </c>
      <c r="B15" t="inlineStr">
        <is>
          <t>a.link1_pass</t>
        </is>
      </c>
      <c r="C15" s="4" t="n">
        <v>0</v>
      </c>
    </row>
    <row r="16">
      <c r="A16" t="inlineStr">
        <is>
          <t>Cost link 2: share of COGS exposed</t>
        </is>
      </c>
      <c r="B16" t="inlineStr">
        <is>
          <t>a.link2_share</t>
        </is>
      </c>
      <c r="C16" s="4" t="n">
        <v>0.228</v>
      </c>
    </row>
    <row r="17">
      <c r="A17" t="inlineStr">
        <is>
          <t>Cost link 2: pass-through to prices</t>
        </is>
      </c>
      <c r="B17" t="inlineStr">
        <is>
          <t>a.link2_pass</t>
        </is>
      </c>
      <c r="C17" s="4" t="n">
        <v>1</v>
      </c>
    </row>
    <row r="18">
      <c r="A18" t="inlineStr">
        <is>
          <t>SG&amp;A / revenue</t>
        </is>
      </c>
      <c r="B18" t="inlineStr">
        <is>
          <t>a.opex_pct</t>
        </is>
      </c>
      <c r="H18" s="4" t="n">
        <v>0.095</v>
      </c>
      <c r="I18" s="4" t="n">
        <v>0.09</v>
      </c>
      <c r="J18" s="4" t="n">
        <v>0.08599999999999999</v>
      </c>
      <c r="K18" s="4" t="n">
        <v>0.08500000000000001</v>
      </c>
      <c r="L18" s="4" t="n">
        <v>0.08500000000000001</v>
      </c>
      <c r="M18" s="4" t="n">
        <v>0.08500000000000001</v>
      </c>
      <c r="N18" s="4" t="n">
        <v>0.08500000000000001</v>
      </c>
      <c r="O18" s="4" t="n">
        <v>0.08500000000000001</v>
      </c>
      <c r="P18" s="4" t="n">
        <v>0.08500000000000001</v>
      </c>
      <c r="Q18" s="4" t="n">
        <v>0.08500000000000001</v>
      </c>
    </row>
    <row r="19">
      <c r="A19" t="inlineStr">
        <is>
          <t>D&amp;A / revenue</t>
        </is>
      </c>
      <c r="B19" t="inlineStr">
        <is>
          <t>a.da_pct</t>
        </is>
      </c>
      <c r="H19" s="4" t="n">
        <v>0.07000000000000001</v>
      </c>
      <c r="I19" s="4" t="n">
        <v>0.07000000000000001</v>
      </c>
      <c r="J19" s="4" t="n">
        <v>0.06900000000000001</v>
      </c>
      <c r="K19" s="4" t="n">
        <v>0.068</v>
      </c>
      <c r="L19" s="4" t="n">
        <v>0.067</v>
      </c>
      <c r="M19" s="4" t="n">
        <v>0.065</v>
      </c>
      <c r="N19" s="4" t="n">
        <v>0.065</v>
      </c>
      <c r="O19" s="4" t="n">
        <v>0.065</v>
      </c>
      <c r="P19" s="4" t="n">
        <v>0.065</v>
      </c>
      <c r="Q19" s="4" t="n">
        <v>0.065</v>
      </c>
    </row>
    <row r="20">
      <c r="A20" t="inlineStr">
        <is>
          <t>Capex / revenue</t>
        </is>
      </c>
      <c r="B20" t="inlineStr">
        <is>
          <t>a.capex_pct</t>
        </is>
      </c>
      <c r="H20" s="4" t="n">
        <v>0.14</v>
      </c>
      <c r="I20" s="4" t="n">
        <v>0.12</v>
      </c>
      <c r="J20" s="4" t="n">
        <v>0.1</v>
      </c>
      <c r="K20" s="4" t="n">
        <v>0.09</v>
      </c>
      <c r="L20" s="4" t="n">
        <v>0.09</v>
      </c>
      <c r="M20" s="4" t="n">
        <v>0.08</v>
      </c>
      <c r="N20" s="4" t="n">
        <v>0.08</v>
      </c>
      <c r="O20" s="4" t="n">
        <v>0.08</v>
      </c>
      <c r="P20" s="4" t="n">
        <v>0.08</v>
      </c>
      <c r="Q20" s="4" t="n">
        <v>0.08</v>
      </c>
    </row>
    <row r="21">
      <c r="A21" t="inlineStr">
        <is>
          <t>Operating working capital / revenue</t>
        </is>
      </c>
      <c r="B21" t="inlineStr">
        <is>
          <t>a.nwc_pct</t>
        </is>
      </c>
      <c r="H21" s="4" t="n">
        <v>0.38</v>
      </c>
      <c r="I21" s="4" t="n">
        <v>0.38</v>
      </c>
      <c r="J21" s="4" t="n">
        <v>0.38</v>
      </c>
      <c r="K21" s="4" t="n">
        <v>0.38</v>
      </c>
      <c r="L21" s="4" t="n">
        <v>0.38</v>
      </c>
      <c r="M21" s="4" t="n">
        <v>0.38</v>
      </c>
      <c r="N21" s="4" t="n">
        <v>0.38</v>
      </c>
      <c r="O21" s="4" t="n">
        <v>0.38</v>
      </c>
      <c r="P21" s="4" t="n">
        <v>0.38</v>
      </c>
      <c r="Q21" s="4" t="n">
        <v>0.38</v>
      </c>
    </row>
    <row r="22">
      <c r="A22" t="inlineStr">
        <is>
          <t>Effective tax rate</t>
        </is>
      </c>
      <c r="B22" t="inlineStr">
        <is>
          <t>a.tax_rate</t>
        </is>
      </c>
      <c r="H22" s="4" t="n">
        <v>0.182</v>
      </c>
      <c r="I22" s="4" t="n">
        <v>0.182</v>
      </c>
      <c r="J22" s="4" t="n">
        <v>0.182</v>
      </c>
      <c r="K22" s="4" t="n">
        <v>0.182</v>
      </c>
      <c r="L22" s="4" t="n">
        <v>0.182</v>
      </c>
      <c r="M22" s="4" t="n">
        <v>0.182</v>
      </c>
      <c r="N22" s="4" t="n">
        <v>0.182</v>
      </c>
      <c r="O22" s="4" t="n">
        <v>0.182</v>
      </c>
      <c r="P22" s="4" t="n">
        <v>0.182</v>
      </c>
      <c r="Q22" s="4" t="n">
        <v>0.182</v>
      </c>
    </row>
    <row r="23">
      <c r="A23" t="inlineStr">
        <is>
          <t>Cost of debt (on opening debt)</t>
        </is>
      </c>
      <c r="B23" t="inlineStr">
        <is>
          <t>a.cost_of_debt</t>
        </is>
      </c>
      <c r="C23" s="4" t="n">
        <v>0.075</v>
      </c>
    </row>
    <row r="24">
      <c r="A24" t="inlineStr">
        <is>
          <t>Yield on opening cash</t>
        </is>
      </c>
      <c r="B24" t="inlineStr">
        <is>
          <t>a.cash_yield</t>
        </is>
      </c>
      <c r="C24" s="4" t="n">
        <v>0.035</v>
      </c>
    </row>
    <row r="25">
      <c r="A25" t="inlineStr">
        <is>
          <t>Net new borrowing</t>
        </is>
      </c>
      <c r="B25" t="inlineStr">
        <is>
          <t>a.net_borrowing</t>
        </is>
      </c>
      <c r="H25" s="13" t="n">
        <v>30</v>
      </c>
      <c r="I25" s="13" t="n">
        <v>20</v>
      </c>
      <c r="J25" s="13" t="n">
        <v>10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</row>
    <row r="26">
      <c r="A26" t="inlineStr">
        <is>
          <t>Other non-operating items</t>
        </is>
      </c>
      <c r="B26" t="inlineStr">
        <is>
          <t>a.other_nonop</t>
        </is>
      </c>
      <c r="H26" s="13" t="n">
        <v>160</v>
      </c>
      <c r="I26" s="13" t="n">
        <v>150</v>
      </c>
      <c r="J26" s="13" t="n">
        <v>140</v>
      </c>
      <c r="K26" s="13" t="n">
        <v>130</v>
      </c>
      <c r="L26" s="13" t="n">
        <v>120</v>
      </c>
      <c r="M26" s="13" t="n">
        <v>112.75</v>
      </c>
      <c r="N26" s="13" t="n">
        <v>115.56875</v>
      </c>
      <c r="O26" s="13" t="n">
        <v>118.45796875</v>
      </c>
      <c r="P26" s="13" t="n">
        <v>121.41941796875</v>
      </c>
      <c r="Q26" s="13" t="n">
        <v>124.4549034179687</v>
      </c>
    </row>
    <row r="27">
      <c r="A27" t="inlineStr">
        <is>
          <t>Minorities' share of net profit</t>
        </is>
      </c>
      <c r="B27" t="inlineStr">
        <is>
          <t>a.minority_pct</t>
        </is>
      </c>
      <c r="H27" s="4" t="n">
        <v>0.11</v>
      </c>
      <c r="I27" s="4" t="n">
        <v>0.11</v>
      </c>
      <c r="J27" s="4" t="n">
        <v>0.11</v>
      </c>
      <c r="K27" s="4" t="n">
        <v>0.11</v>
      </c>
      <c r="L27" s="4" t="n">
        <v>0.11</v>
      </c>
      <c r="M27" s="4" t="n">
        <v>0.11</v>
      </c>
      <c r="N27" s="4" t="n">
        <v>0.11</v>
      </c>
      <c r="O27" s="4" t="n">
        <v>0.11</v>
      </c>
      <c r="P27" s="4" t="n">
        <v>0.11</v>
      </c>
      <c r="Q27" s="4" t="n">
        <v>0.11</v>
      </c>
    </row>
    <row r="28">
      <c r="A28" t="inlineStr">
        <is>
          <t>Dividend payout</t>
        </is>
      </c>
      <c r="B28" t="inlineStr">
        <is>
          <t>a.payout</t>
        </is>
      </c>
      <c r="H28" s="4" t="n">
        <v>0.55</v>
      </c>
      <c r="I28" s="4" t="n">
        <v>0.55</v>
      </c>
      <c r="J28" s="4" t="n">
        <v>0.55</v>
      </c>
      <c r="K28" s="4" t="n">
        <v>0.55</v>
      </c>
      <c r="L28" s="4" t="n">
        <v>0.55</v>
      </c>
      <c r="M28" s="4" t="n">
        <v>0.55</v>
      </c>
      <c r="N28" s="4" t="n">
        <v>0.55</v>
      </c>
      <c r="O28" s="4" t="n">
        <v>0.55</v>
      </c>
      <c r="P28" s="4" t="n">
        <v>0.55</v>
      </c>
      <c r="Q28" s="4" t="n">
        <v>0.55</v>
      </c>
    </row>
    <row r="29">
      <c r="A29" t="inlineStr">
        <is>
          <t>Change in share count</t>
        </is>
      </c>
      <c r="B29" t="inlineStr">
        <is>
          <t>a.share_change</t>
        </is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</row>
    <row r="30">
      <c r="A30" t="inlineStr">
        <is>
          <t>Terminal growth (DCF)</t>
        </is>
      </c>
      <c r="B30" t="inlineStr">
        <is>
          <t>a.terminal_growth</t>
        </is>
      </c>
      <c r="C30" s="4" t="n">
        <v>0.035</v>
      </c>
    </row>
    <row r="32">
      <c r="A32" s="1" t="inlineStr">
        <is>
          <t>MODEL</t>
        </is>
      </c>
    </row>
    <row r="33">
      <c r="A33" t="inlineStr">
        <is>
          <t>Revenue</t>
        </is>
      </c>
      <c r="B33" t="inlineStr">
        <is>
          <t>revenue</t>
        </is>
      </c>
      <c r="D33" s="13" t="n">
        <v>670.1203829999999</v>
      </c>
      <c r="E33" s="13" t="n">
        <v>931.005802</v>
      </c>
      <c r="F33" s="13" t="n">
        <v>920.552022</v>
      </c>
      <c r="G33" s="13" t="n">
        <v>970.228976</v>
      </c>
      <c r="H33" s="14">
        <f>(G33*(1+H12))</f>
        <v/>
      </c>
      <c r="I33" s="14">
        <f>(H33*(1+I12))</f>
        <v/>
      </c>
      <c r="J33" s="14">
        <f>(I33*(1+J12))</f>
        <v/>
      </c>
      <c r="K33" s="14">
        <f>(J33*(1+K12))</f>
        <v/>
      </c>
      <c r="L33" s="14">
        <f>(K33*(1+L12))</f>
        <v/>
      </c>
      <c r="M33" s="14">
        <f>(L33*(1+M12))</f>
        <v/>
      </c>
      <c r="N33" s="14">
        <f>(M33*(1+N12))</f>
        <v/>
      </c>
      <c r="O33" s="14">
        <f>(N33*(1+O12))</f>
        <v/>
      </c>
      <c r="P33" s="14">
        <f>(O33*(1+P12))</f>
        <v/>
      </c>
      <c r="Q33" s="14">
        <f>(P33*(1+Q12))</f>
        <v/>
      </c>
    </row>
    <row r="34">
      <c r="A34" t="inlineStr">
        <is>
          <t>Cost of revenue</t>
        </is>
      </c>
      <c r="B34" t="inlineStr">
        <is>
          <t>cogs</t>
        </is>
      </c>
      <c r="D34" s="13" t="n">
        <v>368.903994</v>
      </c>
      <c r="E34" s="13" t="n">
        <v>554.128572</v>
      </c>
      <c r="F34" s="13" t="n">
        <v>519.624281</v>
      </c>
      <c r="G34" s="13" t="n">
        <v>529.8392239999999</v>
      </c>
      <c r="H34" s="15">
        <f>((H33*(1-H13))*((1+(($C$14*(1-$C$15))*(IF(Drivers!$G$4=0,0,Drivers!$H$4/Drivers!$G$4)-1)))+(($C$16*(1-$C$17))*(IF(Drivers!$G$6=0,0,Drivers!$H$6/Drivers!$G$6)-1))))</f>
        <v/>
      </c>
      <c r="I34" s="15">
        <f>((I33*(1-I13))*((1+(($C$14*(1-$C$15))*(IF(Drivers!$G$4=0,0,Drivers!$I$4/Drivers!$G$4)-1)))+(($C$16*(1-$C$17))*(IF(Drivers!$G$6=0,0,Drivers!$I$6/Drivers!$G$6)-1))))</f>
        <v/>
      </c>
      <c r="J34" s="15">
        <f>((J33*(1-J13))*((1+(($C$14*(1-$C$15))*(IF(Drivers!$G$4=0,0,Drivers!$J$4/Drivers!$G$4)-1)))+(($C$16*(1-$C$17))*(IF(Drivers!$G$6=0,0,Drivers!$J$6/Drivers!$G$6)-1))))</f>
        <v/>
      </c>
      <c r="K34" s="15">
        <f>((K33*(1-K13))*((1+(($C$14*(1-$C$15))*(IF(Drivers!$G$4=0,0,Drivers!$K$4/Drivers!$G$4)-1)))+(($C$16*(1-$C$17))*(IF(Drivers!$G$6=0,0,Drivers!$K$6/Drivers!$G$6)-1))))</f>
        <v/>
      </c>
      <c r="L34" s="15">
        <f>((L33*(1-L13))*((1+(($C$14*(1-$C$15))*(IF(Drivers!$G$4=0,0,Drivers!$L$4/Drivers!$G$4)-1)))+(($C$16*(1-$C$17))*(IF(Drivers!$G$6=0,0,Drivers!$L$6/Drivers!$G$6)-1))))</f>
        <v/>
      </c>
      <c r="M34" s="15">
        <f>((M33*(1-M13))*((1+(($C$14*(1-$C$15))*(IF(Drivers!$G$4=0,0,Drivers!$M$4/Drivers!$G$4)-1)))+(($C$16*(1-$C$17))*(IF(Drivers!$G$6=0,0,Drivers!$M$6/Drivers!$G$6)-1))))</f>
        <v/>
      </c>
      <c r="N34" s="15">
        <f>((N33*(1-N13))*((1+(($C$14*(1-$C$15))*(IF(Drivers!$G$4=0,0,Drivers!$N$4/Drivers!$G$4)-1)))+(($C$16*(1-$C$17))*(IF(Drivers!$G$6=0,0,Drivers!$N$6/Drivers!$G$6)-1))))</f>
        <v/>
      </c>
      <c r="O34" s="15">
        <f>((O33*(1-O13))*((1+(($C$14*(1-$C$15))*(IF(Drivers!$G$4=0,0,Drivers!$O$4/Drivers!$G$4)-1)))+(($C$16*(1-$C$17))*(IF(Drivers!$G$6=0,0,Drivers!$O$6/Drivers!$G$6)-1))))</f>
        <v/>
      </c>
      <c r="P34" s="15">
        <f>((P33*(1-P13))*((1+(($C$14*(1-$C$15))*(IF(Drivers!$G$4=0,0,Drivers!$P$4/Drivers!$G$4)-1)))+(($C$16*(1-$C$17))*(IF(Drivers!$G$6=0,0,Drivers!$P$6/Drivers!$G$6)-1))))</f>
        <v/>
      </c>
      <c r="Q34" s="15">
        <f>((Q33*(1-Q13))*((1+(($C$14*(1-$C$15))*(IF(Drivers!$G$4=0,0,Drivers!$Q$4/Drivers!$G$4)-1)))+(($C$16*(1-$C$17))*(IF(Drivers!$G$6=0,0,Drivers!$Q$6/Drivers!$G$6)-1))))</f>
        <v/>
      </c>
    </row>
    <row r="35">
      <c r="A35" t="inlineStr">
        <is>
          <t>Gross profit</t>
        </is>
      </c>
      <c r="B35" t="inlineStr">
        <is>
          <t>gross_profit</t>
        </is>
      </c>
      <c r="D35" s="13" t="n">
        <v>301.216389</v>
      </c>
      <c r="E35" s="13" t="n">
        <v>376.87723</v>
      </c>
      <c r="F35" s="13" t="n">
        <v>400.927741</v>
      </c>
      <c r="G35" s="13" t="n">
        <v>440.389752</v>
      </c>
      <c r="H35" s="14">
        <f>(H33-H34)</f>
        <v/>
      </c>
      <c r="I35" s="14">
        <f>(I33-I34)</f>
        <v/>
      </c>
      <c r="J35" s="14">
        <f>(J33-J34)</f>
        <v/>
      </c>
      <c r="K35" s="14">
        <f>(K33-K34)</f>
        <v/>
      </c>
      <c r="L35" s="14">
        <f>(L33-L34)</f>
        <v/>
      </c>
      <c r="M35" s="14">
        <f>(M33-M34)</f>
        <v/>
      </c>
      <c r="N35" s="14">
        <f>(N33-N34)</f>
        <v/>
      </c>
      <c r="O35" s="14">
        <f>(O33-O34)</f>
        <v/>
      </c>
      <c r="P35" s="14">
        <f>(P33-P34)</f>
        <v/>
      </c>
      <c r="Q35" s="14">
        <f>(Q33-Q34)</f>
        <v/>
      </c>
    </row>
    <row r="36">
      <c r="A36" t="inlineStr">
        <is>
          <t>SG&amp;A and other opex</t>
        </is>
      </c>
      <c r="B36" t="inlineStr">
        <is>
          <t>opex</t>
        </is>
      </c>
      <c r="D36" s="13" t="n">
        <v>67.88502399999999</v>
      </c>
      <c r="E36" s="13" t="n">
        <v>110.807383</v>
      </c>
      <c r="F36" s="13" t="n">
        <v>78.85685100000001</v>
      </c>
      <c r="G36" s="13" t="n">
        <v>80.823571</v>
      </c>
      <c r="H36" s="14">
        <f>(H33*H18)</f>
        <v/>
      </c>
      <c r="I36" s="14">
        <f>(I33*I18)</f>
        <v/>
      </c>
      <c r="J36" s="14">
        <f>(J33*J18)</f>
        <v/>
      </c>
      <c r="K36" s="14">
        <f>(K33*K18)</f>
        <v/>
      </c>
      <c r="L36" s="14">
        <f>(L33*L18)</f>
        <v/>
      </c>
      <c r="M36" s="14">
        <f>(M33*M18)</f>
        <v/>
      </c>
      <c r="N36" s="14">
        <f>(N33*N18)</f>
        <v/>
      </c>
      <c r="O36" s="14">
        <f>(O33*O18)</f>
        <v/>
      </c>
      <c r="P36" s="14">
        <f>(P33*P18)</f>
        <v/>
      </c>
      <c r="Q36" s="14">
        <f>(Q33*Q18)</f>
        <v/>
      </c>
    </row>
    <row r="37">
      <c r="A37" t="inlineStr">
        <is>
          <t>EBIT</t>
        </is>
      </c>
      <c r="B37" t="inlineStr">
        <is>
          <t>ebit</t>
        </is>
      </c>
      <c r="D37" s="13" t="n">
        <v>233.331365</v>
      </c>
      <c r="E37" s="13" t="n">
        <v>266.069847</v>
      </c>
      <c r="F37" s="13" t="n">
        <v>322.07089</v>
      </c>
      <c r="G37" s="13" t="n">
        <v>359.566181</v>
      </c>
      <c r="H37" s="14">
        <f>(H35-H36)</f>
        <v/>
      </c>
      <c r="I37" s="14">
        <f>(I35-I36)</f>
        <v/>
      </c>
      <c r="J37" s="14">
        <f>(J35-J36)</f>
        <v/>
      </c>
      <c r="K37" s="14">
        <f>(K35-K36)</f>
        <v/>
      </c>
      <c r="L37" s="14">
        <f>(L35-L36)</f>
        <v/>
      </c>
      <c r="M37" s="14">
        <f>(M35-M36)</f>
        <v/>
      </c>
      <c r="N37" s="14">
        <f>(N35-N36)</f>
        <v/>
      </c>
      <c r="O37" s="14">
        <f>(O35-O36)</f>
        <v/>
      </c>
      <c r="P37" s="14">
        <f>(P35-P36)</f>
        <v/>
      </c>
      <c r="Q37" s="14">
        <f>(Q35-Q36)</f>
        <v/>
      </c>
    </row>
    <row r="38">
      <c r="A38" t="inlineStr">
        <is>
          <t>Depreciation &amp; amortisation</t>
        </is>
      </c>
      <c r="B38" t="inlineStr">
        <is>
          <t>da</t>
        </is>
      </c>
      <c r="D38" s="13" t="n"/>
      <c r="E38" s="13" t="n"/>
      <c r="F38" s="13" t="n">
        <v>59.761053</v>
      </c>
      <c r="G38" s="13" t="n">
        <v>65.91371700000001</v>
      </c>
      <c r="H38" s="14">
        <f>(H33*H19)</f>
        <v/>
      </c>
      <c r="I38" s="14">
        <f>(I33*I19)</f>
        <v/>
      </c>
      <c r="J38" s="14">
        <f>(J33*J19)</f>
        <v/>
      </c>
      <c r="K38" s="14">
        <f>(K33*K19)</f>
        <v/>
      </c>
      <c r="L38" s="14">
        <f>(L33*L19)</f>
        <v/>
      </c>
      <c r="M38" s="14">
        <f>(M33*M19)</f>
        <v/>
      </c>
      <c r="N38" s="14">
        <f>(N33*N19)</f>
        <v/>
      </c>
      <c r="O38" s="14">
        <f>(O33*O19)</f>
        <v/>
      </c>
      <c r="P38" s="14">
        <f>(P33*P19)</f>
        <v/>
      </c>
      <c r="Q38" s="14">
        <f>(Q33*Q19)</f>
        <v/>
      </c>
    </row>
    <row r="39">
      <c r="A39" t="inlineStr">
        <is>
          <t>EBITDA</t>
        </is>
      </c>
      <c r="B39" t="inlineStr">
        <is>
          <t>ebitda</t>
        </is>
      </c>
      <c r="D39" s="13" t="n"/>
      <c r="E39" s="13" t="n"/>
      <c r="F39" s="13" t="n">
        <v>381.831943</v>
      </c>
      <c r="G39" s="13" t="n">
        <v>425.479898</v>
      </c>
      <c r="H39" s="14">
        <f>(H37+H38)</f>
        <v/>
      </c>
      <c r="I39" s="14">
        <f>(I37+I38)</f>
        <v/>
      </c>
      <c r="J39" s="14">
        <f>(J37+J38)</f>
        <v/>
      </c>
      <c r="K39" s="14">
        <f>(K37+K38)</f>
        <v/>
      </c>
      <c r="L39" s="14">
        <f>(L37+L38)</f>
        <v/>
      </c>
      <c r="M39" s="14">
        <f>(M37+M38)</f>
        <v/>
      </c>
      <c r="N39" s="14">
        <f>(N37+N38)</f>
        <v/>
      </c>
      <c r="O39" s="14">
        <f>(O37+O38)</f>
        <v/>
      </c>
      <c r="P39" s="14">
        <f>(P37+P38)</f>
        <v/>
      </c>
      <c r="Q39" s="14">
        <f>(Q37+Q38)</f>
        <v/>
      </c>
    </row>
    <row r="40">
      <c r="A40" t="inlineStr">
        <is>
          <t>Interest expense</t>
        </is>
      </c>
      <c r="B40" t="inlineStr">
        <is>
          <t>interest_expense</t>
        </is>
      </c>
      <c r="D40" s="13" t="n">
        <v>178.491631</v>
      </c>
      <c r="E40" s="13" t="n">
        <v>193.498733</v>
      </c>
      <c r="F40" s="13" t="n">
        <v>96.39615000000001</v>
      </c>
      <c r="G40" s="13" t="n">
        <v>34.479603</v>
      </c>
      <c r="H40" s="14">
        <f>(G60*$C$23)</f>
        <v/>
      </c>
      <c r="I40" s="14">
        <f>(H60*$C$23)</f>
        <v/>
      </c>
      <c r="J40" s="14">
        <f>(I60*$C$23)</f>
        <v/>
      </c>
      <c r="K40" s="14">
        <f>(J60*$C$23)</f>
        <v/>
      </c>
      <c r="L40" s="14">
        <f>(K60*$C$23)</f>
        <v/>
      </c>
      <c r="M40" s="14">
        <f>(L60*$C$23)</f>
        <v/>
      </c>
      <c r="N40" s="14">
        <f>(M60*$C$23)</f>
        <v/>
      </c>
      <c r="O40" s="14">
        <f>(N60*$C$23)</f>
        <v/>
      </c>
      <c r="P40" s="14">
        <f>(O60*$C$23)</f>
        <v/>
      </c>
      <c r="Q40" s="14">
        <f>(P60*$C$23)</f>
        <v/>
      </c>
    </row>
    <row r="41">
      <c r="A41" t="inlineStr">
        <is>
          <t>Interest income</t>
        </is>
      </c>
      <c r="B41" t="inlineStr">
        <is>
          <t>interest_income</t>
        </is>
      </c>
      <c r="D41" s="13" t="n">
        <v>136.307706</v>
      </c>
      <c r="E41" s="13" t="n">
        <v>124.031748</v>
      </c>
      <c r="F41" s="13" t="n">
        <v>4.20412</v>
      </c>
      <c r="G41" s="13" t="n">
        <v>1.792778</v>
      </c>
      <c r="H41" s="14">
        <f>(G59*$C$24)</f>
        <v/>
      </c>
      <c r="I41" s="14">
        <f>(H59*$C$24)</f>
        <v/>
      </c>
      <c r="J41" s="14">
        <f>(I59*$C$24)</f>
        <v/>
      </c>
      <c r="K41" s="14">
        <f>(J59*$C$24)</f>
        <v/>
      </c>
      <c r="L41" s="14">
        <f>(K59*$C$24)</f>
        <v/>
      </c>
      <c r="M41" s="14">
        <f>(L59*$C$24)</f>
        <v/>
      </c>
      <c r="N41" s="14">
        <f>(M59*$C$24)</f>
        <v/>
      </c>
      <c r="O41" s="14">
        <f>(N59*$C$24)</f>
        <v/>
      </c>
      <c r="P41" s="14">
        <f>(O59*$C$24)</f>
        <v/>
      </c>
      <c r="Q41" s="14">
        <f>(P59*$C$24)</f>
        <v/>
      </c>
    </row>
    <row r="42">
      <c r="A42" t="inlineStr">
        <is>
          <t>Other non-operating</t>
        </is>
      </c>
      <c r="B42" t="inlineStr">
        <is>
          <t>other_nonop</t>
        </is>
      </c>
      <c r="D42" s="13" t="n">
        <v>-43.94856999999999</v>
      </c>
      <c r="E42" s="13" t="n">
        <v>-2.404653999999994</v>
      </c>
      <c r="F42" s="13" t="n">
        <v>108.457755</v>
      </c>
      <c r="G42" s="13" t="n">
        <v>170.069692</v>
      </c>
      <c r="H42" s="14">
        <f>H26</f>
        <v/>
      </c>
      <c r="I42" s="14">
        <f>I26</f>
        <v/>
      </c>
      <c r="J42" s="14">
        <f>J26</f>
        <v/>
      </c>
      <c r="K42" s="14">
        <f>K26</f>
        <v/>
      </c>
      <c r="L42" s="14">
        <f>L26</f>
        <v/>
      </c>
      <c r="M42" s="14">
        <f>M26</f>
        <v/>
      </c>
      <c r="N42" s="14">
        <f>N26</f>
        <v/>
      </c>
      <c r="O42" s="14">
        <f>O26</f>
        <v/>
      </c>
      <c r="P42" s="14">
        <f>P26</f>
        <v/>
      </c>
      <c r="Q42" s="14">
        <f>Q26</f>
        <v/>
      </c>
    </row>
    <row r="43">
      <c r="A43" t="inlineStr">
        <is>
          <t>Profit before tax</t>
        </is>
      </c>
      <c r="B43" t="inlineStr">
        <is>
          <t>pbt</t>
        </is>
      </c>
      <c r="D43" s="13" t="n">
        <v>147.19887</v>
      </c>
      <c r="E43" s="13" t="n">
        <v>194.198208</v>
      </c>
      <c r="F43" s="13" t="n">
        <v>338.336615</v>
      </c>
      <c r="G43" s="13" t="n">
        <v>496.949048</v>
      </c>
      <c r="H43" s="14">
        <f>(((H37-H40)+H41)+H42)</f>
        <v/>
      </c>
      <c r="I43" s="14">
        <f>(((I37-I40)+I41)+I42)</f>
        <v/>
      </c>
      <c r="J43" s="14">
        <f>(((J37-J40)+J41)+J42)</f>
        <v/>
      </c>
      <c r="K43" s="14">
        <f>(((K37-K40)+K41)+K42)</f>
        <v/>
      </c>
      <c r="L43" s="14">
        <f>(((L37-L40)+L41)+L42)</f>
        <v/>
      </c>
      <c r="M43" s="14">
        <f>(((M37-M40)+M41)+M42)</f>
        <v/>
      </c>
      <c r="N43" s="14">
        <f>(((N37-N40)+N41)+N42)</f>
        <v/>
      </c>
      <c r="O43" s="14">
        <f>(((O37-O40)+O41)+O42)</f>
        <v/>
      </c>
      <c r="P43" s="14">
        <f>(((P37-P40)+P41)+P42)</f>
        <v/>
      </c>
      <c r="Q43" s="14">
        <f>(((Q37-Q40)+Q41)+Q42)</f>
        <v/>
      </c>
    </row>
    <row r="44">
      <c r="A44" t="inlineStr">
        <is>
          <t>Tax</t>
        </is>
      </c>
      <c r="B44" t="inlineStr">
        <is>
          <t>tax</t>
        </is>
      </c>
      <c r="D44" s="13" t="n">
        <v>-4.617118</v>
      </c>
      <c r="E44" s="13" t="n">
        <v>11.287891</v>
      </c>
      <c r="F44" s="13" t="n">
        <v>38.736482</v>
      </c>
      <c r="G44" s="13" t="n">
        <v>74.073666</v>
      </c>
      <c r="H44" s="14">
        <f>(MAX(H43,0)*H22)</f>
        <v/>
      </c>
      <c r="I44" s="14">
        <f>(MAX(I43,0)*I22)</f>
        <v/>
      </c>
      <c r="J44" s="14">
        <f>(MAX(J43,0)*J22)</f>
        <v/>
      </c>
      <c r="K44" s="14">
        <f>(MAX(K43,0)*K22)</f>
        <v/>
      </c>
      <c r="L44" s="14">
        <f>(MAX(L43,0)*L22)</f>
        <v/>
      </c>
      <c r="M44" s="14">
        <f>(MAX(M43,0)*M22)</f>
        <v/>
      </c>
      <c r="N44" s="14">
        <f>(MAX(N43,0)*N22)</f>
        <v/>
      </c>
      <c r="O44" s="14">
        <f>(MAX(O43,0)*O22)</f>
        <v/>
      </c>
      <c r="P44" s="14">
        <f>(MAX(P43,0)*P22)</f>
        <v/>
      </c>
      <c r="Q44" s="14">
        <f>(MAX(Q43,0)*Q22)</f>
        <v/>
      </c>
    </row>
    <row r="45">
      <c r="A45" t="inlineStr">
        <is>
          <t>Net profit (incl. minorities)</t>
        </is>
      </c>
      <c r="B45" t="inlineStr">
        <is>
          <t>np</t>
        </is>
      </c>
      <c r="D45" s="13" t="n">
        <v>151.815988</v>
      </c>
      <c r="E45" s="13" t="n">
        <v>182.910317</v>
      </c>
      <c r="F45" s="13" t="n">
        <v>299.600133</v>
      </c>
      <c r="G45" s="13" t="n">
        <v>422.875382</v>
      </c>
      <c r="H45" s="14">
        <f>(H43-H44)</f>
        <v/>
      </c>
      <c r="I45" s="14">
        <f>(I43-I44)</f>
        <v/>
      </c>
      <c r="J45" s="14">
        <f>(J43-J44)</f>
        <v/>
      </c>
      <c r="K45" s="14">
        <f>(K43-K44)</f>
        <v/>
      </c>
      <c r="L45" s="14">
        <f>(L43-L44)</f>
        <v/>
      </c>
      <c r="M45" s="14">
        <f>(M43-M44)</f>
        <v/>
      </c>
      <c r="N45" s="14">
        <f>(N43-N44)</f>
        <v/>
      </c>
      <c r="O45" s="14">
        <f>(O43-O44)</f>
        <v/>
      </c>
      <c r="P45" s="14">
        <f>(P43-P44)</f>
        <v/>
      </c>
      <c r="Q45" s="14">
        <f>(Q43-Q44)</f>
        <v/>
      </c>
    </row>
    <row r="46">
      <c r="A46" t="inlineStr">
        <is>
          <t>Minority interests</t>
        </is>
      </c>
      <c r="B46" t="inlineStr">
        <is>
          <t>minority</t>
        </is>
      </c>
      <c r="D46" s="13" t="n">
        <v>-11.763217</v>
      </c>
      <c r="E46" s="13" t="n">
        <v>-3.857393000000002</v>
      </c>
      <c r="F46" s="13" t="n">
        <v>10.35189000000003</v>
      </c>
      <c r="G46" s="13" t="n">
        <v>48.58957800000002</v>
      </c>
      <c r="H46" s="14">
        <f>(H45*H27)</f>
        <v/>
      </c>
      <c r="I46" s="14">
        <f>(I45*I27)</f>
        <v/>
      </c>
      <c r="J46" s="14">
        <f>(J45*J27)</f>
        <v/>
      </c>
      <c r="K46" s="14">
        <f>(K45*K27)</f>
        <v/>
      </c>
      <c r="L46" s="14">
        <f>(L45*L27)</f>
        <v/>
      </c>
      <c r="M46" s="14">
        <f>(M45*M27)</f>
        <v/>
      </c>
      <c r="N46" s="14">
        <f>(N45*N27)</f>
        <v/>
      </c>
      <c r="O46" s="14">
        <f>(O45*O27)</f>
        <v/>
      </c>
      <c r="P46" s="14">
        <f>(P45*P27)</f>
        <v/>
      </c>
      <c r="Q46" s="14">
        <f>(Q45*Q27)</f>
        <v/>
      </c>
    </row>
    <row r="47">
      <c r="A47" t="inlineStr">
        <is>
          <t>Net profit to parent</t>
        </is>
      </c>
      <c r="B47" t="inlineStr">
        <is>
          <t>np_parent</t>
        </is>
      </c>
      <c r="D47" s="13" t="n">
        <v>163.579205</v>
      </c>
      <c r="E47" s="13" t="n">
        <v>186.76771</v>
      </c>
      <c r="F47" s="13" t="n">
        <v>289.248243</v>
      </c>
      <c r="G47" s="13" t="n">
        <v>374.285804</v>
      </c>
      <c r="H47" s="14">
        <f>(H45-H46)</f>
        <v/>
      </c>
      <c r="I47" s="14">
        <f>(I45-I46)</f>
        <v/>
      </c>
      <c r="J47" s="14">
        <f>(J45-J46)</f>
        <v/>
      </c>
      <c r="K47" s="14">
        <f>(K45-K46)</f>
        <v/>
      </c>
      <c r="L47" s="14">
        <f>(L45-L46)</f>
        <v/>
      </c>
      <c r="M47" s="14">
        <f>(M45-M46)</f>
        <v/>
      </c>
      <c r="N47" s="14">
        <f>(N45-N46)</f>
        <v/>
      </c>
      <c r="O47" s="14">
        <f>(O45-O46)</f>
        <v/>
      </c>
      <c r="P47" s="14">
        <f>(P45-P46)</f>
        <v/>
      </c>
      <c r="Q47" s="14">
        <f>(Q45-Q46)</f>
        <v/>
      </c>
    </row>
    <row r="48">
      <c r="A48" t="inlineStr">
        <is>
          <t>Shares outstanding (m)</t>
        </is>
      </c>
      <c r="B48" t="inlineStr">
        <is>
          <t>shares</t>
        </is>
      </c>
      <c r="D48" s="13" t="n">
        <v>15825.8</v>
      </c>
      <c r="E48" s="13" t="n">
        <v>15825.8</v>
      </c>
      <c r="F48" s="13" t="n">
        <v>15825.8</v>
      </c>
      <c r="G48" s="13" t="n">
        <v>15825.8</v>
      </c>
      <c r="H48" s="14">
        <f>(G48*(1+H29))</f>
        <v/>
      </c>
      <c r="I48" s="14">
        <f>(H48*(1+I29))</f>
        <v/>
      </c>
      <c r="J48" s="14">
        <f>(I48*(1+J29))</f>
        <v/>
      </c>
      <c r="K48" s="14">
        <f>(J48*(1+K29))</f>
        <v/>
      </c>
      <c r="L48" s="14">
        <f>(K48*(1+L29))</f>
        <v/>
      </c>
      <c r="M48" s="14">
        <f>(L48*(1+M29))</f>
        <v/>
      </c>
      <c r="N48" s="14">
        <f>(M48*(1+N29))</f>
        <v/>
      </c>
      <c r="O48" s="14">
        <f>(N48*(1+O29))</f>
        <v/>
      </c>
      <c r="P48" s="14">
        <f>(O48*(1+P29))</f>
        <v/>
      </c>
      <c r="Q48" s="14">
        <f>(P48*(1+Q29))</f>
        <v/>
      </c>
    </row>
    <row r="49">
      <c r="A49" t="inlineStr">
        <is>
          <t>EPS</t>
        </is>
      </c>
      <c r="B49" t="inlineStr">
        <is>
          <t>eps</t>
        </is>
      </c>
      <c r="D49" s="16" t="n">
        <v>10.33623608285205</v>
      </c>
      <c r="E49" s="16" t="n">
        <v>11.80147038380366</v>
      </c>
      <c r="F49" s="16" t="n">
        <v>18.27700609131924</v>
      </c>
      <c r="G49" s="16" t="n">
        <v>23.65035600096046</v>
      </c>
      <c r="H49" s="17">
        <f>(IF(H48=0,0,H47/H48)*$C$8)</f>
        <v/>
      </c>
      <c r="I49" s="17">
        <f>(IF(I48=0,0,I47/I48)*$C$8)</f>
        <v/>
      </c>
      <c r="J49" s="17">
        <f>(IF(J48=0,0,J47/J48)*$C$8)</f>
        <v/>
      </c>
      <c r="K49" s="17">
        <f>(IF(K48=0,0,K47/K48)*$C$8)</f>
        <v/>
      </c>
      <c r="L49" s="17">
        <f>(IF(L48=0,0,L47/L48)*$C$8)</f>
        <v/>
      </c>
      <c r="M49" s="17">
        <f>(IF(M48=0,0,M47/M48)*$C$8)</f>
        <v/>
      </c>
      <c r="N49" s="17">
        <f>(IF(N48=0,0,N47/N48)*$C$8)</f>
        <v/>
      </c>
      <c r="O49" s="17">
        <f>(IF(O48=0,0,O47/O48)*$C$8)</f>
        <v/>
      </c>
      <c r="P49" s="17">
        <f>(IF(P48=0,0,P47/P48)*$C$8)</f>
        <v/>
      </c>
      <c r="Q49" s="17">
        <f>(IF(Q48=0,0,Q47/Q48)*$C$8)</f>
        <v/>
      </c>
    </row>
    <row r="50">
      <c r="A50" t="inlineStr">
        <is>
          <t>DPS (declared on the year)</t>
        </is>
      </c>
      <c r="B50" t="inlineStr">
        <is>
          <t>dps</t>
        </is>
      </c>
      <c r="D50" s="16" t="n"/>
      <c r="E50" s="16" t="n"/>
      <c r="F50" s="16" t="n">
        <v>4.5</v>
      </c>
      <c r="G50" s="16" t="n">
        <v>13</v>
      </c>
      <c r="H50" s="17">
        <f>(MAX(H49,0)*H28)</f>
        <v/>
      </c>
      <c r="I50" s="17">
        <f>(MAX(I49,0)*I28)</f>
        <v/>
      </c>
      <c r="J50" s="17">
        <f>(MAX(J49,0)*J28)</f>
        <v/>
      </c>
      <c r="K50" s="17">
        <f>(MAX(K49,0)*K28)</f>
        <v/>
      </c>
      <c r="L50" s="17">
        <f>(MAX(L49,0)*L28)</f>
        <v/>
      </c>
      <c r="M50" s="17">
        <f>(MAX(M49,0)*M28)</f>
        <v/>
      </c>
      <c r="N50" s="17">
        <f>(MAX(N49,0)*N28)</f>
        <v/>
      </c>
      <c r="O50" s="17">
        <f>(MAX(O49,0)*O28)</f>
        <v/>
      </c>
      <c r="P50" s="17">
        <f>(MAX(P49,0)*P28)</f>
        <v/>
      </c>
      <c r="Q50" s="17">
        <f>(MAX(Q49,0)*Q28)</f>
        <v/>
      </c>
    </row>
    <row r="51">
      <c r="A51" t="inlineStr">
        <is>
          <t>Dividends paid</t>
        </is>
      </c>
      <c r="B51" t="inlineStr">
        <is>
          <t>dividends_paid</t>
        </is>
      </c>
      <c r="D51" s="13" t="n"/>
      <c r="E51" s="13" t="n"/>
      <c r="F51" s="13" t="n"/>
      <c r="G51" s="13" t="n">
        <v>71.2161</v>
      </c>
      <c r="H51" s="14">
        <f>IF($C$8=0,0,(G50*G48)/$C$8)</f>
        <v/>
      </c>
      <c r="I51" s="14">
        <f>IF($C$8=0,0,(H50*H48)/$C$8)</f>
        <v/>
      </c>
      <c r="J51" s="14">
        <f>IF($C$8=0,0,(I50*I48)/$C$8)</f>
        <v/>
      </c>
      <c r="K51" s="14">
        <f>IF($C$8=0,0,(J50*J48)/$C$8)</f>
        <v/>
      </c>
      <c r="L51" s="14">
        <f>IF($C$8=0,0,(K50*K48)/$C$8)</f>
        <v/>
      </c>
      <c r="M51" s="14">
        <f>IF($C$8=0,0,(L50*L48)/$C$8)</f>
        <v/>
      </c>
      <c r="N51" s="14">
        <f>IF($C$8=0,0,(M50*M48)/$C$8)</f>
        <v/>
      </c>
      <c r="O51" s="14">
        <f>IF($C$8=0,0,(N50*N48)/$C$8)</f>
        <v/>
      </c>
      <c r="P51" s="14">
        <f>IF($C$8=0,0,(O50*O48)/$C$8)</f>
        <v/>
      </c>
      <c r="Q51" s="14">
        <f>IF($C$8=0,0,(P50*P48)/$C$8)</f>
        <v/>
      </c>
    </row>
    <row r="52">
      <c r="A52" t="inlineStr">
        <is>
          <t>Capital expenditure</t>
        </is>
      </c>
      <c r="B52" t="inlineStr">
        <is>
          <t>capex</t>
        </is>
      </c>
      <c r="D52" s="13" t="n">
        <v>62.997376</v>
      </c>
      <c r="E52" s="13" t="n">
        <v>256.04711</v>
      </c>
      <c r="F52" s="13" t="n">
        <v>141.116973</v>
      </c>
      <c r="G52" s="13" t="n">
        <v>105.096492</v>
      </c>
      <c r="H52" s="14">
        <f>(H33*H20)</f>
        <v/>
      </c>
      <c r="I52" s="14">
        <f>(I33*I20)</f>
        <v/>
      </c>
      <c r="J52" s="14">
        <f>(J33*J20)</f>
        <v/>
      </c>
      <c r="K52" s="14">
        <f>(K33*K20)</f>
        <v/>
      </c>
      <c r="L52" s="14">
        <f>(L33*L20)</f>
        <v/>
      </c>
      <c r="M52" s="14">
        <f>(M33*M20)</f>
        <v/>
      </c>
      <c r="N52" s="14">
        <f>(N33*N20)</f>
        <v/>
      </c>
      <c r="O52" s="14">
        <f>(O33*O20)</f>
        <v/>
      </c>
      <c r="P52" s="14">
        <f>(P33*P20)</f>
        <v/>
      </c>
      <c r="Q52" s="14">
        <f>(Q33*Q20)</f>
        <v/>
      </c>
    </row>
    <row r="53">
      <c r="A53" t="inlineStr">
        <is>
          <t>Change in working capital</t>
        </is>
      </c>
      <c r="B53" t="inlineStr">
        <is>
          <t>delta_nwc</t>
        </is>
      </c>
      <c r="D53" s="13" t="n"/>
      <c r="E53" s="13" t="n">
        <v>-43.361763</v>
      </c>
      <c r="F53" s="13" t="n">
        <v>189.720977</v>
      </c>
      <c r="G53" s="13" t="n">
        <v>111.766793</v>
      </c>
      <c r="H53" s="14">
        <f>(H58-G58)</f>
        <v/>
      </c>
      <c r="I53" s="14">
        <f>(I58-H58)</f>
        <v/>
      </c>
      <c r="J53" s="14">
        <f>(J58-I58)</f>
        <v/>
      </c>
      <c r="K53" s="14">
        <f>(K58-J58)</f>
        <v/>
      </c>
      <c r="L53" s="14">
        <f>(L58-K58)</f>
        <v/>
      </c>
      <c r="M53" s="14">
        <f>(M58-L58)</f>
        <v/>
      </c>
      <c r="N53" s="14">
        <f>(N58-M58)</f>
        <v/>
      </c>
      <c r="O53" s="14">
        <f>(O58-N58)</f>
        <v/>
      </c>
      <c r="P53" s="14">
        <f>(P58-O58)</f>
        <v/>
      </c>
      <c r="Q53" s="14">
        <f>(Q58-P58)</f>
        <v/>
      </c>
    </row>
    <row r="54">
      <c r="A54" t="inlineStr">
        <is>
          <t>Free cash flow to firm</t>
        </is>
      </c>
      <c r="B54" t="inlineStr">
        <is>
          <t>fcff</t>
        </is>
      </c>
      <c r="D54" s="13" t="n"/>
      <c r="E54" s="13" t="n"/>
      <c r="F54" s="13" t="n">
        <v>14.11978938118986</v>
      </c>
      <c r="G54" s="13" t="n">
        <v>155.0208061391535</v>
      </c>
      <c r="H54" s="14">
        <f>((((H37*(1-H22))+H38)-H52)-H53)</f>
        <v/>
      </c>
      <c r="I54" s="14">
        <f>((((I37*(1-I22))+I38)-I52)-I53)</f>
        <v/>
      </c>
      <c r="J54" s="14">
        <f>((((J37*(1-J22))+J38)-J52)-J53)</f>
        <v/>
      </c>
      <c r="K54" s="14">
        <f>((((K37*(1-K22))+K38)-K52)-K53)</f>
        <v/>
      </c>
      <c r="L54" s="14">
        <f>((((L37*(1-L22))+L38)-L52)-L53)</f>
        <v/>
      </c>
      <c r="M54" s="14">
        <f>((((M37*(1-M22))+M38)-M52)-M53)</f>
        <v/>
      </c>
      <c r="N54" s="14">
        <f>((((N37*(1-N22))+N38)-N52)-N53)</f>
        <v/>
      </c>
      <c r="O54" s="14">
        <f>((((O37*(1-O22))+O38)-O52)-O53)</f>
        <v/>
      </c>
      <c r="P54" s="14">
        <f>((((P37*(1-P22))+P38)-P52)-P53)</f>
        <v/>
      </c>
      <c r="Q54" s="14">
        <f>((((Q37*(1-Q22))+Q38)-Q52)-Q53)</f>
        <v/>
      </c>
    </row>
    <row r="55">
      <c r="A55" t="inlineStr">
        <is>
          <t>Net borrowing</t>
        </is>
      </c>
      <c r="B55" t="inlineStr">
        <is>
          <t>net_borrowing</t>
        </is>
      </c>
      <c r="D55" s="13" t="n"/>
      <c r="E55" s="13" t="n">
        <v>103.3806089999999</v>
      </c>
      <c r="F55" s="13" t="n">
        <v>-623.0501509999999</v>
      </c>
      <c r="G55" s="13" t="n">
        <v>-157.6617</v>
      </c>
      <c r="H55" s="14">
        <f>H25</f>
        <v/>
      </c>
      <c r="I55" s="14">
        <f>I25</f>
        <v/>
      </c>
      <c r="J55" s="14">
        <f>J25</f>
        <v/>
      </c>
      <c r="K55" s="14">
        <f>K25</f>
        <v/>
      </c>
      <c r="L55" s="14">
        <f>L25</f>
        <v/>
      </c>
      <c r="M55" s="14">
        <f>M25</f>
        <v/>
      </c>
      <c r="N55" s="14">
        <f>N25</f>
        <v/>
      </c>
      <c r="O55" s="14">
        <f>O25</f>
        <v/>
      </c>
      <c r="P55" s="14">
        <f>P25</f>
        <v/>
      </c>
      <c r="Q55" s="14">
        <f>Q25</f>
        <v/>
      </c>
    </row>
    <row r="56">
      <c r="A56" t="inlineStr">
        <is>
          <t>Dividends to minorities</t>
        </is>
      </c>
      <c r="B56" t="inlineStr">
        <is>
          <t>minority_div</t>
        </is>
      </c>
      <c r="D56" s="13" t="n"/>
      <c r="E56" s="13" t="n"/>
      <c r="F56" s="13" t="n"/>
      <c r="G56" s="13" t="n"/>
      <c r="H56" s="14">
        <f>(MAX(G46,0)*H28)</f>
        <v/>
      </c>
      <c r="I56" s="14">
        <f>(MAX(H46,0)*I28)</f>
        <v/>
      </c>
      <c r="J56" s="14">
        <f>(MAX(I46,0)*J28)</f>
        <v/>
      </c>
      <c r="K56" s="14">
        <f>(MAX(J46,0)*K28)</f>
        <v/>
      </c>
      <c r="L56" s="14">
        <f>(MAX(K46,0)*L28)</f>
        <v/>
      </c>
      <c r="M56" s="14">
        <f>(MAX(L46,0)*M28)</f>
        <v/>
      </c>
      <c r="N56" s="14">
        <f>(MAX(M46,0)*N28)</f>
        <v/>
      </c>
      <c r="O56" s="14">
        <f>(MAX(N46,0)*O28)</f>
        <v/>
      </c>
      <c r="P56" s="14">
        <f>(MAX(O46,0)*P28)</f>
        <v/>
      </c>
      <c r="Q56" s="14">
        <f>(MAX(P46,0)*Q28)</f>
        <v/>
      </c>
    </row>
    <row r="57">
      <c r="A57" t="inlineStr">
        <is>
          <t>Free cash flow to equity</t>
        </is>
      </c>
      <c r="B57" t="inlineStr">
        <is>
          <t>fcfe</t>
        </is>
      </c>
      <c r="D57" s="13" t="n"/>
      <c r="E57" s="13" t="n"/>
      <c r="F57" s="13" t="n"/>
      <c r="G57" s="13" t="n"/>
      <c r="H57" s="14">
        <f>(((((H45+H38)-H52)-H53)+H55)-H56)</f>
        <v/>
      </c>
      <c r="I57" s="14">
        <f>(((((I45+I38)-I52)-I53)+I55)-I56)</f>
        <v/>
      </c>
      <c r="J57" s="14">
        <f>(((((J45+J38)-J52)-J53)+J55)-J56)</f>
        <v/>
      </c>
      <c r="K57" s="14">
        <f>(((((K45+K38)-K52)-K53)+K55)-K56)</f>
        <v/>
      </c>
      <c r="L57" s="14">
        <f>(((((L45+L38)-L52)-L53)+L55)-L56)</f>
        <v/>
      </c>
      <c r="M57" s="14">
        <f>(((((M45+M38)-M52)-M53)+M55)-M56)</f>
        <v/>
      </c>
      <c r="N57" s="14">
        <f>(((((N45+N38)-N52)-N53)+N55)-N56)</f>
        <v/>
      </c>
      <c r="O57" s="14">
        <f>(((((O45+O38)-O52)-O53)+O55)-O56)</f>
        <v/>
      </c>
      <c r="P57" s="14">
        <f>(((((P45+P38)-P52)-P53)+P55)-P56)</f>
        <v/>
      </c>
      <c r="Q57" s="14">
        <f>(((((Q45+Q38)-Q52)-Q53)+Q55)-Q56)</f>
        <v/>
      </c>
    </row>
    <row r="58">
      <c r="A58" t="inlineStr">
        <is>
          <t>Operating working capital</t>
        </is>
      </c>
      <c r="B58" t="inlineStr">
        <is>
          <t>nwc</t>
        </is>
      </c>
      <c r="D58" s="13" t="n">
        <v>113.377591</v>
      </c>
      <c r="E58" s="13" t="n">
        <v>70.015828</v>
      </c>
      <c r="F58" s="13" t="n">
        <v>259.736805</v>
      </c>
      <c r="G58" s="13" t="n">
        <v>371.503598</v>
      </c>
      <c r="H58" s="14">
        <f>(H33*H21)</f>
        <v/>
      </c>
      <c r="I58" s="14">
        <f>(I33*I21)</f>
        <v/>
      </c>
      <c r="J58" s="14">
        <f>(J33*J21)</f>
        <v/>
      </c>
      <c r="K58" s="14">
        <f>(K33*K21)</f>
        <v/>
      </c>
      <c r="L58" s="14">
        <f>(L33*L21)</f>
        <v/>
      </c>
      <c r="M58" s="14">
        <f>(M33*M21)</f>
        <v/>
      </c>
      <c r="N58" s="14">
        <f>(N33*N21)</f>
        <v/>
      </c>
      <c r="O58" s="14">
        <f>(O33*O21)</f>
        <v/>
      </c>
      <c r="P58" s="14">
        <f>(P33*P21)</f>
        <v/>
      </c>
      <c r="Q58" s="14">
        <f>(Q33*Q21)</f>
        <v/>
      </c>
    </row>
    <row r="59">
      <c r="A59" t="inlineStr">
        <is>
          <t>Cash &amp; equivalents</t>
        </is>
      </c>
      <c r="B59" t="inlineStr">
        <is>
          <t>cash</t>
        </is>
      </c>
      <c r="D59" s="13" t="n">
        <v>36.428128</v>
      </c>
      <c r="E59" s="13" t="n">
        <v>1.232041</v>
      </c>
      <c r="F59" s="13" t="n">
        <v>67.025418</v>
      </c>
      <c r="G59" s="13" t="n">
        <v>8.512596</v>
      </c>
      <c r="H59" s="14">
        <f>(((((((G59+H45)+H38)-H52)-H53)+H55)-H51)-H56)</f>
        <v/>
      </c>
      <c r="I59" s="14">
        <f>(((((((H59+I45)+I38)-I52)-I53)+I55)-I51)-I56)</f>
        <v/>
      </c>
      <c r="J59" s="14">
        <f>(((((((I59+J45)+J38)-J52)-J53)+J55)-J51)-J56)</f>
        <v/>
      </c>
      <c r="K59" s="14">
        <f>(((((((J59+K45)+K38)-K52)-K53)+K55)-K51)-K56)</f>
        <v/>
      </c>
      <c r="L59" s="14">
        <f>(((((((K59+L45)+L38)-L52)-L53)+L55)-L51)-L56)</f>
        <v/>
      </c>
      <c r="M59" s="14">
        <f>(((((((L59+M45)+M38)-M52)-M53)+M55)-M51)-M56)</f>
        <v/>
      </c>
      <c r="N59" s="14">
        <f>(((((((M59+N45)+N38)-N52)-N53)+N55)-N51)-N56)</f>
        <v/>
      </c>
      <c r="O59" s="14">
        <f>(((((((N59+O45)+O38)-O52)-O53)+O55)-O51)-O56)</f>
        <v/>
      </c>
      <c r="P59" s="14">
        <f>(((((((O59+P45)+P38)-P52)-P53)+P55)-P51)-P56)</f>
        <v/>
      </c>
      <c r="Q59" s="14">
        <f>(((((((P59+Q45)+Q38)-Q52)-Q53)+Q55)-Q51)-Q56)</f>
        <v/>
      </c>
    </row>
    <row r="60">
      <c r="A60" t="inlineStr">
        <is>
          <t>Total debt</t>
        </is>
      </c>
      <c r="B60" t="inlineStr">
        <is>
          <t>debt</t>
        </is>
      </c>
      <c r="D60" s="13" t="n">
        <v>922.540903</v>
      </c>
      <c r="E60" s="13" t="n">
        <v>1025.921512</v>
      </c>
      <c r="F60" s="13" t="n">
        <v>402.871361</v>
      </c>
      <c r="G60" s="13" t="n">
        <v>245.209661</v>
      </c>
      <c r="H60" s="14">
        <f>(G60+H55)</f>
        <v/>
      </c>
      <c r="I60" s="14">
        <f>(H60+I55)</f>
        <v/>
      </c>
      <c r="J60" s="14">
        <f>(I60+J55)</f>
        <v/>
      </c>
      <c r="K60" s="14">
        <f>(J60+K55)</f>
        <v/>
      </c>
      <c r="L60" s="14">
        <f>(K60+L55)</f>
        <v/>
      </c>
      <c r="M60" s="14">
        <f>(L60+M55)</f>
        <v/>
      </c>
      <c r="N60" s="14">
        <f>(M60+N55)</f>
        <v/>
      </c>
      <c r="O60" s="14">
        <f>(N60+O55)</f>
        <v/>
      </c>
      <c r="P60" s="14">
        <f>(O60+P55)</f>
        <v/>
      </c>
      <c r="Q60" s="14">
        <f>(P60+Q55)</f>
        <v/>
      </c>
    </row>
    <row r="61">
      <c r="A61" t="inlineStr">
        <is>
          <t>Fixed assets (net)</t>
        </is>
      </c>
      <c r="B61" t="inlineStr">
        <is>
          <t>ppe</t>
        </is>
      </c>
      <c r="D61" s="13" t="n">
        <v>411.238229</v>
      </c>
      <c r="E61" s="13" t="n">
        <v>806.593014</v>
      </c>
      <c r="F61" s="13" t="n">
        <v>965.404865</v>
      </c>
      <c r="G61" s="13" t="n">
        <v>957.047691</v>
      </c>
      <c r="H61" s="14">
        <f>((G61+H52)-H38)</f>
        <v/>
      </c>
      <c r="I61" s="14">
        <f>((H61+I52)-I38)</f>
        <v/>
      </c>
      <c r="J61" s="14">
        <f>((I61+J52)-J38)</f>
        <v/>
      </c>
      <c r="K61" s="14">
        <f>((J61+K52)-K38)</f>
        <v/>
      </c>
      <c r="L61" s="14">
        <f>((K61+L52)-L38)</f>
        <v/>
      </c>
      <c r="M61" s="14">
        <f>((L61+M52)-M38)</f>
        <v/>
      </c>
      <c r="N61" s="14">
        <f>((M61+N52)-N38)</f>
        <v/>
      </c>
      <c r="O61" s="14">
        <f>((N61+O52)-O38)</f>
        <v/>
      </c>
      <c r="P61" s="14">
        <f>((O61+P52)-P38)</f>
        <v/>
      </c>
      <c r="Q61" s="14">
        <f>((P61+Q52)-Q38)</f>
        <v/>
      </c>
    </row>
    <row r="62">
      <c r="A62" t="inlineStr">
        <is>
          <t>Parent shareholders' equity</t>
        </is>
      </c>
      <c r="B62" t="inlineStr">
        <is>
          <t>equity</t>
        </is>
      </c>
      <c r="D62" s="13" t="n">
        <v>344.848152</v>
      </c>
      <c r="E62" s="13" t="n">
        <v>671.719726</v>
      </c>
      <c r="F62" s="13" t="n">
        <v>1809.965846</v>
      </c>
      <c r="G62" s="13" t="n">
        <v>2083.706082</v>
      </c>
      <c r="H62" s="14">
        <f>((G62+H47)-H51)</f>
        <v/>
      </c>
      <c r="I62" s="14">
        <f>((H62+I47)-I51)</f>
        <v/>
      </c>
      <c r="J62" s="14">
        <f>((I62+J47)-J51)</f>
        <v/>
      </c>
      <c r="K62" s="14">
        <f>((J62+K47)-K51)</f>
        <v/>
      </c>
      <c r="L62" s="14">
        <f>((K62+L47)-L51)</f>
        <v/>
      </c>
      <c r="M62" s="14">
        <f>((L62+M47)-M51)</f>
        <v/>
      </c>
      <c r="N62" s="14">
        <f>((M62+N47)-N51)</f>
        <v/>
      </c>
      <c r="O62" s="14">
        <f>((N62+O47)-O51)</f>
        <v/>
      </c>
      <c r="P62" s="14">
        <f>((O62+P47)-P51)</f>
        <v/>
      </c>
      <c r="Q62" s="14">
        <f>((P62+Q47)-Q51)</f>
        <v/>
      </c>
    </row>
    <row r="63">
      <c r="A63" t="inlineStr">
        <is>
          <t>Minority interest (balance sheet)</t>
        </is>
      </c>
      <c r="B63" t="inlineStr">
        <is>
          <t>minority_bs</t>
        </is>
      </c>
      <c r="D63" s="13" t="n">
        <v>2.825947</v>
      </c>
      <c r="E63" s="13" t="n">
        <v>-1.031446</v>
      </c>
      <c r="F63" s="13" t="n">
        <v>43.520444</v>
      </c>
      <c r="G63" s="13" t="n">
        <v>92.110022</v>
      </c>
      <c r="H63" s="14">
        <f>((G63+H46)-H56)</f>
        <v/>
      </c>
      <c r="I63" s="14">
        <f>((H63+I46)-I56)</f>
        <v/>
      </c>
      <c r="J63" s="14">
        <f>((I63+J46)-J56)</f>
        <v/>
      </c>
      <c r="K63" s="14">
        <f>((J63+K46)-K56)</f>
        <v/>
      </c>
      <c r="L63" s="14">
        <f>((K63+L46)-L56)</f>
        <v/>
      </c>
      <c r="M63" s="14">
        <f>((L63+M46)-M56)</f>
        <v/>
      </c>
      <c r="N63" s="14">
        <f>((M63+N46)-N56)</f>
        <v/>
      </c>
      <c r="O63" s="14">
        <f>((N63+O46)-O56)</f>
        <v/>
      </c>
      <c r="P63" s="14">
        <f>((O63+P46)-P56)</f>
        <v/>
      </c>
      <c r="Q63" s="14">
        <f>((P63+Q46)-Q56)</f>
        <v/>
      </c>
    </row>
    <row r="64">
      <c r="A64" t="inlineStr">
        <is>
          <t>Other assets less other liabilities</t>
        </is>
      </c>
      <c r="B64" t="inlineStr">
        <is>
          <t>other_net</t>
        </is>
      </c>
      <c r="D64" s="13" t="n">
        <v>709.1710540000001</v>
      </c>
      <c r="E64" s="13" t="n">
        <v>818.7689089999999</v>
      </c>
      <c r="F64" s="13" t="n">
        <v>964.1905630000001</v>
      </c>
      <c r="G64" s="13" t="n">
        <v>1083.96188</v>
      </c>
      <c r="H64" s="14">
        <f>G64</f>
        <v/>
      </c>
      <c r="I64" s="14">
        <f>H64</f>
        <v/>
      </c>
      <c r="J64" s="14">
        <f>I64</f>
        <v/>
      </c>
      <c r="K64" s="14">
        <f>J64</f>
        <v/>
      </c>
      <c r="L64" s="14">
        <f>K64</f>
        <v/>
      </c>
      <c r="M64" s="14">
        <f>L64</f>
        <v/>
      </c>
      <c r="N64" s="14">
        <f>M64</f>
        <v/>
      </c>
      <c r="O64" s="14">
        <f>N64</f>
        <v/>
      </c>
      <c r="P64" s="14">
        <f>O64</f>
        <v/>
      </c>
      <c r="Q64" s="14">
        <f>P64</f>
        <v/>
      </c>
    </row>
    <row r="65">
      <c r="A65" t="inlineStr">
        <is>
          <t>Balance check (should be zero)</t>
        </is>
      </c>
      <c r="B65" t="inlineStr">
        <is>
          <t>bs_check</t>
        </is>
      </c>
      <c r="D65" s="13" t="n"/>
      <c r="E65" s="13" t="n"/>
      <c r="F65" s="13" t="n"/>
      <c r="G65" s="13" t="n"/>
      <c r="H65" s="14">
        <f>((((((H59+H58)+H61)+H64)-H60)-H62)-H63)</f>
        <v/>
      </c>
      <c r="I65" s="14">
        <f>((((((I59+I58)+I61)+I64)-I60)-I62)-I63)</f>
        <v/>
      </c>
      <c r="J65" s="14">
        <f>((((((J59+J58)+J61)+J64)-J60)-J62)-J63)</f>
        <v/>
      </c>
      <c r="K65" s="14">
        <f>((((((K59+K58)+K61)+K64)-K60)-K62)-K63)</f>
        <v/>
      </c>
      <c r="L65" s="14">
        <f>((((((L59+L58)+L61)+L64)-L60)-L62)-L63)</f>
        <v/>
      </c>
      <c r="M65" s="14">
        <f>((((((M59+M58)+M61)+M64)-M60)-M62)-M63)</f>
        <v/>
      </c>
      <c r="N65" s="14">
        <f>((((((N59+N58)+N61)+N64)-N60)-N62)-N63)</f>
        <v/>
      </c>
      <c r="O65" s="14">
        <f>((((((O59+O58)+O61)+O64)-O60)-O62)-O63)</f>
        <v/>
      </c>
      <c r="P65" s="14">
        <f>((((((P59+P58)+P61)+P64)-P60)-P62)-P63)</f>
        <v/>
      </c>
      <c r="Q65" s="14">
        <f>((((((Q59+Q58)+Q61)+Q64)-Q60)-Q62)-Q63)</f>
        <v/>
      </c>
    </row>
    <row r="66">
      <c r="A66" t="inlineStr">
        <is>
          <t>Net debt (cash)</t>
        </is>
      </c>
      <c r="B66" t="inlineStr">
        <is>
          <t>net_debt</t>
        </is>
      </c>
      <c r="D66" s="13" t="n">
        <v>886.1127749999999</v>
      </c>
      <c r="E66" s="13" t="n">
        <v>1024.689471</v>
      </c>
      <c r="F66" s="13" t="n">
        <v>335.845943</v>
      </c>
      <c r="G66" s="13" t="n">
        <v>236.697065</v>
      </c>
      <c r="H66" s="14">
        <f>(H60-H59)</f>
        <v/>
      </c>
      <c r="I66" s="14">
        <f>(I60-I59)</f>
        <v/>
      </c>
      <c r="J66" s="14">
        <f>(J60-J59)</f>
        <v/>
      </c>
      <c r="K66" s="14">
        <f>(K60-K59)</f>
        <v/>
      </c>
      <c r="L66" s="14">
        <f>(L60-L59)</f>
        <v/>
      </c>
      <c r="M66" s="14">
        <f>(M60-M59)</f>
        <v/>
      </c>
      <c r="N66" s="14">
        <f>(N60-N59)</f>
        <v/>
      </c>
      <c r="O66" s="14">
        <f>(O60-O59)</f>
        <v/>
      </c>
      <c r="P66" s="14">
        <f>(P60-P59)</f>
        <v/>
      </c>
      <c r="Q66" s="14">
        <f>(Q60-Q59)</f>
        <v/>
      </c>
    </row>
    <row r="67">
      <c r="A67" t="inlineStr">
        <is>
          <t>Book value per share</t>
        </is>
      </c>
      <c r="B67" t="inlineStr">
        <is>
          <t>bvps</t>
        </is>
      </c>
      <c r="D67" s="16" t="n">
        <v>21.79025085619685</v>
      </c>
      <c r="E67" s="16" t="n">
        <v>42.44459844052118</v>
      </c>
      <c r="F67" s="16" t="n">
        <v>114.3680474920699</v>
      </c>
      <c r="G67" s="16" t="n">
        <v>131.6651342744127</v>
      </c>
      <c r="H67" s="17">
        <f>(IF(H48=0,0,H62/H48)*$C$8)</f>
        <v/>
      </c>
      <c r="I67" s="17">
        <f>(IF(I48=0,0,I62/I48)*$C$8)</f>
        <v/>
      </c>
      <c r="J67" s="17">
        <f>(IF(J48=0,0,J62/J48)*$C$8)</f>
        <v/>
      </c>
      <c r="K67" s="17">
        <f>(IF(K48=0,0,K62/K48)*$C$8)</f>
        <v/>
      </c>
      <c r="L67" s="17">
        <f>(IF(L48=0,0,L62/L48)*$C$8)</f>
        <v/>
      </c>
      <c r="M67" s="17">
        <f>(IF(M48=0,0,M62/M48)*$C$8)</f>
        <v/>
      </c>
      <c r="N67" s="17">
        <f>(IF(N48=0,0,N62/N48)*$C$8)</f>
        <v/>
      </c>
      <c r="O67" s="17">
        <f>(IF(O48=0,0,O62/O48)*$C$8)</f>
        <v/>
      </c>
      <c r="P67" s="17">
        <f>(IF(P48=0,0,P62/P48)*$C$8)</f>
        <v/>
      </c>
      <c r="Q67" s="17">
        <f>(IF(Q48=0,0,Q62/Q48)*$C$8)</f>
        <v/>
      </c>
    </row>
    <row r="68">
      <c r="A68" t="inlineStr">
        <is>
          <t>Revenue growth</t>
        </is>
      </c>
      <c r="B68" t="inlineStr">
        <is>
          <t>revenue_growth</t>
        </is>
      </c>
      <c r="D68" s="4" t="n"/>
      <c r="E68" s="4" t="n">
        <v>0.3893112724493863</v>
      </c>
      <c r="F68" s="4" t="n">
        <v>-0.01122847997031073</v>
      </c>
      <c r="G68" s="4" t="n">
        <v>0.0539643092544313</v>
      </c>
      <c r="H68" s="18">
        <f>(IF(G33=0,0,H33/G33)-1)</f>
        <v/>
      </c>
      <c r="I68" s="18">
        <f>(IF(H33=0,0,I33/H33)-1)</f>
        <v/>
      </c>
      <c r="J68" s="18">
        <f>(IF(I33=0,0,J33/I33)-1)</f>
        <v/>
      </c>
      <c r="K68" s="18">
        <f>(IF(J33=0,0,K33/J33)-1)</f>
        <v/>
      </c>
      <c r="L68" s="18">
        <f>(IF(K33=0,0,L33/K33)-1)</f>
        <v/>
      </c>
      <c r="M68" s="18">
        <f>(IF(L33=0,0,M33/L33)-1)</f>
        <v/>
      </c>
      <c r="N68" s="18">
        <f>(IF(M33=0,0,N33/M33)-1)</f>
        <v/>
      </c>
      <c r="O68" s="18">
        <f>(IF(N33=0,0,O33/N33)-1)</f>
        <v/>
      </c>
      <c r="P68" s="18">
        <f>(IF(O33=0,0,P33/O33)-1)</f>
        <v/>
      </c>
      <c r="Q68" s="18">
        <f>(IF(P33=0,0,Q33/P33)-1)</f>
        <v/>
      </c>
    </row>
    <row r="69">
      <c r="A69" t="inlineStr">
        <is>
          <t>Gross margin</t>
        </is>
      </c>
      <c r="B69" t="inlineStr">
        <is>
          <t>gross_margin</t>
        </is>
      </c>
      <c r="D69" s="4" t="n">
        <v>0.4494959363144757</v>
      </c>
      <c r="E69" s="4" t="n">
        <v>0.4048065320220206</v>
      </c>
      <c r="F69" s="4" t="n">
        <v>0.4355296945944898</v>
      </c>
      <c r="G69" s="4" t="n">
        <v>0.4539029063176526</v>
      </c>
      <c r="H69" s="18">
        <f>IF(H33=0,0,H35/H33)</f>
        <v/>
      </c>
      <c r="I69" s="18">
        <f>IF(I33=0,0,I35/I33)</f>
        <v/>
      </c>
      <c r="J69" s="18">
        <f>IF(J33=0,0,J35/J33)</f>
        <v/>
      </c>
      <c r="K69" s="18">
        <f>IF(K33=0,0,K35/K33)</f>
        <v/>
      </c>
      <c r="L69" s="18">
        <f>IF(L33=0,0,L35/L33)</f>
        <v/>
      </c>
      <c r="M69" s="18">
        <f>IF(M33=0,0,M35/M33)</f>
        <v/>
      </c>
      <c r="N69" s="18">
        <f>IF(N33=0,0,N35/N33)</f>
        <v/>
      </c>
      <c r="O69" s="18">
        <f>IF(O33=0,0,O35/O33)</f>
        <v/>
      </c>
      <c r="P69" s="18">
        <f>IF(P33=0,0,P35/P33)</f>
        <v/>
      </c>
      <c r="Q69" s="18">
        <f>IF(Q33=0,0,Q35/Q33)</f>
        <v/>
      </c>
    </row>
    <row r="70">
      <c r="A70" t="inlineStr">
        <is>
          <t>EBITDA margin</t>
        </is>
      </c>
      <c r="B70" t="inlineStr">
        <is>
          <t>ebitda_margin</t>
        </is>
      </c>
      <c r="D70" s="4" t="n"/>
      <c r="E70" s="4" t="n"/>
      <c r="F70" s="4" t="n">
        <v>0.4147858392298442</v>
      </c>
      <c r="G70" s="4" t="n">
        <v>0.4385355503956831</v>
      </c>
      <c r="H70" s="18">
        <f>IF(H33=0,0,H39/H33)</f>
        <v/>
      </c>
      <c r="I70" s="18">
        <f>IF(I33=0,0,I39/I33)</f>
        <v/>
      </c>
      <c r="J70" s="18">
        <f>IF(J33=0,0,J39/J33)</f>
        <v/>
      </c>
      <c r="K70" s="18">
        <f>IF(K33=0,0,K39/K33)</f>
        <v/>
      </c>
      <c r="L70" s="18">
        <f>IF(L33=0,0,L39/L33)</f>
        <v/>
      </c>
      <c r="M70" s="18">
        <f>IF(M33=0,0,M39/M33)</f>
        <v/>
      </c>
      <c r="N70" s="18">
        <f>IF(N33=0,0,N39/N33)</f>
        <v/>
      </c>
      <c r="O70" s="18">
        <f>IF(O33=0,0,O39/O33)</f>
        <v/>
      </c>
      <c r="P70" s="18">
        <f>IF(P33=0,0,P39/P33)</f>
        <v/>
      </c>
      <c r="Q70" s="18">
        <f>IF(Q33=0,0,Q39/Q33)</f>
        <v/>
      </c>
    </row>
    <row r="71">
      <c r="A71" t="inlineStr">
        <is>
          <t>EBIT margin</t>
        </is>
      </c>
      <c r="B71" t="inlineStr">
        <is>
          <t>ebit_margin</t>
        </is>
      </c>
      <c r="D71" s="4" t="n">
        <v>0.3481932066525427</v>
      </c>
      <c r="E71" s="4" t="n">
        <v>0.2857875283144583</v>
      </c>
      <c r="F71" s="4" t="n">
        <v>0.3498671257060147</v>
      </c>
      <c r="G71" s="4" t="n">
        <v>0.3705993017054564</v>
      </c>
      <c r="H71" s="18">
        <f>IF(H33=0,0,H37/H33)</f>
        <v/>
      </c>
      <c r="I71" s="18">
        <f>IF(I33=0,0,I37/I33)</f>
        <v/>
      </c>
      <c r="J71" s="18">
        <f>IF(J33=0,0,J37/J33)</f>
        <v/>
      </c>
      <c r="K71" s="18">
        <f>IF(K33=0,0,K37/K33)</f>
        <v/>
      </c>
      <c r="L71" s="18">
        <f>IF(L33=0,0,L37/L33)</f>
        <v/>
      </c>
      <c r="M71" s="18">
        <f>IF(M33=0,0,M37/M33)</f>
        <v/>
      </c>
      <c r="N71" s="18">
        <f>IF(N33=0,0,N37/N33)</f>
        <v/>
      </c>
      <c r="O71" s="18">
        <f>IF(O33=0,0,O37/O33)</f>
        <v/>
      </c>
      <c r="P71" s="18">
        <f>IF(P33=0,0,P37/P33)</f>
        <v/>
      </c>
      <c r="Q71" s="18">
        <f>IF(Q33=0,0,Q37/Q33)</f>
        <v/>
      </c>
    </row>
    <row r="72">
      <c r="A72" t="inlineStr">
        <is>
          <t>Net margin</t>
        </is>
      </c>
      <c r="B72" t="inlineStr">
        <is>
          <t>np_margin</t>
        </is>
      </c>
      <c r="D72" s="4" t="n">
        <v>0.2441042074674514</v>
      </c>
      <c r="E72" s="4" t="n">
        <v>0.200608534983115</v>
      </c>
      <c r="F72" s="4" t="n">
        <v>0.3142117295789287</v>
      </c>
      <c r="G72" s="4" t="n">
        <v>0.3857705894778389</v>
      </c>
      <c r="H72" s="18">
        <f>IF(H33=0,0,H47/H33)</f>
        <v/>
      </c>
      <c r="I72" s="18">
        <f>IF(I33=0,0,I47/I33)</f>
        <v/>
      </c>
      <c r="J72" s="18">
        <f>IF(J33=0,0,J47/J33)</f>
        <v/>
      </c>
      <c r="K72" s="18">
        <f>IF(K33=0,0,K47/K33)</f>
        <v/>
      </c>
      <c r="L72" s="18">
        <f>IF(L33=0,0,L47/L33)</f>
        <v/>
      </c>
      <c r="M72" s="18">
        <f>IF(M33=0,0,M47/M33)</f>
        <v/>
      </c>
      <c r="N72" s="18">
        <f>IF(N33=0,0,N47/N33)</f>
        <v/>
      </c>
      <c r="O72" s="18">
        <f>IF(O33=0,0,O47/O33)</f>
        <v/>
      </c>
      <c r="P72" s="18">
        <f>IF(P33=0,0,P47/P33)</f>
        <v/>
      </c>
      <c r="Q72" s="18">
        <f>IF(Q33=0,0,Q47/Q33)</f>
        <v/>
      </c>
    </row>
    <row r="73">
      <c r="A73" t="inlineStr">
        <is>
          <t>EPS growth</t>
        </is>
      </c>
      <c r="B73" t="inlineStr">
        <is>
          <t>eps_growth</t>
        </is>
      </c>
      <c r="D73" s="4" t="n"/>
      <c r="E73" s="4" t="n">
        <v>0.1417570466857325</v>
      </c>
      <c r="F73" s="4" t="n">
        <v>0.5487058389268682</v>
      </c>
      <c r="G73" s="4" t="n">
        <v>0.293995082279549</v>
      </c>
      <c r="H73" s="18">
        <f>(IF(G49=0,0,H49/G49)-1)</f>
        <v/>
      </c>
      <c r="I73" s="18">
        <f>(IF(H49=0,0,I49/H49)-1)</f>
        <v/>
      </c>
      <c r="J73" s="18">
        <f>(IF(I49=0,0,J49/I49)-1)</f>
        <v/>
      </c>
      <c r="K73" s="18">
        <f>(IF(J49=0,0,K49/J49)-1)</f>
        <v/>
      </c>
      <c r="L73" s="18">
        <f>(IF(K49=0,0,L49/K49)-1)</f>
        <v/>
      </c>
      <c r="M73" s="18">
        <f>(IF(L49=0,0,M49/L49)-1)</f>
        <v/>
      </c>
      <c r="N73" s="18">
        <f>(IF(M49=0,0,N49/M49)-1)</f>
        <v/>
      </c>
      <c r="O73" s="18">
        <f>(IF(N49=0,0,O49/N49)-1)</f>
        <v/>
      </c>
      <c r="P73" s="18">
        <f>(IF(O49=0,0,P49/O49)-1)</f>
        <v/>
      </c>
      <c r="Q73" s="18">
        <f>(IF(P49=0,0,Q49/P49)-1)</f>
        <v/>
      </c>
    </row>
    <row r="74">
      <c r="A74" t="inlineStr">
        <is>
          <t>ROE</t>
        </is>
      </c>
      <c r="B74" t="inlineStr">
        <is>
          <t>roe</t>
        </is>
      </c>
      <c r="D74" s="4" t="n"/>
      <c r="E74" s="4" t="n">
        <v>0.3674475931060257</v>
      </c>
      <c r="F74" s="4" t="n">
        <v>0.233106277655387</v>
      </c>
      <c r="G74" s="4" t="n">
        <v>0.1922533849390097</v>
      </c>
      <c r="H74" s="18">
        <f>IF(IF(2=0,0,(H62+G62)/2)=0,0,H47/IF(2=0,0,(H62+G62)/2))</f>
        <v/>
      </c>
      <c r="I74" s="18">
        <f>IF(IF(2=0,0,(I62+H62)/2)=0,0,I47/IF(2=0,0,(I62+H62)/2))</f>
        <v/>
      </c>
      <c r="J74" s="18">
        <f>IF(IF(2=0,0,(J62+I62)/2)=0,0,J47/IF(2=0,0,(J62+I62)/2))</f>
        <v/>
      </c>
      <c r="K74" s="18">
        <f>IF(IF(2=0,0,(K62+J62)/2)=0,0,K47/IF(2=0,0,(K62+J62)/2))</f>
        <v/>
      </c>
      <c r="L74" s="18">
        <f>IF(IF(2=0,0,(L62+K62)/2)=0,0,L47/IF(2=0,0,(L62+K62)/2))</f>
        <v/>
      </c>
      <c r="M74" s="18">
        <f>IF(IF(2=0,0,(M62+L62)/2)=0,0,M47/IF(2=0,0,(M62+L62)/2))</f>
        <v/>
      </c>
      <c r="N74" s="18">
        <f>IF(IF(2=0,0,(N62+M62)/2)=0,0,N47/IF(2=0,0,(N62+M62)/2))</f>
        <v/>
      </c>
      <c r="O74" s="18">
        <f>IF(IF(2=0,0,(O62+N62)/2)=0,0,O47/IF(2=0,0,(O62+N62)/2))</f>
        <v/>
      </c>
      <c r="P74" s="18">
        <f>IF(IF(2=0,0,(P62+O62)/2)=0,0,P47/IF(2=0,0,(P62+O62)/2))</f>
        <v/>
      </c>
      <c r="Q74" s="18">
        <f>IF(IF(2=0,0,(Q62+P62)/2)=0,0,Q47/IF(2=0,0,(Q62+P62)/2))</f>
        <v/>
      </c>
    </row>
    <row r="75">
      <c r="A75" t="inlineStr">
        <is>
          <t>Net debt / EBITDA</t>
        </is>
      </c>
      <c r="B75" t="inlineStr">
        <is>
          <t>net_debt_ebitda</t>
        </is>
      </c>
      <c r="D75" s="19" t="n"/>
      <c r="E75" s="19" t="n"/>
      <c r="F75" s="19" t="n">
        <v>0.8795648168178531</v>
      </c>
      <c r="G75" s="19" t="n">
        <v>0.5563061054414373</v>
      </c>
      <c r="H75" s="20">
        <f>IF(H39=0,0,H66/H39)</f>
        <v/>
      </c>
      <c r="I75" s="20">
        <f>IF(I39=0,0,I66/I39)</f>
        <v/>
      </c>
      <c r="J75" s="20">
        <f>IF(J39=0,0,J66/J39)</f>
        <v/>
      </c>
      <c r="K75" s="20">
        <f>IF(K39=0,0,K66/K39)</f>
        <v/>
      </c>
      <c r="L75" s="20">
        <f>IF(L39=0,0,L66/L39)</f>
        <v/>
      </c>
      <c r="M75" s="20">
        <f>IF(M39=0,0,M66/M39)</f>
        <v/>
      </c>
      <c r="N75" s="20">
        <f>IF(N39=0,0,N66/N39)</f>
        <v/>
      </c>
      <c r="O75" s="20">
        <f>IF(O39=0,0,O66/O39)</f>
        <v/>
      </c>
      <c r="P75" s="20">
        <f>IF(P39=0,0,P66/P39)</f>
        <v/>
      </c>
      <c r="Q75" s="20">
        <f>IF(Q39=0,0,Q66/Q39)</f>
        <v/>
      </c>
    </row>
    <row r="76">
      <c r="A76" t="inlineStr">
        <is>
          <t>Payout ratio</t>
        </is>
      </c>
      <c r="B76" t="inlineStr">
        <is>
          <t>payout_ratio</t>
        </is>
      </c>
      <c r="D76" s="4" t="n"/>
      <c r="E76" s="4" t="n"/>
      <c r="F76" s="4" t="n">
        <v>0.2462110029135077</v>
      </c>
      <c r="G76" s="4" t="n">
        <v>0.5496746010703628</v>
      </c>
      <c r="H76" s="18">
        <f>IF(H49=0,0,H50/H49)</f>
        <v/>
      </c>
      <c r="I76" s="18">
        <f>IF(I49=0,0,I50/I49)</f>
        <v/>
      </c>
      <c r="J76" s="18">
        <f>IF(J49=0,0,J50/J49)</f>
        <v/>
      </c>
      <c r="K76" s="18">
        <f>IF(K49=0,0,K50/K49)</f>
        <v/>
      </c>
      <c r="L76" s="18">
        <f>IF(L49=0,0,L50/L49)</f>
        <v/>
      </c>
      <c r="M76" s="18">
        <f>IF(M49=0,0,M50/M49)</f>
        <v/>
      </c>
      <c r="N76" s="18">
        <f>IF(N49=0,0,N50/N49)</f>
        <v/>
      </c>
      <c r="O76" s="18">
        <f>IF(O49=0,0,O50/O49)</f>
        <v/>
      </c>
      <c r="P76" s="18">
        <f>IF(P49=0,0,P50/P49)</f>
        <v/>
      </c>
      <c r="Q76" s="18">
        <f>IF(Q49=0,0,Q50/Q49)</f>
        <v/>
      </c>
    </row>
    <row r="77">
      <c r="A77" t="inlineStr">
        <is>
          <t>Capex / revenue</t>
        </is>
      </c>
      <c r="B77" t="inlineStr">
        <is>
          <t>capex_revenue</t>
        </is>
      </c>
      <c r="D77" s="4" t="n">
        <v>0.09400904314829654</v>
      </c>
      <c r="E77" s="4" t="n">
        <v>0.2750220347176741</v>
      </c>
      <c r="F77" s="4" t="n">
        <v>0.1532960328449531</v>
      </c>
      <c r="G77" s="4" t="n">
        <v>0.1083213288818536</v>
      </c>
      <c r="H77" s="18">
        <f>IF(H33=0,0,H52/H33)</f>
        <v/>
      </c>
      <c r="I77" s="18">
        <f>IF(I33=0,0,I52/I33)</f>
        <v/>
      </c>
      <c r="J77" s="18">
        <f>IF(J33=0,0,J52/J33)</f>
        <v/>
      </c>
      <c r="K77" s="18">
        <f>IF(K33=0,0,K52/K33)</f>
        <v/>
      </c>
      <c r="L77" s="18">
        <f>IF(L33=0,0,L52/L33)</f>
        <v/>
      </c>
      <c r="M77" s="18">
        <f>IF(M33=0,0,M52/M33)</f>
        <v/>
      </c>
      <c r="N77" s="18">
        <f>IF(N33=0,0,N52/N33)</f>
        <v/>
      </c>
      <c r="O77" s="18">
        <f>IF(O33=0,0,O52/O33)</f>
        <v/>
      </c>
      <c r="P77" s="18">
        <f>IF(P33=0,0,P52/P33)</f>
        <v/>
      </c>
      <c r="Q77" s="18">
        <f>IF(Q33=0,0,Q52/Q33)</f>
        <v/>
      </c>
    </row>
    <row r="79">
      <c r="A79" s="1" t="inlineStr">
        <is>
          <t>VALUATION</t>
        </is>
      </c>
    </row>
    <row r="80">
      <c r="A80" t="inlineStr">
        <is>
          <t>Last price (IDR)</t>
        </is>
      </c>
      <c r="C80" s="16" t="n">
        <v>620</v>
      </c>
    </row>
    <row r="81">
      <c r="A81" t="inlineStr">
        <is>
          <t>Shares outstanding (m)</t>
        </is>
      </c>
      <c r="C81" s="13" t="n">
        <v>15825.8</v>
      </c>
    </row>
    <row r="82">
      <c r="A82" t="inlineStr">
        <is>
          <t>IDR per USD (spot)</t>
        </is>
      </c>
      <c r="C82" s="3" t="n">
        <v>18128</v>
      </c>
    </row>
    <row r="83">
      <c r="A83" t="inlineStr">
        <is>
          <t>Debt at balance-sheet date</t>
        </is>
      </c>
      <c r="C83" s="13" t="n">
        <v>310.543148</v>
      </c>
    </row>
    <row r="84">
      <c r="A84" t="inlineStr">
        <is>
          <t>Cash at balance-sheet date</t>
        </is>
      </c>
      <c r="C84" s="13" t="n">
        <v>58.59945</v>
      </c>
    </row>
    <row r="85">
      <c r="A85" t="inlineStr">
        <is>
          <t>Minority interest (book)</t>
        </is>
      </c>
      <c r="C85" s="13" t="n">
        <v>124.365682</v>
      </c>
    </row>
    <row r="86">
      <c r="A86" t="inlineStr">
        <is>
          <t>Associates &amp; investments (book)</t>
        </is>
      </c>
      <c r="C86" s="13" t="n">
        <v>0</v>
      </c>
    </row>
    <row r="87">
      <c r="A87" t="inlineStr">
        <is>
          <t>Post-balance-sheet &amp; other items (sourced, probability-weighted)</t>
        </is>
      </c>
      <c r="C87" s="13" t="n">
        <v>1262.764563</v>
      </c>
    </row>
    <row r="88">
      <c r="A88" t="inlineStr">
        <is>
          <t>Parent equity at balance-sheet date</t>
        </is>
      </c>
      <c r="C88" s="13" t="n">
        <v>2143.39247</v>
      </c>
    </row>
    <row r="89">
      <c r="A89" t="inlineStr">
        <is>
          <t>Per-share factor</t>
        </is>
      </c>
      <c r="C89" s="21" t="n">
        <v>1000</v>
      </c>
    </row>
    <row r="90">
      <c r="A90" t="inlineStr">
        <is>
          <t>Risk-free rate</t>
        </is>
      </c>
      <c r="C90" s="8">
        <f>Drivers!$C$9</f>
        <v/>
      </c>
    </row>
    <row r="91">
      <c r="A91" t="inlineStr">
        <is>
          <t>Less: default spread (IDR only)</t>
        </is>
      </c>
      <c r="C91" s="8">
        <f>Drivers!$C$11</f>
        <v/>
      </c>
    </row>
    <row r="92">
      <c r="A92" t="inlineStr">
        <is>
          <t>Mature ERP + Indonesia CRP</t>
        </is>
      </c>
      <c r="C92" s="8">
        <f>Drivers!$C$12+Drivers!$C$13</f>
        <v/>
      </c>
    </row>
    <row r="93">
      <c r="A93" t="inlineStr">
        <is>
          <t>Tax rate</t>
        </is>
      </c>
      <c r="C93" s="8">
        <f>Drivers!$C$15</f>
        <v/>
      </c>
    </row>
    <row r="94">
      <c r="A94" t="inlineStr">
        <is>
          <t>Unlevered beta (industry default (config))</t>
        </is>
      </c>
      <c r="C94" s="22" t="n">
        <v>1</v>
      </c>
    </row>
    <row r="95">
      <c r="A95" t="inlineStr">
        <is>
          <t>Debt / equity (market)</t>
        </is>
      </c>
      <c r="C95" s="22" t="n">
        <v>0.03164933495692416</v>
      </c>
    </row>
    <row r="96">
      <c r="A96" t="inlineStr">
        <is>
          <t>Levered beta</t>
        </is>
      </c>
      <c r="C96" s="23">
        <f>$C$94*(1+(1-$C$93)*$C$95)</f>
        <v/>
      </c>
    </row>
    <row r="97">
      <c r="A97" t="inlineStr">
        <is>
          <t>Explicit company premium</t>
        </is>
      </c>
      <c r="C97" s="4" t="n">
        <v>0</v>
      </c>
    </row>
    <row r="98">
      <c r="A98" t="inlineStr">
        <is>
          <t>Cost of equity</t>
        </is>
      </c>
      <c r="C98" s="10">
        <f>$C$90-$C$91+$C$96*$C$92+$C$97</f>
        <v/>
      </c>
    </row>
    <row r="99">
      <c r="A99" t="inlineStr">
        <is>
          <t>Pre-tax cost of debt</t>
        </is>
      </c>
      <c r="C99" s="10">
        <f>$C$90+Drivers!$C$14</f>
        <v/>
      </c>
    </row>
    <row r="100">
      <c r="A100" t="inlineStr">
        <is>
          <t>WACC</t>
        </is>
      </c>
      <c r="C100" s="10">
        <f>1/(1+$C$95)*$C$98+$C$95/(1+$C$95)*$C$99*(1-$C$93)</f>
        <v/>
      </c>
    </row>
    <row r="101">
      <c r="A101" t="inlineStr">
        <is>
          <t>Terminal growth (capped)</t>
        </is>
      </c>
      <c r="C101" s="4" t="n">
        <v>0.035</v>
      </c>
    </row>
    <row r="103">
      <c r="A103" s="1" t="inlineStr">
        <is>
          <t>DCF (FCFF, terminal value)</t>
        </is>
      </c>
    </row>
    <row r="104">
      <c r="A104" t="inlineStr">
        <is>
          <t>Share of year after balance-sheet date</t>
        </is>
      </c>
      <c r="H104" s="12" t="n">
        <v>0.503765</v>
      </c>
      <c r="I104" s="12" t="n">
        <v>0.996578</v>
      </c>
      <c r="J104" s="12" t="n">
        <v>0.999316</v>
      </c>
      <c r="K104" s="12" t="n">
        <v>0.996578</v>
      </c>
      <c r="L104" s="12" t="n">
        <v>0.996578</v>
      </c>
      <c r="M104" s="12" t="n">
        <v>0.996578</v>
      </c>
      <c r="N104" s="12" t="n">
        <v>0.999316</v>
      </c>
      <c r="O104" s="12" t="n">
        <v>0.996578</v>
      </c>
      <c r="P104" s="12" t="n">
        <v>0.996578</v>
      </c>
      <c r="Q104" s="12" t="n">
        <v>0.996578</v>
      </c>
    </row>
    <row r="105">
      <c r="A105" t="inlineStr">
        <is>
          <t>Discount time from valuation date (years)</t>
        </is>
      </c>
      <c r="H105" s="12" t="n">
        <v>0</v>
      </c>
      <c r="I105" s="12" t="n">
        <v>0.670773</v>
      </c>
      <c r="J105" s="12" t="n">
        <v>1.670089</v>
      </c>
      <c r="K105" s="12" t="n">
        <v>2.672142</v>
      </c>
      <c r="L105" s="12" t="n">
        <v>3.671458</v>
      </c>
      <c r="M105" s="12" t="n">
        <v>4.670773</v>
      </c>
      <c r="N105" s="12" t="n">
        <v>5.670089</v>
      </c>
      <c r="O105" s="12" t="n">
        <v>6.672142</v>
      </c>
      <c r="P105" s="12" t="n">
        <v>7.671458</v>
      </c>
      <c r="Q105" s="12" t="n">
        <v>8.670773000000001</v>
      </c>
    </row>
    <row r="106">
      <c r="A106" t="inlineStr">
        <is>
          <t>Discount factor</t>
        </is>
      </c>
      <c r="H106">
        <f>1/(1+$C$100)^H105</f>
        <v/>
      </c>
      <c r="I106">
        <f>1/(1+$C$100)^I105</f>
        <v/>
      </c>
      <c r="J106">
        <f>1/(1+$C$100)^J105</f>
        <v/>
      </c>
      <c r="K106">
        <f>1/(1+$C$100)^K105</f>
        <v/>
      </c>
      <c r="L106">
        <f>1/(1+$C$100)^L105</f>
        <v/>
      </c>
      <c r="M106">
        <f>1/(1+$C$100)^M105</f>
        <v/>
      </c>
      <c r="N106">
        <f>1/(1+$C$100)^N105</f>
        <v/>
      </c>
      <c r="O106">
        <f>1/(1+$C$100)^O105</f>
        <v/>
      </c>
      <c r="P106">
        <f>1/(1+$C$100)^P105</f>
        <v/>
      </c>
      <c r="Q106">
        <f>1/(1+$C$100)^Q105</f>
        <v/>
      </c>
    </row>
    <row r="107">
      <c r="A107" t="inlineStr">
        <is>
          <t>PV of FCFF</t>
        </is>
      </c>
      <c r="H107" s="24">
        <f>H54*H104*H106</f>
        <v/>
      </c>
      <c r="I107" s="24">
        <f>I54*I104*I106</f>
        <v/>
      </c>
      <c r="J107" s="24">
        <f>J54*J104*J106</f>
        <v/>
      </c>
      <c r="K107" s="24">
        <f>K54*K104*K106</f>
        <v/>
      </c>
      <c r="L107" s="24">
        <f>L54*L104*L106</f>
        <v/>
      </c>
      <c r="M107" s="24">
        <f>M54*M104*M106</f>
        <v/>
      </c>
      <c r="N107" s="24">
        <f>N54*N104*N106</f>
        <v/>
      </c>
      <c r="O107" s="24">
        <f>O54*O104*O106</f>
        <v/>
      </c>
      <c r="P107" s="24">
        <f>P54*P104*P106</f>
        <v/>
      </c>
      <c r="Q107" s="24">
        <f>Q54*Q104*Q106</f>
        <v/>
      </c>
    </row>
    <row r="108">
      <c r="A108" t="inlineStr">
        <is>
          <t>Sum of PV</t>
        </is>
      </c>
      <c r="C108" s="24">
        <f>SUM(H107:Q107)</f>
        <v/>
      </c>
    </row>
    <row r="109">
      <c r="A109" t="inlineStr">
        <is>
          <t>Years to end of horizon</t>
        </is>
      </c>
      <c r="C109" s="21" t="n">
        <v>9.169062</v>
      </c>
    </row>
    <row r="110">
      <c r="A110" t="inlineStr">
        <is>
          <t>Terminal value</t>
        </is>
      </c>
      <c r="C110" s="24">
        <f>Q54*(1+$C$101)/($C$100-$C$101)</f>
        <v/>
      </c>
    </row>
    <row r="111">
      <c r="A111" t="inlineStr">
        <is>
          <t>PV of terminal value</t>
        </is>
      </c>
      <c r="C111" s="24">
        <f>$C$110/(1+$C$100)^$C$109</f>
        <v/>
      </c>
    </row>
    <row r="112">
      <c r="A112" t="inlineStr">
        <is>
          <t>Enterprise value</t>
        </is>
      </c>
      <c r="C112" s="24">
        <f>$C$108+$C$111</f>
        <v/>
      </c>
    </row>
    <row r="113">
      <c r="A113" t="inlineStr">
        <is>
          <t>Equity value</t>
        </is>
      </c>
      <c r="C113" s="24">
        <f>$C$112-($C$83-$C$84)-$C$85+$C$86+$C$87</f>
        <v/>
      </c>
    </row>
    <row r="114">
      <c r="A114" t="inlineStr">
        <is>
          <t>Value per share (IDR) — DCF (FCFF, terminal value)</t>
        </is>
      </c>
      <c r="C114" s="25">
        <f>MAX(0,$C$113/$C$81*$C$89*1)</f>
        <v/>
      </c>
    </row>
    <row r="116">
      <c r="A116" s="1" t="inlineStr">
        <is>
          <t>EV/EBITDA</t>
        </is>
      </c>
    </row>
    <row r="117">
      <c r="A117" t="inlineStr">
        <is>
          <t>Target multiple (peer median)</t>
        </is>
      </c>
      <c r="C117" s="19" t="n">
        <v>12.91005</v>
      </c>
    </row>
    <row r="118">
      <c r="A118" t="inlineStr">
        <is>
          <t>Metric (LTM, or next-12m DPS for yield)</t>
        </is>
      </c>
      <c r="C118" s="13" t="n">
        <v>425.479898</v>
      </c>
    </row>
    <row r="119">
      <c r="A119" t="inlineStr">
        <is>
          <t>Value per share (IDR) — EV/EBITDA</t>
        </is>
      </c>
      <c r="C119" s="25">
        <f>MAX(0,($C$117*$C$118-($C$83-$C$84)-$C$85+$C$86+$C$87)/$C$81*$C$89*1)</f>
        <v/>
      </c>
    </row>
    <row r="121">
      <c r="A121" s="1" t="inlineStr">
        <is>
          <t>P/BV</t>
        </is>
      </c>
    </row>
    <row r="122">
      <c r="A122" t="inlineStr">
        <is>
          <t>Target multiple (peer median)</t>
        </is>
      </c>
      <c r="C122" s="19" t="n">
        <v>1.179917</v>
      </c>
    </row>
    <row r="123">
      <c r="A123" t="inlineStr">
        <is>
          <t>Metric (LTM, or next-12m DPS for yield)</t>
        </is>
      </c>
      <c r="C123" s="13" t="n">
        <v>2143.39247</v>
      </c>
    </row>
    <row r="124">
      <c r="A124" t="inlineStr">
        <is>
          <t>Value per share (IDR) — P/BV</t>
        </is>
      </c>
      <c r="C124" s="25">
        <f>MAX(0,$C$122*$C$123/$C$81*$C$89*1)</f>
        <v/>
      </c>
    </row>
    <row r="126">
      <c r="A126" s="1" t="inlineStr">
        <is>
          <t>TARGET</t>
        </is>
      </c>
    </row>
    <row r="127">
      <c r="A127" t="inlineStr">
        <is>
          <t>Weight: DCF (FCFF, terminal value)</t>
        </is>
      </c>
      <c r="C127" s="4" t="n">
        <v>0.5</v>
      </c>
    </row>
    <row r="128">
      <c r="A128" t="inlineStr">
        <is>
          <t>Weight: EV/EBITDA</t>
        </is>
      </c>
      <c r="C128" s="4" t="n">
        <v>0.3</v>
      </c>
    </row>
    <row r="129">
      <c r="A129" t="inlineStr">
        <is>
          <t>Weight: P/BV</t>
        </is>
      </c>
      <c r="C129" s="4" t="n">
        <v>0.2</v>
      </c>
    </row>
    <row r="130">
      <c r="A130" t="inlineStr">
        <is>
          <t>Value today (weighted)</t>
        </is>
      </c>
      <c r="C130" s="25">
        <f>$C$114*$C$127+$C$119*$C$128+$C$124*$C$129</f>
        <v/>
      </c>
    </row>
    <row r="131">
      <c r="A131" t="inlineStr">
        <is>
          <t>DPS expected in next 12 months (IDR)</t>
        </is>
      </c>
      <c r="C131" s="16" t="n">
        <v>11.03071676623809</v>
      </c>
    </row>
    <row r="132">
      <c r="A132" t="inlineStr">
        <is>
          <t>Base-case 12-month value</t>
        </is>
      </c>
      <c r="C132" s="25">
        <f>MAX(0,$C$130*(1+$C$98)-$C$131)</f>
        <v/>
      </c>
    </row>
    <row r="133">
      <c r="A133" t="inlineStr">
        <is>
          <t>Bear probability</t>
        </is>
      </c>
      <c r="C133" s="4" t="n">
        <v>0.25</v>
      </c>
    </row>
    <row r="134">
      <c r="A134" t="inlineStr">
        <is>
          <t>Bear 12-month value (engine)</t>
        </is>
      </c>
      <c r="C134" s="16" t="n">
        <v>263.3714226263919</v>
      </c>
    </row>
    <row r="135">
      <c r="A135" t="inlineStr">
        <is>
          <t>Base probability</t>
        </is>
      </c>
      <c r="C135" s="4" t="n">
        <v>0.5</v>
      </c>
    </row>
    <row r="136">
      <c r="A136" t="inlineStr">
        <is>
          <t>Bull probability</t>
        </is>
      </c>
      <c r="C136" s="4" t="n">
        <v>0.25</v>
      </c>
    </row>
    <row r="137">
      <c r="A137" t="inlineStr">
        <is>
          <t>Bull 12-month value (engine)</t>
        </is>
      </c>
      <c r="C137" s="16" t="n">
        <v>352.9645101815375</v>
      </c>
    </row>
    <row r="138">
      <c r="A138" t="inlineStr">
        <is>
          <t>Probability-weighted 12-month value</t>
        </is>
      </c>
      <c r="C138" s="25">
        <f>$C$133*$C$134+$C$135*$C$132+$C$136*$C$137</f>
        <v/>
      </c>
    </row>
    <row r="139">
      <c r="A139" t="inlineStr">
        <is>
          <t>Liquidity discount (limits.yaml)</t>
        </is>
      </c>
      <c r="C139" s="4" t="n">
        <v>0.1</v>
      </c>
    </row>
    <row r="140">
      <c r="A140" t="inlineStr">
        <is>
          <t>Fundamental 12-month value (after liquidity discount)</t>
        </is>
      </c>
      <c r="C140" s="25">
        <f>$C$138*(1-$C$139)</f>
        <v/>
      </c>
    </row>
    <row r="141">
      <c r="A141" t="inlineStr">
        <is>
          <t>Konglo lens: price / fundamental value today (engine)</t>
        </is>
      </c>
      <c r="C141" s="19" t="n">
        <v>2.47136</v>
      </c>
    </row>
    <row r="142">
      <c r="A142" t="inlineStr">
        <is>
          <t>Regime bear: probability (konglo deck)</t>
        </is>
      </c>
      <c r="C142" s="4" t="n">
        <v>0.25</v>
      </c>
    </row>
    <row r="143">
      <c r="A143" t="inlineStr">
        <is>
          <t>Regime bear: share of the log gap closed in 12 months</t>
        </is>
      </c>
      <c r="C143" s="4" t="n">
        <v>0.75</v>
      </c>
    </row>
    <row r="144">
      <c r="A144" t="inlineStr">
        <is>
          <t>Regime base: probability (konglo deck)</t>
        </is>
      </c>
      <c r="C144" s="4" t="n">
        <v>0.5</v>
      </c>
    </row>
    <row r="145">
      <c r="A145" t="inlineStr">
        <is>
          <t>Regime base: share of the log gap closed in 12 months</t>
        </is>
      </c>
      <c r="C145" s="4" t="n">
        <v>0.35</v>
      </c>
    </row>
    <row r="146">
      <c r="A146" t="inlineStr">
        <is>
          <t>Regime bull: probability (konglo deck)</t>
        </is>
      </c>
      <c r="C146" s="4" t="n">
        <v>0.25</v>
      </c>
    </row>
    <row r="147">
      <c r="A147" t="inlineStr">
        <is>
          <t>Regime bull: share of the log gap closed in 12 months</t>
        </is>
      </c>
      <c r="C147" s="4" t="n">
        <v>-0.1</v>
      </c>
    </row>
    <row r="148">
      <c r="A148" t="inlineStr">
        <is>
          <t>Share of today's premium kept (probability-weighted)</t>
        </is>
      </c>
      <c r="C148" s="26">
        <f>$C$142*$C$141^(1-$C$143)+$C$144*$C$141^(1-$C$145)+$C$146*$C$141^(1-$C$147)</f>
        <v/>
      </c>
    </row>
    <row r="149">
      <c r="A149" t="inlineStr">
        <is>
          <t>TARGET PRICE (IDR) — konglo lens</t>
        </is>
      </c>
      <c r="C149" s="27">
        <f>$C$140*$C$148</f>
        <v/>
      </c>
    </row>
    <row r="150">
      <c r="A150" t="inlineStr">
        <is>
          <t>Expected 12-month total return</t>
        </is>
      </c>
      <c r="C150" s="28">
        <f>($C$149+$C$131)/$C$80-1</f>
        <v/>
      </c>
    </row>
    <row r="151">
      <c r="A151" t="inlineStr">
        <is>
          <t>Rating</t>
        </is>
      </c>
      <c r="C151" s="29">
        <f>IF($C$150&gt;=0.25,"BUY",IF($C$150&gt;=0.1,"ADD",IF($C$150&lt;=-0.25,"SELL",IF($C$150&lt;=-0.1,"REDUCE","HOLD"))))</f>
        <v/>
      </c>
    </row>
    <row r="153">
      <c r="A153" s="1" t="inlineStr">
        <is>
          <t>DCF value per share vs WACC and terminal growth (engine values)</t>
        </is>
      </c>
    </row>
    <row r="154">
      <c r="A154" s="5" t="inlineStr">
        <is>
          <t>rows: Terminal growth (+/- pp) · columns: WACC (+/- pp)</t>
        </is>
      </c>
      <c r="D154" s="1" t="n">
        <v>-0.01</v>
      </c>
      <c r="E154" s="1" t="n">
        <v>-0.005</v>
      </c>
      <c r="F154" s="1" t="n">
        <v>0</v>
      </c>
      <c r="G154" s="1" t="n">
        <v>0.005</v>
      </c>
      <c r="H154" s="1" t="n">
        <v>0.01</v>
      </c>
    </row>
    <row r="155">
      <c r="C155" s="1" t="n">
        <v>-0.01</v>
      </c>
      <c r="D155" s="25" t="n">
        <v>252.767985</v>
      </c>
      <c r="E155" s="25" t="n">
        <v>242.514227</v>
      </c>
      <c r="F155" s="25" t="n">
        <v>233.300641</v>
      </c>
      <c r="G155" s="25" t="n">
        <v>224.978033</v>
      </c>
      <c r="H155" s="25" t="n">
        <v>217.424335</v>
      </c>
    </row>
    <row r="156">
      <c r="C156" s="1" t="n">
        <v>-0.005</v>
      </c>
      <c r="D156" s="25" t="n">
        <v>258.66759</v>
      </c>
      <c r="E156" s="25" t="n">
        <v>247.604796</v>
      </c>
      <c r="F156" s="25" t="n">
        <v>237.719553</v>
      </c>
      <c r="G156" s="25" t="n">
        <v>228.834734</v>
      </c>
      <c r="H156" s="25" t="n">
        <v>220.80693</v>
      </c>
    </row>
    <row r="157">
      <c r="C157" s="1" t="n">
        <v>0</v>
      </c>
      <c r="D157" s="25" t="n">
        <v>265.302611</v>
      </c>
      <c r="E157" s="25" t="n">
        <v>253.2927</v>
      </c>
      <c r="F157" s="25" t="n">
        <v>242.628252</v>
      </c>
      <c r="G157" s="25" t="n">
        <v>233.096459</v>
      </c>
      <c r="H157" s="25" t="n">
        <v>224.527037</v>
      </c>
    </row>
    <row r="158">
      <c r="C158" s="1" t="n">
        <v>0.005</v>
      </c>
      <c r="D158" s="25" t="n">
        <v>272.8197</v>
      </c>
      <c r="E158" s="25" t="n">
        <v>259.689632</v>
      </c>
      <c r="F158" s="25" t="n">
        <v>248.112945</v>
      </c>
      <c r="G158" s="25" t="n">
        <v>237.830549</v>
      </c>
      <c r="H158" s="25" t="n">
        <v>228.637825</v>
      </c>
    </row>
    <row r="159">
      <c r="C159" s="1" t="n">
        <v>0.01</v>
      </c>
      <c r="D159" s="25" t="n">
        <v>281.407276</v>
      </c>
      <c r="E159" s="25" t="n">
        <v>266.93698</v>
      </c>
      <c r="F159" s="25" t="n">
        <v>254.281335</v>
      </c>
      <c r="G159" s="25" t="n">
        <v>243.120145</v>
      </c>
      <c r="H159" s="25" t="n">
        <v>233.204247</v>
      </c>
    </row>
    <row r="161">
      <c r="A161" s="1" t="inlineStr">
        <is>
          <t>12-month value vs revenue growth and gross margin (engine values)</t>
        </is>
      </c>
    </row>
    <row r="162">
      <c r="A162" s="5" t="inlineStr">
        <is>
          <t>rows: Gross margin (+/- pp) · columns: Revenue growth (+/- pp, every year)</t>
        </is>
      </c>
      <c r="D162" s="1" t="n">
        <v>-0.04</v>
      </c>
      <c r="E162" s="1" t="n">
        <v>-0.02</v>
      </c>
      <c r="F162" s="1" t="n">
        <v>0</v>
      </c>
      <c r="G162" s="1" t="n">
        <v>0.02</v>
      </c>
      <c r="H162" s="1" t="n">
        <v>0.04</v>
      </c>
    </row>
    <row r="163">
      <c r="C163" s="1" t="n">
        <v>-0.02</v>
      </c>
      <c r="D163" s="25" t="n">
        <v>271.641624</v>
      </c>
      <c r="E163" s="25" t="n">
        <v>281.074608</v>
      </c>
      <c r="F163" s="25" t="n">
        <v>291.816549</v>
      </c>
      <c r="G163" s="25" t="n">
        <v>304.028833</v>
      </c>
      <c r="H163" s="25" t="n">
        <v>317.889251</v>
      </c>
    </row>
    <row r="164">
      <c r="C164" s="1" t="n">
        <v>-0.01</v>
      </c>
      <c r="D164" s="25" t="n">
        <v>273.904574</v>
      </c>
      <c r="E164" s="25" t="n">
        <v>283.71096</v>
      </c>
      <c r="F164" s="25" t="n">
        <v>294.887479</v>
      </c>
      <c r="G164" s="25" t="n">
        <v>307.604962</v>
      </c>
      <c r="H164" s="25" t="n">
        <v>322.051943</v>
      </c>
    </row>
    <row r="165">
      <c r="C165" s="1" t="n">
        <v>0</v>
      </c>
      <c r="D165" s="25" t="n">
        <v>276.167524</v>
      </c>
      <c r="E165" s="25" t="n">
        <v>286.347311</v>
      </c>
      <c r="F165" s="25" t="n">
        <v>297.958409</v>
      </c>
      <c r="G165" s="25" t="n">
        <v>311.181091</v>
      </c>
      <c r="H165" s="25" t="n">
        <v>326.214635</v>
      </c>
    </row>
    <row r="166">
      <c r="C166" s="1" t="n">
        <v>0.01</v>
      </c>
      <c r="D166" s="25" t="n">
        <v>278.430475</v>
      </c>
      <c r="E166" s="25" t="n">
        <v>288.983663</v>
      </c>
      <c r="F166" s="25" t="n">
        <v>301.029339</v>
      </c>
      <c r="G166" s="25" t="n">
        <v>314.75722</v>
      </c>
      <c r="H166" s="25" t="n">
        <v>330.377327</v>
      </c>
    </row>
    <row r="167">
      <c r="C167" s="1" t="n">
        <v>0.02</v>
      </c>
      <c r="D167" s="25" t="n">
        <v>280.693425</v>
      </c>
      <c r="E167" s="25" t="n">
        <v>291.620014</v>
      </c>
      <c r="F167" s="25" t="n">
        <v>304.100269</v>
      </c>
      <c r="G167" s="25" t="n">
        <v>318.333349</v>
      </c>
      <c r="H167" s="25" t="n">
        <v>334.54002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Pelayaran Nasional Bina Buana Raya Tbk (BBRM.JK) — Coal distribution, trading &amp; logistics</t>
        </is>
      </c>
    </row>
    <row r="2">
      <c r="A2" s="5" t="inlineStr">
        <is>
          <t>Units: USD m; per-share in USD unless marked IDR. Model asof 2026-10-30 · data 2026-10-28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ps_factor</t>
        </is>
      </c>
      <c r="C7" s="12" t="n">
        <v>1</v>
      </c>
    </row>
    <row r="8">
      <c r="A8" t="inlineStr">
        <is>
          <t>vp_factor</t>
        </is>
      </c>
      <c r="C8" s="12" t="n">
        <v>1</v>
      </c>
    </row>
    <row r="10">
      <c r="A10" s="1" t="inlineStr">
        <is>
          <t>INPUTS (company assumptions)</t>
        </is>
      </c>
    </row>
    <row r="11">
      <c r="A11" t="inlineStr">
        <is>
          <t>Revenue growth</t>
        </is>
      </c>
      <c r="B11" t="inlineStr">
        <is>
          <t>a.revenue_growth</t>
        </is>
      </c>
      <c r="H11" s="4" t="n">
        <v>0.0296</v>
      </c>
      <c r="I11" s="4" t="n">
        <v>0.1036</v>
      </c>
      <c r="J11" s="4" t="n">
        <v>0.03</v>
      </c>
      <c r="K11" s="4" t="n">
        <v>0.03</v>
      </c>
      <c r="L11" s="4" t="n">
        <v>0.03</v>
      </c>
      <c r="M11" s="4" t="n">
        <v>0.03</v>
      </c>
      <c r="N11" s="4" t="n">
        <v>0.03</v>
      </c>
      <c r="O11" s="4" t="n">
        <v>0.03</v>
      </c>
      <c r="P11" s="4" t="n">
        <v>0.03</v>
      </c>
      <c r="Q11" s="4" t="n">
        <v>0.03</v>
      </c>
    </row>
    <row r="12">
      <c r="A12" t="inlineStr">
        <is>
          <t>Gross margin at base input costs</t>
        </is>
      </c>
      <c r="B12" t="inlineStr">
        <is>
          <t>a.gross_margin</t>
        </is>
      </c>
      <c r="H12" s="4" t="n">
        <v>0.468</v>
      </c>
      <c r="I12" s="4" t="n">
        <v>0.475</v>
      </c>
      <c r="J12" s="4" t="n">
        <v>0.475</v>
      </c>
      <c r="K12" s="4" t="n">
        <v>0.475</v>
      </c>
      <c r="L12" s="4" t="n">
        <v>0.475</v>
      </c>
      <c r="M12" s="4" t="n">
        <v>0.475</v>
      </c>
      <c r="N12" s="4" t="n">
        <v>0.475</v>
      </c>
      <c r="O12" s="4" t="n">
        <v>0.475</v>
      </c>
      <c r="P12" s="4" t="n">
        <v>0.475</v>
      </c>
      <c r="Q12" s="4" t="n">
        <v>0.475</v>
      </c>
    </row>
    <row r="13">
      <c r="A13" t="inlineStr">
        <is>
          <t>Cost link 1: share of COGS exposed</t>
        </is>
      </c>
      <c r="B13" t="inlineStr">
        <is>
          <t>a.link1_share</t>
        </is>
      </c>
      <c r="C13" s="4" t="n">
        <v>0</v>
      </c>
    </row>
    <row r="14">
      <c r="A14" t="inlineStr">
        <is>
          <t>Cost link 1: pass-through to prices</t>
        </is>
      </c>
      <c r="B14" t="inlineStr">
        <is>
          <t>a.link1_pass</t>
        </is>
      </c>
      <c r="C14" s="4" t="n">
        <v>0</v>
      </c>
    </row>
    <row r="15">
      <c r="A15" t="inlineStr">
        <is>
          <t>Cost link 2: share of COGS exposed</t>
        </is>
      </c>
      <c r="B15" t="inlineStr">
        <is>
          <t>a.link2_share</t>
        </is>
      </c>
      <c r="C15" s="4" t="n">
        <v>0.12</v>
      </c>
    </row>
    <row r="16">
      <c r="A16" t="inlineStr">
        <is>
          <t>Cost link 2: pass-through to prices</t>
        </is>
      </c>
      <c r="B16" t="inlineStr">
        <is>
          <t>a.link2_pass</t>
        </is>
      </c>
      <c r="C16" s="4" t="n">
        <v>0</v>
      </c>
    </row>
    <row r="17">
      <c r="A17" t="inlineStr">
        <is>
          <t>SG&amp;A / revenue</t>
        </is>
      </c>
      <c r="B17" t="inlineStr">
        <is>
          <t>a.opex_pct</t>
        </is>
      </c>
      <c r="H17" s="4" t="n">
        <v>0.08500000000000001</v>
      </c>
      <c r="I17" s="4" t="n">
        <v>0.08500000000000001</v>
      </c>
      <c r="J17" s="4" t="n">
        <v>0.08500000000000001</v>
      </c>
      <c r="K17" s="4" t="n">
        <v>0.08500000000000001</v>
      </c>
      <c r="L17" s="4" t="n">
        <v>0.08500000000000001</v>
      </c>
      <c r="M17" s="4" t="n">
        <v>0.08500000000000001</v>
      </c>
      <c r="N17" s="4" t="n">
        <v>0.08500000000000001</v>
      </c>
      <c r="O17" s="4" t="n">
        <v>0.08500000000000001</v>
      </c>
      <c r="P17" s="4" t="n">
        <v>0.08500000000000001</v>
      </c>
      <c r="Q17" s="4" t="n">
        <v>0.08500000000000001</v>
      </c>
    </row>
    <row r="18">
      <c r="A18" t="inlineStr">
        <is>
          <t>D&amp;A / revenue</t>
        </is>
      </c>
      <c r="B18" t="inlineStr">
        <is>
          <t>a.da_pct</t>
        </is>
      </c>
      <c r="H18" s="4" t="n">
        <v>0.143</v>
      </c>
      <c r="I18" s="4" t="n">
        <v>0.155</v>
      </c>
      <c r="J18" s="4" t="n">
        <v>0.155</v>
      </c>
      <c r="K18" s="4" t="n">
        <v>0.155</v>
      </c>
      <c r="L18" s="4" t="n">
        <v>0.155</v>
      </c>
      <c r="M18" s="4" t="n">
        <v>0.155</v>
      </c>
      <c r="N18" s="4" t="n">
        <v>0.155</v>
      </c>
      <c r="O18" s="4" t="n">
        <v>0.155</v>
      </c>
      <c r="P18" s="4" t="n">
        <v>0.155</v>
      </c>
      <c r="Q18" s="4" t="n">
        <v>0.155</v>
      </c>
    </row>
    <row r="19">
      <c r="A19" t="inlineStr">
        <is>
          <t>Capex / revenue</t>
        </is>
      </c>
      <c r="B19" t="inlineStr">
        <is>
          <t>a.capex_pct</t>
        </is>
      </c>
      <c r="H19" s="4" t="n">
        <v>0.3965</v>
      </c>
      <c r="I19" s="4" t="n">
        <v>0.135</v>
      </c>
      <c r="J19" s="4" t="n">
        <v>0.15</v>
      </c>
      <c r="K19" s="4" t="n">
        <v>0.155</v>
      </c>
      <c r="L19" s="4" t="n">
        <v>0.155</v>
      </c>
      <c r="M19" s="4" t="n">
        <v>0.155</v>
      </c>
      <c r="N19" s="4" t="n">
        <v>0.155</v>
      </c>
      <c r="O19" s="4" t="n">
        <v>0.155</v>
      </c>
      <c r="P19" s="4" t="n">
        <v>0.155</v>
      </c>
      <c r="Q19" s="4" t="n">
        <v>0.155</v>
      </c>
    </row>
    <row r="20">
      <c r="A20" t="inlineStr">
        <is>
          <t>Operating working capital / revenue</t>
        </is>
      </c>
      <c r="B20" t="inlineStr">
        <is>
          <t>a.nwc_pct</t>
        </is>
      </c>
      <c r="H20" s="4" t="n">
        <v>0.2</v>
      </c>
      <c r="I20" s="4" t="n">
        <v>0.2</v>
      </c>
      <c r="J20" s="4" t="n">
        <v>0.2</v>
      </c>
      <c r="K20" s="4" t="n">
        <v>0.2</v>
      </c>
      <c r="L20" s="4" t="n">
        <v>0.2</v>
      </c>
      <c r="M20" s="4" t="n">
        <v>0.2</v>
      </c>
      <c r="N20" s="4" t="n">
        <v>0.2</v>
      </c>
      <c r="O20" s="4" t="n">
        <v>0.2</v>
      </c>
      <c r="P20" s="4" t="n">
        <v>0.2</v>
      </c>
      <c r="Q20" s="4" t="n">
        <v>0.2</v>
      </c>
    </row>
    <row r="21">
      <c r="A21" t="inlineStr">
        <is>
          <t>Effective tax rate</t>
        </is>
      </c>
      <c r="B21" t="inlineStr">
        <is>
          <t>a.tax_rate</t>
        </is>
      </c>
      <c r="H21" s="4" t="n">
        <v>0.025</v>
      </c>
      <c r="I21" s="4" t="n">
        <v>0.025</v>
      </c>
      <c r="J21" s="4" t="n">
        <v>0.025</v>
      </c>
      <c r="K21" s="4" t="n">
        <v>0.025</v>
      </c>
      <c r="L21" s="4" t="n">
        <v>0.025</v>
      </c>
      <c r="M21" s="4" t="n">
        <v>0.025</v>
      </c>
      <c r="N21" s="4" t="n">
        <v>0.025</v>
      </c>
      <c r="O21" s="4" t="n">
        <v>0.025</v>
      </c>
      <c r="P21" s="4" t="n">
        <v>0.025</v>
      </c>
      <c r="Q21" s="4" t="n">
        <v>0.025</v>
      </c>
    </row>
    <row r="22">
      <c r="A22" t="inlineStr">
        <is>
          <t>Cost of debt (on opening debt)</t>
        </is>
      </c>
      <c r="B22" t="inlineStr">
        <is>
          <t>a.cost_of_debt</t>
        </is>
      </c>
      <c r="C22" s="4" t="n">
        <v>0.09</v>
      </c>
    </row>
    <row r="23">
      <c r="A23" t="inlineStr">
        <is>
          <t>Yield on opening cash</t>
        </is>
      </c>
      <c r="B23" t="inlineStr">
        <is>
          <t>a.cash_yield</t>
        </is>
      </c>
      <c r="C23" s="4" t="n">
        <v>0.034</v>
      </c>
    </row>
    <row r="24">
      <c r="A24" t="inlineStr">
        <is>
          <t>Net new borrowing</t>
        </is>
      </c>
      <c r="B24" t="inlineStr">
        <is>
          <t>a.net_borrowing</t>
        </is>
      </c>
      <c r="H24" s="13" t="n">
        <v>5</v>
      </c>
      <c r="I24" s="13" t="n">
        <v>-1</v>
      </c>
      <c r="J24" s="13" t="n">
        <v>-1</v>
      </c>
      <c r="K24" s="13" t="n">
        <v>-1</v>
      </c>
      <c r="L24" s="13" t="n">
        <v>-1</v>
      </c>
      <c r="M24" s="13" t="n">
        <v>-1.02</v>
      </c>
      <c r="N24" s="13" t="n">
        <v>-1.0404</v>
      </c>
      <c r="O24" s="13" t="n">
        <v>-1.061208</v>
      </c>
      <c r="P24" s="13" t="n">
        <v>-1.08243216</v>
      </c>
      <c r="Q24" s="13" t="n">
        <v>-1.1040808032</v>
      </c>
    </row>
    <row r="25">
      <c r="A25" t="inlineStr">
        <is>
          <t>Other non-operating items</t>
        </is>
      </c>
      <c r="B25" t="inlineStr">
        <is>
          <t>a.other_nonop</t>
        </is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</row>
    <row r="26">
      <c r="A26" t="inlineStr">
        <is>
          <t>Minorities' share of net profit</t>
        </is>
      </c>
      <c r="B26" t="inlineStr">
        <is>
          <t>a.minority_pct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</row>
    <row r="27">
      <c r="A27" t="inlineStr">
        <is>
          <t>Dividend payout</t>
        </is>
      </c>
      <c r="B27" t="inlineStr">
        <is>
          <t>a.payout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</row>
    <row r="28">
      <c r="A28" t="inlineStr">
        <is>
          <t>Change in share count</t>
        </is>
      </c>
      <c r="B28" t="inlineStr">
        <is>
          <t>a.share_change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</row>
    <row r="29">
      <c r="A29" t="inlineStr">
        <is>
          <t>Terminal growth (DCF)</t>
        </is>
      </c>
      <c r="B29" t="inlineStr">
        <is>
          <t>a.terminal_growth</t>
        </is>
      </c>
      <c r="C29" s="4" t="n">
        <v>0.02</v>
      </c>
    </row>
    <row r="31">
      <c r="A31" s="1" t="inlineStr">
        <is>
          <t>MODEL</t>
        </is>
      </c>
    </row>
    <row r="32">
      <c r="A32" t="inlineStr">
        <is>
          <t>Revenue</t>
        </is>
      </c>
      <c r="B32" t="inlineStr">
        <is>
          <t>revenue</t>
        </is>
      </c>
      <c r="D32" s="13" t="n">
        <v>9.330724</v>
      </c>
      <c r="E32" s="13" t="n">
        <v>10.545555</v>
      </c>
      <c r="F32" s="13" t="n">
        <v>13.430614</v>
      </c>
      <c r="G32" s="13" t="n">
        <v>13.818874</v>
      </c>
      <c r="H32" s="14">
        <f>(G32*(1+H11))</f>
        <v/>
      </c>
      <c r="I32" s="14">
        <f>(H32*(1+I11))</f>
        <v/>
      </c>
      <c r="J32" s="14">
        <f>(I32*(1+J11))</f>
        <v/>
      </c>
      <c r="K32" s="14">
        <f>(J32*(1+K11))</f>
        <v/>
      </c>
      <c r="L32" s="14">
        <f>(K32*(1+L11))</f>
        <v/>
      </c>
      <c r="M32" s="14">
        <f>(L32*(1+M11))</f>
        <v/>
      </c>
      <c r="N32" s="14">
        <f>(M32*(1+N11))</f>
        <v/>
      </c>
      <c r="O32" s="14">
        <f>(N32*(1+O11))</f>
        <v/>
      </c>
      <c r="P32" s="14">
        <f>(O32*(1+P11))</f>
        <v/>
      </c>
      <c r="Q32" s="14">
        <f>(P32*(1+Q11))</f>
        <v/>
      </c>
    </row>
    <row r="33">
      <c r="A33" t="inlineStr">
        <is>
          <t>Cost of revenue</t>
        </is>
      </c>
      <c r="B33" t="inlineStr">
        <is>
          <t>cogs</t>
        </is>
      </c>
      <c r="D33" s="13" t="n">
        <v>6.711475</v>
      </c>
      <c r="E33" s="13" t="n">
        <v>5.879949</v>
      </c>
      <c r="F33" s="13" t="n">
        <v>6.930319</v>
      </c>
      <c r="G33" s="13" t="n">
        <v>7.166325</v>
      </c>
      <c r="H33" s="15">
        <f>((H32*(1-H12))*((1+(($C$13*(1-$C$14))*(IF(Drivers!$G$4=0,0,Drivers!$H$4/Drivers!$G$4)-1)))+(($C$15*(1-$C$16))*(IF(Drivers!$G$6=0,0,Drivers!$H$6/Drivers!$G$6)-1))))</f>
        <v/>
      </c>
      <c r="I33" s="15">
        <f>((I32*(1-I12))*((1+(($C$13*(1-$C$14))*(IF(Drivers!$G$4=0,0,Drivers!$I$4/Drivers!$G$4)-1)))+(($C$15*(1-$C$16))*(IF(Drivers!$G$6=0,0,Drivers!$I$6/Drivers!$G$6)-1))))</f>
        <v/>
      </c>
      <c r="J33" s="15">
        <f>((J32*(1-J12))*((1+(($C$13*(1-$C$14))*(IF(Drivers!$G$4=0,0,Drivers!$J$4/Drivers!$G$4)-1)))+(($C$15*(1-$C$16))*(IF(Drivers!$G$6=0,0,Drivers!$J$6/Drivers!$G$6)-1))))</f>
        <v/>
      </c>
      <c r="K33" s="15">
        <f>((K32*(1-K12))*((1+(($C$13*(1-$C$14))*(IF(Drivers!$G$4=0,0,Drivers!$K$4/Drivers!$G$4)-1)))+(($C$15*(1-$C$16))*(IF(Drivers!$G$6=0,0,Drivers!$K$6/Drivers!$G$6)-1))))</f>
        <v/>
      </c>
      <c r="L33" s="15">
        <f>((L32*(1-L12))*((1+(($C$13*(1-$C$14))*(IF(Drivers!$G$4=0,0,Drivers!$L$4/Drivers!$G$4)-1)))+(($C$15*(1-$C$16))*(IF(Drivers!$G$6=0,0,Drivers!$L$6/Drivers!$G$6)-1))))</f>
        <v/>
      </c>
      <c r="M33" s="15">
        <f>((M32*(1-M12))*((1+(($C$13*(1-$C$14))*(IF(Drivers!$G$4=0,0,Drivers!$M$4/Drivers!$G$4)-1)))+(($C$15*(1-$C$16))*(IF(Drivers!$G$6=0,0,Drivers!$M$6/Drivers!$G$6)-1))))</f>
        <v/>
      </c>
      <c r="N33" s="15">
        <f>((N32*(1-N12))*((1+(($C$13*(1-$C$14))*(IF(Drivers!$G$4=0,0,Drivers!$N$4/Drivers!$G$4)-1)))+(($C$15*(1-$C$16))*(IF(Drivers!$G$6=0,0,Drivers!$N$6/Drivers!$G$6)-1))))</f>
        <v/>
      </c>
      <c r="O33" s="15">
        <f>((O32*(1-O12))*((1+(($C$13*(1-$C$14))*(IF(Drivers!$G$4=0,0,Drivers!$O$4/Drivers!$G$4)-1)))+(($C$15*(1-$C$16))*(IF(Drivers!$G$6=0,0,Drivers!$O$6/Drivers!$G$6)-1))))</f>
        <v/>
      </c>
      <c r="P33" s="15">
        <f>((P32*(1-P12))*((1+(($C$13*(1-$C$14))*(IF(Drivers!$G$4=0,0,Drivers!$P$4/Drivers!$G$4)-1)))+(($C$15*(1-$C$16))*(IF(Drivers!$G$6=0,0,Drivers!$P$6/Drivers!$G$6)-1))))</f>
        <v/>
      </c>
      <c r="Q33" s="15">
        <f>((Q32*(1-Q12))*((1+(($C$13*(1-$C$14))*(IF(Drivers!$G$4=0,0,Drivers!$Q$4/Drivers!$G$4)-1)))+(($C$15*(1-$C$16))*(IF(Drivers!$G$6=0,0,Drivers!$Q$6/Drivers!$G$6)-1))))</f>
        <v/>
      </c>
    </row>
    <row r="34">
      <c r="A34" t="inlineStr">
        <is>
          <t>Gross profit</t>
        </is>
      </c>
      <c r="B34" t="inlineStr">
        <is>
          <t>gross_profit</t>
        </is>
      </c>
      <c r="D34" s="13" t="n">
        <v>2.619249</v>
      </c>
      <c r="E34" s="13" t="n">
        <v>4.665606</v>
      </c>
      <c r="F34" s="13" t="n">
        <v>6.500295</v>
      </c>
      <c r="G34" s="13" t="n">
        <v>6.652549</v>
      </c>
      <c r="H34" s="14">
        <f>(H32-H33)</f>
        <v/>
      </c>
      <c r="I34" s="14">
        <f>(I32-I33)</f>
        <v/>
      </c>
      <c r="J34" s="14">
        <f>(J32-J33)</f>
        <v/>
      </c>
      <c r="K34" s="14">
        <f>(K32-K33)</f>
        <v/>
      </c>
      <c r="L34" s="14">
        <f>(L32-L33)</f>
        <v/>
      </c>
      <c r="M34" s="14">
        <f>(M32-M33)</f>
        <v/>
      </c>
      <c r="N34" s="14">
        <f>(N32-N33)</f>
        <v/>
      </c>
      <c r="O34" s="14">
        <f>(O32-O33)</f>
        <v/>
      </c>
      <c r="P34" s="14">
        <f>(P32-P33)</f>
        <v/>
      </c>
      <c r="Q34" s="14">
        <f>(Q32-Q33)</f>
        <v/>
      </c>
    </row>
    <row r="35">
      <c r="A35" t="inlineStr">
        <is>
          <t>SG&amp;A and other opex</t>
        </is>
      </c>
      <c r="B35" t="inlineStr">
        <is>
          <t>opex</t>
        </is>
      </c>
      <c r="D35" s="13" t="n">
        <v>0.952259</v>
      </c>
      <c r="E35" s="13" t="n">
        <v>0.8815700000000004</v>
      </c>
      <c r="F35" s="13" t="n">
        <v>0.993209</v>
      </c>
      <c r="G35" s="13" t="n">
        <v>1.196047</v>
      </c>
      <c r="H35" s="14">
        <f>(H32*H17)</f>
        <v/>
      </c>
      <c r="I35" s="14">
        <f>(I32*I17)</f>
        <v/>
      </c>
      <c r="J35" s="14">
        <f>(J32*J17)</f>
        <v/>
      </c>
      <c r="K35" s="14">
        <f>(K32*K17)</f>
        <v/>
      </c>
      <c r="L35" s="14">
        <f>(L32*L17)</f>
        <v/>
      </c>
      <c r="M35" s="14">
        <f>(M32*M17)</f>
        <v/>
      </c>
      <c r="N35" s="14">
        <f>(N32*N17)</f>
        <v/>
      </c>
      <c r="O35" s="14">
        <f>(O32*O17)</f>
        <v/>
      </c>
      <c r="P35" s="14">
        <f>(P32*P17)</f>
        <v/>
      </c>
      <c r="Q35" s="14">
        <f>(Q32*Q17)</f>
        <v/>
      </c>
    </row>
    <row r="36">
      <c r="A36" t="inlineStr">
        <is>
          <t>EBIT</t>
        </is>
      </c>
      <c r="B36" t="inlineStr">
        <is>
          <t>ebit</t>
        </is>
      </c>
      <c r="D36" s="13" t="n">
        <v>1.66699</v>
      </c>
      <c r="E36" s="13" t="n">
        <v>3.784036</v>
      </c>
      <c r="F36" s="13" t="n">
        <v>5.538222</v>
      </c>
      <c r="G36" s="13" t="n">
        <v>5.474846</v>
      </c>
      <c r="H36" s="14">
        <f>(H34-H35)</f>
        <v/>
      </c>
      <c r="I36" s="14">
        <f>(I34-I35)</f>
        <v/>
      </c>
      <c r="J36" s="14">
        <f>(J34-J35)</f>
        <v/>
      </c>
      <c r="K36" s="14">
        <f>(K34-K35)</f>
        <v/>
      </c>
      <c r="L36" s="14">
        <f>(L34-L35)</f>
        <v/>
      </c>
      <c r="M36" s="14">
        <f>(M34-M35)</f>
        <v/>
      </c>
      <c r="N36" s="14">
        <f>(N34-N35)</f>
        <v/>
      </c>
      <c r="O36" s="14">
        <f>(O34-O35)</f>
        <v/>
      </c>
      <c r="P36" s="14">
        <f>(P34-P35)</f>
        <v/>
      </c>
      <c r="Q36" s="14">
        <f>(Q34-Q35)</f>
        <v/>
      </c>
    </row>
    <row r="37">
      <c r="A37" t="inlineStr">
        <is>
          <t>Depreciation &amp; amortisation</t>
        </is>
      </c>
      <c r="B37" t="inlineStr">
        <is>
          <t>da</t>
        </is>
      </c>
      <c r="D37" s="13" t="n">
        <v>0.006442</v>
      </c>
      <c r="E37" s="13" t="n">
        <v>0.004011</v>
      </c>
      <c r="F37" s="13" t="n">
        <v>2.026606</v>
      </c>
      <c r="G37" s="13" t="n">
        <v>2.033029</v>
      </c>
      <c r="H37" s="14">
        <f>(H32*H18)</f>
        <v/>
      </c>
      <c r="I37" s="14">
        <f>(I32*I18)</f>
        <v/>
      </c>
      <c r="J37" s="14">
        <f>(J32*J18)</f>
        <v/>
      </c>
      <c r="K37" s="14">
        <f>(K32*K18)</f>
        <v/>
      </c>
      <c r="L37" s="14">
        <f>(L32*L18)</f>
        <v/>
      </c>
      <c r="M37" s="14">
        <f>(M32*M18)</f>
        <v/>
      </c>
      <c r="N37" s="14">
        <f>(N32*N18)</f>
        <v/>
      </c>
      <c r="O37" s="14">
        <f>(O32*O18)</f>
        <v/>
      </c>
      <c r="P37" s="14">
        <f>(P32*P18)</f>
        <v/>
      </c>
      <c r="Q37" s="14">
        <f>(Q32*Q18)</f>
        <v/>
      </c>
    </row>
    <row r="38">
      <c r="A38" t="inlineStr">
        <is>
          <t>EBITDA</t>
        </is>
      </c>
      <c r="B38" t="inlineStr">
        <is>
          <t>ebitda</t>
        </is>
      </c>
      <c r="D38" s="13" t="n">
        <v>1.673432</v>
      </c>
      <c r="E38" s="13" t="n">
        <v>3.788047</v>
      </c>
      <c r="F38" s="13" t="n">
        <v>7.564828</v>
      </c>
      <c r="G38" s="13" t="n">
        <v>7.507875</v>
      </c>
      <c r="H38" s="14">
        <f>(H36+H37)</f>
        <v/>
      </c>
      <c r="I38" s="14">
        <f>(I36+I37)</f>
        <v/>
      </c>
      <c r="J38" s="14">
        <f>(J36+J37)</f>
        <v/>
      </c>
      <c r="K38" s="14">
        <f>(K36+K37)</f>
        <v/>
      </c>
      <c r="L38" s="14">
        <f>(L36+L37)</f>
        <v/>
      </c>
      <c r="M38" s="14">
        <f>(M36+M37)</f>
        <v/>
      </c>
      <c r="N38" s="14">
        <f>(N36+N37)</f>
        <v/>
      </c>
      <c r="O38" s="14">
        <f>(O36+O37)</f>
        <v/>
      </c>
      <c r="P38" s="14">
        <f>(P36+P37)</f>
        <v/>
      </c>
      <c r="Q38" s="14">
        <f>(Q36+Q37)</f>
        <v/>
      </c>
    </row>
    <row r="39">
      <c r="A39" t="inlineStr">
        <is>
          <t>Interest expense</t>
        </is>
      </c>
      <c r="B39" t="inlineStr">
        <is>
          <t>interest_expense</t>
        </is>
      </c>
      <c r="D39" s="13" t="n">
        <v>0.263353</v>
      </c>
      <c r="E39" s="13" t="n">
        <v>0.163588</v>
      </c>
      <c r="F39" s="13" t="n">
        <v>0.177602</v>
      </c>
      <c r="G39" s="13" t="n">
        <v>0.371307</v>
      </c>
      <c r="H39" s="14">
        <f>(G59*$C$22)</f>
        <v/>
      </c>
      <c r="I39" s="14">
        <f>(H59*$C$22)</f>
        <v/>
      </c>
      <c r="J39" s="14">
        <f>(I59*$C$22)</f>
        <v/>
      </c>
      <c r="K39" s="14">
        <f>(J59*$C$22)</f>
        <v/>
      </c>
      <c r="L39" s="14">
        <f>(K59*$C$22)</f>
        <v/>
      </c>
      <c r="M39" s="14">
        <f>(L59*$C$22)</f>
        <v/>
      </c>
      <c r="N39" s="14">
        <f>(M59*$C$22)</f>
        <v/>
      </c>
      <c r="O39" s="14">
        <f>(N59*$C$22)</f>
        <v/>
      </c>
      <c r="P39" s="14">
        <f>(O59*$C$22)</f>
        <v/>
      </c>
      <c r="Q39" s="14">
        <f>(P59*$C$22)</f>
        <v/>
      </c>
    </row>
    <row r="40">
      <c r="A40" t="inlineStr">
        <is>
          <t>Interest income</t>
        </is>
      </c>
      <c r="B40" t="inlineStr">
        <is>
          <t>interest_income</t>
        </is>
      </c>
      <c r="D40" s="13" t="n">
        <v>0.102216</v>
      </c>
      <c r="E40" s="13" t="n">
        <v>0.096194</v>
      </c>
      <c r="F40" s="13" t="n">
        <v>0.342523</v>
      </c>
      <c r="G40" s="13" t="n">
        <v>0.377128</v>
      </c>
      <c r="H40" s="14">
        <f>(G58*$C$23)</f>
        <v/>
      </c>
      <c r="I40" s="14">
        <f>(H58*$C$23)</f>
        <v/>
      </c>
      <c r="J40" s="14">
        <f>(I58*$C$23)</f>
        <v/>
      </c>
      <c r="K40" s="14">
        <f>(J58*$C$23)</f>
        <v/>
      </c>
      <c r="L40" s="14">
        <f>(K58*$C$23)</f>
        <v/>
      </c>
      <c r="M40" s="14">
        <f>(L58*$C$23)</f>
        <v/>
      </c>
      <c r="N40" s="14">
        <f>(M58*$C$23)</f>
        <v/>
      </c>
      <c r="O40" s="14">
        <f>(N58*$C$23)</f>
        <v/>
      </c>
      <c r="P40" s="14">
        <f>(O58*$C$23)</f>
        <v/>
      </c>
      <c r="Q40" s="14">
        <f>(P58*$C$23)</f>
        <v/>
      </c>
    </row>
    <row r="41">
      <c r="A41" t="inlineStr">
        <is>
          <t>Other non-operating</t>
        </is>
      </c>
      <c r="B41" t="inlineStr">
        <is>
          <t>other_nonop</t>
        </is>
      </c>
      <c r="D41" s="13" t="n">
        <v>-0.7005419999999999</v>
      </c>
      <c r="E41" s="13" t="n">
        <v>0.4525090000000004</v>
      </c>
      <c r="F41" s="13" t="n">
        <v>2.681484</v>
      </c>
      <c r="G41" s="13" t="n">
        <v>0.9464340000000001</v>
      </c>
      <c r="H41" s="14">
        <f>H25</f>
        <v/>
      </c>
      <c r="I41" s="14">
        <f>I25</f>
        <v/>
      </c>
      <c r="J41" s="14">
        <f>J25</f>
        <v/>
      </c>
      <c r="K41" s="14">
        <f>K25</f>
        <v/>
      </c>
      <c r="L41" s="14">
        <f>L25</f>
        <v/>
      </c>
      <c r="M41" s="14">
        <f>M25</f>
        <v/>
      </c>
      <c r="N41" s="14">
        <f>N25</f>
        <v/>
      </c>
      <c r="O41" s="14">
        <f>O25</f>
        <v/>
      </c>
      <c r="P41" s="14">
        <f>P25</f>
        <v/>
      </c>
      <c r="Q41" s="14">
        <f>Q25</f>
        <v/>
      </c>
    </row>
    <row r="42">
      <c r="A42" t="inlineStr">
        <is>
          <t>Profit before tax</t>
        </is>
      </c>
      <c r="B42" t="inlineStr">
        <is>
          <t>pbt</t>
        </is>
      </c>
      <c r="D42" s="13" t="n">
        <v>0.805311</v>
      </c>
      <c r="E42" s="13" t="n">
        <v>4.169151</v>
      </c>
      <c r="F42" s="13" t="n">
        <v>8.384627</v>
      </c>
      <c r="G42" s="13" t="n">
        <v>6.427101</v>
      </c>
      <c r="H42" s="14">
        <f>(((H36-H39)+H40)+H41)</f>
        <v/>
      </c>
      <c r="I42" s="14">
        <f>(((I36-I39)+I40)+I41)</f>
        <v/>
      </c>
      <c r="J42" s="14">
        <f>(((J36-J39)+J40)+J41)</f>
        <v/>
      </c>
      <c r="K42" s="14">
        <f>(((K36-K39)+K40)+K41)</f>
        <v/>
      </c>
      <c r="L42" s="14">
        <f>(((L36-L39)+L40)+L41)</f>
        <v/>
      </c>
      <c r="M42" s="14">
        <f>(((M36-M39)+M40)+M41)</f>
        <v/>
      </c>
      <c r="N42" s="14">
        <f>(((N36-N39)+N40)+N41)</f>
        <v/>
      </c>
      <c r="O42" s="14">
        <f>(((O36-O39)+O40)+O41)</f>
        <v/>
      </c>
      <c r="P42" s="14">
        <f>(((P36-P39)+P40)+P41)</f>
        <v/>
      </c>
      <c r="Q42" s="14">
        <f>(((Q36-Q39)+Q40)+Q41)</f>
        <v/>
      </c>
    </row>
    <row r="43">
      <c r="A43" t="inlineStr">
        <is>
          <t>Tax</t>
        </is>
      </c>
      <c r="B43" t="inlineStr">
        <is>
          <t>tax</t>
        </is>
      </c>
      <c r="D43" s="13" t="n">
        <v>0.112989</v>
      </c>
      <c r="E43" s="13" t="n">
        <v>0.129075</v>
      </c>
      <c r="F43" s="13" t="n">
        <v>0.151121</v>
      </c>
      <c r="G43" s="13" t="n">
        <v>0.1574</v>
      </c>
      <c r="H43" s="14">
        <f>(MAX(H42,0)*H21)</f>
        <v/>
      </c>
      <c r="I43" s="14">
        <f>(MAX(I42,0)*I21)</f>
        <v/>
      </c>
      <c r="J43" s="14">
        <f>(MAX(J42,0)*J21)</f>
        <v/>
      </c>
      <c r="K43" s="14">
        <f>(MAX(K42,0)*K21)</f>
        <v/>
      </c>
      <c r="L43" s="14">
        <f>(MAX(L42,0)*L21)</f>
        <v/>
      </c>
      <c r="M43" s="14">
        <f>(MAX(M42,0)*M21)</f>
        <v/>
      </c>
      <c r="N43" s="14">
        <f>(MAX(N42,0)*N21)</f>
        <v/>
      </c>
      <c r="O43" s="14">
        <f>(MAX(O42,0)*O21)</f>
        <v/>
      </c>
      <c r="P43" s="14">
        <f>(MAX(P42,0)*P21)</f>
        <v/>
      </c>
      <c r="Q43" s="14">
        <f>(MAX(Q42,0)*Q21)</f>
        <v/>
      </c>
    </row>
    <row r="44">
      <c r="A44" t="inlineStr">
        <is>
          <t>Net profit (incl. minorities)</t>
        </is>
      </c>
      <c r="B44" t="inlineStr">
        <is>
          <t>np</t>
        </is>
      </c>
      <c r="D44" s="13" t="n">
        <v>0.692322</v>
      </c>
      <c r="E44" s="13" t="n">
        <v>4.040076</v>
      </c>
      <c r="F44" s="13" t="n">
        <v>8.233506</v>
      </c>
      <c r="G44" s="13" t="n">
        <v>6.269701</v>
      </c>
      <c r="H44" s="14">
        <f>(H42-H43)</f>
        <v/>
      </c>
      <c r="I44" s="14">
        <f>(I42-I43)</f>
        <v/>
      </c>
      <c r="J44" s="14">
        <f>(J42-J43)</f>
        <v/>
      </c>
      <c r="K44" s="14">
        <f>(K42-K43)</f>
        <v/>
      </c>
      <c r="L44" s="14">
        <f>(L42-L43)</f>
        <v/>
      </c>
      <c r="M44" s="14">
        <f>(M42-M43)</f>
        <v/>
      </c>
      <c r="N44" s="14">
        <f>(N42-N43)</f>
        <v/>
      </c>
      <c r="O44" s="14">
        <f>(O42-O43)</f>
        <v/>
      </c>
      <c r="P44" s="14">
        <f>(P42-P43)</f>
        <v/>
      </c>
      <c r="Q44" s="14">
        <f>(Q42-Q43)</f>
        <v/>
      </c>
    </row>
    <row r="45">
      <c r="A45" t="inlineStr">
        <is>
          <t>Minority interests</t>
        </is>
      </c>
      <c r="B45" t="inlineStr">
        <is>
          <t>minority</t>
        </is>
      </c>
      <c r="D45" s="13" t="n">
        <v>0</v>
      </c>
      <c r="E45" s="13" t="n">
        <v>0</v>
      </c>
      <c r="F45" s="13" t="n">
        <v>0</v>
      </c>
      <c r="G45" s="13" t="n">
        <v>0</v>
      </c>
      <c r="H45" s="14">
        <f>(H44*H26)</f>
        <v/>
      </c>
      <c r="I45" s="14">
        <f>(I44*I26)</f>
        <v/>
      </c>
      <c r="J45" s="14">
        <f>(J44*J26)</f>
        <v/>
      </c>
      <c r="K45" s="14">
        <f>(K44*K26)</f>
        <v/>
      </c>
      <c r="L45" s="14">
        <f>(L44*L26)</f>
        <v/>
      </c>
      <c r="M45" s="14">
        <f>(M44*M26)</f>
        <v/>
      </c>
      <c r="N45" s="14">
        <f>(N44*N26)</f>
        <v/>
      </c>
      <c r="O45" s="14">
        <f>(O44*O26)</f>
        <v/>
      </c>
      <c r="P45" s="14">
        <f>(P44*P26)</f>
        <v/>
      </c>
      <c r="Q45" s="14">
        <f>(Q44*Q26)</f>
        <v/>
      </c>
    </row>
    <row r="46">
      <c r="A46" t="inlineStr">
        <is>
          <t>Net profit to parent</t>
        </is>
      </c>
      <c r="B46" t="inlineStr">
        <is>
          <t>np_parent</t>
        </is>
      </c>
      <c r="D46" s="13" t="n">
        <v>0.692322</v>
      </c>
      <c r="E46" s="13" t="n">
        <v>4.040076</v>
      </c>
      <c r="F46" s="13" t="n">
        <v>8.233506</v>
      </c>
      <c r="G46" s="13" t="n">
        <v>6.269701</v>
      </c>
      <c r="H46" s="14">
        <f>(H44-H45)</f>
        <v/>
      </c>
      <c r="I46" s="14">
        <f>(I44-I45)</f>
        <v/>
      </c>
      <c r="J46" s="14">
        <f>(J44-J45)</f>
        <v/>
      </c>
      <c r="K46" s="14">
        <f>(K44-K45)</f>
        <v/>
      </c>
      <c r="L46" s="14">
        <f>(L44-L45)</f>
        <v/>
      </c>
      <c r="M46" s="14">
        <f>(M44-M45)</f>
        <v/>
      </c>
      <c r="N46" s="14">
        <f>(N44-N45)</f>
        <v/>
      </c>
      <c r="O46" s="14">
        <f>(O44-O45)</f>
        <v/>
      </c>
      <c r="P46" s="14">
        <f>(P44-P45)</f>
        <v/>
      </c>
      <c r="Q46" s="14">
        <f>(Q44-Q45)</f>
        <v/>
      </c>
    </row>
    <row r="47">
      <c r="A47" t="inlineStr">
        <is>
          <t>Shares outstanding (m)</t>
        </is>
      </c>
      <c r="B47" t="inlineStr">
        <is>
          <t>shares</t>
        </is>
      </c>
      <c r="D47" s="13" t="n">
        <v>8479.490328</v>
      </c>
      <c r="E47" s="13" t="n">
        <v>8479.490328</v>
      </c>
      <c r="F47" s="13" t="n">
        <v>8479.490328</v>
      </c>
      <c r="G47" s="13" t="n">
        <v>8479.490328</v>
      </c>
      <c r="H47" s="14">
        <f>(G47*(1+H28))</f>
        <v/>
      </c>
      <c r="I47" s="14">
        <f>(H47*(1+I28))</f>
        <v/>
      </c>
      <c r="J47" s="14">
        <f>(I47*(1+J28))</f>
        <v/>
      </c>
      <c r="K47" s="14">
        <f>(J47*(1+K28))</f>
        <v/>
      </c>
      <c r="L47" s="14">
        <f>(K47*(1+L28))</f>
        <v/>
      </c>
      <c r="M47" s="14">
        <f>(L47*(1+M28))</f>
        <v/>
      </c>
      <c r="N47" s="14">
        <f>(M47*(1+N28))</f>
        <v/>
      </c>
      <c r="O47" s="14">
        <f>(N47*(1+O28))</f>
        <v/>
      </c>
      <c r="P47" s="14">
        <f>(O47*(1+P28))</f>
        <v/>
      </c>
      <c r="Q47" s="14">
        <f>(P47*(1+Q28))</f>
        <v/>
      </c>
    </row>
    <row r="48">
      <c r="A48" t="inlineStr">
        <is>
          <t>EPS</t>
        </is>
      </c>
      <c r="B48" t="inlineStr">
        <is>
          <t>eps</t>
        </is>
      </c>
      <c r="D48" s="16" t="n">
        <v>8.164665247790822e-05</v>
      </c>
      <c r="E48" s="16" t="n">
        <v>0.0004764526927590594</v>
      </c>
      <c r="F48" s="16" t="n">
        <v>0.0009709906706081451</v>
      </c>
      <c r="G48" s="16" t="n">
        <v>0.000739395972809464</v>
      </c>
      <c r="H48" s="17">
        <f>(IF(H47=0,0,H46/H47)*$C$7)</f>
        <v/>
      </c>
      <c r="I48" s="17">
        <f>(IF(I47=0,0,I46/I47)*$C$7)</f>
        <v/>
      </c>
      <c r="J48" s="17">
        <f>(IF(J47=0,0,J46/J47)*$C$7)</f>
        <v/>
      </c>
      <c r="K48" s="17">
        <f>(IF(K47=0,0,K46/K47)*$C$7)</f>
        <v/>
      </c>
      <c r="L48" s="17">
        <f>(IF(L47=0,0,L46/L47)*$C$7)</f>
        <v/>
      </c>
      <c r="M48" s="17">
        <f>(IF(M47=0,0,M46/M47)*$C$7)</f>
        <v/>
      </c>
      <c r="N48" s="17">
        <f>(IF(N47=0,0,N46/N47)*$C$7)</f>
        <v/>
      </c>
      <c r="O48" s="17">
        <f>(IF(O47=0,0,O46/O47)*$C$7)</f>
        <v/>
      </c>
      <c r="P48" s="17">
        <f>(IF(P47=0,0,P46/P47)*$C$7)</f>
        <v/>
      </c>
      <c r="Q48" s="17">
        <f>(IF(Q47=0,0,Q46/Q47)*$C$7)</f>
        <v/>
      </c>
    </row>
    <row r="49">
      <c r="A49" t="inlineStr">
        <is>
          <t>DPS (declared on the year)</t>
        </is>
      </c>
      <c r="B49" t="inlineStr">
        <is>
          <t>dps</t>
        </is>
      </c>
      <c r="D49" s="16" t="n">
        <v>0</v>
      </c>
      <c r="E49" s="16" t="n">
        <v>0</v>
      </c>
      <c r="F49" s="16" t="n">
        <v>0</v>
      </c>
      <c r="G49" s="16" t="n">
        <v>0</v>
      </c>
      <c r="H49" s="17">
        <f>(MAX(H48,0)*H27)</f>
        <v/>
      </c>
      <c r="I49" s="17">
        <f>(MAX(I48,0)*I27)</f>
        <v/>
      </c>
      <c r="J49" s="17">
        <f>(MAX(J48,0)*J27)</f>
        <v/>
      </c>
      <c r="K49" s="17">
        <f>(MAX(K48,0)*K27)</f>
        <v/>
      </c>
      <c r="L49" s="17">
        <f>(MAX(L48,0)*L27)</f>
        <v/>
      </c>
      <c r="M49" s="17">
        <f>(MAX(M48,0)*M27)</f>
        <v/>
      </c>
      <c r="N49" s="17">
        <f>(MAX(N48,0)*N27)</f>
        <v/>
      </c>
      <c r="O49" s="17">
        <f>(MAX(O48,0)*O27)</f>
        <v/>
      </c>
      <c r="P49" s="17">
        <f>(MAX(P48,0)*P27)</f>
        <v/>
      </c>
      <c r="Q49" s="17">
        <f>(MAX(Q48,0)*Q27)</f>
        <v/>
      </c>
    </row>
    <row r="50">
      <c r="A50" t="inlineStr">
        <is>
          <t>Dividends paid</t>
        </is>
      </c>
      <c r="B50" t="inlineStr">
        <is>
          <t>dividends_paid</t>
        </is>
      </c>
      <c r="D50" s="13" t="n"/>
      <c r="E50" s="13" t="n"/>
      <c r="F50" s="13" t="n"/>
      <c r="G50" s="13" t="n"/>
      <c r="H50" s="14">
        <f>IF($C$7=0,0,(G49*G47)/$C$7)</f>
        <v/>
      </c>
      <c r="I50" s="14">
        <f>IF($C$7=0,0,(H49*H47)/$C$7)</f>
        <v/>
      </c>
      <c r="J50" s="14">
        <f>IF($C$7=0,0,(I49*I47)/$C$7)</f>
        <v/>
      </c>
      <c r="K50" s="14">
        <f>IF($C$7=0,0,(J49*J47)/$C$7)</f>
        <v/>
      </c>
      <c r="L50" s="14">
        <f>IF($C$7=0,0,(K49*K47)/$C$7)</f>
        <v/>
      </c>
      <c r="M50" s="14">
        <f>IF($C$7=0,0,(L49*L47)/$C$7)</f>
        <v/>
      </c>
      <c r="N50" s="14">
        <f>IF($C$7=0,0,(M49*M47)/$C$7)</f>
        <v/>
      </c>
      <c r="O50" s="14">
        <f>IF($C$7=0,0,(N49*N47)/$C$7)</f>
        <v/>
      </c>
      <c r="P50" s="14">
        <f>IF($C$7=0,0,(O49*O47)/$C$7)</f>
        <v/>
      </c>
      <c r="Q50" s="14">
        <f>IF($C$7=0,0,(P49*P47)/$C$7)</f>
        <v/>
      </c>
    </row>
    <row r="51">
      <c r="A51" t="inlineStr">
        <is>
          <t>Capital expenditure</t>
        </is>
      </c>
      <c r="B51" t="inlineStr">
        <is>
          <t>capex</t>
        </is>
      </c>
      <c r="D51" s="13" t="n">
        <v>2.802736</v>
      </c>
      <c r="E51" s="13" t="n">
        <v>2.387196</v>
      </c>
      <c r="F51" s="13" t="n">
        <v>7.74846</v>
      </c>
      <c r="G51" s="13" t="n">
        <v>3.91391</v>
      </c>
      <c r="H51" s="14">
        <f>(H32*H19)</f>
        <v/>
      </c>
      <c r="I51" s="14">
        <f>(I32*I19)</f>
        <v/>
      </c>
      <c r="J51" s="14">
        <f>(J32*J19)</f>
        <v/>
      </c>
      <c r="K51" s="14">
        <f>(K32*K19)</f>
        <v/>
      </c>
      <c r="L51" s="14">
        <f>(L32*L19)</f>
        <v/>
      </c>
      <c r="M51" s="14">
        <f>(M32*M19)</f>
        <v/>
      </c>
      <c r="N51" s="14">
        <f>(N32*N19)</f>
        <v/>
      </c>
      <c r="O51" s="14">
        <f>(O32*O19)</f>
        <v/>
      </c>
      <c r="P51" s="14">
        <f>(P32*P19)</f>
        <v/>
      </c>
      <c r="Q51" s="14">
        <f>(Q32*Q19)</f>
        <v/>
      </c>
    </row>
    <row r="52">
      <c r="A52" t="inlineStr">
        <is>
          <t>Change in working capital</t>
        </is>
      </c>
      <c r="B52" t="inlineStr">
        <is>
          <t>delta_nwc</t>
        </is>
      </c>
      <c r="D52" s="13" t="n"/>
      <c r="E52" s="13" t="n">
        <v>0.4852979999999993</v>
      </c>
      <c r="F52" s="13" t="n">
        <v>3.852936</v>
      </c>
      <c r="G52" s="13" t="n">
        <v>0.4280409999999999</v>
      </c>
      <c r="H52" s="14">
        <f>(H57-G57)</f>
        <v/>
      </c>
      <c r="I52" s="14">
        <f>(I57-H57)</f>
        <v/>
      </c>
      <c r="J52" s="14">
        <f>(J57-I57)</f>
        <v/>
      </c>
      <c r="K52" s="14">
        <f>(K57-J57)</f>
        <v/>
      </c>
      <c r="L52" s="14">
        <f>(L57-K57)</f>
        <v/>
      </c>
      <c r="M52" s="14">
        <f>(M57-L57)</f>
        <v/>
      </c>
      <c r="N52" s="14">
        <f>(N57-M57)</f>
        <v/>
      </c>
      <c r="O52" s="14">
        <f>(O57-N57)</f>
        <v/>
      </c>
      <c r="P52" s="14">
        <f>(P57-O57)</f>
        <v/>
      </c>
      <c r="Q52" s="14">
        <f>(Q57-P57)</f>
        <v/>
      </c>
    </row>
    <row r="53">
      <c r="A53" t="inlineStr">
        <is>
          <t>Free cash flow to firm</t>
        </is>
      </c>
      <c r="B53" t="inlineStr">
        <is>
          <t>fcff</t>
        </is>
      </c>
      <c r="D53" s="13" t="n"/>
      <c r="E53" s="13" t="n">
        <v>0.7984009835103127</v>
      </c>
      <c r="F53" s="13" t="n">
        <v>-4.136386590244025</v>
      </c>
      <c r="G53" s="13" t="n">
        <v>3.031844768881647</v>
      </c>
      <c r="H53" s="14">
        <f>((((H36*(1-H21))+H37)-H51)-H52)</f>
        <v/>
      </c>
      <c r="I53" s="14">
        <f>((((I36*(1-I21))+I37)-I51)-I52)</f>
        <v/>
      </c>
      <c r="J53" s="14">
        <f>((((J36*(1-J21))+J37)-J51)-J52)</f>
        <v/>
      </c>
      <c r="K53" s="14">
        <f>((((K36*(1-K21))+K37)-K51)-K52)</f>
        <v/>
      </c>
      <c r="L53" s="14">
        <f>((((L36*(1-L21))+L37)-L51)-L52)</f>
        <v/>
      </c>
      <c r="M53" s="14">
        <f>((((M36*(1-M21))+M37)-M51)-M52)</f>
        <v/>
      </c>
      <c r="N53" s="14">
        <f>((((N36*(1-N21))+N37)-N51)-N52)</f>
        <v/>
      </c>
      <c r="O53" s="14">
        <f>((((O36*(1-O21))+O37)-O51)-O52)</f>
        <v/>
      </c>
      <c r="P53" s="14">
        <f>((((P36*(1-P21))+P37)-P51)-P52)</f>
        <v/>
      </c>
      <c r="Q53" s="14">
        <f>((((Q36*(1-Q21))+Q37)-Q51)-Q52)</f>
        <v/>
      </c>
    </row>
    <row r="54">
      <c r="A54" t="inlineStr">
        <is>
          <t>Net borrowing</t>
        </is>
      </c>
      <c r="B54" t="inlineStr">
        <is>
          <t>net_borrowing</t>
        </is>
      </c>
      <c r="D54" s="13" t="n"/>
      <c r="E54" s="13" t="n"/>
      <c r="F54" s="13" t="n">
        <v>4.238586</v>
      </c>
      <c r="G54" s="13" t="n">
        <v>-1.039775</v>
      </c>
      <c r="H54" s="14">
        <f>H24</f>
        <v/>
      </c>
      <c r="I54" s="14">
        <f>I24</f>
        <v/>
      </c>
      <c r="J54" s="14">
        <f>J24</f>
        <v/>
      </c>
      <c r="K54" s="14">
        <f>K24</f>
        <v/>
      </c>
      <c r="L54" s="14">
        <f>L24</f>
        <v/>
      </c>
      <c r="M54" s="14">
        <f>M24</f>
        <v/>
      </c>
      <c r="N54" s="14">
        <f>N24</f>
        <v/>
      </c>
      <c r="O54" s="14">
        <f>O24</f>
        <v/>
      </c>
      <c r="P54" s="14">
        <f>P24</f>
        <v/>
      </c>
      <c r="Q54" s="14">
        <f>Q24</f>
        <v/>
      </c>
    </row>
    <row r="55">
      <c r="A55" t="inlineStr">
        <is>
          <t>Dividends to minorities</t>
        </is>
      </c>
      <c r="B55" t="inlineStr">
        <is>
          <t>minority_div</t>
        </is>
      </c>
      <c r="D55" s="13" t="n"/>
      <c r="E55" s="13" t="n"/>
      <c r="F55" s="13" t="n"/>
      <c r="G55" s="13" t="n"/>
      <c r="H55" s="14">
        <f>(MAX(G45,0)*H27)</f>
        <v/>
      </c>
      <c r="I55" s="14">
        <f>(MAX(H45,0)*I27)</f>
        <v/>
      </c>
      <c r="J55" s="14">
        <f>(MAX(I45,0)*J27)</f>
        <v/>
      </c>
      <c r="K55" s="14">
        <f>(MAX(J45,0)*K27)</f>
        <v/>
      </c>
      <c r="L55" s="14">
        <f>(MAX(K45,0)*L27)</f>
        <v/>
      </c>
      <c r="M55" s="14">
        <f>(MAX(L45,0)*M27)</f>
        <v/>
      </c>
      <c r="N55" s="14">
        <f>(MAX(M45,0)*N27)</f>
        <v/>
      </c>
      <c r="O55" s="14">
        <f>(MAX(N45,0)*O27)</f>
        <v/>
      </c>
      <c r="P55" s="14">
        <f>(MAX(O45,0)*P27)</f>
        <v/>
      </c>
      <c r="Q55" s="14">
        <f>(MAX(P45,0)*Q27)</f>
        <v/>
      </c>
    </row>
    <row r="56">
      <c r="A56" t="inlineStr">
        <is>
          <t>Free cash flow to equity</t>
        </is>
      </c>
      <c r="B56" t="inlineStr">
        <is>
          <t>fcfe</t>
        </is>
      </c>
      <c r="D56" s="13" t="n"/>
      <c r="E56" s="13" t="n"/>
      <c r="F56" s="13" t="n"/>
      <c r="G56" s="13" t="n"/>
      <c r="H56" s="14">
        <f>(((((H44+H37)-H51)-H52)+H54)-H55)</f>
        <v/>
      </c>
      <c r="I56" s="14">
        <f>(((((I44+I37)-I51)-I52)+I54)-I55)</f>
        <v/>
      </c>
      <c r="J56" s="14">
        <f>(((((J44+J37)-J51)-J52)+J54)-J55)</f>
        <v/>
      </c>
      <c r="K56" s="14">
        <f>(((((K44+K37)-K51)-K52)+K54)-K55)</f>
        <v/>
      </c>
      <c r="L56" s="14">
        <f>(((((L44+L37)-L51)-L52)+L54)-L55)</f>
        <v/>
      </c>
      <c r="M56" s="14">
        <f>(((((M44+M37)-M51)-M52)+M54)-M55)</f>
        <v/>
      </c>
      <c r="N56" s="14">
        <f>(((((N44+N37)-N51)-N52)+N54)-N55)</f>
        <v/>
      </c>
      <c r="O56" s="14">
        <f>(((((O44+O37)-O51)-O52)+O54)-O55)</f>
        <v/>
      </c>
      <c r="P56" s="14">
        <f>(((((P44+P37)-P51)-P52)+P54)-P55)</f>
        <v/>
      </c>
      <c r="Q56" s="14">
        <f>(((((Q44+Q37)-Q51)-Q52)+Q54)-Q55)</f>
        <v/>
      </c>
    </row>
    <row r="57">
      <c r="A57" t="inlineStr">
        <is>
          <t>Operating working capital</t>
        </is>
      </c>
      <c r="B57" t="inlineStr">
        <is>
          <t>nwc</t>
        </is>
      </c>
      <c r="D57" s="13" t="n">
        <v>-1.782678999999999</v>
      </c>
      <c r="E57" s="13" t="n">
        <v>-1.297381</v>
      </c>
      <c r="F57" s="13" t="n">
        <v>2.555555</v>
      </c>
      <c r="G57" s="13" t="n">
        <v>2.983596</v>
      </c>
      <c r="H57" s="14">
        <f>(H32*H20)</f>
        <v/>
      </c>
      <c r="I57" s="14">
        <f>(I32*I20)</f>
        <v/>
      </c>
      <c r="J57" s="14">
        <f>(J32*J20)</f>
        <v/>
      </c>
      <c r="K57" s="14">
        <f>(K32*K20)</f>
        <v/>
      </c>
      <c r="L57" s="14">
        <f>(L32*L20)</f>
        <v/>
      </c>
      <c r="M57" s="14">
        <f>(M32*M20)</f>
        <v/>
      </c>
      <c r="N57" s="14">
        <f>(N32*N20)</f>
        <v/>
      </c>
      <c r="O57" s="14">
        <f>(O32*O20)</f>
        <v/>
      </c>
      <c r="P57" s="14">
        <f>(P32*P20)</f>
        <v/>
      </c>
      <c r="Q57" s="14">
        <f>(Q32*Q20)</f>
        <v/>
      </c>
    </row>
    <row r="58">
      <c r="A58" t="inlineStr">
        <is>
          <t>Cash &amp; equivalents</t>
        </is>
      </c>
      <c r="B58" t="inlineStr">
        <is>
          <t>cash</t>
        </is>
      </c>
      <c r="D58" s="13" t="n">
        <v>5.960501</v>
      </c>
      <c r="E58" s="13" t="n">
        <v>7.449947</v>
      </c>
      <c r="F58" s="13" t="n">
        <v>9.404021</v>
      </c>
      <c r="G58" s="13" t="n">
        <v>12.430298</v>
      </c>
      <c r="H58" s="14">
        <f>(((((((G58+H44)+H37)-H51)-H52)+H54)-H50)-H55)</f>
        <v/>
      </c>
      <c r="I58" s="14">
        <f>(((((((H58+I44)+I37)-I51)-I52)+I54)-I50)-I55)</f>
        <v/>
      </c>
      <c r="J58" s="14">
        <f>(((((((I58+J44)+J37)-J51)-J52)+J54)-J50)-J55)</f>
        <v/>
      </c>
      <c r="K58" s="14">
        <f>(((((((J58+K44)+K37)-K51)-K52)+K54)-K50)-K55)</f>
        <v/>
      </c>
      <c r="L58" s="14">
        <f>(((((((K58+L44)+L37)-L51)-L52)+L54)-L50)-L55)</f>
        <v/>
      </c>
      <c r="M58" s="14">
        <f>(((((((L58+M44)+M37)-M51)-M52)+M54)-M50)-M55)</f>
        <v/>
      </c>
      <c r="N58" s="14">
        <f>(((((((M58+N44)+N37)-N51)-N52)+N54)-N50)-N55)</f>
        <v/>
      </c>
      <c r="O58" s="14">
        <f>(((((((N58+O44)+O37)-O51)-O52)+O54)-O50)-O55)</f>
        <v/>
      </c>
      <c r="P58" s="14">
        <f>(((((((O58+P44)+P37)-P51)-P52)+P54)-P50)-P55)</f>
        <v/>
      </c>
      <c r="Q58" s="14">
        <f>(((((((P58+Q44)+Q37)-Q51)-Q52)+Q54)-Q50)-Q55)</f>
        <v/>
      </c>
    </row>
    <row r="59">
      <c r="A59" t="inlineStr">
        <is>
          <t>Total debt</t>
        </is>
      </c>
      <c r="B59" t="inlineStr">
        <is>
          <t>debt</t>
        </is>
      </c>
      <c r="D59" s="13" t="n"/>
      <c r="E59" s="13" t="n">
        <v>0</v>
      </c>
      <c r="F59" s="13" t="n">
        <v>4.238586</v>
      </c>
      <c r="G59" s="13" t="n">
        <v>3.198811</v>
      </c>
      <c r="H59" s="14">
        <f>(G59+H54)</f>
        <v/>
      </c>
      <c r="I59" s="14">
        <f>(H59+I54)</f>
        <v/>
      </c>
      <c r="J59" s="14">
        <f>(I59+J54)</f>
        <v/>
      </c>
      <c r="K59" s="14">
        <f>(J59+K54)</f>
        <v/>
      </c>
      <c r="L59" s="14">
        <f>(K59+L54)</f>
        <v/>
      </c>
      <c r="M59" s="14">
        <f>(L59+M54)</f>
        <v/>
      </c>
      <c r="N59" s="14">
        <f>(M59+N54)</f>
        <v/>
      </c>
      <c r="O59" s="14">
        <f>(N59+O54)</f>
        <v/>
      </c>
      <c r="P59" s="14">
        <f>(O59+P54)</f>
        <v/>
      </c>
      <c r="Q59" s="14">
        <f>(P59+Q54)</f>
        <v/>
      </c>
    </row>
    <row r="60">
      <c r="A60" t="inlineStr">
        <is>
          <t>Fixed assets (net)</t>
        </is>
      </c>
      <c r="B60" t="inlineStr">
        <is>
          <t>ppe</t>
        </is>
      </c>
      <c r="D60" s="13" t="n">
        <v>24.517336</v>
      </c>
      <c r="E60" s="13" t="n">
        <v>24.517355</v>
      </c>
      <c r="F60" s="13" t="n">
        <v>30.276054</v>
      </c>
      <c r="G60" s="13" t="n">
        <v>32.057335</v>
      </c>
      <c r="H60" s="14">
        <f>((G60+H51)-H37)</f>
        <v/>
      </c>
      <c r="I60" s="14">
        <f>((H60+I51)-I37)</f>
        <v/>
      </c>
      <c r="J60" s="14">
        <f>((I60+J51)-J37)</f>
        <v/>
      </c>
      <c r="K60" s="14">
        <f>((J60+K51)-K37)</f>
        <v/>
      </c>
      <c r="L60" s="14">
        <f>((K60+L51)-L37)</f>
        <v/>
      </c>
      <c r="M60" s="14">
        <f>((L60+M51)-M37)</f>
        <v/>
      </c>
      <c r="N60" s="14">
        <f>((M60+N51)-N37)</f>
        <v/>
      </c>
      <c r="O60" s="14">
        <f>((N60+O51)-O37)</f>
        <v/>
      </c>
      <c r="P60" s="14">
        <f>((O60+P51)-P37)</f>
        <v/>
      </c>
      <c r="Q60" s="14">
        <f>((P60+Q51)-Q37)</f>
        <v/>
      </c>
    </row>
    <row r="61">
      <c r="A61" t="inlineStr">
        <is>
          <t>Parent shareholders' equity</t>
        </is>
      </c>
      <c r="B61" t="inlineStr">
        <is>
          <t>equity</t>
        </is>
      </c>
      <c r="D61" s="13" t="n">
        <v>25.713874</v>
      </c>
      <c r="E61" s="13" t="n">
        <v>29.763756</v>
      </c>
      <c r="F61" s="13" t="n">
        <v>37.999163</v>
      </c>
      <c r="G61" s="13" t="n">
        <v>44.270091</v>
      </c>
      <c r="H61" s="14">
        <f>((G61+H46)-H50)</f>
        <v/>
      </c>
      <c r="I61" s="14">
        <f>((H61+I46)-I50)</f>
        <v/>
      </c>
      <c r="J61" s="14">
        <f>((I61+J46)-J50)</f>
        <v/>
      </c>
      <c r="K61" s="14">
        <f>((J61+K46)-K50)</f>
        <v/>
      </c>
      <c r="L61" s="14">
        <f>((K61+L46)-L50)</f>
        <v/>
      </c>
      <c r="M61" s="14">
        <f>((L61+M46)-M50)</f>
        <v/>
      </c>
      <c r="N61" s="14">
        <f>((M61+N46)-N50)</f>
        <v/>
      </c>
      <c r="O61" s="14">
        <f>((N61+O46)-O50)</f>
        <v/>
      </c>
      <c r="P61" s="14">
        <f>((O61+P46)-P50)</f>
        <v/>
      </c>
      <c r="Q61" s="14">
        <f>((P61+Q46)-Q50)</f>
        <v/>
      </c>
    </row>
    <row r="62">
      <c r="A62" t="inlineStr">
        <is>
          <t>Minority interest (balance sheet)</t>
        </is>
      </c>
      <c r="B62" t="inlineStr">
        <is>
          <t>minority_bs</t>
        </is>
      </c>
      <c r="D62" s="13" t="n">
        <v>0</v>
      </c>
      <c r="E62" s="13" t="n">
        <v>0</v>
      </c>
      <c r="F62" s="13" t="n">
        <v>0</v>
      </c>
      <c r="G62" s="13" t="n">
        <v>0</v>
      </c>
      <c r="H62" s="14">
        <f>((G62+H45)-H55)</f>
        <v/>
      </c>
      <c r="I62" s="14">
        <f>((H62+I45)-I55)</f>
        <v/>
      </c>
      <c r="J62" s="14">
        <f>((I62+J45)-J55)</f>
        <v/>
      </c>
      <c r="K62" s="14">
        <f>((J62+K45)-K55)</f>
        <v/>
      </c>
      <c r="L62" s="14">
        <f>((K62+L45)-L55)</f>
        <v/>
      </c>
      <c r="M62" s="14">
        <f>((L62+M45)-M55)</f>
        <v/>
      </c>
      <c r="N62" s="14">
        <f>((M62+N45)-N55)</f>
        <v/>
      </c>
      <c r="O62" s="14">
        <f>((N62+O45)-O55)</f>
        <v/>
      </c>
      <c r="P62" s="14">
        <f>((O62+P45)-P55)</f>
        <v/>
      </c>
      <c r="Q62" s="14">
        <f>((P62+Q45)-Q55)</f>
        <v/>
      </c>
    </row>
    <row r="63">
      <c r="A63" t="inlineStr">
        <is>
          <t>Other assets less other liabilities</t>
        </is>
      </c>
      <c r="B63" t="inlineStr">
        <is>
          <t>other_net</t>
        </is>
      </c>
      <c r="D63" s="13" t="n"/>
      <c r="E63" s="13" t="n">
        <v>-0.9061649999999979</v>
      </c>
      <c r="F63" s="13" t="n">
        <v>0.002119000000003979</v>
      </c>
      <c r="G63" s="13" t="n">
        <v>-0.002327000000001078</v>
      </c>
      <c r="H63" s="14">
        <f>G63</f>
        <v/>
      </c>
      <c r="I63" s="14">
        <f>H63</f>
        <v/>
      </c>
      <c r="J63" s="14">
        <f>I63</f>
        <v/>
      </c>
      <c r="K63" s="14">
        <f>J63</f>
        <v/>
      </c>
      <c r="L63" s="14">
        <f>K63</f>
        <v/>
      </c>
      <c r="M63" s="14">
        <f>L63</f>
        <v/>
      </c>
      <c r="N63" s="14">
        <f>M63</f>
        <v/>
      </c>
      <c r="O63" s="14">
        <f>N63</f>
        <v/>
      </c>
      <c r="P63" s="14">
        <f>O63</f>
        <v/>
      </c>
      <c r="Q63" s="14">
        <f>P63</f>
        <v/>
      </c>
    </row>
    <row r="64">
      <c r="A64" t="inlineStr">
        <is>
          <t>Balance check (should be zero)</t>
        </is>
      </c>
      <c r="B64" t="inlineStr">
        <is>
          <t>bs_check</t>
        </is>
      </c>
      <c r="D64" s="13" t="n"/>
      <c r="E64" s="13" t="n"/>
      <c r="F64" s="13" t="n"/>
      <c r="G64" s="13" t="n"/>
      <c r="H64" s="14">
        <f>((((((H58+H57)+H60)+H63)-H59)-H61)-H62)</f>
        <v/>
      </c>
      <c r="I64" s="14">
        <f>((((((I58+I57)+I60)+I63)-I59)-I61)-I62)</f>
        <v/>
      </c>
      <c r="J64" s="14">
        <f>((((((J58+J57)+J60)+J63)-J59)-J61)-J62)</f>
        <v/>
      </c>
      <c r="K64" s="14">
        <f>((((((K58+K57)+K60)+K63)-K59)-K61)-K62)</f>
        <v/>
      </c>
      <c r="L64" s="14">
        <f>((((((L58+L57)+L60)+L63)-L59)-L61)-L62)</f>
        <v/>
      </c>
      <c r="M64" s="14">
        <f>((((((M58+M57)+M60)+M63)-M59)-M61)-M62)</f>
        <v/>
      </c>
      <c r="N64" s="14">
        <f>((((((N58+N57)+N60)+N63)-N59)-N61)-N62)</f>
        <v/>
      </c>
      <c r="O64" s="14">
        <f>((((((O58+O57)+O60)+O63)-O59)-O61)-O62)</f>
        <v/>
      </c>
      <c r="P64" s="14">
        <f>((((((P58+P57)+P60)+P63)-P59)-P61)-P62)</f>
        <v/>
      </c>
      <c r="Q64" s="14">
        <f>((((((Q58+Q57)+Q60)+Q63)-Q59)-Q61)-Q62)</f>
        <v/>
      </c>
    </row>
    <row r="65">
      <c r="A65" t="inlineStr">
        <is>
          <t>Net debt (cash)</t>
        </is>
      </c>
      <c r="B65" t="inlineStr">
        <is>
          <t>net_debt</t>
        </is>
      </c>
      <c r="D65" s="13" t="n"/>
      <c r="E65" s="13" t="n">
        <v>-7.449947</v>
      </c>
      <c r="F65" s="13" t="n">
        <v>-5.165435</v>
      </c>
      <c r="G65" s="13" t="n">
        <v>-9.231487000000001</v>
      </c>
      <c r="H65" s="14">
        <f>(H59-H58)</f>
        <v/>
      </c>
      <c r="I65" s="14">
        <f>(I59-I58)</f>
        <v/>
      </c>
      <c r="J65" s="14">
        <f>(J59-J58)</f>
        <v/>
      </c>
      <c r="K65" s="14">
        <f>(K59-K58)</f>
        <v/>
      </c>
      <c r="L65" s="14">
        <f>(L59-L58)</f>
        <v/>
      </c>
      <c r="M65" s="14">
        <f>(M59-M58)</f>
        <v/>
      </c>
      <c r="N65" s="14">
        <f>(N59-N58)</f>
        <v/>
      </c>
      <c r="O65" s="14">
        <f>(O59-O58)</f>
        <v/>
      </c>
      <c r="P65" s="14">
        <f>(P59-P58)</f>
        <v/>
      </c>
      <c r="Q65" s="14">
        <f>(Q59-Q58)</f>
        <v/>
      </c>
    </row>
    <row r="66">
      <c r="A66" t="inlineStr">
        <is>
          <t>Book value per share</t>
        </is>
      </c>
      <c r="B66" t="inlineStr">
        <is>
          <t>bvps</t>
        </is>
      </c>
      <c r="D66" s="16" t="n">
        <v>0.003032478722817879</v>
      </c>
      <c r="E66" s="16" t="n">
        <v>0.00351008785300663</v>
      </c>
      <c r="F66" s="16" t="n">
        <v>0.00448130271161741</v>
      </c>
      <c r="G66" s="16" t="n">
        <v>0.005220843386520106</v>
      </c>
      <c r="H66" s="17">
        <f>(IF(H47=0,0,H61/H47)*$C$7)</f>
        <v/>
      </c>
      <c r="I66" s="17">
        <f>(IF(I47=0,0,I61/I47)*$C$7)</f>
        <v/>
      </c>
      <c r="J66" s="17">
        <f>(IF(J47=0,0,J61/J47)*$C$7)</f>
        <v/>
      </c>
      <c r="K66" s="17">
        <f>(IF(K47=0,0,K61/K47)*$C$7)</f>
        <v/>
      </c>
      <c r="L66" s="17">
        <f>(IF(L47=0,0,L61/L47)*$C$7)</f>
        <v/>
      </c>
      <c r="M66" s="17">
        <f>(IF(M47=0,0,M61/M47)*$C$7)</f>
        <v/>
      </c>
      <c r="N66" s="17">
        <f>(IF(N47=0,0,N61/N47)*$C$7)</f>
        <v/>
      </c>
      <c r="O66" s="17">
        <f>(IF(O47=0,0,O61/O47)*$C$7)</f>
        <v/>
      </c>
      <c r="P66" s="17">
        <f>(IF(P47=0,0,P61/P47)*$C$7)</f>
        <v/>
      </c>
      <c r="Q66" s="17">
        <f>(IF(Q47=0,0,Q61/Q47)*$C$7)</f>
        <v/>
      </c>
    </row>
    <row r="67">
      <c r="A67" t="inlineStr">
        <is>
          <t>Revenue growth</t>
        </is>
      </c>
      <c r="B67" t="inlineStr">
        <is>
          <t>revenue_growth</t>
        </is>
      </c>
      <c r="D67" s="4" t="n"/>
      <c r="E67" s="4" t="n">
        <v>0.1301968636088691</v>
      </c>
      <c r="F67" s="4" t="n">
        <v>0.2735805749436611</v>
      </c>
      <c r="G67" s="4" t="n">
        <v>0.02890858154362852</v>
      </c>
      <c r="H67" s="18">
        <f>(IF(G32=0,0,H32/G32)-1)</f>
        <v/>
      </c>
      <c r="I67" s="18">
        <f>(IF(H32=0,0,I32/H32)-1)</f>
        <v/>
      </c>
      <c r="J67" s="18">
        <f>(IF(I32=0,0,J32/I32)-1)</f>
        <v/>
      </c>
      <c r="K67" s="18">
        <f>(IF(J32=0,0,K32/J32)-1)</f>
        <v/>
      </c>
      <c r="L67" s="18">
        <f>(IF(K32=0,0,L32/K32)-1)</f>
        <v/>
      </c>
      <c r="M67" s="18">
        <f>(IF(L32=0,0,M32/L32)-1)</f>
        <v/>
      </c>
      <c r="N67" s="18">
        <f>(IF(M32=0,0,N32/M32)-1)</f>
        <v/>
      </c>
      <c r="O67" s="18">
        <f>(IF(N32=0,0,O32/N32)-1)</f>
        <v/>
      </c>
      <c r="P67" s="18">
        <f>(IF(O32=0,0,P32/O32)-1)</f>
        <v/>
      </c>
      <c r="Q67" s="18">
        <f>(IF(P32=0,0,Q32/P32)-1)</f>
        <v/>
      </c>
    </row>
    <row r="68">
      <c r="A68" t="inlineStr">
        <is>
          <t>Gross margin</t>
        </is>
      </c>
      <c r="B68" t="inlineStr">
        <is>
          <t>gross_margin</t>
        </is>
      </c>
      <c r="D68" s="4" t="n">
        <v>0.2807123005674587</v>
      </c>
      <c r="E68" s="4" t="n">
        <v>0.4424239407029787</v>
      </c>
      <c r="F68" s="4" t="n">
        <v>0.4839909031709198</v>
      </c>
      <c r="G68" s="4" t="n">
        <v>0.4814103522472236</v>
      </c>
      <c r="H68" s="18">
        <f>IF(H32=0,0,H34/H32)</f>
        <v/>
      </c>
      <c r="I68" s="18">
        <f>IF(I32=0,0,I34/I32)</f>
        <v/>
      </c>
      <c r="J68" s="18">
        <f>IF(J32=0,0,J34/J32)</f>
        <v/>
      </c>
      <c r="K68" s="18">
        <f>IF(K32=0,0,K34/K32)</f>
        <v/>
      </c>
      <c r="L68" s="18">
        <f>IF(L32=0,0,L34/L32)</f>
        <v/>
      </c>
      <c r="M68" s="18">
        <f>IF(M32=0,0,M34/M32)</f>
        <v/>
      </c>
      <c r="N68" s="18">
        <f>IF(N32=0,0,N34/N32)</f>
        <v/>
      </c>
      <c r="O68" s="18">
        <f>IF(O32=0,0,O34/O32)</f>
        <v/>
      </c>
      <c r="P68" s="18">
        <f>IF(P32=0,0,P34/P32)</f>
        <v/>
      </c>
      <c r="Q68" s="18">
        <f>IF(Q32=0,0,Q34/Q32)</f>
        <v/>
      </c>
    </row>
    <row r="69">
      <c r="A69" t="inlineStr">
        <is>
          <t>EBITDA margin</t>
        </is>
      </c>
      <c r="B69" t="inlineStr">
        <is>
          <t>ebitda_margin</t>
        </is>
      </c>
      <c r="D69" s="4" t="n">
        <v>0.17934642585077</v>
      </c>
      <c r="E69" s="4" t="n">
        <v>0.3592079316830646</v>
      </c>
      <c r="F69" s="4" t="n">
        <v>0.5632525810063487</v>
      </c>
      <c r="G69" s="4" t="n">
        <v>0.5433058438770048</v>
      </c>
      <c r="H69" s="18">
        <f>IF(H32=0,0,H38/H32)</f>
        <v/>
      </c>
      <c r="I69" s="18">
        <f>IF(I32=0,0,I38/I32)</f>
        <v/>
      </c>
      <c r="J69" s="18">
        <f>IF(J32=0,0,J38/J32)</f>
        <v/>
      </c>
      <c r="K69" s="18">
        <f>IF(K32=0,0,K38/K32)</f>
        <v/>
      </c>
      <c r="L69" s="18">
        <f>IF(L32=0,0,L38/L32)</f>
        <v/>
      </c>
      <c r="M69" s="18">
        <f>IF(M32=0,0,M38/M32)</f>
        <v/>
      </c>
      <c r="N69" s="18">
        <f>IF(N32=0,0,N38/N32)</f>
        <v/>
      </c>
      <c r="O69" s="18">
        <f>IF(O32=0,0,O38/O32)</f>
        <v/>
      </c>
      <c r="P69" s="18">
        <f>IF(P32=0,0,P38/P32)</f>
        <v/>
      </c>
      <c r="Q69" s="18">
        <f>IF(Q32=0,0,Q38/Q32)</f>
        <v/>
      </c>
    </row>
    <row r="70">
      <c r="A70" t="inlineStr">
        <is>
          <t>EBIT margin</t>
        </is>
      </c>
      <c r="B70" t="inlineStr">
        <is>
          <t>ebit_margin</t>
        </is>
      </c>
      <c r="D70" s="4" t="n">
        <v>0.1786560185468995</v>
      </c>
      <c r="E70" s="4" t="n">
        <v>0.3588275818579487</v>
      </c>
      <c r="F70" s="4" t="n">
        <v>0.4123580649402924</v>
      </c>
      <c r="G70" s="4" t="n">
        <v>0.396186114729753</v>
      </c>
      <c r="H70" s="18">
        <f>IF(H32=0,0,H36/H32)</f>
        <v/>
      </c>
      <c r="I70" s="18">
        <f>IF(I32=0,0,I36/I32)</f>
        <v/>
      </c>
      <c r="J70" s="18">
        <f>IF(J32=0,0,J36/J32)</f>
        <v/>
      </c>
      <c r="K70" s="18">
        <f>IF(K32=0,0,K36/K32)</f>
        <v/>
      </c>
      <c r="L70" s="18">
        <f>IF(L32=0,0,L36/L32)</f>
        <v/>
      </c>
      <c r="M70" s="18">
        <f>IF(M32=0,0,M36/M32)</f>
        <v/>
      </c>
      <c r="N70" s="18">
        <f>IF(N32=0,0,N36/N32)</f>
        <v/>
      </c>
      <c r="O70" s="18">
        <f>IF(O32=0,0,O36/O32)</f>
        <v/>
      </c>
      <c r="P70" s="18">
        <f>IF(P32=0,0,P36/P32)</f>
        <v/>
      </c>
      <c r="Q70" s="18">
        <f>IF(Q32=0,0,Q36/Q32)</f>
        <v/>
      </c>
    </row>
    <row r="71">
      <c r="A71" t="inlineStr">
        <is>
          <t>Net margin</t>
        </is>
      </c>
      <c r="B71" t="inlineStr">
        <is>
          <t>np_margin</t>
        </is>
      </c>
      <c r="D71" s="4" t="n">
        <v>0.07419810081189841</v>
      </c>
      <c r="E71" s="4" t="n">
        <v>0.3831070057479194</v>
      </c>
      <c r="F71" s="4" t="n">
        <v>0.6130401782077871</v>
      </c>
      <c r="G71" s="4" t="n">
        <v>0.4537056347716898</v>
      </c>
      <c r="H71" s="18">
        <f>IF(H32=0,0,H46/H32)</f>
        <v/>
      </c>
      <c r="I71" s="18">
        <f>IF(I32=0,0,I46/I32)</f>
        <v/>
      </c>
      <c r="J71" s="18">
        <f>IF(J32=0,0,J46/J32)</f>
        <v/>
      </c>
      <c r="K71" s="18">
        <f>IF(K32=0,0,K46/K32)</f>
        <v/>
      </c>
      <c r="L71" s="18">
        <f>IF(L32=0,0,L46/L32)</f>
        <v/>
      </c>
      <c r="M71" s="18">
        <f>IF(M32=0,0,M46/M32)</f>
        <v/>
      </c>
      <c r="N71" s="18">
        <f>IF(N32=0,0,N46/N32)</f>
        <v/>
      </c>
      <c r="O71" s="18">
        <f>IF(O32=0,0,O46/O32)</f>
        <v/>
      </c>
      <c r="P71" s="18">
        <f>IF(P32=0,0,P46/P32)</f>
        <v/>
      </c>
      <c r="Q71" s="18">
        <f>IF(Q32=0,0,Q46/Q32)</f>
        <v/>
      </c>
    </row>
    <row r="72">
      <c r="A72" t="inlineStr">
        <is>
          <t>EPS growth</t>
        </is>
      </c>
      <c r="B72" t="inlineStr">
        <is>
          <t>eps_growth</t>
        </is>
      </c>
      <c r="D72" s="4" t="n"/>
      <c r="E72" s="4" t="n">
        <v>4.835544732075537</v>
      </c>
      <c r="F72" s="4" t="n">
        <v>1.037958196826001</v>
      </c>
      <c r="G72" s="4" t="n">
        <v>-0.2385138238801308</v>
      </c>
      <c r="H72" s="18">
        <f>(IF(G48=0,0,H48/G48)-1)</f>
        <v/>
      </c>
      <c r="I72" s="18">
        <f>(IF(H48=0,0,I48/H48)-1)</f>
        <v/>
      </c>
      <c r="J72" s="18">
        <f>(IF(I48=0,0,J48/I48)-1)</f>
        <v/>
      </c>
      <c r="K72" s="18">
        <f>(IF(J48=0,0,K48/J48)-1)</f>
        <v/>
      </c>
      <c r="L72" s="18">
        <f>(IF(K48=0,0,L48/K48)-1)</f>
        <v/>
      </c>
      <c r="M72" s="18">
        <f>(IF(L48=0,0,M48/L48)-1)</f>
        <v/>
      </c>
      <c r="N72" s="18">
        <f>(IF(M48=0,0,N48/M48)-1)</f>
        <v/>
      </c>
      <c r="O72" s="18">
        <f>(IF(N48=0,0,O48/N48)-1)</f>
        <v/>
      </c>
      <c r="P72" s="18">
        <f>(IF(O48=0,0,P48/O48)-1)</f>
        <v/>
      </c>
      <c r="Q72" s="18">
        <f>(IF(P48=0,0,Q48/P48)-1)</f>
        <v/>
      </c>
    </row>
    <row r="73">
      <c r="A73" t="inlineStr">
        <is>
          <t>ROE</t>
        </is>
      </c>
      <c r="B73" t="inlineStr">
        <is>
          <t>roe</t>
        </is>
      </c>
      <c r="D73" s="4" t="n"/>
      <c r="E73" s="4" t="n">
        <v>0.1456470292620647</v>
      </c>
      <c r="F73" s="4" t="n">
        <v>0.2430091891407452</v>
      </c>
      <c r="G73" s="4" t="n">
        <v>0.1524190556049043</v>
      </c>
      <c r="H73" s="18">
        <f>IF(IF(2=0,0,(H61+G61)/2)=0,0,H46/IF(2=0,0,(H61+G61)/2))</f>
        <v/>
      </c>
      <c r="I73" s="18">
        <f>IF(IF(2=0,0,(I61+H61)/2)=0,0,I46/IF(2=0,0,(I61+H61)/2))</f>
        <v/>
      </c>
      <c r="J73" s="18">
        <f>IF(IF(2=0,0,(J61+I61)/2)=0,0,J46/IF(2=0,0,(J61+I61)/2))</f>
        <v/>
      </c>
      <c r="K73" s="18">
        <f>IF(IF(2=0,0,(K61+J61)/2)=0,0,K46/IF(2=0,0,(K61+J61)/2))</f>
        <v/>
      </c>
      <c r="L73" s="18">
        <f>IF(IF(2=0,0,(L61+K61)/2)=0,0,L46/IF(2=0,0,(L61+K61)/2))</f>
        <v/>
      </c>
      <c r="M73" s="18">
        <f>IF(IF(2=0,0,(M61+L61)/2)=0,0,M46/IF(2=0,0,(M61+L61)/2))</f>
        <v/>
      </c>
      <c r="N73" s="18">
        <f>IF(IF(2=0,0,(N61+M61)/2)=0,0,N46/IF(2=0,0,(N61+M61)/2))</f>
        <v/>
      </c>
      <c r="O73" s="18">
        <f>IF(IF(2=0,0,(O61+N61)/2)=0,0,O46/IF(2=0,0,(O61+N61)/2))</f>
        <v/>
      </c>
      <c r="P73" s="18">
        <f>IF(IF(2=0,0,(P61+O61)/2)=0,0,P46/IF(2=0,0,(P61+O61)/2))</f>
        <v/>
      </c>
      <c r="Q73" s="18">
        <f>IF(IF(2=0,0,(Q61+P61)/2)=0,0,Q46/IF(2=0,0,(Q61+P61)/2))</f>
        <v/>
      </c>
    </row>
    <row r="74">
      <c r="A74" t="inlineStr">
        <is>
          <t>Net debt / EBITDA</t>
        </is>
      </c>
      <c r="B74" t="inlineStr">
        <is>
          <t>net_debt_ebitda</t>
        </is>
      </c>
      <c r="D74" s="19" t="n"/>
      <c r="E74" s="19" t="n">
        <v>-1.966698670845425</v>
      </c>
      <c r="F74" s="19" t="n">
        <v>-0.6828225307964703</v>
      </c>
      <c r="G74" s="19" t="n">
        <v>-1.229573880758537</v>
      </c>
      <c r="H74" s="20">
        <f>IF(H38=0,0,H65/H38)</f>
        <v/>
      </c>
      <c r="I74" s="20">
        <f>IF(I38=0,0,I65/I38)</f>
        <v/>
      </c>
      <c r="J74" s="20">
        <f>IF(J38=0,0,J65/J38)</f>
        <v/>
      </c>
      <c r="K74" s="20">
        <f>IF(K38=0,0,K65/K38)</f>
        <v/>
      </c>
      <c r="L74" s="20">
        <f>IF(L38=0,0,L65/L38)</f>
        <v/>
      </c>
      <c r="M74" s="20">
        <f>IF(M38=0,0,M65/M38)</f>
        <v/>
      </c>
      <c r="N74" s="20">
        <f>IF(N38=0,0,N65/N38)</f>
        <v/>
      </c>
      <c r="O74" s="20">
        <f>IF(O38=0,0,O65/O38)</f>
        <v/>
      </c>
      <c r="P74" s="20">
        <f>IF(P38=0,0,P65/P38)</f>
        <v/>
      </c>
      <c r="Q74" s="20">
        <f>IF(Q38=0,0,Q65/Q38)</f>
        <v/>
      </c>
    </row>
    <row r="75">
      <c r="A75" t="inlineStr">
        <is>
          <t>Payout ratio</t>
        </is>
      </c>
      <c r="B75" t="inlineStr">
        <is>
          <t>payout_ratio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18">
        <f>IF(H48=0,0,H49/H48)</f>
        <v/>
      </c>
      <c r="I75" s="18">
        <f>IF(I48=0,0,I49/I48)</f>
        <v/>
      </c>
      <c r="J75" s="18">
        <f>IF(J48=0,0,J49/J48)</f>
        <v/>
      </c>
      <c r="K75" s="18">
        <f>IF(K48=0,0,K49/K48)</f>
        <v/>
      </c>
      <c r="L75" s="18">
        <f>IF(L48=0,0,L49/L48)</f>
        <v/>
      </c>
      <c r="M75" s="18">
        <f>IF(M48=0,0,M49/M48)</f>
        <v/>
      </c>
      <c r="N75" s="18">
        <f>IF(N48=0,0,N49/N48)</f>
        <v/>
      </c>
      <c r="O75" s="18">
        <f>IF(O48=0,0,O49/O48)</f>
        <v/>
      </c>
      <c r="P75" s="18">
        <f>IF(P48=0,0,P49/P48)</f>
        <v/>
      </c>
      <c r="Q75" s="18">
        <f>IF(Q48=0,0,Q49/Q48)</f>
        <v/>
      </c>
    </row>
    <row r="76">
      <c r="A76" t="inlineStr">
        <is>
          <t>Capex / revenue</t>
        </is>
      </c>
      <c r="B76" t="inlineStr">
        <is>
          <t>capex_revenue</t>
        </is>
      </c>
      <c r="D76" s="4" t="n">
        <v>0.3003771197176125</v>
      </c>
      <c r="E76" s="4" t="n">
        <v>0.2263698781145231</v>
      </c>
      <c r="F76" s="4" t="n">
        <v>0.5769252247142238</v>
      </c>
      <c r="G76" s="4" t="n">
        <v>0.2832292992902316</v>
      </c>
      <c r="H76" s="18">
        <f>IF(H32=0,0,H51/H32)</f>
        <v/>
      </c>
      <c r="I76" s="18">
        <f>IF(I32=0,0,I51/I32)</f>
        <v/>
      </c>
      <c r="J76" s="18">
        <f>IF(J32=0,0,J51/J32)</f>
        <v/>
      </c>
      <c r="K76" s="18">
        <f>IF(K32=0,0,K51/K32)</f>
        <v/>
      </c>
      <c r="L76" s="18">
        <f>IF(L32=0,0,L51/L32)</f>
        <v/>
      </c>
      <c r="M76" s="18">
        <f>IF(M32=0,0,M51/M32)</f>
        <v/>
      </c>
      <c r="N76" s="18">
        <f>IF(N32=0,0,N51/N32)</f>
        <v/>
      </c>
      <c r="O76" s="18">
        <f>IF(O32=0,0,O51/O32)</f>
        <v/>
      </c>
      <c r="P76" s="18">
        <f>IF(P32=0,0,P51/P32)</f>
        <v/>
      </c>
      <c r="Q76" s="18">
        <f>IF(Q32=0,0,Q51/Q32)</f>
        <v/>
      </c>
    </row>
    <row r="78">
      <c r="A78" s="1" t="inlineStr">
        <is>
          <t>VALUATION</t>
        </is>
      </c>
    </row>
    <row r="79">
      <c r="A79" t="inlineStr">
        <is>
          <t>Last price (IDR)</t>
        </is>
      </c>
      <c r="C79" s="16" t="n">
        <v>93</v>
      </c>
    </row>
    <row r="80">
      <c r="A80" t="inlineStr">
        <is>
          <t>Shares outstanding (m)</t>
        </is>
      </c>
      <c r="C80" s="13" t="n">
        <v>8479.490328</v>
      </c>
    </row>
    <row r="81">
      <c r="A81" t="inlineStr">
        <is>
          <t>IDR per USD (spot)</t>
        </is>
      </c>
      <c r="C81" s="3" t="n">
        <v>18128</v>
      </c>
    </row>
    <row r="82">
      <c r="A82" t="inlineStr">
        <is>
          <t>Debt at balance-sheet date</t>
        </is>
      </c>
      <c r="C82" s="13" t="n">
        <v>7.110626</v>
      </c>
    </row>
    <row r="83">
      <c r="A83" t="inlineStr">
        <is>
          <t>Cash at balance-sheet date</t>
        </is>
      </c>
      <c r="C83" s="13" t="n">
        <v>13.638932</v>
      </c>
    </row>
    <row r="84">
      <c r="A84" t="inlineStr">
        <is>
          <t>Minority interest (book)</t>
        </is>
      </c>
      <c r="C84" s="13" t="n">
        <v>0</v>
      </c>
    </row>
    <row r="85">
      <c r="A85" t="inlineStr">
        <is>
          <t>Associates &amp; investments (book)</t>
        </is>
      </c>
      <c r="C85" s="13" t="n">
        <v>0</v>
      </c>
    </row>
    <row r="86">
      <c r="A86" t="inlineStr">
        <is>
          <t>Post-balance-sheet &amp; other items (sourced, probability-weighted)</t>
        </is>
      </c>
      <c r="C86" s="13" t="n">
        <v>0</v>
      </c>
    </row>
    <row r="87">
      <c r="A87" t="inlineStr">
        <is>
          <t>Parent equity at balance-sheet date</t>
        </is>
      </c>
      <c r="C87" s="13" t="n">
        <v>47.27953</v>
      </c>
    </row>
    <row r="88">
      <c r="A88" t="inlineStr">
        <is>
          <t>Per-share factor</t>
        </is>
      </c>
      <c r="C88" s="21" t="n">
        <v>1</v>
      </c>
    </row>
    <row r="89">
      <c r="A89" t="inlineStr">
        <is>
          <t>Risk-free rate</t>
        </is>
      </c>
      <c r="C89" s="8">
        <f>Drivers!$C$10</f>
        <v/>
      </c>
    </row>
    <row r="90">
      <c r="A90" t="inlineStr">
        <is>
          <t>Less: default spread (IDR only)</t>
        </is>
      </c>
      <c r="C90" s="8" t="n">
        <v>0</v>
      </c>
    </row>
    <row r="91">
      <c r="A91" t="inlineStr">
        <is>
          <t>Mature ERP + Indonesia CRP</t>
        </is>
      </c>
      <c r="C91" s="8">
        <f>Drivers!$C$12+Drivers!$C$13</f>
        <v/>
      </c>
    </row>
    <row r="92">
      <c r="A92" t="inlineStr">
        <is>
          <t>Tax rate</t>
        </is>
      </c>
      <c r="C92" s="8">
        <f>Drivers!$C$15</f>
        <v/>
      </c>
    </row>
    <row r="93">
      <c r="A93" t="inlineStr">
        <is>
          <t>Unlevered beta (industry default (config))</t>
        </is>
      </c>
      <c r="C93" s="22" t="n">
        <v>1</v>
      </c>
    </row>
    <row r="94">
      <c r="A94" t="inlineStr">
        <is>
          <t>Debt / equity (market)</t>
        </is>
      </c>
      <c r="C94" s="22" t="n">
        <v>0.1634575673746081</v>
      </c>
    </row>
    <row r="95">
      <c r="A95" t="inlineStr">
        <is>
          <t>Levered beta</t>
        </is>
      </c>
      <c r="C95" s="23">
        <f>$C$93*(1+(1-$C$92)*$C$94)</f>
        <v/>
      </c>
    </row>
    <row r="96">
      <c r="A96" t="inlineStr">
        <is>
          <t>Explicit company premium</t>
        </is>
      </c>
      <c r="C96" s="4" t="n">
        <v>0</v>
      </c>
    </row>
    <row r="97">
      <c r="A97" t="inlineStr">
        <is>
          <t>Cost of equity</t>
        </is>
      </c>
      <c r="C97" s="10">
        <f>$C$89-$C$90+$C$95*$C$91+$C$96</f>
        <v/>
      </c>
    </row>
    <row r="98">
      <c r="A98" t="inlineStr">
        <is>
          <t>Pre-tax cost of debt</t>
        </is>
      </c>
      <c r="C98" s="10">
        <f>$C$89+Drivers!$C$14</f>
        <v/>
      </c>
    </row>
    <row r="99">
      <c r="A99" t="inlineStr">
        <is>
          <t>WACC</t>
        </is>
      </c>
      <c r="C99" s="10">
        <f>1/(1+$C$94)*$C$97+$C$94/(1+$C$94)*$C$98*(1-$C$92)</f>
        <v/>
      </c>
    </row>
    <row r="100">
      <c r="A100" t="inlineStr">
        <is>
          <t>Terminal growth (capped)</t>
        </is>
      </c>
      <c r="C100" s="4" t="n">
        <v>0.02</v>
      </c>
    </row>
    <row r="102">
      <c r="A102" s="1" t="inlineStr">
        <is>
          <t>DCF (FCFF, terminal value)</t>
        </is>
      </c>
    </row>
    <row r="103">
      <c r="A103" t="inlineStr">
        <is>
          <t>Share of year after balance-sheet date</t>
        </is>
      </c>
      <c r="H103" s="12" t="n">
        <v>0.503765</v>
      </c>
      <c r="I103" s="12" t="n">
        <v>0.996578</v>
      </c>
      <c r="J103" s="12" t="n">
        <v>0.999316</v>
      </c>
      <c r="K103" s="12" t="n">
        <v>0.996578</v>
      </c>
      <c r="L103" s="12" t="n">
        <v>0.996578</v>
      </c>
      <c r="M103" s="12" t="n">
        <v>0.996578</v>
      </c>
      <c r="N103" s="12" t="n">
        <v>0.999316</v>
      </c>
      <c r="O103" s="12" t="n">
        <v>0.996578</v>
      </c>
      <c r="P103" s="12" t="n">
        <v>0.996578</v>
      </c>
      <c r="Q103" s="12" t="n">
        <v>0.996578</v>
      </c>
    </row>
    <row r="104">
      <c r="A104" t="inlineStr">
        <is>
          <t>Discount time from valuation date (years)</t>
        </is>
      </c>
      <c r="H104" s="12" t="n">
        <v>0</v>
      </c>
      <c r="I104" s="12" t="n">
        <v>0.670773</v>
      </c>
      <c r="J104" s="12" t="n">
        <v>1.670089</v>
      </c>
      <c r="K104" s="12" t="n">
        <v>2.672142</v>
      </c>
      <c r="L104" s="12" t="n">
        <v>3.671458</v>
      </c>
      <c r="M104" s="12" t="n">
        <v>4.670773</v>
      </c>
      <c r="N104" s="12" t="n">
        <v>5.670089</v>
      </c>
      <c r="O104" s="12" t="n">
        <v>6.672142</v>
      </c>
      <c r="P104" s="12" t="n">
        <v>7.671458</v>
      </c>
      <c r="Q104" s="12" t="n">
        <v>8.670773000000001</v>
      </c>
    </row>
    <row r="105">
      <c r="A105" t="inlineStr">
        <is>
          <t>Discount factor</t>
        </is>
      </c>
      <c r="H105">
        <f>1/(1+$C$99)^H104</f>
        <v/>
      </c>
      <c r="I105">
        <f>1/(1+$C$99)^I104</f>
        <v/>
      </c>
      <c r="J105">
        <f>1/(1+$C$99)^J104</f>
        <v/>
      </c>
      <c r="K105">
        <f>1/(1+$C$99)^K104</f>
        <v/>
      </c>
      <c r="L105">
        <f>1/(1+$C$99)^L104</f>
        <v/>
      </c>
      <c r="M105">
        <f>1/(1+$C$99)^M104</f>
        <v/>
      </c>
      <c r="N105">
        <f>1/(1+$C$99)^N104</f>
        <v/>
      </c>
      <c r="O105">
        <f>1/(1+$C$99)^O104</f>
        <v/>
      </c>
      <c r="P105">
        <f>1/(1+$C$99)^P104</f>
        <v/>
      </c>
      <c r="Q105">
        <f>1/(1+$C$99)^Q104</f>
        <v/>
      </c>
    </row>
    <row r="106">
      <c r="A106" t="inlineStr">
        <is>
          <t>PV of FCFF</t>
        </is>
      </c>
      <c r="H106" s="24">
        <f>H53*H103*H105</f>
        <v/>
      </c>
      <c r="I106" s="24">
        <f>I53*I103*I105</f>
        <v/>
      </c>
      <c r="J106" s="24">
        <f>J53*J103*J105</f>
        <v/>
      </c>
      <c r="K106" s="24">
        <f>K53*K103*K105</f>
        <v/>
      </c>
      <c r="L106" s="24">
        <f>L53*L103*L105</f>
        <v/>
      </c>
      <c r="M106" s="24">
        <f>M53*M103*M105</f>
        <v/>
      </c>
      <c r="N106" s="24">
        <f>N53*N103*N105</f>
        <v/>
      </c>
      <c r="O106" s="24">
        <f>O53*O103*O105</f>
        <v/>
      </c>
      <c r="P106" s="24">
        <f>P53*P103*P105</f>
        <v/>
      </c>
      <c r="Q106" s="24">
        <f>Q53*Q103*Q105</f>
        <v/>
      </c>
    </row>
    <row r="107">
      <c r="A107" t="inlineStr">
        <is>
          <t>Sum of PV</t>
        </is>
      </c>
      <c r="C107" s="24">
        <f>SUM(H106:Q106)</f>
        <v/>
      </c>
    </row>
    <row r="108">
      <c r="A108" t="inlineStr">
        <is>
          <t>Years to end of horizon</t>
        </is>
      </c>
      <c r="C108" s="21" t="n">
        <v>9.169062</v>
      </c>
    </row>
    <row r="109">
      <c r="A109" t="inlineStr">
        <is>
          <t>Terminal value</t>
        </is>
      </c>
      <c r="C109" s="24">
        <f>Q53*(1+$C$100)/($C$99-$C$100)</f>
        <v/>
      </c>
    </row>
    <row r="110">
      <c r="A110" t="inlineStr">
        <is>
          <t>PV of terminal value</t>
        </is>
      </c>
      <c r="C110" s="24">
        <f>$C$109/(1+$C$99)^$C$108</f>
        <v/>
      </c>
    </row>
    <row r="111">
      <c r="A111" t="inlineStr">
        <is>
          <t>Enterprise value</t>
        </is>
      </c>
      <c r="C111" s="24">
        <f>$C$107+$C$110</f>
        <v/>
      </c>
    </row>
    <row r="112">
      <c r="A112" t="inlineStr">
        <is>
          <t>Equity value</t>
        </is>
      </c>
      <c r="C112" s="24">
        <f>$C$111-($C$82-$C$83)-$C$84+$C$85+$C$86</f>
        <v/>
      </c>
    </row>
    <row r="113">
      <c r="A113" t="inlineStr">
        <is>
          <t>Value per share (IDR) — DCF (FCFF, terminal value)</t>
        </is>
      </c>
      <c r="C113" s="25">
        <f>MAX(0,$C$112/$C$80*$C$88*$C$81)</f>
        <v/>
      </c>
    </row>
    <row r="115">
      <c r="A115" s="1" t="inlineStr">
        <is>
          <t>EV/EBITDA</t>
        </is>
      </c>
    </row>
    <row r="116">
      <c r="A116" t="inlineStr">
        <is>
          <t>Target multiple (peer median)</t>
        </is>
      </c>
      <c r="C116" s="19" t="n">
        <v>7.433904</v>
      </c>
    </row>
    <row r="117">
      <c r="A117" t="inlineStr">
        <is>
          <t>Metric (LTM, or next-12m DPS for yield)</t>
        </is>
      </c>
      <c r="C117" s="13" t="n">
        <v>7.507875</v>
      </c>
    </row>
    <row r="118">
      <c r="A118" t="inlineStr">
        <is>
          <t>Value per share (IDR) — EV/EBITDA</t>
        </is>
      </c>
      <c r="C118" s="25">
        <f>MAX(0,($C$116*$C$117-($C$82-$C$83)-$C$84+$C$85+$C$86)/$C$80*$C$88*$C$81)</f>
        <v/>
      </c>
    </row>
    <row r="120">
      <c r="A120" s="1" t="inlineStr">
        <is>
          <t>P/BV</t>
        </is>
      </c>
    </row>
    <row r="121">
      <c r="A121" t="inlineStr">
        <is>
          <t>Target multiple (peer median)</t>
        </is>
      </c>
      <c r="C121" s="19" t="n">
        <v>1.483092</v>
      </c>
    </row>
    <row r="122">
      <c r="A122" t="inlineStr">
        <is>
          <t>Metric (LTM, or next-12m DPS for yield)</t>
        </is>
      </c>
      <c r="C122" s="13" t="n">
        <v>47.27953</v>
      </c>
    </row>
    <row r="123">
      <c r="A123" t="inlineStr">
        <is>
          <t>Value per share (IDR) — P/BV</t>
        </is>
      </c>
      <c r="C123" s="25">
        <f>MAX(0,$C$121*$C$122/$C$80*$C$88*$C$81)</f>
        <v/>
      </c>
    </row>
    <row r="125">
      <c r="A125" s="1" t="inlineStr">
        <is>
          <t>TARGET</t>
        </is>
      </c>
    </row>
    <row r="126">
      <c r="A126" t="inlineStr">
        <is>
          <t>Weight: DCF (FCFF, terminal value)</t>
        </is>
      </c>
      <c r="C126" s="4" t="n">
        <v>0.5</v>
      </c>
    </row>
    <row r="127">
      <c r="A127" t="inlineStr">
        <is>
          <t>Weight: EV/EBITDA</t>
        </is>
      </c>
      <c r="C127" s="4" t="n">
        <v>0.3</v>
      </c>
    </row>
    <row r="128">
      <c r="A128" t="inlineStr">
        <is>
          <t>Weight: P/BV</t>
        </is>
      </c>
      <c r="C128" s="4" t="n">
        <v>0.2</v>
      </c>
    </row>
    <row r="129">
      <c r="A129" t="inlineStr">
        <is>
          <t>Value today (weighted)</t>
        </is>
      </c>
      <c r="C129" s="25">
        <f>$C$113*$C$126+$C$118*$C$127+$C$123*$C$128</f>
        <v/>
      </c>
    </row>
    <row r="130">
      <c r="A130" t="inlineStr">
        <is>
          <t>DPS expected in next 12 months (IDR)</t>
        </is>
      </c>
      <c r="C130" s="16" t="n">
        <v>0</v>
      </c>
    </row>
    <row r="131">
      <c r="A131" t="inlineStr">
        <is>
          <t>Base-case 12-month value</t>
        </is>
      </c>
      <c r="C131" s="25">
        <f>MAX(0,$C$129*(1+$C$97)-$C$130)</f>
        <v/>
      </c>
    </row>
    <row r="132">
      <c r="A132" t="inlineStr">
        <is>
          <t>Bear probability</t>
        </is>
      </c>
      <c r="C132" s="4" t="n">
        <v>0.25</v>
      </c>
    </row>
    <row r="133">
      <c r="A133" t="inlineStr">
        <is>
          <t>Bear 12-month value (engine)</t>
        </is>
      </c>
      <c r="C133" s="16" t="n">
        <v>124.0825654202984</v>
      </c>
    </row>
    <row r="134">
      <c r="A134" t="inlineStr">
        <is>
          <t>Base probability</t>
        </is>
      </c>
      <c r="C134" s="4" t="n">
        <v>0.5</v>
      </c>
    </row>
    <row r="135">
      <c r="A135" t="inlineStr">
        <is>
          <t>Bull probability</t>
        </is>
      </c>
      <c r="C135" s="4" t="n">
        <v>0.25</v>
      </c>
    </row>
    <row r="136">
      <c r="A136" t="inlineStr">
        <is>
          <t>Bull 12-month value (engine)</t>
        </is>
      </c>
      <c r="C136" s="16" t="n">
        <v>250.6445818376487</v>
      </c>
    </row>
    <row r="137">
      <c r="A137" t="inlineStr">
        <is>
          <t>Probability-weighted 12-month value</t>
        </is>
      </c>
      <c r="C137" s="25">
        <f>$C$132*$C$133+$C$134*$C$131+$C$135*$C$136</f>
        <v/>
      </c>
    </row>
    <row r="138">
      <c r="A138" t="inlineStr">
        <is>
          <t>Liquidity discount (limits.yaml)</t>
        </is>
      </c>
      <c r="C138" s="4" t="n">
        <v>0.1</v>
      </c>
    </row>
    <row r="139">
      <c r="A139" t="inlineStr">
        <is>
          <t>TARGET PRICE (IDR)</t>
        </is>
      </c>
      <c r="C139" s="27">
        <f>$C$137*(1-$C$138)</f>
        <v/>
      </c>
    </row>
    <row r="140">
      <c r="A140" t="inlineStr">
        <is>
          <t>Expected 12-month total return</t>
        </is>
      </c>
      <c r="C140" s="28">
        <f>($C$139+$C$130)/$C$79-1</f>
        <v/>
      </c>
    </row>
    <row r="141">
      <c r="A141" t="inlineStr">
        <is>
          <t>Rating</t>
        </is>
      </c>
      <c r="C141" s="29">
        <f>IF($C$140&gt;=0.25,"BUY",IF($C$140&gt;=0.1,"ADD",IF($C$140&lt;=-0.25,"SELL",IF($C$140&lt;=-0.1,"REDUCE","HOLD"))))</f>
        <v/>
      </c>
    </row>
    <row r="143">
      <c r="A143" s="1" t="inlineStr">
        <is>
          <t>DCF value per share vs WACC and terminal growth (engine values)</t>
        </is>
      </c>
    </row>
    <row r="144">
      <c r="A144" s="5" t="inlineStr">
        <is>
          <t>rows: Terminal growth (+/- pp) · columns: WACC (+/- pp)</t>
        </is>
      </c>
      <c r="D144" s="1" t="n">
        <v>-0.01</v>
      </c>
      <c r="E144" s="1" t="n">
        <v>-0.005</v>
      </c>
      <c r="F144" s="1" t="n">
        <v>0</v>
      </c>
      <c r="G144" s="1" t="n">
        <v>0.005</v>
      </c>
      <c r="H144" s="1" t="n">
        <v>0.01</v>
      </c>
    </row>
    <row r="145">
      <c r="C145" s="1" t="n">
        <v>-0.01</v>
      </c>
      <c r="D145" s="25" t="n">
        <v>159.010287</v>
      </c>
      <c r="E145" s="25" t="n">
        <v>151.830755</v>
      </c>
      <c r="F145" s="25" t="n">
        <v>145.343047</v>
      </c>
      <c r="G145" s="25" t="n">
        <v>139.452502</v>
      </c>
      <c r="H145" s="25" t="n">
        <v>134.080905</v>
      </c>
    </row>
    <row r="146">
      <c r="C146" s="1" t="n">
        <v>-0.005</v>
      </c>
      <c r="D146" s="25" t="n">
        <v>162.924333</v>
      </c>
      <c r="E146" s="25" t="n">
        <v>155.227285</v>
      </c>
      <c r="F146" s="25" t="n">
        <v>148.306454</v>
      </c>
      <c r="G146" s="25" t="n">
        <v>142.050725</v>
      </c>
      <c r="H146" s="25" t="n">
        <v>136.369154</v>
      </c>
    </row>
    <row r="147">
      <c r="C147" s="1" t="n">
        <v>0</v>
      </c>
      <c r="D147" s="25" t="n">
        <v>167.296849</v>
      </c>
      <c r="E147" s="25" t="n">
        <v>158.999654</v>
      </c>
      <c r="F147" s="25" t="n">
        <v>151.580583</v>
      </c>
      <c r="G147" s="25" t="n">
        <v>144.907808</v>
      </c>
      <c r="H147" s="25" t="n">
        <v>138.874564</v>
      </c>
    </row>
    <row r="148">
      <c r="C148" s="1" t="n">
        <v>0.005</v>
      </c>
      <c r="D148" s="25" t="n">
        <v>172.213401</v>
      </c>
      <c r="E148" s="25" t="n">
        <v>163.213899</v>
      </c>
      <c r="F148" s="25" t="n">
        <v>155.217006</v>
      </c>
      <c r="G148" s="25" t="n">
        <v>148.064464</v>
      </c>
      <c r="H148" s="25" t="n">
        <v>141.629585</v>
      </c>
    </row>
    <row r="149">
      <c r="C149" s="1" t="n">
        <v>0.01</v>
      </c>
      <c r="D149" s="25" t="n">
        <v>177.782258</v>
      </c>
      <c r="E149" s="25" t="n">
        <v>167.952486</v>
      </c>
      <c r="F149" s="25" t="n">
        <v>159.27938</v>
      </c>
      <c r="G149" s="25" t="n">
        <v>151.570416</v>
      </c>
      <c r="H149" s="25" t="n">
        <v>144.673479</v>
      </c>
    </row>
    <row r="151">
      <c r="A151" s="1" t="inlineStr">
        <is>
          <t>12-month value vs revenue growth and gross margin (engine values)</t>
        </is>
      </c>
    </row>
    <row r="152">
      <c r="A152" s="5" t="inlineStr">
        <is>
          <t>rows: Gross margin (+/- pp) · columns: Revenue growth (+/- pp, every year)</t>
        </is>
      </c>
      <c r="D152" s="1" t="n">
        <v>-0.04</v>
      </c>
      <c r="E152" s="1" t="n">
        <v>-0.02</v>
      </c>
      <c r="F152" s="1" t="n">
        <v>0</v>
      </c>
      <c r="G152" s="1" t="n">
        <v>0.02</v>
      </c>
      <c r="H152" s="1" t="n">
        <v>0.04</v>
      </c>
    </row>
    <row r="153">
      <c r="C153" s="1" t="n">
        <v>-0.02</v>
      </c>
      <c r="D153" s="25" t="n">
        <v>142.912543</v>
      </c>
      <c r="E153" s="25" t="n">
        <v>150.686674</v>
      </c>
      <c r="F153" s="25" t="n">
        <v>159.626842</v>
      </c>
      <c r="G153" s="25" t="n">
        <v>169.899213</v>
      </c>
      <c r="H153" s="25" t="n">
        <v>181.691004</v>
      </c>
    </row>
    <row r="154">
      <c r="C154" s="1" t="n">
        <v>-0.01</v>
      </c>
      <c r="D154" s="25" t="n">
        <v>144.579301</v>
      </c>
      <c r="E154" s="25" t="n">
        <v>152.598967</v>
      </c>
      <c r="F154" s="25" t="n">
        <v>161.823731</v>
      </c>
      <c r="G154" s="25" t="n">
        <v>172.425719</v>
      </c>
      <c r="H154" s="25" t="n">
        <v>184.598921</v>
      </c>
    </row>
    <row r="155">
      <c r="C155" s="1" t="n">
        <v>0</v>
      </c>
      <c r="D155" s="25" t="n">
        <v>146.246059</v>
      </c>
      <c r="E155" s="25" t="n">
        <v>154.511261</v>
      </c>
      <c r="F155" s="25" t="n">
        <v>164.020621</v>
      </c>
      <c r="G155" s="25" t="n">
        <v>174.952225</v>
      </c>
      <c r="H155" s="25" t="n">
        <v>187.506838</v>
      </c>
    </row>
    <row r="156">
      <c r="C156" s="1" t="n">
        <v>0.01</v>
      </c>
      <c r="D156" s="25" t="n">
        <v>147.912816</v>
      </c>
      <c r="E156" s="25" t="n">
        <v>156.423555</v>
      </c>
      <c r="F156" s="25" t="n">
        <v>166.21751</v>
      </c>
      <c r="G156" s="25" t="n">
        <v>177.478731</v>
      </c>
      <c r="H156" s="25" t="n">
        <v>190.414754</v>
      </c>
    </row>
    <row r="157">
      <c r="C157" s="1" t="n">
        <v>0.02</v>
      </c>
      <c r="D157" s="25" t="n">
        <v>149.579574</v>
      </c>
      <c r="E157" s="25" t="n">
        <v>158.335849</v>
      </c>
      <c r="F157" s="25" t="n">
        <v>168.4144</v>
      </c>
      <c r="G157" s="25" t="n">
        <v>180.005237</v>
      </c>
      <c r="H157" s="25" t="n">
        <v>193.322671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Batulicin Nusantara Maritim Tbk (BESS.JK) — Coal distribution, trading &amp; logistics</t>
        </is>
      </c>
    </row>
    <row r="2">
      <c r="A2" s="5" t="inlineStr">
        <is>
          <t>Units: IDR bn; per-share in IDR unless marked IDR. Model asof 2026-10-30 · data 2026-10-28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FY2023A</t>
        </is>
      </c>
      <c r="E4" s="1" t="inlineStr">
        <is>
          <t>FY2024A</t>
        </is>
      </c>
      <c r="F4" s="1" t="inlineStr">
        <is>
          <t>FY2025A</t>
        </is>
      </c>
      <c r="G4" s="1" t="inlineStr">
        <is>
          <t>FY2026E</t>
        </is>
      </c>
      <c r="H4" s="1" t="inlineStr">
        <is>
          <t>FY2027E</t>
        </is>
      </c>
      <c r="I4" s="1" t="inlineStr">
        <is>
          <t>FY2028E</t>
        </is>
      </c>
      <c r="J4" s="1" t="inlineStr">
        <is>
          <t>FY2029E</t>
        </is>
      </c>
      <c r="K4" s="1" t="inlineStr">
        <is>
          <t>FY2030E</t>
        </is>
      </c>
      <c r="L4" s="1" t="inlineStr">
        <is>
          <t>FY2031E</t>
        </is>
      </c>
      <c r="M4" s="1" t="inlineStr">
        <is>
          <t>FY2032E</t>
        </is>
      </c>
      <c r="N4" s="1" t="inlineStr">
        <is>
          <t>FY2033E</t>
        </is>
      </c>
      <c r="O4" s="1" t="inlineStr">
        <is>
          <t>FY2034E</t>
        </is>
      </c>
      <c r="P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12" t="n">
        <v>10</v>
      </c>
    </row>
    <row r="8">
      <c r="A8" t="inlineStr">
        <is>
          <t>ps_factor</t>
        </is>
      </c>
      <c r="C8" s="12" t="n">
        <v>1000</v>
      </c>
    </row>
    <row r="9">
      <c r="A9" t="inlineStr">
        <is>
          <t>vp_factor</t>
        </is>
      </c>
      <c r="C9" s="12" t="n">
        <v>1</v>
      </c>
    </row>
    <row r="11">
      <c r="A11" s="1" t="inlineStr">
        <is>
          <t>INPUTS (company assumptions)</t>
        </is>
      </c>
    </row>
    <row r="12">
      <c r="A12" t="inlineStr">
        <is>
          <t>Revenue growth</t>
        </is>
      </c>
      <c r="B12" t="inlineStr">
        <is>
          <t>a.revenue_growth</t>
        </is>
      </c>
      <c r="G12" s="4" t="n">
        <v>-0.376</v>
      </c>
      <c r="H12" s="4" t="n">
        <v>0.16</v>
      </c>
      <c r="I12" s="4" t="n">
        <v>0.08</v>
      </c>
      <c r="J12" s="4" t="n">
        <v>0.04</v>
      </c>
      <c r="K12" s="4" t="n">
        <v>0.03</v>
      </c>
      <c r="L12" s="4" t="n">
        <v>0.03</v>
      </c>
      <c r="M12" s="4" t="n">
        <v>0.03</v>
      </c>
      <c r="N12" s="4" t="n">
        <v>0.03</v>
      </c>
      <c r="O12" s="4" t="n">
        <v>0.03</v>
      </c>
      <c r="P12" s="4" t="n">
        <v>0.03</v>
      </c>
    </row>
    <row r="13">
      <c r="A13" t="inlineStr">
        <is>
          <t>Gross margin at base input costs</t>
        </is>
      </c>
      <c r="B13" t="inlineStr">
        <is>
          <t>a.gross_margin</t>
        </is>
      </c>
      <c r="G13" s="4" t="n">
        <v>0.215</v>
      </c>
      <c r="H13" s="4" t="n">
        <v>0.28</v>
      </c>
      <c r="I13" s="4" t="n">
        <v>0.31</v>
      </c>
      <c r="J13" s="4" t="n">
        <v>0.33</v>
      </c>
      <c r="K13" s="4" t="n">
        <v>0.33</v>
      </c>
      <c r="L13" s="4" t="n">
        <v>0.33</v>
      </c>
      <c r="M13" s="4" t="n">
        <v>0.33</v>
      </c>
      <c r="N13" s="4" t="n">
        <v>0.33</v>
      </c>
      <c r="O13" s="4" t="n">
        <v>0.33</v>
      </c>
      <c r="P13" s="4" t="n">
        <v>0.33</v>
      </c>
    </row>
    <row r="14">
      <c r="A14" t="inlineStr">
        <is>
          <t>Cost link 1: share of COGS exposed</t>
        </is>
      </c>
      <c r="B14" t="inlineStr">
        <is>
          <t>a.link1_share</t>
        </is>
      </c>
      <c r="C14" s="4" t="n">
        <v>0.06</v>
      </c>
    </row>
    <row r="15">
      <c r="A15" t="inlineStr">
        <is>
          <t>Cost link 1: pass-through to prices</t>
        </is>
      </c>
      <c r="B15" t="inlineStr">
        <is>
          <t>a.link1_pass</t>
        </is>
      </c>
      <c r="C15" s="4" t="n">
        <v>0.6</v>
      </c>
    </row>
    <row r="16">
      <c r="A16" t="inlineStr">
        <is>
          <t>Cost link 2: share of COGS exposed</t>
        </is>
      </c>
      <c r="B16" t="inlineStr">
        <is>
          <t>a.link2_share</t>
        </is>
      </c>
      <c r="C16" s="4" t="n">
        <v>0.26</v>
      </c>
    </row>
    <row r="17">
      <c r="A17" t="inlineStr">
        <is>
          <t>Cost link 2: pass-through to prices</t>
        </is>
      </c>
      <c r="B17" t="inlineStr">
        <is>
          <t>a.link2_pass</t>
        </is>
      </c>
      <c r="C17" s="4" t="n">
        <v>0.5</v>
      </c>
    </row>
    <row r="18">
      <c r="A18" t="inlineStr">
        <is>
          <t>SG&amp;A / revenue</t>
        </is>
      </c>
      <c r="B18" t="inlineStr">
        <is>
          <t>a.opex_pct</t>
        </is>
      </c>
      <c r="G18" s="4" t="n">
        <v>0.215</v>
      </c>
      <c r="H18" s="4" t="n">
        <v>0.185</v>
      </c>
      <c r="I18" s="4" t="n">
        <v>0.17</v>
      </c>
      <c r="J18" s="4" t="n">
        <v>0.16</v>
      </c>
      <c r="K18" s="4" t="n">
        <v>0.155</v>
      </c>
      <c r="L18" s="4" t="n">
        <v>0.155</v>
      </c>
      <c r="M18" s="4" t="n">
        <v>0.155</v>
      </c>
      <c r="N18" s="4" t="n">
        <v>0.155</v>
      </c>
      <c r="O18" s="4" t="n">
        <v>0.155</v>
      </c>
      <c r="P18" s="4" t="n">
        <v>0.155</v>
      </c>
    </row>
    <row r="19">
      <c r="A19" t="inlineStr">
        <is>
          <t>D&amp;A / revenue</t>
        </is>
      </c>
      <c r="B19" t="inlineStr">
        <is>
          <t>a.da_pct</t>
        </is>
      </c>
      <c r="G19" s="4" t="n">
        <v>0.17</v>
      </c>
      <c r="H19" s="4" t="n">
        <v>0.148</v>
      </c>
      <c r="I19" s="4" t="n">
        <v>0.137</v>
      </c>
      <c r="J19" s="4" t="n">
        <v>0.131</v>
      </c>
      <c r="K19" s="4" t="n">
        <v>0.127</v>
      </c>
      <c r="L19" s="4" t="n">
        <v>0.127</v>
      </c>
      <c r="M19" s="4" t="n">
        <v>0.127</v>
      </c>
      <c r="N19" s="4" t="n">
        <v>0.127</v>
      </c>
      <c r="O19" s="4" t="n">
        <v>0.127</v>
      </c>
      <c r="P19" s="4" t="n">
        <v>0.127</v>
      </c>
    </row>
    <row r="20">
      <c r="A20" t="inlineStr">
        <is>
          <t>Capex / revenue</t>
        </is>
      </c>
      <c r="B20" t="inlineStr">
        <is>
          <t>a.capex_pct</t>
        </is>
      </c>
      <c r="G20" s="4" t="n">
        <v>0.08</v>
      </c>
      <c r="H20" s="4" t="n">
        <v>0.08</v>
      </c>
      <c r="I20" s="4" t="n">
        <v>0.08</v>
      </c>
      <c r="J20" s="4" t="n">
        <v>0.08</v>
      </c>
      <c r="K20" s="4" t="n">
        <v>0.08</v>
      </c>
      <c r="L20" s="4" t="n">
        <v>0.08</v>
      </c>
      <c r="M20" s="4" t="n">
        <v>0.08</v>
      </c>
      <c r="N20" s="4" t="n">
        <v>0.08</v>
      </c>
      <c r="O20" s="4" t="n">
        <v>0.08</v>
      </c>
      <c r="P20" s="4" t="n">
        <v>0.08</v>
      </c>
    </row>
    <row r="21">
      <c r="A21" t="inlineStr">
        <is>
          <t>Operating working capital / revenue</t>
        </is>
      </c>
      <c r="B21" t="inlineStr">
        <is>
          <t>a.nwc_pct</t>
        </is>
      </c>
      <c r="G21" s="4" t="n">
        <v>0.346</v>
      </c>
      <c r="H21" s="4" t="n">
        <v>0.346</v>
      </c>
      <c r="I21" s="4" t="n">
        <v>0.346</v>
      </c>
      <c r="J21" s="4" t="n">
        <v>0.346</v>
      </c>
      <c r="K21" s="4" t="n">
        <v>0.346</v>
      </c>
      <c r="L21" s="4" t="n">
        <v>0.346</v>
      </c>
      <c r="M21" s="4" t="n">
        <v>0.346</v>
      </c>
      <c r="N21" s="4" t="n">
        <v>0.346</v>
      </c>
      <c r="O21" s="4" t="n">
        <v>0.346</v>
      </c>
      <c r="P21" s="4" t="n">
        <v>0.346</v>
      </c>
    </row>
    <row r="22">
      <c r="A22" t="inlineStr">
        <is>
          <t>Effective tax rate</t>
        </is>
      </c>
      <c r="B22" t="inlineStr">
        <is>
          <t>a.tax_rate</t>
        </is>
      </c>
      <c r="G22" s="4" t="n">
        <v>0</v>
      </c>
      <c r="H22" s="4" t="n">
        <v>0.168</v>
      </c>
      <c r="I22" s="4" t="n">
        <v>0.097</v>
      </c>
      <c r="J22" s="4" t="n">
        <v>0.076</v>
      </c>
      <c r="K22" s="4" t="n">
        <v>0.073</v>
      </c>
      <c r="L22" s="4" t="n">
        <v>0.07000000000000001</v>
      </c>
      <c r="M22" s="4" t="n">
        <v>0.07000000000000001</v>
      </c>
      <c r="N22" s="4" t="n">
        <v>0.07000000000000001</v>
      </c>
      <c r="O22" s="4" t="n">
        <v>0.07000000000000001</v>
      </c>
      <c r="P22" s="4" t="n">
        <v>0.07000000000000001</v>
      </c>
    </row>
    <row r="23">
      <c r="A23" t="inlineStr">
        <is>
          <t>Cost of debt (on opening debt)</t>
        </is>
      </c>
      <c r="B23" t="inlineStr">
        <is>
          <t>a.cost_of_debt</t>
        </is>
      </c>
      <c r="C23" s="4" t="n">
        <v>0.08</v>
      </c>
    </row>
    <row r="24">
      <c r="A24" t="inlineStr">
        <is>
          <t>Yield on opening cash</t>
        </is>
      </c>
      <c r="B24" t="inlineStr">
        <is>
          <t>a.cash_yield</t>
        </is>
      </c>
      <c r="C24" s="4" t="n">
        <v>0.025</v>
      </c>
    </row>
    <row r="25">
      <c r="A25" t="inlineStr">
        <is>
          <t>Net new borrowing</t>
        </is>
      </c>
      <c r="B25" t="inlineStr">
        <is>
          <t>a.net_borrowing</t>
        </is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</row>
    <row r="26">
      <c r="A26" t="inlineStr">
        <is>
          <t>Other non-operating items</t>
        </is>
      </c>
      <c r="B26" t="inlineStr">
        <is>
          <t>a.other_nonop</t>
        </is>
      </c>
      <c r="G26" s="13" t="n">
        <v>-6.5</v>
      </c>
      <c r="H26" s="13" t="n">
        <v>-6.5</v>
      </c>
      <c r="I26" s="13" t="n">
        <v>-6.5</v>
      </c>
      <c r="J26" s="13" t="n">
        <v>-6.5</v>
      </c>
      <c r="K26" s="13" t="n">
        <v>-6.5</v>
      </c>
      <c r="L26" s="13" t="n">
        <v>-6.6625</v>
      </c>
      <c r="M26" s="13" t="n">
        <v>-6.829062499999999</v>
      </c>
      <c r="N26" s="13" t="n">
        <v>-6.999789062499998</v>
      </c>
      <c r="O26" s="13" t="n">
        <v>-7.174783789062497</v>
      </c>
      <c r="P26" s="13" t="n">
        <v>-7.354153383789058</v>
      </c>
    </row>
    <row r="27">
      <c r="A27" t="inlineStr">
        <is>
          <t>Minorities' share of net profit</t>
        </is>
      </c>
      <c r="B27" t="inlineStr">
        <is>
          <t>a.minority_pct</t>
        </is>
      </c>
      <c r="G27" s="4" t="n">
        <v>0.0008</v>
      </c>
      <c r="H27" s="4" t="n">
        <v>0.0008</v>
      </c>
      <c r="I27" s="4" t="n">
        <v>0.0008</v>
      </c>
      <c r="J27" s="4" t="n">
        <v>0.0008</v>
      </c>
      <c r="K27" s="4" t="n">
        <v>0.0008</v>
      </c>
      <c r="L27" s="4" t="n">
        <v>0.0008</v>
      </c>
      <c r="M27" s="4" t="n">
        <v>0.0008</v>
      </c>
      <c r="N27" s="4" t="n">
        <v>0.0008</v>
      </c>
      <c r="O27" s="4" t="n">
        <v>0.0008</v>
      </c>
      <c r="P27" s="4" t="n">
        <v>0.0008</v>
      </c>
    </row>
    <row r="28">
      <c r="A28" t="inlineStr">
        <is>
          <t>Dividend payout</t>
        </is>
      </c>
      <c r="B28" t="inlineStr">
        <is>
          <t>a.payout</t>
        </is>
      </c>
      <c r="G28" s="4" t="n">
        <v>0.25</v>
      </c>
      <c r="H28" s="4" t="n">
        <v>0.25</v>
      </c>
      <c r="I28" s="4" t="n">
        <v>0.25</v>
      </c>
      <c r="J28" s="4" t="n">
        <v>0.25</v>
      </c>
      <c r="K28" s="4" t="n">
        <v>0.25</v>
      </c>
      <c r="L28" s="4" t="n">
        <v>0.25</v>
      </c>
      <c r="M28" s="4" t="n">
        <v>0.25</v>
      </c>
      <c r="N28" s="4" t="n">
        <v>0.25</v>
      </c>
      <c r="O28" s="4" t="n">
        <v>0.25</v>
      </c>
      <c r="P28" s="4" t="n">
        <v>0.25</v>
      </c>
    </row>
    <row r="29">
      <c r="A29" t="inlineStr">
        <is>
          <t>Change in share count</t>
        </is>
      </c>
      <c r="B29" t="inlineStr">
        <is>
          <t>a.share_change</t>
        </is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</row>
    <row r="30">
      <c r="A30" t="inlineStr">
        <is>
          <t>Terminal growth (DCF)</t>
        </is>
      </c>
      <c r="B30" t="inlineStr">
        <is>
          <t>a.terminal_growth</t>
        </is>
      </c>
      <c r="C30" s="4" t="n">
        <v>0.03</v>
      </c>
    </row>
    <row r="32">
      <c r="A32" s="1" t="inlineStr">
        <is>
          <t>MODEL</t>
        </is>
      </c>
    </row>
    <row r="33">
      <c r="A33" t="inlineStr">
        <is>
          <t>Revenue</t>
        </is>
      </c>
      <c r="B33" t="inlineStr">
        <is>
          <t>revenue</t>
        </is>
      </c>
      <c r="D33" s="13" t="n">
        <v>363.741176938</v>
      </c>
      <c r="E33" s="13" t="n">
        <v>318.868834005</v>
      </c>
      <c r="F33" s="13" t="n">
        <v>353.696474662</v>
      </c>
      <c r="G33" s="14">
        <f>(F33*(1+G12))</f>
        <v/>
      </c>
      <c r="H33" s="14">
        <f>(G33*(1+H12))</f>
        <v/>
      </c>
      <c r="I33" s="14">
        <f>(H33*(1+I12))</f>
        <v/>
      </c>
      <c r="J33" s="14">
        <f>(I33*(1+J12))</f>
        <v/>
      </c>
      <c r="K33" s="14">
        <f>(J33*(1+K12))</f>
        <v/>
      </c>
      <c r="L33" s="14">
        <f>(K33*(1+L12))</f>
        <v/>
      </c>
      <c r="M33" s="14">
        <f>(L33*(1+M12))</f>
        <v/>
      </c>
      <c r="N33" s="14">
        <f>(M33*(1+N12))</f>
        <v/>
      </c>
      <c r="O33" s="14">
        <f>(N33*(1+O12))</f>
        <v/>
      </c>
      <c r="P33" s="14">
        <f>(O33*(1+P12))</f>
        <v/>
      </c>
    </row>
    <row r="34">
      <c r="A34" t="inlineStr">
        <is>
          <t>Cost of revenue</t>
        </is>
      </c>
      <c r="B34" t="inlineStr">
        <is>
          <t>cogs</t>
        </is>
      </c>
      <c r="D34" s="13" t="n">
        <v>234.225175112</v>
      </c>
      <c r="E34" s="13" t="n">
        <v>219.96301014</v>
      </c>
      <c r="F34" s="13" t="n">
        <v>221.689184284</v>
      </c>
      <c r="G34" s="15">
        <f>((G33*(1-G13))*((1+(($C$14*(1-$C$15))*(IF(Drivers!$G$4=0,0,Drivers!$H$4/Drivers!$G$4)-1)))+(($C$16*(1-$C$17))*(IF(Drivers!$G$6=0,0,Drivers!$H$6/Drivers!$G$6)-1))))</f>
        <v/>
      </c>
      <c r="H34" s="15">
        <f>((H33*(1-H13))*((1+(($C$14*(1-$C$15))*(IF(Drivers!$G$4=0,0,Drivers!$I$4/Drivers!$G$4)-1)))+(($C$16*(1-$C$17))*(IF(Drivers!$G$6=0,0,Drivers!$I$6/Drivers!$G$6)-1))))</f>
        <v/>
      </c>
      <c r="I34" s="15">
        <f>((I33*(1-I13))*((1+(($C$14*(1-$C$15))*(IF(Drivers!$G$4=0,0,Drivers!$J$4/Drivers!$G$4)-1)))+(($C$16*(1-$C$17))*(IF(Drivers!$G$6=0,0,Drivers!$J$6/Drivers!$G$6)-1))))</f>
        <v/>
      </c>
      <c r="J34" s="15">
        <f>((J33*(1-J13))*((1+(($C$14*(1-$C$15))*(IF(Drivers!$G$4=0,0,Drivers!$K$4/Drivers!$G$4)-1)))+(($C$16*(1-$C$17))*(IF(Drivers!$G$6=0,0,Drivers!$K$6/Drivers!$G$6)-1))))</f>
        <v/>
      </c>
      <c r="K34" s="15">
        <f>((K33*(1-K13))*((1+(($C$14*(1-$C$15))*(IF(Drivers!$G$4=0,0,Drivers!$L$4/Drivers!$G$4)-1)))+(($C$16*(1-$C$17))*(IF(Drivers!$G$6=0,0,Drivers!$L$6/Drivers!$G$6)-1))))</f>
        <v/>
      </c>
      <c r="L34" s="15">
        <f>((L33*(1-L13))*((1+(($C$14*(1-$C$15))*(IF(Drivers!$G$4=0,0,Drivers!$M$4/Drivers!$G$4)-1)))+(($C$16*(1-$C$17))*(IF(Drivers!$G$6=0,0,Drivers!$M$6/Drivers!$G$6)-1))))</f>
        <v/>
      </c>
      <c r="M34" s="15">
        <f>((M33*(1-M13))*((1+(($C$14*(1-$C$15))*(IF(Drivers!$G$4=0,0,Drivers!$N$4/Drivers!$G$4)-1)))+(($C$16*(1-$C$17))*(IF(Drivers!$G$6=0,0,Drivers!$N$6/Drivers!$G$6)-1))))</f>
        <v/>
      </c>
      <c r="N34" s="15">
        <f>((N33*(1-N13))*((1+(($C$14*(1-$C$15))*(IF(Drivers!$G$4=0,0,Drivers!$O$4/Drivers!$G$4)-1)))+(($C$16*(1-$C$17))*(IF(Drivers!$G$6=0,0,Drivers!$O$6/Drivers!$G$6)-1))))</f>
        <v/>
      </c>
      <c r="O34" s="15">
        <f>((O33*(1-O13))*((1+(($C$14*(1-$C$15))*(IF(Drivers!$G$4=0,0,Drivers!$P$4/Drivers!$G$4)-1)))+(($C$16*(1-$C$17))*(IF(Drivers!$G$6=0,0,Drivers!$P$6/Drivers!$G$6)-1))))</f>
        <v/>
      </c>
      <c r="P34" s="15">
        <f>((P33*(1-P13))*((1+(($C$14*(1-$C$15))*(IF(Drivers!$G$4=0,0,Drivers!$Q$4/Drivers!$G$4)-1)))+(($C$16*(1-$C$17))*(IF(Drivers!$G$6=0,0,Drivers!$Q$6/Drivers!$G$6)-1))))</f>
        <v/>
      </c>
    </row>
    <row r="35">
      <c r="A35" t="inlineStr">
        <is>
          <t>Gross profit</t>
        </is>
      </c>
      <c r="B35" t="inlineStr">
        <is>
          <t>gross_profit</t>
        </is>
      </c>
      <c r="D35" s="13" t="n">
        <v>129.516001826</v>
      </c>
      <c r="E35" s="13" t="n">
        <v>98.905823865</v>
      </c>
      <c r="F35" s="13" t="n">
        <v>132.007290378</v>
      </c>
      <c r="G35" s="14">
        <f>(G33-G34)</f>
        <v/>
      </c>
      <c r="H35" s="14">
        <f>(H33-H34)</f>
        <v/>
      </c>
      <c r="I35" s="14">
        <f>(I33-I34)</f>
        <v/>
      </c>
      <c r="J35" s="14">
        <f>(J33-J34)</f>
        <v/>
      </c>
      <c r="K35" s="14">
        <f>(K33-K34)</f>
        <v/>
      </c>
      <c r="L35" s="14">
        <f>(L33-L34)</f>
        <v/>
      </c>
      <c r="M35" s="14">
        <f>(M33-M34)</f>
        <v/>
      </c>
      <c r="N35" s="14">
        <f>(N33-N34)</f>
        <v/>
      </c>
      <c r="O35" s="14">
        <f>(O33-O34)</f>
        <v/>
      </c>
      <c r="P35" s="14">
        <f>(P33-P34)</f>
        <v/>
      </c>
    </row>
    <row r="36">
      <c r="A36" t="inlineStr">
        <is>
          <t>SG&amp;A and other opex</t>
        </is>
      </c>
      <c r="B36" t="inlineStr">
        <is>
          <t>opex</t>
        </is>
      </c>
      <c r="D36" s="13" t="n">
        <v>47.420397112</v>
      </c>
      <c r="E36" s="13" t="n">
        <v>56.77490336</v>
      </c>
      <c r="F36" s="13" t="n">
        <v>53.13860965</v>
      </c>
      <c r="G36" s="14">
        <f>(G33*G18)</f>
        <v/>
      </c>
      <c r="H36" s="14">
        <f>(H33*H18)</f>
        <v/>
      </c>
      <c r="I36" s="14">
        <f>(I33*I18)</f>
        <v/>
      </c>
      <c r="J36" s="14">
        <f>(J33*J18)</f>
        <v/>
      </c>
      <c r="K36" s="14">
        <f>(K33*K18)</f>
        <v/>
      </c>
      <c r="L36" s="14">
        <f>(L33*L18)</f>
        <v/>
      </c>
      <c r="M36" s="14">
        <f>(M33*M18)</f>
        <v/>
      </c>
      <c r="N36" s="14">
        <f>(N33*N18)</f>
        <v/>
      </c>
      <c r="O36" s="14">
        <f>(O33*O18)</f>
        <v/>
      </c>
      <c r="P36" s="14">
        <f>(P33*P18)</f>
        <v/>
      </c>
    </row>
    <row r="37">
      <c r="A37" t="inlineStr">
        <is>
          <t>EBIT</t>
        </is>
      </c>
      <c r="B37" t="inlineStr">
        <is>
          <t>ebit</t>
        </is>
      </c>
      <c r="D37" s="13" t="n">
        <v>82.095604714</v>
      </c>
      <c r="E37" s="13" t="n">
        <v>42.130920505</v>
      </c>
      <c r="F37" s="13" t="n">
        <v>78.868680728</v>
      </c>
      <c r="G37" s="14">
        <f>(G35-G36)</f>
        <v/>
      </c>
      <c r="H37" s="14">
        <f>(H35-H36)</f>
        <v/>
      </c>
      <c r="I37" s="14">
        <f>(I35-I36)</f>
        <v/>
      </c>
      <c r="J37" s="14">
        <f>(J35-J36)</f>
        <v/>
      </c>
      <c r="K37" s="14">
        <f>(K35-K36)</f>
        <v/>
      </c>
      <c r="L37" s="14">
        <f>(L35-L36)</f>
        <v/>
      </c>
      <c r="M37" s="14">
        <f>(M35-M36)</f>
        <v/>
      </c>
      <c r="N37" s="14">
        <f>(N35-N36)</f>
        <v/>
      </c>
      <c r="O37" s="14">
        <f>(O35-O36)</f>
        <v/>
      </c>
      <c r="P37" s="14">
        <f>(P35-P36)</f>
        <v/>
      </c>
    </row>
    <row r="38">
      <c r="A38" t="inlineStr">
        <is>
          <t>Depreciation &amp; amortisation</t>
        </is>
      </c>
      <c r="B38" t="inlineStr">
        <is>
          <t>da</t>
        </is>
      </c>
      <c r="D38" s="13" t="n">
        <v>39.469601162</v>
      </c>
      <c r="E38" s="13" t="n">
        <v>39.376499471</v>
      </c>
      <c r="F38" s="13" t="n">
        <v>39.465717273</v>
      </c>
      <c r="G38" s="14">
        <f>(G33*G19)</f>
        <v/>
      </c>
      <c r="H38" s="14">
        <f>(H33*H19)</f>
        <v/>
      </c>
      <c r="I38" s="14">
        <f>(I33*I19)</f>
        <v/>
      </c>
      <c r="J38" s="14">
        <f>(J33*J19)</f>
        <v/>
      </c>
      <c r="K38" s="14">
        <f>(K33*K19)</f>
        <v/>
      </c>
      <c r="L38" s="14">
        <f>(L33*L19)</f>
        <v/>
      </c>
      <c r="M38" s="14">
        <f>(M33*M19)</f>
        <v/>
      </c>
      <c r="N38" s="14">
        <f>(N33*N19)</f>
        <v/>
      </c>
      <c r="O38" s="14">
        <f>(O33*O19)</f>
        <v/>
      </c>
      <c r="P38" s="14">
        <f>(P33*P19)</f>
        <v/>
      </c>
    </row>
    <row r="39">
      <c r="A39" t="inlineStr">
        <is>
          <t>EBITDA</t>
        </is>
      </c>
      <c r="B39" t="inlineStr">
        <is>
          <t>ebitda</t>
        </is>
      </c>
      <c r="D39" s="13" t="n">
        <v>121.565205876</v>
      </c>
      <c r="E39" s="13" t="n">
        <v>81.50741997599999</v>
      </c>
      <c r="F39" s="13" t="n">
        <v>118.334398001</v>
      </c>
      <c r="G39" s="14">
        <f>(G37+G38)</f>
        <v/>
      </c>
      <c r="H39" s="14">
        <f>(H37+H38)</f>
        <v/>
      </c>
      <c r="I39" s="14">
        <f>(I37+I38)</f>
        <v/>
      </c>
      <c r="J39" s="14">
        <f>(J37+J38)</f>
        <v/>
      </c>
      <c r="K39" s="14">
        <f>(K37+K38)</f>
        <v/>
      </c>
      <c r="L39" s="14">
        <f>(L37+L38)</f>
        <v/>
      </c>
      <c r="M39" s="14">
        <f>(M37+M38)</f>
        <v/>
      </c>
      <c r="N39" s="14">
        <f>(N37+N38)</f>
        <v/>
      </c>
      <c r="O39" s="14">
        <f>(O37+O38)</f>
        <v/>
      </c>
      <c r="P39" s="14">
        <f>(P37+P38)</f>
        <v/>
      </c>
    </row>
    <row r="40">
      <c r="A40" t="inlineStr">
        <is>
          <t>Interest expense</t>
        </is>
      </c>
      <c r="B40" t="inlineStr">
        <is>
          <t>interest_expense</t>
        </is>
      </c>
      <c r="D40" s="13" t="n">
        <v>14.376515909</v>
      </c>
      <c r="E40" s="13" t="n">
        <v>6.504322087</v>
      </c>
      <c r="F40" s="13" t="n">
        <v>2.13088707</v>
      </c>
      <c r="G40" s="14">
        <f>(F60*$C$23)</f>
        <v/>
      </c>
      <c r="H40" s="14">
        <f>(G60*$C$23)</f>
        <v/>
      </c>
      <c r="I40" s="14">
        <f>(H60*$C$23)</f>
        <v/>
      </c>
      <c r="J40" s="14">
        <f>(I60*$C$23)</f>
        <v/>
      </c>
      <c r="K40" s="14">
        <f>(J60*$C$23)</f>
        <v/>
      </c>
      <c r="L40" s="14">
        <f>(K60*$C$23)</f>
        <v/>
      </c>
      <c r="M40" s="14">
        <f>(L60*$C$23)</f>
        <v/>
      </c>
      <c r="N40" s="14">
        <f>(M60*$C$23)</f>
        <v/>
      </c>
      <c r="O40" s="14">
        <f>(N60*$C$23)</f>
        <v/>
      </c>
      <c r="P40" s="14">
        <f>(O60*$C$23)</f>
        <v/>
      </c>
    </row>
    <row r="41">
      <c r="A41" t="inlineStr">
        <is>
          <t>Interest income</t>
        </is>
      </c>
      <c r="B41" t="inlineStr">
        <is>
          <t>interest_income</t>
        </is>
      </c>
      <c r="D41" s="13" t="n">
        <v>1.245895536</v>
      </c>
      <c r="E41" s="13" t="n">
        <v>0.820706207</v>
      </c>
      <c r="F41" s="13" t="n">
        <v>2.161381827</v>
      </c>
      <c r="G41" s="14">
        <f>(F59*$C$24)</f>
        <v/>
      </c>
      <c r="H41" s="14">
        <f>(G59*$C$24)</f>
        <v/>
      </c>
      <c r="I41" s="14">
        <f>(H59*$C$24)</f>
        <v/>
      </c>
      <c r="J41" s="14">
        <f>(I59*$C$24)</f>
        <v/>
      </c>
      <c r="K41" s="14">
        <f>(J59*$C$24)</f>
        <v/>
      </c>
      <c r="L41" s="14">
        <f>(K59*$C$24)</f>
        <v/>
      </c>
      <c r="M41" s="14">
        <f>(L59*$C$24)</f>
        <v/>
      </c>
      <c r="N41" s="14">
        <f>(M59*$C$24)</f>
        <v/>
      </c>
      <c r="O41" s="14">
        <f>(N59*$C$24)</f>
        <v/>
      </c>
      <c r="P41" s="14">
        <f>(O59*$C$24)</f>
        <v/>
      </c>
    </row>
    <row r="42">
      <c r="A42" t="inlineStr">
        <is>
          <t>Other non-operating</t>
        </is>
      </c>
      <c r="B42" t="inlineStr">
        <is>
          <t>other_nonop</t>
        </is>
      </c>
      <c r="D42" s="13" t="n">
        <v>12.12906733599999</v>
      </c>
      <c r="E42" s="13" t="n">
        <v>-6.269330343999997</v>
      </c>
      <c r="F42" s="13" t="n">
        <v>-15.26717198</v>
      </c>
      <c r="G42" s="14">
        <f>G26</f>
        <v/>
      </c>
      <c r="H42" s="14">
        <f>H26</f>
        <v/>
      </c>
      <c r="I42" s="14">
        <f>I26</f>
        <v/>
      </c>
      <c r="J42" s="14">
        <f>J26</f>
        <v/>
      </c>
      <c r="K42" s="14">
        <f>K26</f>
        <v/>
      </c>
      <c r="L42" s="14">
        <f>L26</f>
        <v/>
      </c>
      <c r="M42" s="14">
        <f>M26</f>
        <v/>
      </c>
      <c r="N42" s="14">
        <f>N26</f>
        <v/>
      </c>
      <c r="O42" s="14">
        <f>O26</f>
        <v/>
      </c>
      <c r="P42" s="14">
        <f>P26</f>
        <v/>
      </c>
    </row>
    <row r="43">
      <c r="A43" t="inlineStr">
        <is>
          <t>Profit before tax</t>
        </is>
      </c>
      <c r="B43" t="inlineStr">
        <is>
          <t>pbt</t>
        </is>
      </c>
      <c r="D43" s="13" t="n">
        <v>81.094051677</v>
      </c>
      <c r="E43" s="13" t="n">
        <v>30.177974281</v>
      </c>
      <c r="F43" s="13" t="n">
        <v>63.632003505</v>
      </c>
      <c r="G43" s="14">
        <f>(((G37-G40)+G41)+G42)</f>
        <v/>
      </c>
      <c r="H43" s="14">
        <f>(((H37-H40)+H41)+H42)</f>
        <v/>
      </c>
      <c r="I43" s="14">
        <f>(((I37-I40)+I41)+I42)</f>
        <v/>
      </c>
      <c r="J43" s="14">
        <f>(((J37-J40)+J41)+J42)</f>
        <v/>
      </c>
      <c r="K43" s="14">
        <f>(((K37-K40)+K41)+K42)</f>
        <v/>
      </c>
      <c r="L43" s="14">
        <f>(((L37-L40)+L41)+L42)</f>
        <v/>
      </c>
      <c r="M43" s="14">
        <f>(((M37-M40)+M41)+M42)</f>
        <v/>
      </c>
      <c r="N43" s="14">
        <f>(((N37-N40)+N41)+N42)</f>
        <v/>
      </c>
      <c r="O43" s="14">
        <f>(((O37-O40)+O41)+O42)</f>
        <v/>
      </c>
      <c r="P43" s="14">
        <f>(((P37-P40)+P41)+P42)</f>
        <v/>
      </c>
    </row>
    <row r="44">
      <c r="A44" t="inlineStr">
        <is>
          <t>Tax</t>
        </is>
      </c>
      <c r="B44" t="inlineStr">
        <is>
          <t>tax</t>
        </is>
      </c>
      <c r="D44" s="13" t="n">
        <v>1.644016991</v>
      </c>
      <c r="E44" s="13" t="n">
        <v>5.936455505</v>
      </c>
      <c r="F44" s="13" t="n">
        <v>0</v>
      </c>
      <c r="G44" s="14">
        <f>(MAX(G43,0)*G22)</f>
        <v/>
      </c>
      <c r="H44" s="14">
        <f>(MAX(H43,0)*H22)</f>
        <v/>
      </c>
      <c r="I44" s="14">
        <f>(MAX(I43,0)*I22)</f>
        <v/>
      </c>
      <c r="J44" s="14">
        <f>(MAX(J43,0)*J22)</f>
        <v/>
      </c>
      <c r="K44" s="14">
        <f>(MAX(K43,0)*K22)</f>
        <v/>
      </c>
      <c r="L44" s="14">
        <f>(MAX(L43,0)*L22)</f>
        <v/>
      </c>
      <c r="M44" s="14">
        <f>(MAX(M43,0)*M22)</f>
        <v/>
      </c>
      <c r="N44" s="14">
        <f>(MAX(N43,0)*N22)</f>
        <v/>
      </c>
      <c r="O44" s="14">
        <f>(MAX(O43,0)*O22)</f>
        <v/>
      </c>
      <c r="P44" s="14">
        <f>(MAX(P43,0)*P22)</f>
        <v/>
      </c>
    </row>
    <row r="45">
      <c r="A45" t="inlineStr">
        <is>
          <t>Net profit (incl. minorities)</t>
        </is>
      </c>
      <c r="B45" t="inlineStr">
        <is>
          <t>np</t>
        </is>
      </c>
      <c r="D45" s="13" t="n">
        <v>79.450034686</v>
      </c>
      <c r="E45" s="13" t="n">
        <v>24.241518776</v>
      </c>
      <c r="F45" s="13" t="n">
        <v>63.632003505</v>
      </c>
      <c r="G45" s="14">
        <f>(G43-G44)</f>
        <v/>
      </c>
      <c r="H45" s="14">
        <f>(H43-H44)</f>
        <v/>
      </c>
      <c r="I45" s="14">
        <f>(I43-I44)</f>
        <v/>
      </c>
      <c r="J45" s="14">
        <f>(J43-J44)</f>
        <v/>
      </c>
      <c r="K45" s="14">
        <f>(K43-K44)</f>
        <v/>
      </c>
      <c r="L45" s="14">
        <f>(L43-L44)</f>
        <v/>
      </c>
      <c r="M45" s="14">
        <f>(M43-M44)</f>
        <v/>
      </c>
      <c r="N45" s="14">
        <f>(N43-N44)</f>
        <v/>
      </c>
      <c r="O45" s="14">
        <f>(O43-O44)</f>
        <v/>
      </c>
      <c r="P45" s="14">
        <f>(P43-P44)</f>
        <v/>
      </c>
    </row>
    <row r="46">
      <c r="A46" t="inlineStr">
        <is>
          <t>Minority interests</t>
        </is>
      </c>
      <c r="B46" t="inlineStr">
        <is>
          <t>minority</t>
        </is>
      </c>
      <c r="D46" s="13" t="n">
        <v>0.02625994399998888</v>
      </c>
      <c r="E46" s="13" t="n">
        <v>0.03654195600000065</v>
      </c>
      <c r="F46" s="13" t="n">
        <v>0.02969061099999948</v>
      </c>
      <c r="G46" s="14">
        <f>(G45*G27)</f>
        <v/>
      </c>
      <c r="H46" s="14">
        <f>(H45*H27)</f>
        <v/>
      </c>
      <c r="I46" s="14">
        <f>(I45*I27)</f>
        <v/>
      </c>
      <c r="J46" s="14">
        <f>(J45*J27)</f>
        <v/>
      </c>
      <c r="K46" s="14">
        <f>(K45*K27)</f>
        <v/>
      </c>
      <c r="L46" s="14">
        <f>(L45*L27)</f>
        <v/>
      </c>
      <c r="M46" s="14">
        <f>(M45*M27)</f>
        <v/>
      </c>
      <c r="N46" s="14">
        <f>(N45*N27)</f>
        <v/>
      </c>
      <c r="O46" s="14">
        <f>(O45*O27)</f>
        <v/>
      </c>
      <c r="P46" s="14">
        <f>(P45*P27)</f>
        <v/>
      </c>
    </row>
    <row r="47">
      <c r="A47" t="inlineStr">
        <is>
          <t>Net profit to parent</t>
        </is>
      </c>
      <c r="B47" t="inlineStr">
        <is>
          <t>np_parent</t>
        </is>
      </c>
      <c r="D47" s="13" t="n">
        <v>79.42377474200001</v>
      </c>
      <c r="E47" s="13" t="n">
        <v>24.20497682</v>
      </c>
      <c r="F47" s="13" t="n">
        <v>63.602312894</v>
      </c>
      <c r="G47" s="14">
        <f>(G45-G46)</f>
        <v/>
      </c>
      <c r="H47" s="14">
        <f>(H45-H46)</f>
        <v/>
      </c>
      <c r="I47" s="14">
        <f>(I45-I46)</f>
        <v/>
      </c>
      <c r="J47" s="14">
        <f>(J45-J46)</f>
        <v/>
      </c>
      <c r="K47" s="14">
        <f>(K45-K46)</f>
        <v/>
      </c>
      <c r="L47" s="14">
        <f>(L45-L46)</f>
        <v/>
      </c>
      <c r="M47" s="14">
        <f>(M45-M46)</f>
        <v/>
      </c>
      <c r="N47" s="14">
        <f>(N45-N46)</f>
        <v/>
      </c>
      <c r="O47" s="14">
        <f>(O45-O46)</f>
        <v/>
      </c>
      <c r="P47" s="14">
        <f>(P45-P46)</f>
        <v/>
      </c>
    </row>
    <row r="48">
      <c r="A48" t="inlineStr">
        <is>
          <t>Shares outstanding (m)</t>
        </is>
      </c>
      <c r="B48" t="inlineStr">
        <is>
          <t>shares</t>
        </is>
      </c>
      <c r="D48" s="13" t="n">
        <v>3440.455528</v>
      </c>
      <c r="E48" s="13" t="n">
        <v>3440.455528</v>
      </c>
      <c r="F48" s="13" t="n">
        <v>3440.455528</v>
      </c>
      <c r="G48" s="14">
        <f>(F48*(1+G29))</f>
        <v/>
      </c>
      <c r="H48" s="14">
        <f>(G48*(1+H29))</f>
        <v/>
      </c>
      <c r="I48" s="14">
        <f>(H48*(1+I29))</f>
        <v/>
      </c>
      <c r="J48" s="14">
        <f>(I48*(1+J29))</f>
        <v/>
      </c>
      <c r="K48" s="14">
        <f>(J48*(1+K29))</f>
        <v/>
      </c>
      <c r="L48" s="14">
        <f>(K48*(1+L29))</f>
        <v/>
      </c>
      <c r="M48" s="14">
        <f>(L48*(1+M29))</f>
        <v/>
      </c>
      <c r="N48" s="14">
        <f>(M48*(1+N29))</f>
        <v/>
      </c>
      <c r="O48" s="14">
        <f>(N48*(1+O29))</f>
        <v/>
      </c>
      <c r="P48" s="14">
        <f>(O48*(1+P29))</f>
        <v/>
      </c>
    </row>
    <row r="49">
      <c r="A49" t="inlineStr">
        <is>
          <t>EPS</t>
        </is>
      </c>
      <c r="B49" t="inlineStr">
        <is>
          <t>eps</t>
        </is>
      </c>
      <c r="D49" s="16" t="n">
        <v>23.08524964081443</v>
      </c>
      <c r="E49" s="16" t="n">
        <v>7.035398836871697</v>
      </c>
      <c r="F49" s="16" t="n">
        <v>18.48659643363366</v>
      </c>
      <c r="G49" s="17">
        <f>(IF(G48=0,0,G47/G48)*$C$8)</f>
        <v/>
      </c>
      <c r="H49" s="17">
        <f>(IF(H48=0,0,H47/H48)*$C$8)</f>
        <v/>
      </c>
      <c r="I49" s="17">
        <f>(IF(I48=0,0,I47/I48)*$C$8)</f>
        <v/>
      </c>
      <c r="J49" s="17">
        <f>(IF(J48=0,0,J47/J48)*$C$8)</f>
        <v/>
      </c>
      <c r="K49" s="17">
        <f>(IF(K48=0,0,K47/K48)*$C$8)</f>
        <v/>
      </c>
      <c r="L49" s="17">
        <f>(IF(L48=0,0,L47/L48)*$C$8)</f>
        <v/>
      </c>
      <c r="M49" s="17">
        <f>(IF(M48=0,0,M47/M48)*$C$8)</f>
        <v/>
      </c>
      <c r="N49" s="17">
        <f>(IF(N48=0,0,N47/N48)*$C$8)</f>
        <v/>
      </c>
      <c r="O49" s="17">
        <f>(IF(O48=0,0,O47/O48)*$C$8)</f>
        <v/>
      </c>
      <c r="P49" s="17">
        <f>(IF(P48=0,0,P47/P48)*$C$8)</f>
        <v/>
      </c>
    </row>
    <row r="50">
      <c r="A50" t="inlineStr">
        <is>
          <t>DPS (declared on the year)</t>
        </is>
      </c>
      <c r="B50" t="inlineStr">
        <is>
          <t>dps</t>
        </is>
      </c>
      <c r="D50" s="16" t="n">
        <v>0</v>
      </c>
      <c r="E50" s="16" t="n">
        <v>0</v>
      </c>
      <c r="F50" s="16" t="n">
        <v>4.36</v>
      </c>
      <c r="G50" s="17">
        <f>(MAX(G49,0)*G28)</f>
        <v/>
      </c>
      <c r="H50" s="17">
        <f>(MAX(H49,0)*H28)</f>
        <v/>
      </c>
      <c r="I50" s="17">
        <f>(MAX(I49,0)*I28)</f>
        <v/>
      </c>
      <c r="J50" s="17">
        <f>(MAX(J49,0)*J28)</f>
        <v/>
      </c>
      <c r="K50" s="17">
        <f>(MAX(K49,0)*K28)</f>
        <v/>
      </c>
      <c r="L50" s="17">
        <f>(MAX(L49,0)*L28)</f>
        <v/>
      </c>
      <c r="M50" s="17">
        <f>(MAX(M49,0)*M28)</f>
        <v/>
      </c>
      <c r="N50" s="17">
        <f>(MAX(N49,0)*N28)</f>
        <v/>
      </c>
      <c r="O50" s="17">
        <f>(MAX(O49,0)*O28)</f>
        <v/>
      </c>
      <c r="P50" s="17">
        <f>(MAX(P49,0)*P28)</f>
        <v/>
      </c>
    </row>
    <row r="51">
      <c r="A51" t="inlineStr">
        <is>
          <t>Dividends paid</t>
        </is>
      </c>
      <c r="B51" t="inlineStr">
        <is>
          <t>dividends_paid</t>
        </is>
      </c>
      <c r="D51" s="13" t="n"/>
      <c r="E51" s="13" t="n"/>
      <c r="F51" s="13" t="n"/>
      <c r="G51" s="14">
        <f>IF($C$8=0,0,(F50*F48)/$C$8)</f>
        <v/>
      </c>
      <c r="H51" s="14">
        <f>IF($C$8=0,0,(G50*G48)/$C$8)</f>
        <v/>
      </c>
      <c r="I51" s="14">
        <f>IF($C$8=0,0,(H50*H48)/$C$8)</f>
        <v/>
      </c>
      <c r="J51" s="14">
        <f>IF($C$8=0,0,(I50*I48)/$C$8)</f>
        <v/>
      </c>
      <c r="K51" s="14">
        <f>IF($C$8=0,0,(J50*J48)/$C$8)</f>
        <v/>
      </c>
      <c r="L51" s="14">
        <f>IF($C$8=0,0,(K50*K48)/$C$8)</f>
        <v/>
      </c>
      <c r="M51" s="14">
        <f>IF($C$8=0,0,(L50*L48)/$C$8)</f>
        <v/>
      </c>
      <c r="N51" s="14">
        <f>IF($C$8=0,0,(M50*M48)/$C$8)</f>
        <v/>
      </c>
      <c r="O51" s="14">
        <f>IF($C$8=0,0,(N50*N48)/$C$8)</f>
        <v/>
      </c>
      <c r="P51" s="14">
        <f>IF($C$8=0,0,(O50*O48)/$C$8)</f>
        <v/>
      </c>
    </row>
    <row r="52">
      <c r="A52" t="inlineStr">
        <is>
          <t>Capital expenditure</t>
        </is>
      </c>
      <c r="B52" t="inlineStr">
        <is>
          <t>capex</t>
        </is>
      </c>
      <c r="D52" s="13" t="n">
        <v>0.559041659</v>
      </c>
      <c r="E52" s="13" t="n">
        <v>0.978265547</v>
      </c>
      <c r="F52" s="13" t="n">
        <v>2.521050633</v>
      </c>
      <c r="G52" s="14">
        <f>(G33*G20)</f>
        <v/>
      </c>
      <c r="H52" s="14">
        <f>(H33*H20)</f>
        <v/>
      </c>
      <c r="I52" s="14">
        <f>(I33*I20)</f>
        <v/>
      </c>
      <c r="J52" s="14">
        <f>(J33*J20)</f>
        <v/>
      </c>
      <c r="K52" s="14">
        <f>(K33*K20)</f>
        <v/>
      </c>
      <c r="L52" s="14">
        <f>(L33*L20)</f>
        <v/>
      </c>
      <c r="M52" s="14">
        <f>(M33*M20)</f>
        <v/>
      </c>
      <c r="N52" s="14">
        <f>(N33*N20)</f>
        <v/>
      </c>
      <c r="O52" s="14">
        <f>(O33*O20)</f>
        <v/>
      </c>
      <c r="P52" s="14">
        <f>(P33*P20)</f>
        <v/>
      </c>
    </row>
    <row r="53">
      <c r="A53" t="inlineStr">
        <is>
          <t>Change in working capital</t>
        </is>
      </c>
      <c r="B53" t="inlineStr">
        <is>
          <t>delta_nwc</t>
        </is>
      </c>
      <c r="D53" s="13" t="n"/>
      <c r="E53" s="13" t="n">
        <v>45.66361627</v>
      </c>
      <c r="F53" s="13" t="n">
        <v>-18.84562260399998</v>
      </c>
      <c r="G53" s="14">
        <f>(G58-F58)</f>
        <v/>
      </c>
      <c r="H53" s="14">
        <f>(H58-G58)</f>
        <v/>
      </c>
      <c r="I53" s="14">
        <f>(I58-H58)</f>
        <v/>
      </c>
      <c r="J53" s="14">
        <f>(J58-I58)</f>
        <v/>
      </c>
      <c r="K53" s="14">
        <f>(K58-J58)</f>
        <v/>
      </c>
      <c r="L53" s="14">
        <f>(L58-K58)</f>
        <v/>
      </c>
      <c r="M53" s="14">
        <f>(M58-L58)</f>
        <v/>
      </c>
      <c r="N53" s="14">
        <f>(N58-M58)</f>
        <v/>
      </c>
      <c r="O53" s="14">
        <f>(O58-N58)</f>
        <v/>
      </c>
      <c r="P53" s="14">
        <f>(P58-O58)</f>
        <v/>
      </c>
    </row>
    <row r="54">
      <c r="A54" t="inlineStr">
        <is>
          <t>Free cash flow to firm</t>
        </is>
      </c>
      <c r="B54" t="inlineStr">
        <is>
          <t>fcff</t>
        </is>
      </c>
      <c r="D54" s="13" t="n"/>
      <c r="E54" s="13" t="n">
        <v>26.57776070138275</v>
      </c>
      <c r="F54" s="13" t="n">
        <v>134.658969972</v>
      </c>
      <c r="G54" s="14">
        <f>((((G37*(1-G22))+G38)-G52)-G53)</f>
        <v/>
      </c>
      <c r="H54" s="14">
        <f>((((H37*(1-H22))+H38)-H52)-H53)</f>
        <v/>
      </c>
      <c r="I54" s="14">
        <f>((((I37*(1-I22))+I38)-I52)-I53)</f>
        <v/>
      </c>
      <c r="J54" s="14">
        <f>((((J37*(1-J22))+J38)-J52)-J53)</f>
        <v/>
      </c>
      <c r="K54" s="14">
        <f>((((K37*(1-K22))+K38)-K52)-K53)</f>
        <v/>
      </c>
      <c r="L54" s="14">
        <f>((((L37*(1-L22))+L38)-L52)-L53)</f>
        <v/>
      </c>
      <c r="M54" s="14">
        <f>((((M37*(1-M22))+M38)-M52)-M53)</f>
        <v/>
      </c>
      <c r="N54" s="14">
        <f>((((N37*(1-N22))+N38)-N52)-N53)</f>
        <v/>
      </c>
      <c r="O54" s="14">
        <f>((((O37*(1-O22))+O38)-O52)-O53)</f>
        <v/>
      </c>
      <c r="P54" s="14">
        <f>((((P37*(1-P22))+P38)-P52)-P53)</f>
        <v/>
      </c>
    </row>
    <row r="55">
      <c r="A55" t="inlineStr">
        <is>
          <t>Net borrowing</t>
        </is>
      </c>
      <c r="B55" t="inlineStr">
        <is>
          <t>net_borrowing</t>
        </is>
      </c>
      <c r="D55" s="13" t="n"/>
      <c r="E55" s="13" t="n">
        <v>-59.96237817699999</v>
      </c>
      <c r="F55" s="13" t="n">
        <v>-16.148721391</v>
      </c>
      <c r="G55" s="14">
        <f>G25</f>
        <v/>
      </c>
      <c r="H55" s="14">
        <f>H25</f>
        <v/>
      </c>
      <c r="I55" s="14">
        <f>I25</f>
        <v/>
      </c>
      <c r="J55" s="14">
        <f>J25</f>
        <v/>
      </c>
      <c r="K55" s="14">
        <f>K25</f>
        <v/>
      </c>
      <c r="L55" s="14">
        <f>L25</f>
        <v/>
      </c>
      <c r="M55" s="14">
        <f>M25</f>
        <v/>
      </c>
      <c r="N55" s="14">
        <f>N25</f>
        <v/>
      </c>
      <c r="O55" s="14">
        <f>O25</f>
        <v/>
      </c>
      <c r="P55" s="14">
        <f>P25</f>
        <v/>
      </c>
    </row>
    <row r="56">
      <c r="A56" t="inlineStr">
        <is>
          <t>Dividends to minorities</t>
        </is>
      </c>
      <c r="B56" t="inlineStr">
        <is>
          <t>minority_div</t>
        </is>
      </c>
      <c r="D56" s="13" t="n"/>
      <c r="E56" s="13" t="n"/>
      <c r="F56" s="13" t="n"/>
      <c r="G56" s="14">
        <f>(MAX(F46,0)*G28)</f>
        <v/>
      </c>
      <c r="H56" s="14">
        <f>(MAX(G46,0)*H28)</f>
        <v/>
      </c>
      <c r="I56" s="14">
        <f>(MAX(H46,0)*I28)</f>
        <v/>
      </c>
      <c r="J56" s="14">
        <f>(MAX(I46,0)*J28)</f>
        <v/>
      </c>
      <c r="K56" s="14">
        <f>(MAX(J46,0)*K28)</f>
        <v/>
      </c>
      <c r="L56" s="14">
        <f>(MAX(K46,0)*L28)</f>
        <v/>
      </c>
      <c r="M56" s="14">
        <f>(MAX(L46,0)*M28)</f>
        <v/>
      </c>
      <c r="N56" s="14">
        <f>(MAX(M46,0)*N28)</f>
        <v/>
      </c>
      <c r="O56" s="14">
        <f>(MAX(N46,0)*O28)</f>
        <v/>
      </c>
      <c r="P56" s="14">
        <f>(MAX(O46,0)*P28)</f>
        <v/>
      </c>
    </row>
    <row r="57">
      <c r="A57" t="inlineStr">
        <is>
          <t>Free cash flow to equity</t>
        </is>
      </c>
      <c r="B57" t="inlineStr">
        <is>
          <t>fcfe</t>
        </is>
      </c>
      <c r="D57" s="13" t="n"/>
      <c r="E57" s="13" t="n"/>
      <c r="F57" s="13" t="n"/>
      <c r="G57" s="14">
        <f>(((((G45+G38)-G52)-G53)+G55)-G56)</f>
        <v/>
      </c>
      <c r="H57" s="14">
        <f>(((((H45+H38)-H52)-H53)+H55)-H56)</f>
        <v/>
      </c>
      <c r="I57" s="14">
        <f>(((((I45+I38)-I52)-I53)+I55)-I56)</f>
        <v/>
      </c>
      <c r="J57" s="14">
        <f>(((((J45+J38)-J52)-J53)+J55)-J56)</f>
        <v/>
      </c>
      <c r="K57" s="14">
        <f>(((((K45+K38)-K52)-K53)+K55)-K56)</f>
        <v/>
      </c>
      <c r="L57" s="14">
        <f>(((((L45+L38)-L52)-L53)+L55)-L56)</f>
        <v/>
      </c>
      <c r="M57" s="14">
        <f>(((((M45+M38)-M52)-M53)+M55)-M56)</f>
        <v/>
      </c>
      <c r="N57" s="14">
        <f>(((((N45+N38)-N52)-N53)+N55)-N56)</f>
        <v/>
      </c>
      <c r="O57" s="14">
        <f>(((((O45+O38)-O52)-O53)+O55)-O56)</f>
        <v/>
      </c>
      <c r="P57" s="14">
        <f>(((((P45+P38)-P52)-P53)+P55)-P56)</f>
        <v/>
      </c>
    </row>
    <row r="58">
      <c r="A58" t="inlineStr">
        <is>
          <t>Operating working capital</t>
        </is>
      </c>
      <c r="B58" t="inlineStr">
        <is>
          <t>nwc</t>
        </is>
      </c>
      <c r="D58" s="13" t="n">
        <v>31.10668690799999</v>
      </c>
      <c r="E58" s="13" t="n">
        <v>76.77030317799999</v>
      </c>
      <c r="F58" s="13" t="n">
        <v>57.92468057400001</v>
      </c>
      <c r="G58" s="14">
        <f>(G33*G21)</f>
        <v/>
      </c>
      <c r="H58" s="14">
        <f>(H33*H21)</f>
        <v/>
      </c>
      <c r="I58" s="14">
        <f>(I33*I21)</f>
        <v/>
      </c>
      <c r="J58" s="14">
        <f>(J33*J21)</f>
        <v/>
      </c>
      <c r="K58" s="14">
        <f>(K33*K21)</f>
        <v/>
      </c>
      <c r="L58" s="14">
        <f>(L33*L21)</f>
        <v/>
      </c>
      <c r="M58" s="14">
        <f>(M33*M21)</f>
        <v/>
      </c>
      <c r="N58" s="14">
        <f>(N33*N21)</f>
        <v/>
      </c>
      <c r="O58" s="14">
        <f>(O33*O21)</f>
        <v/>
      </c>
      <c r="P58" s="14">
        <f>(P33*P21)</f>
        <v/>
      </c>
    </row>
    <row r="59">
      <c r="A59" t="inlineStr">
        <is>
          <t>Cash &amp; equivalents</t>
        </is>
      </c>
      <c r="B59" t="inlineStr">
        <is>
          <t>cash</t>
        </is>
      </c>
      <c r="D59" s="13" t="n">
        <v>116.328520772</v>
      </c>
      <c r="E59" s="13" t="n">
        <v>73.04039126000001</v>
      </c>
      <c r="F59" s="13" t="n">
        <v>184.790511547</v>
      </c>
      <c r="G59" s="14">
        <f>(((((((F59+G45)+G38)-G52)-G53)+G55)-G51)-G56)</f>
        <v/>
      </c>
      <c r="H59" s="14">
        <f>(((((((G59+H45)+H38)-H52)-H53)+H55)-H51)-H56)</f>
        <v/>
      </c>
      <c r="I59" s="14">
        <f>(((((((H59+I45)+I38)-I52)-I53)+I55)-I51)-I56)</f>
        <v/>
      </c>
      <c r="J59" s="14">
        <f>(((((((I59+J45)+J38)-J52)-J53)+J55)-J51)-J56)</f>
        <v/>
      </c>
      <c r="K59" s="14">
        <f>(((((((J59+K45)+K38)-K52)-K53)+K55)-K51)-K56)</f>
        <v/>
      </c>
      <c r="L59" s="14">
        <f>(((((((K59+L45)+L38)-L52)-L53)+L55)-L51)-L56)</f>
        <v/>
      </c>
      <c r="M59" s="14">
        <f>(((((((L59+M45)+M38)-M52)-M53)+M55)-M51)-M56)</f>
        <v/>
      </c>
      <c r="N59" s="14">
        <f>(((((((M59+N45)+N38)-N52)-N53)+N55)-N51)-N56)</f>
        <v/>
      </c>
      <c r="O59" s="14">
        <f>(((((((N59+O45)+O38)-O52)-O53)+O55)-O51)-O56)</f>
        <v/>
      </c>
      <c r="P59" s="14">
        <f>(((((((O59+P45)+P38)-P52)-P53)+P55)-P51)-P56)</f>
        <v/>
      </c>
    </row>
    <row r="60">
      <c r="A60" t="inlineStr">
        <is>
          <t>Total debt</t>
        </is>
      </c>
      <c r="B60" t="inlineStr">
        <is>
          <t>debt</t>
        </is>
      </c>
      <c r="D60" s="13" t="n">
        <v>90.67340944999999</v>
      </c>
      <c r="E60" s="13" t="n">
        <v>30.711031273</v>
      </c>
      <c r="F60" s="13" t="n">
        <v>14.562309882</v>
      </c>
      <c r="G60" s="14">
        <f>(F60+G55)</f>
        <v/>
      </c>
      <c r="H60" s="14">
        <f>(G60+H55)</f>
        <v/>
      </c>
      <c r="I60" s="14">
        <f>(H60+I55)</f>
        <v/>
      </c>
      <c r="J60" s="14">
        <f>(I60+J55)</f>
        <v/>
      </c>
      <c r="K60" s="14">
        <f>(J60+K55)</f>
        <v/>
      </c>
      <c r="L60" s="14">
        <f>(K60+L55)</f>
        <v/>
      </c>
      <c r="M60" s="14">
        <f>(L60+M55)</f>
        <v/>
      </c>
      <c r="N60" s="14">
        <f>(M60+N55)</f>
        <v/>
      </c>
      <c r="O60" s="14">
        <f>(N60+O55)</f>
        <v/>
      </c>
      <c r="P60" s="14">
        <f>(O60+P55)</f>
        <v/>
      </c>
    </row>
    <row r="61">
      <c r="A61" t="inlineStr">
        <is>
          <t>Fixed assets (net)</t>
        </is>
      </c>
      <c r="B61" t="inlineStr">
        <is>
          <t>ppe</t>
        </is>
      </c>
      <c r="D61" s="13" t="n">
        <v>514.742942883</v>
      </c>
      <c r="E61" s="13" t="n">
        <v>476.344708959</v>
      </c>
      <c r="F61" s="13" t="n">
        <v>439.400042319</v>
      </c>
      <c r="G61" s="14">
        <f>((F61+G52)-G38)</f>
        <v/>
      </c>
      <c r="H61" s="14">
        <f>((G61+H52)-H38)</f>
        <v/>
      </c>
      <c r="I61" s="14">
        <f>((H61+I52)-I38)</f>
        <v/>
      </c>
      <c r="J61" s="14">
        <f>((I61+J52)-J38)</f>
        <v/>
      </c>
      <c r="K61" s="14">
        <f>((J61+K52)-K38)</f>
        <v/>
      </c>
      <c r="L61" s="14">
        <f>((K61+L52)-L38)</f>
        <v/>
      </c>
      <c r="M61" s="14">
        <f>((L61+M52)-M38)</f>
        <v/>
      </c>
      <c r="N61" s="14">
        <f>((M61+N52)-N38)</f>
        <v/>
      </c>
      <c r="O61" s="14">
        <f>((N61+O52)-O38)</f>
        <v/>
      </c>
      <c r="P61" s="14">
        <f>((O61+P52)-P38)</f>
        <v/>
      </c>
    </row>
    <row r="62">
      <c r="A62" t="inlineStr">
        <is>
          <t>Parent shareholders' equity</t>
        </is>
      </c>
      <c r="B62" t="inlineStr">
        <is>
          <t>equity</t>
        </is>
      </c>
      <c r="D62" s="13" t="n">
        <v>569.227699162</v>
      </c>
      <c r="E62" s="13" t="n">
        <v>595.80364248</v>
      </c>
      <c r="F62" s="13" t="n">
        <v>660.534017791</v>
      </c>
      <c r="G62" s="14">
        <f>((F62+G47)-G51)</f>
        <v/>
      </c>
      <c r="H62" s="14">
        <f>((G62+H47)-H51)</f>
        <v/>
      </c>
      <c r="I62" s="14">
        <f>((H62+I47)-I51)</f>
        <v/>
      </c>
      <c r="J62" s="14">
        <f>((I62+J47)-J51)</f>
        <v/>
      </c>
      <c r="K62" s="14">
        <f>((J62+K47)-K51)</f>
        <v/>
      </c>
      <c r="L62" s="14">
        <f>((K62+L47)-L51)</f>
        <v/>
      </c>
      <c r="M62" s="14">
        <f>((L62+M47)-M51)</f>
        <v/>
      </c>
      <c r="N62" s="14">
        <f>((M62+N47)-N51)</f>
        <v/>
      </c>
      <c r="O62" s="14">
        <f>((N62+O47)-O51)</f>
        <v/>
      </c>
      <c r="P62" s="14">
        <f>((O62+P47)-P51)</f>
        <v/>
      </c>
    </row>
    <row r="63">
      <c r="A63" t="inlineStr">
        <is>
          <t>Minority interest (balance sheet)</t>
        </is>
      </c>
      <c r="B63" t="inlineStr">
        <is>
          <t>minority_bs</t>
        </is>
      </c>
      <c r="D63" s="13" t="n">
        <v>0.010509944</v>
      </c>
      <c r="E63" s="13" t="n">
        <v>0.0470519</v>
      </c>
      <c r="F63" s="13" t="n">
        <v>0.076742511</v>
      </c>
      <c r="G63" s="14">
        <f>((F63+G46)-G56)</f>
        <v/>
      </c>
      <c r="H63" s="14">
        <f>((G63+H46)-H56)</f>
        <v/>
      </c>
      <c r="I63" s="14">
        <f>((H63+I46)-I56)</f>
        <v/>
      </c>
      <c r="J63" s="14">
        <f>((I63+J46)-J56)</f>
        <v/>
      </c>
      <c r="K63" s="14">
        <f>((J63+K46)-K56)</f>
        <v/>
      </c>
      <c r="L63" s="14">
        <f>((K63+L46)-L56)</f>
        <v/>
      </c>
      <c r="M63" s="14">
        <f>((L63+M46)-M56)</f>
        <v/>
      </c>
      <c r="N63" s="14">
        <f>((M63+N46)-N56)</f>
        <v/>
      </c>
      <c r="O63" s="14">
        <f>((N63+O46)-O56)</f>
        <v/>
      </c>
      <c r="P63" s="14">
        <f>((O63+P46)-P56)</f>
        <v/>
      </c>
    </row>
    <row r="64">
      <c r="A64" t="inlineStr">
        <is>
          <t>Other assets less other liabilities</t>
        </is>
      </c>
      <c r="B64" t="inlineStr">
        <is>
          <t>other_net</t>
        </is>
      </c>
      <c r="D64" s="13" t="n">
        <v>-2.266532007000023</v>
      </c>
      <c r="E64" s="13" t="n">
        <v>0.4063222560000668</v>
      </c>
      <c r="F64" s="13" t="n">
        <v>-6.942164255999955</v>
      </c>
      <c r="G64" s="14">
        <f>F64</f>
        <v/>
      </c>
      <c r="H64" s="14">
        <f>G64</f>
        <v/>
      </c>
      <c r="I64" s="14">
        <f>H64</f>
        <v/>
      </c>
      <c r="J64" s="14">
        <f>I64</f>
        <v/>
      </c>
      <c r="K64" s="14">
        <f>J64</f>
        <v/>
      </c>
      <c r="L64" s="14">
        <f>K64</f>
        <v/>
      </c>
      <c r="M64" s="14">
        <f>L64</f>
        <v/>
      </c>
      <c r="N64" s="14">
        <f>M64</f>
        <v/>
      </c>
      <c r="O64" s="14">
        <f>N64</f>
        <v/>
      </c>
      <c r="P64" s="14">
        <f>O64</f>
        <v/>
      </c>
    </row>
    <row r="65">
      <c r="A65" t="inlineStr">
        <is>
          <t>Balance check (should be zero)</t>
        </is>
      </c>
      <c r="B65" t="inlineStr">
        <is>
          <t>bs_check</t>
        </is>
      </c>
      <c r="D65" s="13" t="n"/>
      <c r="E65" s="13" t="n"/>
      <c r="F65" s="13" t="n"/>
      <c r="G65" s="14">
        <f>((((((G59+G58)+G61)+G64)-G60)-G62)-G63)</f>
        <v/>
      </c>
      <c r="H65" s="14">
        <f>((((((H59+H58)+H61)+H64)-H60)-H62)-H63)</f>
        <v/>
      </c>
      <c r="I65" s="14">
        <f>((((((I59+I58)+I61)+I64)-I60)-I62)-I63)</f>
        <v/>
      </c>
      <c r="J65" s="14">
        <f>((((((J59+J58)+J61)+J64)-J60)-J62)-J63)</f>
        <v/>
      </c>
      <c r="K65" s="14">
        <f>((((((K59+K58)+K61)+K64)-K60)-K62)-K63)</f>
        <v/>
      </c>
      <c r="L65" s="14">
        <f>((((((L59+L58)+L61)+L64)-L60)-L62)-L63)</f>
        <v/>
      </c>
      <c r="M65" s="14">
        <f>((((((M59+M58)+M61)+M64)-M60)-M62)-M63)</f>
        <v/>
      </c>
      <c r="N65" s="14">
        <f>((((((N59+N58)+N61)+N64)-N60)-N62)-N63)</f>
        <v/>
      </c>
      <c r="O65" s="14">
        <f>((((((O59+O58)+O61)+O64)-O60)-O62)-O63)</f>
        <v/>
      </c>
      <c r="P65" s="14">
        <f>((((((P59+P58)+P61)+P64)-P60)-P62)-P63)</f>
        <v/>
      </c>
    </row>
    <row r="66">
      <c r="A66" t="inlineStr">
        <is>
          <t>Net debt (cash)</t>
        </is>
      </c>
      <c r="B66" t="inlineStr">
        <is>
          <t>net_debt</t>
        </is>
      </c>
      <c r="D66" s="13" t="n">
        <v>-25.65511132200001</v>
      </c>
      <c r="E66" s="13" t="n">
        <v>-42.329359987</v>
      </c>
      <c r="F66" s="13" t="n">
        <v>-170.228201665</v>
      </c>
      <c r="G66" s="14">
        <f>(G60-G59)</f>
        <v/>
      </c>
      <c r="H66" s="14">
        <f>(H60-H59)</f>
        <v/>
      </c>
      <c r="I66" s="14">
        <f>(I60-I59)</f>
        <v/>
      </c>
      <c r="J66" s="14">
        <f>(J60-J59)</f>
        <v/>
      </c>
      <c r="K66" s="14">
        <f>(K60-K59)</f>
        <v/>
      </c>
      <c r="L66" s="14">
        <f>(L60-L59)</f>
        <v/>
      </c>
      <c r="M66" s="14">
        <f>(M60-M59)</f>
        <v/>
      </c>
      <c r="N66" s="14">
        <f>(N60-N59)</f>
        <v/>
      </c>
      <c r="O66" s="14">
        <f>(O60-O59)</f>
        <v/>
      </c>
      <c r="P66" s="14">
        <f>(P60-P59)</f>
        <v/>
      </c>
    </row>
    <row r="67">
      <c r="A67" t="inlineStr">
        <is>
          <t>Book value per share</t>
        </is>
      </c>
      <c r="B67" t="inlineStr">
        <is>
          <t>bvps</t>
        </is>
      </c>
      <c r="D67" s="16" t="n">
        <v>165.4512591514016</v>
      </c>
      <c r="E67" s="16" t="n">
        <v>173.175801178384</v>
      </c>
      <c r="F67" s="16" t="n">
        <v>191.9902793148385</v>
      </c>
      <c r="G67" s="17">
        <f>(IF(G48=0,0,G62/G48)*$C$8)</f>
        <v/>
      </c>
      <c r="H67" s="17">
        <f>(IF(H48=0,0,H62/H48)*$C$8)</f>
        <v/>
      </c>
      <c r="I67" s="17">
        <f>(IF(I48=0,0,I62/I48)*$C$8)</f>
        <v/>
      </c>
      <c r="J67" s="17">
        <f>(IF(J48=0,0,J62/J48)*$C$8)</f>
        <v/>
      </c>
      <c r="K67" s="17">
        <f>(IF(K48=0,0,K62/K48)*$C$8)</f>
        <v/>
      </c>
      <c r="L67" s="17">
        <f>(IF(L48=0,0,L62/L48)*$C$8)</f>
        <v/>
      </c>
      <c r="M67" s="17">
        <f>(IF(M48=0,0,M62/M48)*$C$8)</f>
        <v/>
      </c>
      <c r="N67" s="17">
        <f>(IF(N48=0,0,N62/N48)*$C$8)</f>
        <v/>
      </c>
      <c r="O67" s="17">
        <f>(IF(O48=0,0,O62/O48)*$C$8)</f>
        <v/>
      </c>
      <c r="P67" s="17">
        <f>(IF(P48=0,0,P62/P48)*$C$8)</f>
        <v/>
      </c>
    </row>
    <row r="68">
      <c r="A68" t="inlineStr">
        <is>
          <t>Revenue growth</t>
        </is>
      </c>
      <c r="B68" t="inlineStr">
        <is>
          <t>revenue_growth</t>
        </is>
      </c>
      <c r="D68" s="4" t="n"/>
      <c r="E68" s="4" t="n">
        <v>-0.1233633852255571</v>
      </c>
      <c r="F68" s="4" t="n">
        <v>0.109222466866906</v>
      </c>
      <c r="G68" s="18">
        <f>(IF(F33=0,0,G33/F33)-1)</f>
        <v/>
      </c>
      <c r="H68" s="18">
        <f>(IF(G33=0,0,H33/G33)-1)</f>
        <v/>
      </c>
      <c r="I68" s="18">
        <f>(IF(H33=0,0,I33/H33)-1)</f>
        <v/>
      </c>
      <c r="J68" s="18">
        <f>(IF(I33=0,0,J33/I33)-1)</f>
        <v/>
      </c>
      <c r="K68" s="18">
        <f>(IF(J33=0,0,K33/J33)-1)</f>
        <v/>
      </c>
      <c r="L68" s="18">
        <f>(IF(K33=0,0,L33/K33)-1)</f>
        <v/>
      </c>
      <c r="M68" s="18">
        <f>(IF(L33=0,0,M33/L33)-1)</f>
        <v/>
      </c>
      <c r="N68" s="18">
        <f>(IF(M33=0,0,N33/M33)-1)</f>
        <v/>
      </c>
      <c r="O68" s="18">
        <f>(IF(N33=0,0,O33/N33)-1)</f>
        <v/>
      </c>
      <c r="P68" s="18">
        <f>(IF(O33=0,0,P33/O33)-1)</f>
        <v/>
      </c>
    </row>
    <row r="69">
      <c r="A69" t="inlineStr">
        <is>
          <t>Gross margin</t>
        </is>
      </c>
      <c r="B69" t="inlineStr">
        <is>
          <t>gross_margin</t>
        </is>
      </c>
      <c r="D69" s="4" t="n">
        <v>0.356066373667879</v>
      </c>
      <c r="E69" s="4" t="n">
        <v>0.3101771428168145</v>
      </c>
      <c r="F69" s="4" t="n">
        <v>0.3732219567756478</v>
      </c>
      <c r="G69" s="18">
        <f>IF(G33=0,0,G35/G33)</f>
        <v/>
      </c>
      <c r="H69" s="18">
        <f>IF(H33=0,0,H35/H33)</f>
        <v/>
      </c>
      <c r="I69" s="18">
        <f>IF(I33=0,0,I35/I33)</f>
        <v/>
      </c>
      <c r="J69" s="18">
        <f>IF(J33=0,0,J35/J33)</f>
        <v/>
      </c>
      <c r="K69" s="18">
        <f>IF(K33=0,0,K35/K33)</f>
        <v/>
      </c>
      <c r="L69" s="18">
        <f>IF(L33=0,0,L35/L33)</f>
        <v/>
      </c>
      <c r="M69" s="18">
        <f>IF(M33=0,0,M35/M33)</f>
        <v/>
      </c>
      <c r="N69" s="18">
        <f>IF(N33=0,0,N35/N33)</f>
        <v/>
      </c>
      <c r="O69" s="18">
        <f>IF(O33=0,0,O35/O33)</f>
        <v/>
      </c>
      <c r="P69" s="18">
        <f>IF(P33=0,0,P35/P33)</f>
        <v/>
      </c>
    </row>
    <row r="70">
      <c r="A70" t="inlineStr">
        <is>
          <t>EBITDA margin</t>
        </is>
      </c>
      <c r="B70" t="inlineStr">
        <is>
          <t>ebitda_margin</t>
        </is>
      </c>
      <c r="D70" s="4" t="n">
        <v>0.3342079851925065</v>
      </c>
      <c r="E70" s="4" t="n">
        <v>0.2556142566592818</v>
      </c>
      <c r="F70" s="4" t="n">
        <v>0.3345648217559503</v>
      </c>
      <c r="G70" s="18">
        <f>IF(G33=0,0,G39/G33)</f>
        <v/>
      </c>
      <c r="H70" s="18">
        <f>IF(H33=0,0,H39/H33)</f>
        <v/>
      </c>
      <c r="I70" s="18">
        <f>IF(I33=0,0,I39/I33)</f>
        <v/>
      </c>
      <c r="J70" s="18">
        <f>IF(J33=0,0,J39/J33)</f>
        <v/>
      </c>
      <c r="K70" s="18">
        <f>IF(K33=0,0,K39/K33)</f>
        <v/>
      </c>
      <c r="L70" s="18">
        <f>IF(L33=0,0,L39/L33)</f>
        <v/>
      </c>
      <c r="M70" s="18">
        <f>IF(M33=0,0,M39/M33)</f>
        <v/>
      </c>
      <c r="N70" s="18">
        <f>IF(N33=0,0,N39/N33)</f>
        <v/>
      </c>
      <c r="O70" s="18">
        <f>IF(O33=0,0,O39/O33)</f>
        <v/>
      </c>
      <c r="P70" s="18">
        <f>IF(P33=0,0,P39/P33)</f>
        <v/>
      </c>
    </row>
    <row r="71">
      <c r="A71" t="inlineStr">
        <is>
          <t>EBIT margin</t>
        </is>
      </c>
      <c r="B71" t="inlineStr">
        <is>
          <t>ebit_margin</t>
        </is>
      </c>
      <c r="D71" s="4" t="n">
        <v>0.2256978585847411</v>
      </c>
      <c r="E71" s="4" t="n">
        <v>0.1321261785789306</v>
      </c>
      <c r="F71" s="4" t="n">
        <v>0.2229840735714672</v>
      </c>
      <c r="G71" s="18">
        <f>IF(G33=0,0,G37/G33)</f>
        <v/>
      </c>
      <c r="H71" s="18">
        <f>IF(H33=0,0,H37/H33)</f>
        <v/>
      </c>
      <c r="I71" s="18">
        <f>IF(I33=0,0,I37/I33)</f>
        <v/>
      </c>
      <c r="J71" s="18">
        <f>IF(J33=0,0,J37/J33)</f>
        <v/>
      </c>
      <c r="K71" s="18">
        <f>IF(K33=0,0,K37/K33)</f>
        <v/>
      </c>
      <c r="L71" s="18">
        <f>IF(L33=0,0,L37/L33)</f>
        <v/>
      </c>
      <c r="M71" s="18">
        <f>IF(M33=0,0,M37/M33)</f>
        <v/>
      </c>
      <c r="N71" s="18">
        <f>IF(N33=0,0,N37/N33)</f>
        <v/>
      </c>
      <c r="O71" s="18">
        <f>IF(O33=0,0,O37/O33)</f>
        <v/>
      </c>
      <c r="P71" s="18">
        <f>IF(P33=0,0,P37/P33)</f>
        <v/>
      </c>
    </row>
    <row r="72">
      <c r="A72" t="inlineStr">
        <is>
          <t>Net margin</t>
        </is>
      </c>
      <c r="B72" t="inlineStr">
        <is>
          <t>np_margin</t>
        </is>
      </c>
      <c r="D72" s="4" t="n">
        <v>0.218352443379095</v>
      </c>
      <c r="E72" s="4" t="n">
        <v>0.07590888239526242</v>
      </c>
      <c r="F72" s="4" t="n">
        <v>0.1798217326163054</v>
      </c>
      <c r="G72" s="18">
        <f>IF(G33=0,0,G47/G33)</f>
        <v/>
      </c>
      <c r="H72" s="18">
        <f>IF(H33=0,0,H47/H33)</f>
        <v/>
      </c>
      <c r="I72" s="18">
        <f>IF(I33=0,0,I47/I33)</f>
        <v/>
      </c>
      <c r="J72" s="18">
        <f>IF(J33=0,0,J47/J33)</f>
        <v/>
      </c>
      <c r="K72" s="18">
        <f>IF(K33=0,0,K47/K33)</f>
        <v/>
      </c>
      <c r="L72" s="18">
        <f>IF(L33=0,0,L47/L33)</f>
        <v/>
      </c>
      <c r="M72" s="18">
        <f>IF(M33=0,0,M47/M33)</f>
        <v/>
      </c>
      <c r="N72" s="18">
        <f>IF(N33=0,0,N47/N33)</f>
        <v/>
      </c>
      <c r="O72" s="18">
        <f>IF(O33=0,0,O47/O33)</f>
        <v/>
      </c>
      <c r="P72" s="18">
        <f>IF(P33=0,0,P47/P33)</f>
        <v/>
      </c>
    </row>
    <row r="73">
      <c r="A73" t="inlineStr">
        <is>
          <t>EPS growth</t>
        </is>
      </c>
      <c r="B73" t="inlineStr">
        <is>
          <t>eps_growth</t>
        </is>
      </c>
      <c r="D73" s="4" t="n"/>
      <c r="E73" s="4" t="n">
        <v>-0.6952426789254554</v>
      </c>
      <c r="F73" s="4" t="n">
        <v>1.627654360794385</v>
      </c>
      <c r="G73" s="18">
        <f>(IF(F49=0,0,G49/F49)-1)</f>
        <v/>
      </c>
      <c r="H73" s="18">
        <f>(IF(G49=0,0,H49/G49)-1)</f>
        <v/>
      </c>
      <c r="I73" s="18">
        <f>(IF(H49=0,0,I49/H49)-1)</f>
        <v/>
      </c>
      <c r="J73" s="18">
        <f>(IF(I49=0,0,J49/I49)-1)</f>
        <v/>
      </c>
      <c r="K73" s="18">
        <f>(IF(J49=0,0,K49/J49)-1)</f>
        <v/>
      </c>
      <c r="L73" s="18">
        <f>(IF(K49=0,0,L49/K49)-1)</f>
        <v/>
      </c>
      <c r="M73" s="18">
        <f>(IF(L49=0,0,M49/L49)-1)</f>
        <v/>
      </c>
      <c r="N73" s="18">
        <f>(IF(M49=0,0,N49/M49)-1)</f>
        <v/>
      </c>
      <c r="O73" s="18">
        <f>(IF(N49=0,0,O49/N49)-1)</f>
        <v/>
      </c>
      <c r="P73" s="18">
        <f>(IF(O49=0,0,P49/O49)-1)</f>
        <v/>
      </c>
    </row>
    <row r="74">
      <c r="A74" t="inlineStr">
        <is>
          <t>ROE</t>
        </is>
      </c>
      <c r="B74" t="inlineStr">
        <is>
          <t>roe</t>
        </is>
      </c>
      <c r="D74" s="4" t="n"/>
      <c r="E74" s="4" t="n">
        <v>0.04155249040061944</v>
      </c>
      <c r="F74" s="4" t="n">
        <v>0.101250348382107</v>
      </c>
      <c r="G74" s="18">
        <f>IF(IF(2=0,0,(G62+F62)/2)=0,0,G47/IF(2=0,0,(G62+F62)/2))</f>
        <v/>
      </c>
      <c r="H74" s="18">
        <f>IF(IF(2=0,0,(H62+G62)/2)=0,0,H47/IF(2=0,0,(H62+G62)/2))</f>
        <v/>
      </c>
      <c r="I74" s="18">
        <f>IF(IF(2=0,0,(I62+H62)/2)=0,0,I47/IF(2=0,0,(I62+H62)/2))</f>
        <v/>
      </c>
      <c r="J74" s="18">
        <f>IF(IF(2=0,0,(J62+I62)/2)=0,0,J47/IF(2=0,0,(J62+I62)/2))</f>
        <v/>
      </c>
      <c r="K74" s="18">
        <f>IF(IF(2=0,0,(K62+J62)/2)=0,0,K47/IF(2=0,0,(K62+J62)/2))</f>
        <v/>
      </c>
      <c r="L74" s="18">
        <f>IF(IF(2=0,0,(L62+K62)/2)=0,0,L47/IF(2=0,0,(L62+K62)/2))</f>
        <v/>
      </c>
      <c r="M74" s="18">
        <f>IF(IF(2=0,0,(M62+L62)/2)=0,0,M47/IF(2=0,0,(M62+L62)/2))</f>
        <v/>
      </c>
      <c r="N74" s="18">
        <f>IF(IF(2=0,0,(N62+M62)/2)=0,0,N47/IF(2=0,0,(N62+M62)/2))</f>
        <v/>
      </c>
      <c r="O74" s="18">
        <f>IF(IF(2=0,0,(O62+N62)/2)=0,0,O47/IF(2=0,0,(O62+N62)/2))</f>
        <v/>
      </c>
      <c r="P74" s="18">
        <f>IF(IF(2=0,0,(P62+O62)/2)=0,0,P47/IF(2=0,0,(P62+O62)/2))</f>
        <v/>
      </c>
    </row>
    <row r="75">
      <c r="A75" t="inlineStr">
        <is>
          <t>Net debt / EBITDA</t>
        </is>
      </c>
      <c r="B75" t="inlineStr">
        <is>
          <t>net_debt_ebitda</t>
        </is>
      </c>
      <c r="D75" s="19" t="n">
        <v>-0.2110399199929704</v>
      </c>
      <c r="E75" s="19" t="n">
        <v>-0.5193313688430324</v>
      </c>
      <c r="F75" s="19" t="n">
        <v>-1.438535240307399</v>
      </c>
      <c r="G75" s="20">
        <f>IF(G39=0,0,G66/G39)</f>
        <v/>
      </c>
      <c r="H75" s="20">
        <f>IF(H39=0,0,H66/H39)</f>
        <v/>
      </c>
      <c r="I75" s="20">
        <f>IF(I39=0,0,I66/I39)</f>
        <v/>
      </c>
      <c r="J75" s="20">
        <f>IF(J39=0,0,J66/J39)</f>
        <v/>
      </c>
      <c r="K75" s="20">
        <f>IF(K39=0,0,K66/K39)</f>
        <v/>
      </c>
      <c r="L75" s="20">
        <f>IF(L39=0,0,L66/L39)</f>
        <v/>
      </c>
      <c r="M75" s="20">
        <f>IF(M39=0,0,M66/M39)</f>
        <v/>
      </c>
      <c r="N75" s="20">
        <f>IF(N39=0,0,N66/N39)</f>
        <v/>
      </c>
      <c r="O75" s="20">
        <f>IF(O39=0,0,O66/O39)</f>
        <v/>
      </c>
      <c r="P75" s="20">
        <f>IF(P39=0,0,P66/P39)</f>
        <v/>
      </c>
    </row>
    <row r="76">
      <c r="A76" t="inlineStr">
        <is>
          <t>Payout ratio</t>
        </is>
      </c>
      <c r="B76" t="inlineStr">
        <is>
          <t>payout_ratio</t>
        </is>
      </c>
      <c r="D76" s="4" t="n">
        <v>0</v>
      </c>
      <c r="E76" s="4" t="n">
        <v>0</v>
      </c>
      <c r="F76" s="4" t="n">
        <v>0.2358465505347224</v>
      </c>
      <c r="G76" s="18">
        <f>IF(G49=0,0,G50/G49)</f>
        <v/>
      </c>
      <c r="H76" s="18">
        <f>IF(H49=0,0,H50/H49)</f>
        <v/>
      </c>
      <c r="I76" s="18">
        <f>IF(I49=0,0,I50/I49)</f>
        <v/>
      </c>
      <c r="J76" s="18">
        <f>IF(J49=0,0,J50/J49)</f>
        <v/>
      </c>
      <c r="K76" s="18">
        <f>IF(K49=0,0,K50/K49)</f>
        <v/>
      </c>
      <c r="L76" s="18">
        <f>IF(L49=0,0,L50/L49)</f>
        <v/>
      </c>
      <c r="M76" s="18">
        <f>IF(M49=0,0,M50/M49)</f>
        <v/>
      </c>
      <c r="N76" s="18">
        <f>IF(N49=0,0,N50/N49)</f>
        <v/>
      </c>
      <c r="O76" s="18">
        <f>IF(O49=0,0,O50/O49)</f>
        <v/>
      </c>
      <c r="P76" s="18">
        <f>IF(P49=0,0,P50/P49)</f>
        <v/>
      </c>
    </row>
    <row r="77">
      <c r="A77" t="inlineStr">
        <is>
          <t>Capex / revenue</t>
        </is>
      </c>
      <c r="B77" t="inlineStr">
        <is>
          <t>capex_revenue</t>
        </is>
      </c>
      <c r="D77" s="4" t="n">
        <v>0.001536921565235077</v>
      </c>
      <c r="E77" s="4" t="n">
        <v>0.003067924621898484</v>
      </c>
      <c r="F77" s="4" t="n">
        <v>0.007127723383189416</v>
      </c>
      <c r="G77" s="18">
        <f>IF(G33=0,0,G52/G33)</f>
        <v/>
      </c>
      <c r="H77" s="18">
        <f>IF(H33=0,0,H52/H33)</f>
        <v/>
      </c>
      <c r="I77" s="18">
        <f>IF(I33=0,0,I52/I33)</f>
        <v/>
      </c>
      <c r="J77" s="18">
        <f>IF(J33=0,0,J52/J33)</f>
        <v/>
      </c>
      <c r="K77" s="18">
        <f>IF(K33=0,0,K52/K33)</f>
        <v/>
      </c>
      <c r="L77" s="18">
        <f>IF(L33=0,0,L52/L33)</f>
        <v/>
      </c>
      <c r="M77" s="18">
        <f>IF(M33=0,0,M52/M33)</f>
        <v/>
      </c>
      <c r="N77" s="18">
        <f>IF(N33=0,0,N52/N33)</f>
        <v/>
      </c>
      <c r="O77" s="18">
        <f>IF(O33=0,0,O52/O33)</f>
        <v/>
      </c>
      <c r="P77" s="18">
        <f>IF(P33=0,0,P52/P33)</f>
        <v/>
      </c>
    </row>
    <row r="79">
      <c r="A79" s="1" t="inlineStr">
        <is>
          <t>VALUATION</t>
        </is>
      </c>
    </row>
    <row r="80">
      <c r="A80" t="inlineStr">
        <is>
          <t>Last price (IDR)</t>
        </is>
      </c>
      <c r="C80" s="16" t="n">
        <v>710</v>
      </c>
    </row>
    <row r="81">
      <c r="A81" t="inlineStr">
        <is>
          <t>Shares outstanding (m)</t>
        </is>
      </c>
      <c r="C81" s="13" t="n">
        <v>3440.455528</v>
      </c>
    </row>
    <row r="82">
      <c r="A82" t="inlineStr">
        <is>
          <t>IDR per USD (spot)</t>
        </is>
      </c>
      <c r="C82" s="3" t="n">
        <v>18128</v>
      </c>
    </row>
    <row r="83">
      <c r="A83" t="inlineStr">
        <is>
          <t>Debt at balance-sheet date</t>
        </is>
      </c>
      <c r="C83" s="13" t="n">
        <v>10.057254996</v>
      </c>
    </row>
    <row r="84">
      <c r="A84" t="inlineStr">
        <is>
          <t>Cash at balance-sheet date</t>
        </is>
      </c>
      <c r="C84" s="13" t="n">
        <v>157.465001203</v>
      </c>
    </row>
    <row r="85">
      <c r="A85" t="inlineStr">
        <is>
          <t>Minority interest (book)</t>
        </is>
      </c>
      <c r="C85" s="13" t="n">
        <v>0.030675198</v>
      </c>
    </row>
    <row r="86">
      <c r="A86" t="inlineStr">
        <is>
          <t>Associates &amp; investments (book)</t>
        </is>
      </c>
      <c r="C86" s="13" t="n">
        <v>0</v>
      </c>
    </row>
    <row r="87">
      <c r="A87" t="inlineStr">
        <is>
          <t>Post-balance-sheet &amp; other items (sourced, probability-weighted)</t>
        </is>
      </c>
      <c r="C87" s="13" t="n">
        <v>0</v>
      </c>
    </row>
    <row r="88">
      <c r="A88" t="inlineStr">
        <is>
          <t>Parent equity at balance-sheet date</t>
        </is>
      </c>
      <c r="C88" s="13" t="n">
        <v>639.487522821</v>
      </c>
    </row>
    <row r="89">
      <c r="A89" t="inlineStr">
        <is>
          <t>Per-share factor</t>
        </is>
      </c>
      <c r="C89" s="21" t="n">
        <v>1000</v>
      </c>
    </row>
    <row r="90">
      <c r="A90" t="inlineStr">
        <is>
          <t>Risk-free rate</t>
        </is>
      </c>
      <c r="C90" s="8">
        <f>Drivers!$C$9</f>
        <v/>
      </c>
    </row>
    <row r="91">
      <c r="A91" t="inlineStr">
        <is>
          <t>Less: default spread (IDR only)</t>
        </is>
      </c>
      <c r="C91" s="8">
        <f>Drivers!$C$11</f>
        <v/>
      </c>
    </row>
    <row r="92">
      <c r="A92" t="inlineStr">
        <is>
          <t>Mature ERP + Indonesia CRP</t>
        </is>
      </c>
      <c r="C92" s="8">
        <f>Drivers!$C$12+Drivers!$C$13</f>
        <v/>
      </c>
    </row>
    <row r="93">
      <c r="A93" t="inlineStr">
        <is>
          <t>Tax rate</t>
        </is>
      </c>
      <c r="C93" s="8">
        <f>Drivers!$C$15</f>
        <v/>
      </c>
    </row>
    <row r="94">
      <c r="A94" t="inlineStr">
        <is>
          <t>Unlevered beta (industry default (config))</t>
        </is>
      </c>
      <c r="C94" s="22" t="n">
        <v>1</v>
      </c>
    </row>
    <row r="95">
      <c r="A95" t="inlineStr">
        <is>
          <t>Debt / equity (market)</t>
        </is>
      </c>
      <c r="C95" s="22" t="n">
        <v>0.004117230339531405</v>
      </c>
    </row>
    <row r="96">
      <c r="A96" t="inlineStr">
        <is>
          <t>Levered beta</t>
        </is>
      </c>
      <c r="C96" s="23">
        <f>$C$94*(1+(1-$C$93)*$C$95)</f>
        <v/>
      </c>
    </row>
    <row r="97">
      <c r="A97" t="inlineStr">
        <is>
          <t>Explicit company premium</t>
        </is>
      </c>
      <c r="C97" s="4" t="n">
        <v>0</v>
      </c>
    </row>
    <row r="98">
      <c r="A98" t="inlineStr">
        <is>
          <t>Cost of equity</t>
        </is>
      </c>
      <c r="C98" s="10">
        <f>$C$90-$C$91+$C$96*$C$92+$C$97</f>
        <v/>
      </c>
    </row>
    <row r="99">
      <c r="A99" t="inlineStr">
        <is>
          <t>Pre-tax cost of debt</t>
        </is>
      </c>
      <c r="C99" s="10">
        <f>$C$90+Drivers!$C$14</f>
        <v/>
      </c>
    </row>
    <row r="100">
      <c r="A100" t="inlineStr">
        <is>
          <t>WACC</t>
        </is>
      </c>
      <c r="C100" s="10">
        <f>1/(1+$C$95)*$C$98+$C$95/(1+$C$95)*$C$99*(1-$C$93)</f>
        <v/>
      </c>
    </row>
    <row r="101">
      <c r="A101" t="inlineStr">
        <is>
          <t>Terminal growth (capped)</t>
        </is>
      </c>
      <c r="C101" s="4" t="n">
        <v>0.03</v>
      </c>
    </row>
    <row r="103">
      <c r="A103" s="1" t="inlineStr">
        <is>
          <t>DCF (FCFF, terminal value)</t>
        </is>
      </c>
    </row>
    <row r="104">
      <c r="A104" t="inlineStr">
        <is>
          <t>Share of year after balance-sheet date</t>
        </is>
      </c>
      <c r="G104" s="12" t="n">
        <v>0.503765</v>
      </c>
      <c r="H104" s="12" t="n">
        <v>0.996578</v>
      </c>
      <c r="I104" s="12" t="n">
        <v>0.999316</v>
      </c>
      <c r="J104" s="12" t="n">
        <v>0.996578</v>
      </c>
      <c r="K104" s="12" t="n">
        <v>0.996578</v>
      </c>
      <c r="L104" s="12" t="n">
        <v>0.996578</v>
      </c>
      <c r="M104" s="12" t="n">
        <v>0.999316</v>
      </c>
      <c r="N104" s="12" t="n">
        <v>0.996578</v>
      </c>
      <c r="O104" s="12" t="n">
        <v>0.996578</v>
      </c>
      <c r="P104" s="12" t="n">
        <v>0.996578</v>
      </c>
    </row>
    <row r="105">
      <c r="A105" t="inlineStr">
        <is>
          <t>Discount time from valuation date (years)</t>
        </is>
      </c>
      <c r="G105" s="12" t="n">
        <v>0</v>
      </c>
      <c r="H105" s="12" t="n">
        <v>0.670773</v>
      </c>
      <c r="I105" s="12" t="n">
        <v>1.670089</v>
      </c>
      <c r="J105" s="12" t="n">
        <v>2.672142</v>
      </c>
      <c r="K105" s="12" t="n">
        <v>3.671458</v>
      </c>
      <c r="L105" s="12" t="n">
        <v>4.670773</v>
      </c>
      <c r="M105" s="12" t="n">
        <v>5.670089</v>
      </c>
      <c r="N105" s="12" t="n">
        <v>6.672142</v>
      </c>
      <c r="O105" s="12" t="n">
        <v>7.671458</v>
      </c>
      <c r="P105" s="12" t="n">
        <v>8.670773000000001</v>
      </c>
    </row>
    <row r="106">
      <c r="A106" t="inlineStr">
        <is>
          <t>Discount factor</t>
        </is>
      </c>
      <c r="G106">
        <f>1/(1+$C$100)^G105</f>
        <v/>
      </c>
      <c r="H106">
        <f>1/(1+$C$100)^H105</f>
        <v/>
      </c>
      <c r="I106">
        <f>1/(1+$C$100)^I105</f>
        <v/>
      </c>
      <c r="J106">
        <f>1/(1+$C$100)^J105</f>
        <v/>
      </c>
      <c r="K106">
        <f>1/(1+$C$100)^K105</f>
        <v/>
      </c>
      <c r="L106">
        <f>1/(1+$C$100)^L105</f>
        <v/>
      </c>
      <c r="M106">
        <f>1/(1+$C$100)^M105</f>
        <v/>
      </c>
      <c r="N106">
        <f>1/(1+$C$100)^N105</f>
        <v/>
      </c>
      <c r="O106">
        <f>1/(1+$C$100)^O105</f>
        <v/>
      </c>
      <c r="P106">
        <f>1/(1+$C$100)^P105</f>
        <v/>
      </c>
    </row>
    <row r="107">
      <c r="A107" t="inlineStr">
        <is>
          <t>PV of FCFF</t>
        </is>
      </c>
      <c r="G107" s="24">
        <f>G54*G104*G106</f>
        <v/>
      </c>
      <c r="H107" s="24">
        <f>H54*H104*H106</f>
        <v/>
      </c>
      <c r="I107" s="24">
        <f>I54*I104*I106</f>
        <v/>
      </c>
      <c r="J107" s="24">
        <f>J54*J104*J106</f>
        <v/>
      </c>
      <c r="K107" s="24">
        <f>K54*K104*K106</f>
        <v/>
      </c>
      <c r="L107" s="24">
        <f>L54*L104*L106</f>
        <v/>
      </c>
      <c r="M107" s="24">
        <f>M54*M104*M106</f>
        <v/>
      </c>
      <c r="N107" s="24">
        <f>N54*N104*N106</f>
        <v/>
      </c>
      <c r="O107" s="24">
        <f>O54*O104*O106</f>
        <v/>
      </c>
      <c r="P107" s="24">
        <f>P54*P104*P106</f>
        <v/>
      </c>
    </row>
    <row r="108">
      <c r="A108" t="inlineStr">
        <is>
          <t>Sum of PV</t>
        </is>
      </c>
      <c r="C108" s="24">
        <f>SUM(G107:P107)</f>
        <v/>
      </c>
    </row>
    <row r="109">
      <c r="A109" t="inlineStr">
        <is>
          <t>Years to end of horizon</t>
        </is>
      </c>
      <c r="C109" s="21" t="n">
        <v>9.169062</v>
      </c>
    </row>
    <row r="110">
      <c r="A110" t="inlineStr">
        <is>
          <t>Terminal value</t>
        </is>
      </c>
      <c r="C110" s="24">
        <f>P54*(1+$C$101)/($C$100-$C$101)</f>
        <v/>
      </c>
    </row>
    <row r="111">
      <c r="A111" t="inlineStr">
        <is>
          <t>PV of terminal value</t>
        </is>
      </c>
      <c r="C111" s="24">
        <f>$C$110/(1+$C$100)^$C$109</f>
        <v/>
      </c>
    </row>
    <row r="112">
      <c r="A112" t="inlineStr">
        <is>
          <t>Enterprise value</t>
        </is>
      </c>
      <c r="C112" s="24">
        <f>$C$108+$C$111</f>
        <v/>
      </c>
    </row>
    <row r="113">
      <c r="A113" t="inlineStr">
        <is>
          <t>Equity value</t>
        </is>
      </c>
      <c r="C113" s="24">
        <f>$C$112-($C$83-$C$84)-$C$85+$C$86+$C$87</f>
        <v/>
      </c>
    </row>
    <row r="114">
      <c r="A114" t="inlineStr">
        <is>
          <t>Value per share (IDR) — DCF (FCFF, terminal value)</t>
        </is>
      </c>
      <c r="C114" s="25">
        <f>MAX(0,$C$113/$C$81*$C$89*1)</f>
        <v/>
      </c>
    </row>
    <row r="116">
      <c r="A116" s="1" t="inlineStr">
        <is>
          <t>P/BV</t>
        </is>
      </c>
    </row>
    <row r="117">
      <c r="A117" t="inlineStr">
        <is>
          <t>Target multiple (peer median)</t>
        </is>
      </c>
      <c r="C117" s="19" t="n">
        <v>1.179917</v>
      </c>
    </row>
    <row r="118">
      <c r="A118" t="inlineStr">
        <is>
          <t>Metric (LTM, or next-12m DPS for yield)</t>
        </is>
      </c>
      <c r="C118" s="13" t="n">
        <v>639.487523</v>
      </c>
    </row>
    <row r="119">
      <c r="A119" t="inlineStr">
        <is>
          <t>Value per share (IDR) — P/BV</t>
        </is>
      </c>
      <c r="C119" s="25">
        <f>MAX(0,$C$117*$C$118/$C$81*$C$89*1)</f>
        <v/>
      </c>
    </row>
    <row r="121">
      <c r="A121" s="1" t="inlineStr">
        <is>
          <t>TARGET</t>
        </is>
      </c>
    </row>
    <row r="122">
      <c r="A122" t="inlineStr">
        <is>
          <t>Weight: DCF (FCFF, terminal value)</t>
        </is>
      </c>
      <c r="C122" s="4" t="n">
        <v>0.7</v>
      </c>
    </row>
    <row r="123">
      <c r="A123" t="inlineStr">
        <is>
          <t>Weight: P/BV</t>
        </is>
      </c>
      <c r="C123" s="4" t="n">
        <v>0.3</v>
      </c>
    </row>
    <row r="124">
      <c r="A124" t="inlineStr">
        <is>
          <t>Value today (weighted)</t>
        </is>
      </c>
      <c r="C124" s="25">
        <f>$C$114*$C$122+$C$119*$C$123</f>
        <v/>
      </c>
    </row>
    <row r="125">
      <c r="A125" t="inlineStr">
        <is>
          <t>DPS expected in next 12 months (IDR)</t>
        </is>
      </c>
      <c r="C125" s="16" t="n">
        <v>0</v>
      </c>
    </row>
    <row r="126">
      <c r="A126" t="inlineStr">
        <is>
          <t>Base-case 12-month value</t>
        </is>
      </c>
      <c r="C126" s="25">
        <f>MAX(0,$C$124*(1+$C$98)-$C$125)</f>
        <v/>
      </c>
    </row>
    <row r="127">
      <c r="A127" t="inlineStr">
        <is>
          <t>Bear probability</t>
        </is>
      </c>
      <c r="C127" s="4" t="n">
        <v>0.25</v>
      </c>
    </row>
    <row r="128">
      <c r="A128" t="inlineStr">
        <is>
          <t>Bear 12-month value (engine)</t>
        </is>
      </c>
      <c r="C128" s="16" t="n">
        <v>140.2946729049526</v>
      </c>
    </row>
    <row r="129">
      <c r="A129" t="inlineStr">
        <is>
          <t>Base probability</t>
        </is>
      </c>
      <c r="C129" s="4" t="n">
        <v>0.5</v>
      </c>
    </row>
    <row r="130">
      <c r="A130" t="inlineStr">
        <is>
          <t>Bull probability</t>
        </is>
      </c>
      <c r="C130" s="4" t="n">
        <v>0.25</v>
      </c>
    </row>
    <row r="131">
      <c r="A131" t="inlineStr">
        <is>
          <t>Bull 12-month value (engine)</t>
        </is>
      </c>
      <c r="C131" s="16" t="n">
        <v>346.3488390743142</v>
      </c>
    </row>
    <row r="132">
      <c r="A132" t="inlineStr">
        <is>
          <t>Probability-weighted 12-month value</t>
        </is>
      </c>
      <c r="C132" s="25">
        <f>$C$127*$C$128+$C$129*$C$126+$C$130*$C$131</f>
        <v/>
      </c>
    </row>
    <row r="133">
      <c r="A133" t="inlineStr">
        <is>
          <t>Liquidity discount (limits.yaml)</t>
        </is>
      </c>
      <c r="C133" s="4" t="n">
        <v>0.2</v>
      </c>
    </row>
    <row r="134">
      <c r="A134" t="inlineStr">
        <is>
          <t>TARGET PRICE (IDR)</t>
        </is>
      </c>
      <c r="C134" s="27">
        <f>$C$132*(1-$C$133)</f>
        <v/>
      </c>
    </row>
    <row r="135">
      <c r="A135" t="inlineStr">
        <is>
          <t>Expected 12-month total return</t>
        </is>
      </c>
      <c r="C135" s="28">
        <f>($C$134+$C$125)/$C$80-1</f>
        <v/>
      </c>
    </row>
    <row r="136">
      <c r="A136" t="inlineStr">
        <is>
          <t>Rating</t>
        </is>
      </c>
      <c r="C136" s="29">
        <f>IF($C$135&gt;=0.25,"BUY",IF($C$135&gt;=0.1,"ADD",IF($C$135&lt;=-0.25,"SELL",IF($C$135&lt;=-0.1,"REDUCE","HOLD"))))</f>
        <v/>
      </c>
    </row>
    <row r="138">
      <c r="A138" s="1" t="inlineStr">
        <is>
          <t>DCF value per share vs WACC and terminal growth (engine values)</t>
        </is>
      </c>
    </row>
    <row r="139">
      <c r="A139" s="5" t="inlineStr">
        <is>
          <t>rows: Terminal growth (+/- pp) · columns: WACC (+/- pp)</t>
        </is>
      </c>
      <c r="D139" s="1" t="n">
        <v>-0.01</v>
      </c>
      <c r="E139" s="1" t="n">
        <v>-0.005</v>
      </c>
      <c r="F139" s="1" t="n">
        <v>0</v>
      </c>
      <c r="G139" s="1" t="n">
        <v>0.005</v>
      </c>
      <c r="H139" s="1" t="n">
        <v>0.01</v>
      </c>
    </row>
    <row r="140">
      <c r="C140" s="1" t="n">
        <v>-0.01</v>
      </c>
      <c r="D140" s="25" t="n">
        <v>191.214774</v>
      </c>
      <c r="E140" s="25" t="n">
        <v>183.41771</v>
      </c>
      <c r="F140" s="25" t="n">
        <v>176.37113</v>
      </c>
      <c r="G140" s="25" t="n">
        <v>169.972355</v>
      </c>
      <c r="H140" s="25" t="n">
        <v>164.136567</v>
      </c>
    </row>
    <row r="141">
      <c r="C141" s="1" t="n">
        <v>-0.005</v>
      </c>
      <c r="D141" s="25" t="n">
        <v>195.479578</v>
      </c>
      <c r="E141" s="25" t="n">
        <v>187.11913</v>
      </c>
      <c r="F141" s="25" t="n">
        <v>179.601041</v>
      </c>
      <c r="G141" s="25" t="n">
        <v>172.80471</v>
      </c>
      <c r="H141" s="25" t="n">
        <v>166.631457</v>
      </c>
    </row>
    <row r="142">
      <c r="C142" s="1" t="n">
        <v>0</v>
      </c>
      <c r="D142" s="25" t="n">
        <v>200.244929</v>
      </c>
      <c r="E142" s="25" t="n">
        <v>191.230894</v>
      </c>
      <c r="F142" s="25" t="n">
        <v>183.170219</v>
      </c>
      <c r="G142" s="25" t="n">
        <v>175.919728</v>
      </c>
      <c r="H142" s="25" t="n">
        <v>169.363496</v>
      </c>
    </row>
    <row r="143">
      <c r="C143" s="1" t="n">
        <v>0.005</v>
      </c>
      <c r="D143" s="25" t="n">
        <v>205.604443</v>
      </c>
      <c r="E143" s="25" t="n">
        <v>195.825244</v>
      </c>
      <c r="F143" s="25" t="n">
        <v>187.13508</v>
      </c>
      <c r="G143" s="25" t="n">
        <v>179.361943</v>
      </c>
      <c r="H143" s="25" t="n">
        <v>172.368187</v>
      </c>
    </row>
    <row r="144">
      <c r="C144" s="1" t="n">
        <v>0.01</v>
      </c>
      <c r="D144" s="25" t="n">
        <v>211.676631</v>
      </c>
      <c r="E144" s="25" t="n">
        <v>200.992434</v>
      </c>
      <c r="F144" s="25" t="n">
        <v>191.565285</v>
      </c>
      <c r="G144" s="25" t="n">
        <v>183.185767</v>
      </c>
      <c r="H144" s="25" t="n">
        <v>175.688487</v>
      </c>
    </row>
    <row r="146">
      <c r="A146" s="1" t="inlineStr">
        <is>
          <t>12-month value vs revenue growth and gross margin (engine values)</t>
        </is>
      </c>
    </row>
    <row r="147">
      <c r="A147" s="5" t="inlineStr">
        <is>
          <t>rows: Gross margin (+/- pp) · columns: Revenue growth (+/- pp, every year)</t>
        </is>
      </c>
      <c r="D147" s="1" t="n">
        <v>-0.04</v>
      </c>
      <c r="E147" s="1" t="n">
        <v>-0.02</v>
      </c>
      <c r="F147" s="1" t="n">
        <v>0</v>
      </c>
      <c r="G147" s="1" t="n">
        <v>0.02</v>
      </c>
      <c r="H147" s="1" t="n">
        <v>0.04</v>
      </c>
    </row>
    <row r="148">
      <c r="C148" s="1" t="n">
        <v>-0.02</v>
      </c>
      <c r="D148" s="25" t="n">
        <v>184.896768</v>
      </c>
      <c r="E148" s="25" t="n">
        <v>194.547146</v>
      </c>
      <c r="F148" s="25" t="n">
        <v>205.415272</v>
      </c>
      <c r="G148" s="25" t="n">
        <v>217.625848</v>
      </c>
      <c r="H148" s="25" t="n">
        <v>231.311012</v>
      </c>
    </row>
    <row r="149">
      <c r="C149" s="1" t="n">
        <v>-0.01</v>
      </c>
      <c r="D149" s="25" t="n">
        <v>189.687435</v>
      </c>
      <c r="E149" s="25" t="n">
        <v>200.110846</v>
      </c>
      <c r="F149" s="25" t="n">
        <v>211.8805</v>
      </c>
      <c r="G149" s="25" t="n">
        <v>225.141567</v>
      </c>
      <c r="H149" s="25" t="n">
        <v>240.049565</v>
      </c>
    </row>
    <row r="150">
      <c r="C150" s="1" t="n">
        <v>0</v>
      </c>
      <c r="D150" s="25" t="n">
        <v>194.478103</v>
      </c>
      <c r="E150" s="25" t="n">
        <v>205.674547</v>
      </c>
      <c r="F150" s="25" t="n">
        <v>218.345728</v>
      </c>
      <c r="G150" s="25" t="n">
        <v>232.657287</v>
      </c>
      <c r="H150" s="25" t="n">
        <v>248.788118</v>
      </c>
    </row>
    <row r="151">
      <c r="C151" s="1" t="n">
        <v>0.01</v>
      </c>
      <c r="D151" s="25" t="n">
        <v>199.26877</v>
      </c>
      <c r="E151" s="25" t="n">
        <v>211.238247</v>
      </c>
      <c r="F151" s="25" t="n">
        <v>224.810956</v>
      </c>
      <c r="G151" s="25" t="n">
        <v>240.173006</v>
      </c>
      <c r="H151" s="25" t="n">
        <v>257.526671</v>
      </c>
    </row>
    <row r="152">
      <c r="C152" s="1" t="n">
        <v>0.02</v>
      </c>
      <c r="D152" s="25" t="n">
        <v>204.059438</v>
      </c>
      <c r="E152" s="25" t="n">
        <v>216.801947</v>
      </c>
      <c r="F152" s="25" t="n">
        <v>231.276184</v>
      </c>
      <c r="G152" s="25" t="n">
        <v>247.688726</v>
      </c>
      <c r="H152" s="25" t="n">
        <v>266.265224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Dwi Guna Laksana Tbk (DWGL.JK) — Coal distribution, trading &amp; logistics</t>
        </is>
      </c>
    </row>
    <row r="2">
      <c r="A2" s="5" t="inlineStr">
        <is>
          <t>Units: IDR bn; per-share in IDR unless marked IDR. Model asof 2026-10-30 · data 2026-10-30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12" t="n">
        <v>10</v>
      </c>
    </row>
    <row r="8">
      <c r="A8" t="inlineStr">
        <is>
          <t>ps_factor</t>
        </is>
      </c>
      <c r="C8" s="12" t="n">
        <v>1000</v>
      </c>
    </row>
    <row r="9">
      <c r="A9" t="inlineStr">
        <is>
          <t>vp_factor</t>
        </is>
      </c>
      <c r="C9" s="12" t="n">
        <v>1</v>
      </c>
    </row>
    <row r="11">
      <c r="A11" s="1" t="inlineStr">
        <is>
          <t>INPUTS (company assumptions)</t>
        </is>
      </c>
    </row>
    <row r="12">
      <c r="A12" t="inlineStr">
        <is>
          <t>Revenue growth</t>
        </is>
      </c>
      <c r="B12" t="inlineStr">
        <is>
          <t>a.revenue_growth</t>
        </is>
      </c>
      <c r="H12" s="4" t="n">
        <v>0.05</v>
      </c>
      <c r="I12" s="4" t="n">
        <v>0.04</v>
      </c>
      <c r="J12" s="4" t="n">
        <v>0.03</v>
      </c>
      <c r="K12" s="4" t="n">
        <v>0.03</v>
      </c>
      <c r="L12" s="4" t="n">
        <v>0.03</v>
      </c>
      <c r="M12" s="4" t="n">
        <v>0.03</v>
      </c>
      <c r="N12" s="4" t="n">
        <v>0.03</v>
      </c>
      <c r="O12" s="4" t="n">
        <v>0.03</v>
      </c>
      <c r="P12" s="4" t="n">
        <v>0.03</v>
      </c>
      <c r="Q12" s="4" t="n">
        <v>0.03</v>
      </c>
    </row>
    <row r="13">
      <c r="A13" t="inlineStr">
        <is>
          <t>Gross margin at base input costs</t>
        </is>
      </c>
      <c r="B13" t="inlineStr">
        <is>
          <t>a.gross_margin</t>
        </is>
      </c>
      <c r="H13" s="4" t="n">
        <v>0.1164</v>
      </c>
      <c r="I13" s="4" t="n">
        <v>0.1164</v>
      </c>
      <c r="J13" s="4" t="n">
        <v>0.1164</v>
      </c>
      <c r="K13" s="4" t="n">
        <v>0.1164</v>
      </c>
      <c r="L13" s="4" t="n">
        <v>0.1164</v>
      </c>
      <c r="M13" s="4" t="n">
        <v>0.1164</v>
      </c>
      <c r="N13" s="4" t="n">
        <v>0.1164</v>
      </c>
      <c r="O13" s="4" t="n">
        <v>0.1164</v>
      </c>
      <c r="P13" s="4" t="n">
        <v>0.1164</v>
      </c>
      <c r="Q13" s="4" t="n">
        <v>0.1164</v>
      </c>
    </row>
    <row r="14">
      <c r="A14" t="inlineStr">
        <is>
          <t>Cost link 1: share of COGS exposed</t>
        </is>
      </c>
      <c r="B14" t="inlineStr">
        <is>
          <t>a.link1_share</t>
        </is>
      </c>
      <c r="C14" s="4" t="n">
        <v>0.837</v>
      </c>
    </row>
    <row r="15">
      <c r="A15" t="inlineStr">
        <is>
          <t>Cost link 1: pass-through to prices</t>
        </is>
      </c>
      <c r="B15" t="inlineStr">
        <is>
          <t>a.link1_pass</t>
        </is>
      </c>
      <c r="C15" s="4" t="n">
        <v>0.9</v>
      </c>
    </row>
    <row r="16">
      <c r="A16" t="inlineStr">
        <is>
          <t>Cost link 2: share of COGS exposed</t>
        </is>
      </c>
      <c r="B16" t="inlineStr">
        <is>
          <t>a.link2_share</t>
        </is>
      </c>
      <c r="C16" s="4" t="n">
        <v>0.04</v>
      </c>
    </row>
    <row r="17">
      <c r="A17" t="inlineStr">
        <is>
          <t>Cost link 2: pass-through to prices</t>
        </is>
      </c>
      <c r="B17" t="inlineStr">
        <is>
          <t>a.link2_pass</t>
        </is>
      </c>
      <c r="C17" s="4" t="n">
        <v>0.6</v>
      </c>
    </row>
    <row r="18">
      <c r="A18" t="inlineStr">
        <is>
          <t>SG&amp;A / revenue</t>
        </is>
      </c>
      <c r="B18" t="inlineStr">
        <is>
          <t>a.opex_pct</t>
        </is>
      </c>
      <c r="H18" s="4" t="n">
        <v>0.0172</v>
      </c>
      <c r="I18" s="4" t="n">
        <v>0.0172</v>
      </c>
      <c r="J18" s="4" t="n">
        <v>0.0172</v>
      </c>
      <c r="K18" s="4" t="n">
        <v>0.0172</v>
      </c>
      <c r="L18" s="4" t="n">
        <v>0.0172</v>
      </c>
      <c r="M18" s="4" t="n">
        <v>0.0172</v>
      </c>
      <c r="N18" s="4" t="n">
        <v>0.0172</v>
      </c>
      <c r="O18" s="4" t="n">
        <v>0.0172</v>
      </c>
      <c r="P18" s="4" t="n">
        <v>0.0172</v>
      </c>
      <c r="Q18" s="4" t="n">
        <v>0.0172</v>
      </c>
    </row>
    <row r="19">
      <c r="A19" t="inlineStr">
        <is>
          <t>D&amp;A / revenue</t>
        </is>
      </c>
      <c r="B19" t="inlineStr">
        <is>
          <t>a.da_pct</t>
        </is>
      </c>
      <c r="H19" s="4" t="n">
        <v>0.00091</v>
      </c>
      <c r="I19" s="4" t="n">
        <v>0.00091</v>
      </c>
      <c r="J19" s="4" t="n">
        <v>0.00091</v>
      </c>
      <c r="K19" s="4" t="n">
        <v>0.00091</v>
      </c>
      <c r="L19" s="4" t="n">
        <v>0.00091</v>
      </c>
      <c r="M19" s="4" t="n">
        <v>0.00091</v>
      </c>
      <c r="N19" s="4" t="n">
        <v>0.00091</v>
      </c>
      <c r="O19" s="4" t="n">
        <v>0.00091</v>
      </c>
      <c r="P19" s="4" t="n">
        <v>0.00091</v>
      </c>
      <c r="Q19" s="4" t="n">
        <v>0.00091</v>
      </c>
    </row>
    <row r="20">
      <c r="A20" t="inlineStr">
        <is>
          <t>Capex / revenue</t>
        </is>
      </c>
      <c r="B20" t="inlineStr">
        <is>
          <t>a.capex_pct</t>
        </is>
      </c>
      <c r="H20" s="4" t="n">
        <v>0.00029</v>
      </c>
      <c r="I20" s="4" t="n">
        <v>0.00029</v>
      </c>
      <c r="J20" s="4" t="n">
        <v>0.00029</v>
      </c>
      <c r="K20" s="4" t="n">
        <v>0.00029</v>
      </c>
      <c r="L20" s="4" t="n">
        <v>0.00029</v>
      </c>
      <c r="M20" s="4" t="n">
        <v>0.00029</v>
      </c>
      <c r="N20" s="4" t="n">
        <v>0.00029</v>
      </c>
      <c r="O20" s="4" t="n">
        <v>0.00029</v>
      </c>
      <c r="P20" s="4" t="n">
        <v>0.00029</v>
      </c>
      <c r="Q20" s="4" t="n">
        <v>0.00029</v>
      </c>
    </row>
    <row r="21">
      <c r="A21" t="inlineStr">
        <is>
          <t>Operating working capital / revenue</t>
        </is>
      </c>
      <c r="B21" t="inlineStr">
        <is>
          <t>a.nwc_pct</t>
        </is>
      </c>
      <c r="H21" s="4" t="n">
        <v>-0.09030000000000001</v>
      </c>
      <c r="I21" s="4" t="n">
        <v>-0.09030000000000001</v>
      </c>
      <c r="J21" s="4" t="n">
        <v>-0.09030000000000001</v>
      </c>
      <c r="K21" s="4" t="n">
        <v>-0.09030000000000001</v>
      </c>
      <c r="L21" s="4" t="n">
        <v>-0.09030000000000001</v>
      </c>
      <c r="M21" s="4" t="n">
        <v>-0.09030000000000001</v>
      </c>
      <c r="N21" s="4" t="n">
        <v>-0.09030000000000001</v>
      </c>
      <c r="O21" s="4" t="n">
        <v>-0.09030000000000001</v>
      </c>
      <c r="P21" s="4" t="n">
        <v>-0.09030000000000001</v>
      </c>
      <c r="Q21" s="4" t="n">
        <v>-0.09030000000000001</v>
      </c>
    </row>
    <row r="22">
      <c r="A22" t="inlineStr">
        <is>
          <t>Effective tax rate</t>
        </is>
      </c>
      <c r="B22" t="inlineStr">
        <is>
          <t>a.tax_rate</t>
        </is>
      </c>
      <c r="H22" s="4" t="n">
        <v>0.206</v>
      </c>
      <c r="I22" s="4" t="n">
        <v>0.206</v>
      </c>
      <c r="J22" s="4" t="n">
        <v>0.206</v>
      </c>
      <c r="K22" s="4" t="n">
        <v>0.206</v>
      </c>
      <c r="L22" s="4" t="n">
        <v>0.206</v>
      </c>
      <c r="M22" s="4" t="n">
        <v>0.206</v>
      </c>
      <c r="N22" s="4" t="n">
        <v>0.206</v>
      </c>
      <c r="O22" s="4" t="n">
        <v>0.206</v>
      </c>
      <c r="P22" s="4" t="n">
        <v>0.206</v>
      </c>
      <c r="Q22" s="4" t="n">
        <v>0.206</v>
      </c>
    </row>
    <row r="23">
      <c r="A23" t="inlineStr">
        <is>
          <t>Cost of debt (on opening debt)</t>
        </is>
      </c>
      <c r="B23" t="inlineStr">
        <is>
          <t>a.cost_of_debt</t>
        </is>
      </c>
      <c r="C23" s="4" t="n">
        <v>0.1</v>
      </c>
    </row>
    <row r="24">
      <c r="A24" t="inlineStr">
        <is>
          <t>Yield on opening cash</t>
        </is>
      </c>
      <c r="B24" t="inlineStr">
        <is>
          <t>a.cash_yield</t>
        </is>
      </c>
      <c r="C24" s="4" t="n">
        <v>0.0025</v>
      </c>
    </row>
    <row r="25">
      <c r="A25" t="inlineStr">
        <is>
          <t>Net new borrowing</t>
        </is>
      </c>
      <c r="B25" t="inlineStr">
        <is>
          <t>a.net_borrowing</t>
        </is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</row>
    <row r="26">
      <c r="A26" t="inlineStr">
        <is>
          <t>Other non-operating items</t>
        </is>
      </c>
      <c r="B26" t="inlineStr">
        <is>
          <t>a.other_nonop</t>
        </is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</row>
    <row r="27">
      <c r="A27" t="inlineStr">
        <is>
          <t>Minorities' share of net profit</t>
        </is>
      </c>
      <c r="B27" t="inlineStr">
        <is>
          <t>a.minority_pct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</row>
    <row r="28">
      <c r="A28" t="inlineStr">
        <is>
          <t>Dividend payout</t>
        </is>
      </c>
      <c r="B28" t="inlineStr">
        <is>
          <t>a.payout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</row>
    <row r="29">
      <c r="A29" t="inlineStr">
        <is>
          <t>Change in share count</t>
        </is>
      </c>
      <c r="B29" t="inlineStr">
        <is>
          <t>a.share_change</t>
        </is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</row>
    <row r="30">
      <c r="A30" t="inlineStr">
        <is>
          <t>Terminal growth (DCF)</t>
        </is>
      </c>
      <c r="B30" t="inlineStr">
        <is>
          <t>a.terminal_growth</t>
        </is>
      </c>
      <c r="C30" s="4" t="n">
        <v>0.04</v>
      </c>
    </row>
    <row r="32">
      <c r="A32" s="1" t="inlineStr">
        <is>
          <t>MODEL</t>
        </is>
      </c>
    </row>
    <row r="33">
      <c r="A33" t="inlineStr">
        <is>
          <t>Revenue</t>
        </is>
      </c>
      <c r="B33" t="inlineStr">
        <is>
          <t>revenue</t>
        </is>
      </c>
      <c r="D33" s="13" t="n">
        <v>2784.896376</v>
      </c>
      <c r="E33" s="13" t="n">
        <v>3261.18372</v>
      </c>
      <c r="F33" s="13" t="n">
        <v>3337.3</v>
      </c>
      <c r="G33" s="13" t="n">
        <v>3496.8</v>
      </c>
      <c r="H33" s="14">
        <f>(G33*(1+H12))</f>
        <v/>
      </c>
      <c r="I33" s="14">
        <f>(H33*(1+I12))</f>
        <v/>
      </c>
      <c r="J33" s="14">
        <f>(I33*(1+J12))</f>
        <v/>
      </c>
      <c r="K33" s="14">
        <f>(J33*(1+K12))</f>
        <v/>
      </c>
      <c r="L33" s="14">
        <f>(K33*(1+L12))</f>
        <v/>
      </c>
      <c r="M33" s="14">
        <f>(L33*(1+M12))</f>
        <v/>
      </c>
      <c r="N33" s="14">
        <f>(M33*(1+N12))</f>
        <v/>
      </c>
      <c r="O33" s="14">
        <f>(N33*(1+O12))</f>
        <v/>
      </c>
      <c r="P33" s="14">
        <f>(O33*(1+P12))</f>
        <v/>
      </c>
      <c r="Q33" s="14">
        <f>(P33*(1+Q12))</f>
        <v/>
      </c>
    </row>
    <row r="34">
      <c r="A34" t="inlineStr">
        <is>
          <t>Cost of revenue</t>
        </is>
      </c>
      <c r="B34" t="inlineStr">
        <is>
          <t>cogs</t>
        </is>
      </c>
      <c r="D34" s="13" t="n">
        <v>2641.601941</v>
      </c>
      <c r="E34" s="13" t="n">
        <v>2991.657967</v>
      </c>
      <c r="F34" s="13" t="n">
        <v>3014.527483</v>
      </c>
      <c r="G34" s="13" t="n">
        <v>3089.800867</v>
      </c>
      <c r="H34" s="15">
        <f>((H33*(1-H13))*((1+(($C$14*(1-$C$15))*(IF(Drivers!$G$4=0,0,Drivers!$H$4/Drivers!$G$4)-1)))+(($C$16*(1-$C$17))*(IF(Drivers!$G$6=0,0,Drivers!$H$6/Drivers!$G$6)-1))))</f>
        <v/>
      </c>
      <c r="I34" s="15">
        <f>((I33*(1-I13))*((1+(($C$14*(1-$C$15))*(IF(Drivers!$G$4=0,0,Drivers!$I$4/Drivers!$G$4)-1)))+(($C$16*(1-$C$17))*(IF(Drivers!$G$6=0,0,Drivers!$I$6/Drivers!$G$6)-1))))</f>
        <v/>
      </c>
      <c r="J34" s="15">
        <f>((J33*(1-J13))*((1+(($C$14*(1-$C$15))*(IF(Drivers!$G$4=0,0,Drivers!$J$4/Drivers!$G$4)-1)))+(($C$16*(1-$C$17))*(IF(Drivers!$G$6=0,0,Drivers!$J$6/Drivers!$G$6)-1))))</f>
        <v/>
      </c>
      <c r="K34" s="15">
        <f>((K33*(1-K13))*((1+(($C$14*(1-$C$15))*(IF(Drivers!$G$4=0,0,Drivers!$K$4/Drivers!$G$4)-1)))+(($C$16*(1-$C$17))*(IF(Drivers!$G$6=0,0,Drivers!$K$6/Drivers!$G$6)-1))))</f>
        <v/>
      </c>
      <c r="L34" s="15">
        <f>((L33*(1-L13))*((1+(($C$14*(1-$C$15))*(IF(Drivers!$G$4=0,0,Drivers!$L$4/Drivers!$G$4)-1)))+(($C$16*(1-$C$17))*(IF(Drivers!$G$6=0,0,Drivers!$L$6/Drivers!$G$6)-1))))</f>
        <v/>
      </c>
      <c r="M34" s="15">
        <f>((M33*(1-M13))*((1+(($C$14*(1-$C$15))*(IF(Drivers!$G$4=0,0,Drivers!$M$4/Drivers!$G$4)-1)))+(($C$16*(1-$C$17))*(IF(Drivers!$G$6=0,0,Drivers!$M$6/Drivers!$G$6)-1))))</f>
        <v/>
      </c>
      <c r="N34" s="15">
        <f>((N33*(1-N13))*((1+(($C$14*(1-$C$15))*(IF(Drivers!$G$4=0,0,Drivers!$N$4/Drivers!$G$4)-1)))+(($C$16*(1-$C$17))*(IF(Drivers!$G$6=0,0,Drivers!$N$6/Drivers!$G$6)-1))))</f>
        <v/>
      </c>
      <c r="O34" s="15">
        <f>((O33*(1-O13))*((1+(($C$14*(1-$C$15))*(IF(Drivers!$G$4=0,0,Drivers!$O$4/Drivers!$G$4)-1)))+(($C$16*(1-$C$17))*(IF(Drivers!$G$6=0,0,Drivers!$O$6/Drivers!$G$6)-1))))</f>
        <v/>
      </c>
      <c r="P34" s="15">
        <f>((P33*(1-P13))*((1+(($C$14*(1-$C$15))*(IF(Drivers!$G$4=0,0,Drivers!$P$4/Drivers!$G$4)-1)))+(($C$16*(1-$C$17))*(IF(Drivers!$G$6=0,0,Drivers!$P$6/Drivers!$G$6)-1))))</f>
        <v/>
      </c>
      <c r="Q34" s="15">
        <f>((Q33*(1-Q13))*((1+(($C$14*(1-$C$15))*(IF(Drivers!$G$4=0,0,Drivers!$Q$4/Drivers!$G$4)-1)))+(($C$16*(1-$C$17))*(IF(Drivers!$G$6=0,0,Drivers!$Q$6/Drivers!$G$6)-1))))</f>
        <v/>
      </c>
    </row>
    <row r="35">
      <c r="A35" t="inlineStr">
        <is>
          <t>Gross profit</t>
        </is>
      </c>
      <c r="B35" t="inlineStr">
        <is>
          <t>gross_profit</t>
        </is>
      </c>
      <c r="D35" s="13" t="n">
        <v>143.294435</v>
      </c>
      <c r="E35" s="13" t="n">
        <v>269.525753</v>
      </c>
      <c r="F35" s="13" t="n">
        <v>322.744399</v>
      </c>
      <c r="G35" s="13" t="n">
        <v>406.995459</v>
      </c>
      <c r="H35" s="14">
        <f>(H33-H34)</f>
        <v/>
      </c>
      <c r="I35" s="14">
        <f>(I33-I34)</f>
        <v/>
      </c>
      <c r="J35" s="14">
        <f>(J33-J34)</f>
        <v/>
      </c>
      <c r="K35" s="14">
        <f>(K33-K34)</f>
        <v/>
      </c>
      <c r="L35" s="14">
        <f>(L33-L34)</f>
        <v/>
      </c>
      <c r="M35" s="14">
        <f>(M33-M34)</f>
        <v/>
      </c>
      <c r="N35" s="14">
        <f>(N33-N34)</f>
        <v/>
      </c>
      <c r="O35" s="14">
        <f>(O33-O34)</f>
        <v/>
      </c>
      <c r="P35" s="14">
        <f>(P33-P34)</f>
        <v/>
      </c>
      <c r="Q35" s="14">
        <f>(Q33-Q34)</f>
        <v/>
      </c>
    </row>
    <row r="36">
      <c r="A36" t="inlineStr">
        <is>
          <t>SG&amp;A and other opex</t>
        </is>
      </c>
      <c r="B36" t="inlineStr">
        <is>
          <t>opex</t>
        </is>
      </c>
      <c r="D36" s="13" t="n">
        <v>83.77059</v>
      </c>
      <c r="E36" s="13" t="n">
        <v>95.94804600000001</v>
      </c>
      <c r="F36" s="13" t="n">
        <v>82.25669299999998</v>
      </c>
      <c r="G36" s="13" t="n">
        <v>58.92580099999998</v>
      </c>
      <c r="H36" s="14">
        <f>(H33*H18)</f>
        <v/>
      </c>
      <c r="I36" s="14">
        <f>(I33*I18)</f>
        <v/>
      </c>
      <c r="J36" s="14">
        <f>(J33*J18)</f>
        <v/>
      </c>
      <c r="K36" s="14">
        <f>(K33*K18)</f>
        <v/>
      </c>
      <c r="L36" s="14">
        <f>(L33*L18)</f>
        <v/>
      </c>
      <c r="M36" s="14">
        <f>(M33*M18)</f>
        <v/>
      </c>
      <c r="N36" s="14">
        <f>(N33*N18)</f>
        <v/>
      </c>
      <c r="O36" s="14">
        <f>(O33*O18)</f>
        <v/>
      </c>
      <c r="P36" s="14">
        <f>(P33*P18)</f>
        <v/>
      </c>
      <c r="Q36" s="14">
        <f>(Q33*Q18)</f>
        <v/>
      </c>
    </row>
    <row r="37">
      <c r="A37" t="inlineStr">
        <is>
          <t>EBIT</t>
        </is>
      </c>
      <c r="B37" t="inlineStr">
        <is>
          <t>ebit</t>
        </is>
      </c>
      <c r="D37" s="13" t="n">
        <v>59.523845</v>
      </c>
      <c r="E37" s="13" t="n">
        <v>173.577707</v>
      </c>
      <c r="F37" s="13" t="n">
        <v>240.487706</v>
      </c>
      <c r="G37" s="13" t="n">
        <v>348.069658</v>
      </c>
      <c r="H37" s="14">
        <f>(H35-H36)</f>
        <v/>
      </c>
      <c r="I37" s="14">
        <f>(I35-I36)</f>
        <v/>
      </c>
      <c r="J37" s="14">
        <f>(J35-J36)</f>
        <v/>
      </c>
      <c r="K37" s="14">
        <f>(K35-K36)</f>
        <v/>
      </c>
      <c r="L37" s="14">
        <f>(L35-L36)</f>
        <v/>
      </c>
      <c r="M37" s="14">
        <f>(M35-M36)</f>
        <v/>
      </c>
      <c r="N37" s="14">
        <f>(N35-N36)</f>
        <v/>
      </c>
      <c r="O37" s="14">
        <f>(O35-O36)</f>
        <v/>
      </c>
      <c r="P37" s="14">
        <f>(P35-P36)</f>
        <v/>
      </c>
      <c r="Q37" s="14">
        <f>(Q35-Q36)</f>
        <v/>
      </c>
    </row>
    <row r="38">
      <c r="A38" t="inlineStr">
        <is>
          <t>Depreciation &amp; amortisation</t>
        </is>
      </c>
      <c r="B38" t="inlineStr">
        <is>
          <t>da</t>
        </is>
      </c>
      <c r="D38" s="13" t="n">
        <v>1.545242</v>
      </c>
      <c r="E38" s="13" t="n">
        <v>1.622245</v>
      </c>
      <c r="F38" s="13" t="n">
        <v>1.308549</v>
      </c>
      <c r="G38" s="13" t="n">
        <v>3.121606</v>
      </c>
      <c r="H38" s="14">
        <f>(H33*H19)</f>
        <v/>
      </c>
      <c r="I38" s="14">
        <f>(I33*I19)</f>
        <v/>
      </c>
      <c r="J38" s="14">
        <f>(J33*J19)</f>
        <v/>
      </c>
      <c r="K38" s="14">
        <f>(K33*K19)</f>
        <v/>
      </c>
      <c r="L38" s="14">
        <f>(L33*L19)</f>
        <v/>
      </c>
      <c r="M38" s="14">
        <f>(M33*M19)</f>
        <v/>
      </c>
      <c r="N38" s="14">
        <f>(N33*N19)</f>
        <v/>
      </c>
      <c r="O38" s="14">
        <f>(O33*O19)</f>
        <v/>
      </c>
      <c r="P38" s="14">
        <f>(P33*P19)</f>
        <v/>
      </c>
      <c r="Q38" s="14">
        <f>(Q33*Q19)</f>
        <v/>
      </c>
    </row>
    <row r="39">
      <c r="A39" t="inlineStr">
        <is>
          <t>EBITDA</t>
        </is>
      </c>
      <c r="B39" t="inlineStr">
        <is>
          <t>ebitda</t>
        </is>
      </c>
      <c r="D39" s="13" t="n">
        <v>61.069087</v>
      </c>
      <c r="E39" s="13" t="n">
        <v>175.199952</v>
      </c>
      <c r="F39" s="13" t="n">
        <v>241.796255</v>
      </c>
      <c r="G39" s="13" t="n">
        <v>351.191264</v>
      </c>
      <c r="H39" s="14">
        <f>(H37+H38)</f>
        <v/>
      </c>
      <c r="I39" s="14">
        <f>(I37+I38)</f>
        <v/>
      </c>
      <c r="J39" s="14">
        <f>(J37+J38)</f>
        <v/>
      </c>
      <c r="K39" s="14">
        <f>(K37+K38)</f>
        <v/>
      </c>
      <c r="L39" s="14">
        <f>(L37+L38)</f>
        <v/>
      </c>
      <c r="M39" s="14">
        <f>(M37+M38)</f>
        <v/>
      </c>
      <c r="N39" s="14">
        <f>(N37+N38)</f>
        <v/>
      </c>
      <c r="O39" s="14">
        <f>(O37+O38)</f>
        <v/>
      </c>
      <c r="P39" s="14">
        <f>(P37+P38)</f>
        <v/>
      </c>
      <c r="Q39" s="14">
        <f>(Q37+Q38)</f>
        <v/>
      </c>
    </row>
    <row r="40">
      <c r="A40" t="inlineStr">
        <is>
          <t>Interest expense</t>
        </is>
      </c>
      <c r="B40" t="inlineStr">
        <is>
          <t>interest_expense</t>
        </is>
      </c>
      <c r="D40" s="13" t="n">
        <v>47.575361</v>
      </c>
      <c r="E40" s="13" t="n">
        <v>51.684894</v>
      </c>
      <c r="F40" s="13" t="n">
        <v>43.776619</v>
      </c>
      <c r="G40" s="13" t="n">
        <v>49.736655</v>
      </c>
      <c r="H40" s="14">
        <f>(G60*$C$23)</f>
        <v/>
      </c>
      <c r="I40" s="14">
        <f>(H60*$C$23)</f>
        <v/>
      </c>
      <c r="J40" s="14">
        <f>(I60*$C$23)</f>
        <v/>
      </c>
      <c r="K40" s="14">
        <f>(J60*$C$23)</f>
        <v/>
      </c>
      <c r="L40" s="14">
        <f>(K60*$C$23)</f>
        <v/>
      </c>
      <c r="M40" s="14">
        <f>(L60*$C$23)</f>
        <v/>
      </c>
      <c r="N40" s="14">
        <f>(M60*$C$23)</f>
        <v/>
      </c>
      <c r="O40" s="14">
        <f>(N60*$C$23)</f>
        <v/>
      </c>
      <c r="P40" s="14">
        <f>(O60*$C$23)</f>
        <v/>
      </c>
      <c r="Q40" s="14">
        <f>(P60*$C$23)</f>
        <v/>
      </c>
    </row>
    <row r="41">
      <c r="A41" t="inlineStr">
        <is>
          <t>Interest income</t>
        </is>
      </c>
      <c r="B41" t="inlineStr">
        <is>
          <t>interest_income</t>
        </is>
      </c>
      <c r="D41" s="13" t="n">
        <v>1.686313</v>
      </c>
      <c r="E41" s="13" t="n">
        <v>1.638996</v>
      </c>
      <c r="F41" s="13" t="n">
        <v>2.022456</v>
      </c>
      <c r="G41" s="13" t="n">
        <v>1.447515</v>
      </c>
      <c r="H41" s="14">
        <f>(G59*$C$24)</f>
        <v/>
      </c>
      <c r="I41" s="14">
        <f>(H59*$C$24)</f>
        <v/>
      </c>
      <c r="J41" s="14">
        <f>(I59*$C$24)</f>
        <v/>
      </c>
      <c r="K41" s="14">
        <f>(J59*$C$24)</f>
        <v/>
      </c>
      <c r="L41" s="14">
        <f>(K59*$C$24)</f>
        <v/>
      </c>
      <c r="M41" s="14">
        <f>(L59*$C$24)</f>
        <v/>
      </c>
      <c r="N41" s="14">
        <f>(M59*$C$24)</f>
        <v/>
      </c>
      <c r="O41" s="14">
        <f>(N59*$C$24)</f>
        <v/>
      </c>
      <c r="P41" s="14">
        <f>(O59*$C$24)</f>
        <v/>
      </c>
      <c r="Q41" s="14">
        <f>(P59*$C$24)</f>
        <v/>
      </c>
    </row>
    <row r="42">
      <c r="A42" t="inlineStr">
        <is>
          <t>Other non-operating</t>
        </is>
      </c>
      <c r="B42" t="inlineStr">
        <is>
          <t>other_nonop</t>
        </is>
      </c>
      <c r="D42" s="13" t="n">
        <v>3.301112000000002</v>
      </c>
      <c r="E42" s="13" t="n">
        <v>-100.022085</v>
      </c>
      <c r="F42" s="13" t="n">
        <v>-48.87925100000002</v>
      </c>
      <c r="G42" s="13" t="n">
        <v>-16.693275</v>
      </c>
      <c r="H42" s="14">
        <f>H26</f>
        <v/>
      </c>
      <c r="I42" s="14">
        <f>I26</f>
        <v/>
      </c>
      <c r="J42" s="14">
        <f>J26</f>
        <v/>
      </c>
      <c r="K42" s="14">
        <f>K26</f>
        <v/>
      </c>
      <c r="L42" s="14">
        <f>L26</f>
        <v/>
      </c>
      <c r="M42" s="14">
        <f>M26</f>
        <v/>
      </c>
      <c r="N42" s="14">
        <f>N26</f>
        <v/>
      </c>
      <c r="O42" s="14">
        <f>O26</f>
        <v/>
      </c>
      <c r="P42" s="14">
        <f>P26</f>
        <v/>
      </c>
      <c r="Q42" s="14">
        <f>Q26</f>
        <v/>
      </c>
    </row>
    <row r="43">
      <c r="A43" t="inlineStr">
        <is>
          <t>Profit before tax</t>
        </is>
      </c>
      <c r="B43" t="inlineStr">
        <is>
          <t>pbt</t>
        </is>
      </c>
      <c r="D43" s="13" t="n">
        <v>16.935909</v>
      </c>
      <c r="E43" s="13" t="n">
        <v>23.509724</v>
      </c>
      <c r="F43" s="13" t="n">
        <v>149.854292</v>
      </c>
      <c r="G43" s="13" t="n">
        <v>283.087243</v>
      </c>
      <c r="H43" s="14">
        <f>(((H37-H40)+H41)+H42)</f>
        <v/>
      </c>
      <c r="I43" s="14">
        <f>(((I37-I40)+I41)+I42)</f>
        <v/>
      </c>
      <c r="J43" s="14">
        <f>(((J37-J40)+J41)+J42)</f>
        <v/>
      </c>
      <c r="K43" s="14">
        <f>(((K37-K40)+K41)+K42)</f>
        <v/>
      </c>
      <c r="L43" s="14">
        <f>(((L37-L40)+L41)+L42)</f>
        <v/>
      </c>
      <c r="M43" s="14">
        <f>(((M37-M40)+M41)+M42)</f>
        <v/>
      </c>
      <c r="N43" s="14">
        <f>(((N37-N40)+N41)+N42)</f>
        <v/>
      </c>
      <c r="O43" s="14">
        <f>(((O37-O40)+O41)+O42)</f>
        <v/>
      </c>
      <c r="P43" s="14">
        <f>(((P37-P40)+P41)+P42)</f>
        <v/>
      </c>
      <c r="Q43" s="14">
        <f>(((Q37-Q40)+Q41)+Q42)</f>
        <v/>
      </c>
    </row>
    <row r="44">
      <c r="A44" t="inlineStr">
        <is>
          <t>Tax</t>
        </is>
      </c>
      <c r="B44" t="inlineStr">
        <is>
          <t>tax</t>
        </is>
      </c>
      <c r="D44" s="13" t="n">
        <v>13.535751</v>
      </c>
      <c r="E44" s="13" t="n">
        <v>7.872249</v>
      </c>
      <c r="F44" s="13" t="n">
        <v>31.439482</v>
      </c>
      <c r="G44" s="13" t="n">
        <v>58.413094</v>
      </c>
      <c r="H44" s="14">
        <f>(MAX(H43,0)*H22)</f>
        <v/>
      </c>
      <c r="I44" s="14">
        <f>(MAX(I43,0)*I22)</f>
        <v/>
      </c>
      <c r="J44" s="14">
        <f>(MAX(J43,0)*J22)</f>
        <v/>
      </c>
      <c r="K44" s="14">
        <f>(MAX(K43,0)*K22)</f>
        <v/>
      </c>
      <c r="L44" s="14">
        <f>(MAX(L43,0)*L22)</f>
        <v/>
      </c>
      <c r="M44" s="14">
        <f>(MAX(M43,0)*M22)</f>
        <v/>
      </c>
      <c r="N44" s="14">
        <f>(MAX(N43,0)*N22)</f>
        <v/>
      </c>
      <c r="O44" s="14">
        <f>(MAX(O43,0)*O22)</f>
        <v/>
      </c>
      <c r="P44" s="14">
        <f>(MAX(P43,0)*P22)</f>
        <v/>
      </c>
      <c r="Q44" s="14">
        <f>(MAX(Q43,0)*Q22)</f>
        <v/>
      </c>
    </row>
    <row r="45">
      <c r="A45" t="inlineStr">
        <is>
          <t>Net profit (incl. minorities)</t>
        </is>
      </c>
      <c r="B45" t="inlineStr">
        <is>
          <t>np</t>
        </is>
      </c>
      <c r="D45" s="13" t="n">
        <v>3.400158</v>
      </c>
      <c r="E45" s="13" t="n">
        <v>15.637475</v>
      </c>
      <c r="F45" s="13" t="n">
        <v>118.41481</v>
      </c>
      <c r="G45" s="13" t="n">
        <v>224.674149</v>
      </c>
      <c r="H45" s="14">
        <f>(H43-H44)</f>
        <v/>
      </c>
      <c r="I45" s="14">
        <f>(I43-I44)</f>
        <v/>
      </c>
      <c r="J45" s="14">
        <f>(J43-J44)</f>
        <v/>
      </c>
      <c r="K45" s="14">
        <f>(K43-K44)</f>
        <v/>
      </c>
      <c r="L45" s="14">
        <f>(L43-L44)</f>
        <v/>
      </c>
      <c r="M45" s="14">
        <f>(M43-M44)</f>
        <v/>
      </c>
      <c r="N45" s="14">
        <f>(N43-N44)</f>
        <v/>
      </c>
      <c r="O45" s="14">
        <f>(O43-O44)</f>
        <v/>
      </c>
      <c r="P45" s="14">
        <f>(P43-P44)</f>
        <v/>
      </c>
      <c r="Q45" s="14">
        <f>(Q43-Q44)</f>
        <v/>
      </c>
    </row>
    <row r="46">
      <c r="A46" t="inlineStr">
        <is>
          <t>Minority interests</t>
        </is>
      </c>
      <c r="B46" t="inlineStr">
        <is>
          <t>minority</t>
        </is>
      </c>
      <c r="D46" s="13" t="n">
        <v>9.999999996956888e-07</v>
      </c>
      <c r="E46" s="13" t="n">
        <v>2.999999999531155e-06</v>
      </c>
      <c r="F46" s="13" t="n">
        <v>2.00000000916134e-06</v>
      </c>
      <c r="G46" s="13" t="n">
        <v>4.999999987376214e-06</v>
      </c>
      <c r="H46" s="14">
        <f>(H45*H27)</f>
        <v/>
      </c>
      <c r="I46" s="14">
        <f>(I45*I27)</f>
        <v/>
      </c>
      <c r="J46" s="14">
        <f>(J45*J27)</f>
        <v/>
      </c>
      <c r="K46" s="14">
        <f>(K45*K27)</f>
        <v/>
      </c>
      <c r="L46" s="14">
        <f>(L45*L27)</f>
        <v/>
      </c>
      <c r="M46" s="14">
        <f>(M45*M27)</f>
        <v/>
      </c>
      <c r="N46" s="14">
        <f>(N45*N27)</f>
        <v/>
      </c>
      <c r="O46" s="14">
        <f>(O45*O27)</f>
        <v/>
      </c>
      <c r="P46" s="14">
        <f>(P45*P27)</f>
        <v/>
      </c>
      <c r="Q46" s="14">
        <f>(Q45*Q27)</f>
        <v/>
      </c>
    </row>
    <row r="47">
      <c r="A47" t="inlineStr">
        <is>
          <t>Net profit to parent</t>
        </is>
      </c>
      <c r="B47" t="inlineStr">
        <is>
          <t>np_parent</t>
        </is>
      </c>
      <c r="D47" s="13" t="n">
        <v>3.400157</v>
      </c>
      <c r="E47" s="13" t="n">
        <v>15.637472</v>
      </c>
      <c r="F47" s="13" t="n">
        <v>118.414808</v>
      </c>
      <c r="G47" s="13" t="n">
        <v>224.674144</v>
      </c>
      <c r="H47" s="14">
        <f>(H45-H46)</f>
        <v/>
      </c>
      <c r="I47" s="14">
        <f>(I45-I46)</f>
        <v/>
      </c>
      <c r="J47" s="14">
        <f>(J45-J46)</f>
        <v/>
      </c>
      <c r="K47" s="14">
        <f>(K45-K46)</f>
        <v/>
      </c>
      <c r="L47" s="14">
        <f>(L45-L46)</f>
        <v/>
      </c>
      <c r="M47" s="14">
        <f>(M45-M46)</f>
        <v/>
      </c>
      <c r="N47" s="14">
        <f>(N45-N46)</f>
        <v/>
      </c>
      <c r="O47" s="14">
        <f>(O45-O46)</f>
        <v/>
      </c>
      <c r="P47" s="14">
        <f>(P45-P46)</f>
        <v/>
      </c>
      <c r="Q47" s="14">
        <f>(Q45-Q46)</f>
        <v/>
      </c>
    </row>
    <row r="48">
      <c r="A48" t="inlineStr">
        <is>
          <t>Shares outstanding (m)</t>
        </is>
      </c>
      <c r="B48" t="inlineStr">
        <is>
          <t>shares</t>
        </is>
      </c>
      <c r="D48" s="13" t="n">
        <v>9252.820991000001</v>
      </c>
      <c r="E48" s="13" t="n">
        <v>9252.820991000001</v>
      </c>
      <c r="F48" s="13" t="n">
        <v>9252.820991000001</v>
      </c>
      <c r="G48" s="13" t="n">
        <v>9252.820991000001</v>
      </c>
      <c r="H48" s="14">
        <f>(G48*(1+H29))</f>
        <v/>
      </c>
      <c r="I48" s="14">
        <f>(H48*(1+I29))</f>
        <v/>
      </c>
      <c r="J48" s="14">
        <f>(I48*(1+J29))</f>
        <v/>
      </c>
      <c r="K48" s="14">
        <f>(J48*(1+K29))</f>
        <v/>
      </c>
      <c r="L48" s="14">
        <f>(K48*(1+L29))</f>
        <v/>
      </c>
      <c r="M48" s="14">
        <f>(L48*(1+M29))</f>
        <v/>
      </c>
      <c r="N48" s="14">
        <f>(M48*(1+N29))</f>
        <v/>
      </c>
      <c r="O48" s="14">
        <f>(N48*(1+O29))</f>
        <v/>
      </c>
      <c r="P48" s="14">
        <f>(O48*(1+P29))</f>
        <v/>
      </c>
      <c r="Q48" s="14">
        <f>(P48*(1+Q29))</f>
        <v/>
      </c>
    </row>
    <row r="49">
      <c r="A49" t="inlineStr">
        <is>
          <t>EPS</t>
        </is>
      </c>
      <c r="B49" t="inlineStr">
        <is>
          <t>eps</t>
        </is>
      </c>
      <c r="D49" s="16" t="n">
        <v>0.3674724717258934</v>
      </c>
      <c r="E49" s="16" t="n">
        <v>1.690022104092384</v>
      </c>
      <c r="F49" s="16" t="n">
        <v>12.79769792533318</v>
      </c>
      <c r="G49" s="16" t="n">
        <v>24.28169141265515</v>
      </c>
      <c r="H49" s="17">
        <f>(IF(H48=0,0,H47/H48)*$C$8)</f>
        <v/>
      </c>
      <c r="I49" s="17">
        <f>(IF(I48=0,0,I47/I48)*$C$8)</f>
        <v/>
      </c>
      <c r="J49" s="17">
        <f>(IF(J48=0,0,J47/J48)*$C$8)</f>
        <v/>
      </c>
      <c r="K49" s="17">
        <f>(IF(K48=0,0,K47/K48)*$C$8)</f>
        <v/>
      </c>
      <c r="L49" s="17">
        <f>(IF(L48=0,0,L47/L48)*$C$8)</f>
        <v/>
      </c>
      <c r="M49" s="17">
        <f>(IF(M48=0,0,M47/M48)*$C$8)</f>
        <v/>
      </c>
      <c r="N49" s="17">
        <f>(IF(N48=0,0,N47/N48)*$C$8)</f>
        <v/>
      </c>
      <c r="O49" s="17">
        <f>(IF(O48=0,0,O47/O48)*$C$8)</f>
        <v/>
      </c>
      <c r="P49" s="17">
        <f>(IF(P48=0,0,P47/P48)*$C$8)</f>
        <v/>
      </c>
      <c r="Q49" s="17">
        <f>(IF(Q48=0,0,Q47/Q48)*$C$8)</f>
        <v/>
      </c>
    </row>
    <row r="50">
      <c r="A50" t="inlineStr">
        <is>
          <t>DPS (declared on the year)</t>
        </is>
      </c>
      <c r="B50" t="inlineStr">
        <is>
          <t>dps</t>
        </is>
      </c>
      <c r="D50" s="16" t="n">
        <v>0</v>
      </c>
      <c r="E50" s="16" t="n">
        <v>0</v>
      </c>
      <c r="F50" s="16" t="n">
        <v>0</v>
      </c>
      <c r="G50" s="16" t="n">
        <v>0</v>
      </c>
      <c r="H50" s="17">
        <f>(MAX(H49,0)*H28)</f>
        <v/>
      </c>
      <c r="I50" s="17">
        <f>(MAX(I49,0)*I28)</f>
        <v/>
      </c>
      <c r="J50" s="17">
        <f>(MAX(J49,0)*J28)</f>
        <v/>
      </c>
      <c r="K50" s="17">
        <f>(MAX(K49,0)*K28)</f>
        <v/>
      </c>
      <c r="L50" s="17">
        <f>(MAX(L49,0)*L28)</f>
        <v/>
      </c>
      <c r="M50" s="17">
        <f>(MAX(M49,0)*M28)</f>
        <v/>
      </c>
      <c r="N50" s="17">
        <f>(MAX(N49,0)*N28)</f>
        <v/>
      </c>
      <c r="O50" s="17">
        <f>(MAX(O49,0)*O28)</f>
        <v/>
      </c>
      <c r="P50" s="17">
        <f>(MAX(P49,0)*P28)</f>
        <v/>
      </c>
      <c r="Q50" s="17">
        <f>(MAX(Q49,0)*Q28)</f>
        <v/>
      </c>
    </row>
    <row r="51">
      <c r="A51" t="inlineStr">
        <is>
          <t>Dividends paid</t>
        </is>
      </c>
      <c r="B51" t="inlineStr">
        <is>
          <t>dividends_paid</t>
        </is>
      </c>
      <c r="D51" s="13" t="n"/>
      <c r="E51" s="13" t="n"/>
      <c r="F51" s="13" t="n"/>
      <c r="G51" s="13" t="n"/>
      <c r="H51" s="14">
        <f>IF($C$8=0,0,(G50*G48)/$C$8)</f>
        <v/>
      </c>
      <c r="I51" s="14">
        <f>IF($C$8=0,0,(H50*H48)/$C$8)</f>
        <v/>
      </c>
      <c r="J51" s="14">
        <f>IF($C$8=0,0,(I50*I48)/$C$8)</f>
        <v/>
      </c>
      <c r="K51" s="14">
        <f>IF($C$8=0,0,(J50*J48)/$C$8)</f>
        <v/>
      </c>
      <c r="L51" s="14">
        <f>IF($C$8=0,0,(K50*K48)/$C$8)</f>
        <v/>
      </c>
      <c r="M51" s="14">
        <f>IF($C$8=0,0,(L50*L48)/$C$8)</f>
        <v/>
      </c>
      <c r="N51" s="14">
        <f>IF($C$8=0,0,(M50*M48)/$C$8)</f>
        <v/>
      </c>
      <c r="O51" s="14">
        <f>IF($C$8=0,0,(N50*N48)/$C$8)</f>
        <v/>
      </c>
      <c r="P51" s="14">
        <f>IF($C$8=0,0,(O50*O48)/$C$8)</f>
        <v/>
      </c>
      <c r="Q51" s="14">
        <f>IF($C$8=0,0,(P50*P48)/$C$8)</f>
        <v/>
      </c>
    </row>
    <row r="52">
      <c r="A52" t="inlineStr">
        <is>
          <t>Capital expenditure</t>
        </is>
      </c>
      <c r="B52" t="inlineStr">
        <is>
          <t>capex</t>
        </is>
      </c>
      <c r="D52" s="13" t="n">
        <v>0.299255</v>
      </c>
      <c r="E52" s="13" t="n">
        <v>0.382387</v>
      </c>
      <c r="F52" s="13" t="n">
        <v>0.57413</v>
      </c>
      <c r="G52" s="13" t="n">
        <v>1.018786</v>
      </c>
      <c r="H52" s="14">
        <f>(H33*H20)</f>
        <v/>
      </c>
      <c r="I52" s="14">
        <f>(I33*I20)</f>
        <v/>
      </c>
      <c r="J52" s="14">
        <f>(J33*J20)</f>
        <v/>
      </c>
      <c r="K52" s="14">
        <f>(K33*K20)</f>
        <v/>
      </c>
      <c r="L52" s="14">
        <f>(L33*L20)</f>
        <v/>
      </c>
      <c r="M52" s="14">
        <f>(M33*M20)</f>
        <v/>
      </c>
      <c r="N52" s="14">
        <f>(N33*N20)</f>
        <v/>
      </c>
      <c r="O52" s="14">
        <f>(O33*O20)</f>
        <v/>
      </c>
      <c r="P52" s="14">
        <f>(P33*P20)</f>
        <v/>
      </c>
      <c r="Q52" s="14">
        <f>(Q33*Q20)</f>
        <v/>
      </c>
    </row>
    <row r="53">
      <c r="A53" t="inlineStr">
        <is>
          <t>Change in working capital</t>
        </is>
      </c>
      <c r="B53" t="inlineStr">
        <is>
          <t>delta_nwc</t>
        </is>
      </c>
      <c r="D53" s="13" t="n"/>
      <c r="E53" s="13" t="n">
        <v>-1.895479000000023</v>
      </c>
      <c r="F53" s="13" t="n">
        <v>-16.52363700000001</v>
      </c>
      <c r="G53" s="13" t="n">
        <v>40.89837900000009</v>
      </c>
      <c r="H53" s="14">
        <f>(H58-G58)</f>
        <v/>
      </c>
      <c r="I53" s="14">
        <f>(I58-H58)</f>
        <v/>
      </c>
      <c r="J53" s="14">
        <f>(J58-I58)</f>
        <v/>
      </c>
      <c r="K53" s="14">
        <f>(K58-J58)</f>
        <v/>
      </c>
      <c r="L53" s="14">
        <f>(L58-K58)</f>
        <v/>
      </c>
      <c r="M53" s="14">
        <f>(M58-L58)</f>
        <v/>
      </c>
      <c r="N53" s="14">
        <f>(N58-M58)</f>
        <v/>
      </c>
      <c r="O53" s="14">
        <f>(O58-N58)</f>
        <v/>
      </c>
      <c r="P53" s="14">
        <f>(P58-O58)</f>
        <v/>
      </c>
      <c r="Q53" s="14">
        <f>(Q58-P58)</f>
        <v/>
      </c>
    </row>
    <row r="54">
      <c r="A54" t="inlineStr">
        <is>
          <t>Free cash flow to firm</t>
        </is>
      </c>
      <c r="B54" t="inlineStr">
        <is>
          <t>fcff</t>
        </is>
      </c>
      <c r="D54" s="13" t="n"/>
      <c r="E54" s="13" t="n">
        <v>118.5904165138993</v>
      </c>
      <c r="F54" s="13" t="n">
        <v>207.2913585718467</v>
      </c>
      <c r="G54" s="13" t="n">
        <v>237.4523332579744</v>
      </c>
      <c r="H54" s="14">
        <f>((((H37*(1-H22))+H38)-H52)-H53)</f>
        <v/>
      </c>
      <c r="I54" s="14">
        <f>((((I37*(1-I22))+I38)-I52)-I53)</f>
        <v/>
      </c>
      <c r="J54" s="14">
        <f>((((J37*(1-J22))+J38)-J52)-J53)</f>
        <v/>
      </c>
      <c r="K54" s="14">
        <f>((((K37*(1-K22))+K38)-K52)-K53)</f>
        <v/>
      </c>
      <c r="L54" s="14">
        <f>((((L37*(1-L22))+L38)-L52)-L53)</f>
        <v/>
      </c>
      <c r="M54" s="14">
        <f>((((M37*(1-M22))+M38)-M52)-M53)</f>
        <v/>
      </c>
      <c r="N54" s="14">
        <f>((((N37*(1-N22))+N38)-N52)-N53)</f>
        <v/>
      </c>
      <c r="O54" s="14">
        <f>((((O37*(1-O22))+O38)-O52)-O53)</f>
        <v/>
      </c>
      <c r="P54" s="14">
        <f>((((P37*(1-P22))+P38)-P52)-P53)</f>
        <v/>
      </c>
      <c r="Q54" s="14">
        <f>((((Q37*(1-Q22))+Q38)-Q52)-Q53)</f>
        <v/>
      </c>
    </row>
    <row r="55">
      <c r="A55" t="inlineStr">
        <is>
          <t>Net borrowing</t>
        </is>
      </c>
      <c r="B55" t="inlineStr">
        <is>
          <t>net_borrowing</t>
        </is>
      </c>
      <c r="D55" s="13" t="n"/>
      <c r="E55" s="13" t="n">
        <v>-56.84880600000002</v>
      </c>
      <c r="F55" s="13" t="n">
        <v>-53.91512399999999</v>
      </c>
      <c r="G55" s="13" t="n">
        <v>118.948224</v>
      </c>
      <c r="H55" s="14">
        <f>H25</f>
        <v/>
      </c>
      <c r="I55" s="14">
        <f>I25</f>
        <v/>
      </c>
      <c r="J55" s="14">
        <f>J25</f>
        <v/>
      </c>
      <c r="K55" s="14">
        <f>K25</f>
        <v/>
      </c>
      <c r="L55" s="14">
        <f>L25</f>
        <v/>
      </c>
      <c r="M55" s="14">
        <f>M25</f>
        <v/>
      </c>
      <c r="N55" s="14">
        <f>N25</f>
        <v/>
      </c>
      <c r="O55" s="14">
        <f>O25</f>
        <v/>
      </c>
      <c r="P55" s="14">
        <f>P25</f>
        <v/>
      </c>
      <c r="Q55" s="14">
        <f>Q25</f>
        <v/>
      </c>
    </row>
    <row r="56">
      <c r="A56" t="inlineStr">
        <is>
          <t>Dividends to minorities</t>
        </is>
      </c>
      <c r="B56" t="inlineStr">
        <is>
          <t>minority_div</t>
        </is>
      </c>
      <c r="D56" s="13" t="n"/>
      <c r="E56" s="13" t="n"/>
      <c r="F56" s="13" t="n"/>
      <c r="G56" s="13" t="n"/>
      <c r="H56" s="14">
        <f>(MAX(G46,0)*H28)</f>
        <v/>
      </c>
      <c r="I56" s="14">
        <f>(MAX(H46,0)*I28)</f>
        <v/>
      </c>
      <c r="J56" s="14">
        <f>(MAX(I46,0)*J28)</f>
        <v/>
      </c>
      <c r="K56" s="14">
        <f>(MAX(J46,0)*K28)</f>
        <v/>
      </c>
      <c r="L56" s="14">
        <f>(MAX(K46,0)*L28)</f>
        <v/>
      </c>
      <c r="M56" s="14">
        <f>(MAX(L46,0)*M28)</f>
        <v/>
      </c>
      <c r="N56" s="14">
        <f>(MAX(M46,0)*N28)</f>
        <v/>
      </c>
      <c r="O56" s="14">
        <f>(MAX(N46,0)*O28)</f>
        <v/>
      </c>
      <c r="P56" s="14">
        <f>(MAX(O46,0)*P28)</f>
        <v/>
      </c>
      <c r="Q56" s="14">
        <f>(MAX(P46,0)*Q28)</f>
        <v/>
      </c>
    </row>
    <row r="57">
      <c r="A57" t="inlineStr">
        <is>
          <t>Free cash flow to equity</t>
        </is>
      </c>
      <c r="B57" t="inlineStr">
        <is>
          <t>fcfe</t>
        </is>
      </c>
      <c r="D57" s="13" t="n"/>
      <c r="E57" s="13" t="n"/>
      <c r="F57" s="13" t="n"/>
      <c r="G57" s="13" t="n"/>
      <c r="H57" s="14">
        <f>(((((H45+H38)-H52)-H53)+H55)-H56)</f>
        <v/>
      </c>
      <c r="I57" s="14">
        <f>(((((I45+I38)-I52)-I53)+I55)-I56)</f>
        <v/>
      </c>
      <c r="J57" s="14">
        <f>(((((J45+J38)-J52)-J53)+J55)-J56)</f>
        <v/>
      </c>
      <c r="K57" s="14">
        <f>(((((K45+K38)-K52)-K53)+K55)-K56)</f>
        <v/>
      </c>
      <c r="L57" s="14">
        <f>(((((L45+L38)-L52)-L53)+L55)-L56)</f>
        <v/>
      </c>
      <c r="M57" s="14">
        <f>(((((M45+M38)-M52)-M53)+M55)-M56)</f>
        <v/>
      </c>
      <c r="N57" s="14">
        <f>(((((N45+N38)-N52)-N53)+N55)-N56)</f>
        <v/>
      </c>
      <c r="O57" s="14">
        <f>(((((O45+O38)-O52)-O53)+O55)-O56)</f>
        <v/>
      </c>
      <c r="P57" s="14">
        <f>(((((P45+P38)-P52)-P53)+P55)-P56)</f>
        <v/>
      </c>
      <c r="Q57" s="14">
        <f>(((((Q45+Q38)-Q52)-Q53)+Q55)-Q56)</f>
        <v/>
      </c>
    </row>
    <row r="58">
      <c r="A58" t="inlineStr">
        <is>
          <t>Operating working capital</t>
        </is>
      </c>
      <c r="B58" t="inlineStr">
        <is>
          <t>nwc</t>
        </is>
      </c>
      <c r="D58" s="13" t="n">
        <v>-303.907679</v>
      </c>
      <c r="E58" s="13" t="n">
        <v>-305.8031580000001</v>
      </c>
      <c r="F58" s="13" t="n">
        <v>-322.3267950000001</v>
      </c>
      <c r="G58" s="13" t="n">
        <v>-281.428416</v>
      </c>
      <c r="H58" s="14">
        <f>(H33*H21)</f>
        <v/>
      </c>
      <c r="I58" s="14">
        <f>(I33*I21)</f>
        <v/>
      </c>
      <c r="J58" s="14">
        <f>(J33*J21)</f>
        <v/>
      </c>
      <c r="K58" s="14">
        <f>(K33*K21)</f>
        <v/>
      </c>
      <c r="L58" s="14">
        <f>(L33*L21)</f>
        <v/>
      </c>
      <c r="M58" s="14">
        <f>(M33*M21)</f>
        <v/>
      </c>
      <c r="N58" s="14">
        <f>(N33*N21)</f>
        <v/>
      </c>
      <c r="O58" s="14">
        <f>(O33*O21)</f>
        <v/>
      </c>
      <c r="P58" s="14">
        <f>(P33*P21)</f>
        <v/>
      </c>
      <c r="Q58" s="14">
        <f>(Q33*Q21)</f>
        <v/>
      </c>
    </row>
    <row r="59">
      <c r="A59" t="inlineStr">
        <is>
          <t>Cash &amp; equivalents</t>
        </is>
      </c>
      <c r="B59" t="inlineStr">
        <is>
          <t>cash</t>
        </is>
      </c>
      <c r="D59" s="13" t="n">
        <v>332.232577</v>
      </c>
      <c r="E59" s="13" t="n">
        <v>402.8066</v>
      </c>
      <c r="F59" s="13" t="n">
        <v>542.275534</v>
      </c>
      <c r="G59" s="13" t="n">
        <v>491.185156</v>
      </c>
      <c r="H59" s="14">
        <f>(((((((G59+H45)+H38)-H52)-H53)+H55)-H51)-H56)</f>
        <v/>
      </c>
      <c r="I59" s="14">
        <f>(((((((H59+I45)+I38)-I52)-I53)+I55)-I51)-I56)</f>
        <v/>
      </c>
      <c r="J59" s="14">
        <f>(((((((I59+J45)+J38)-J52)-J53)+J55)-J51)-J56)</f>
        <v/>
      </c>
      <c r="K59" s="14">
        <f>(((((((J59+K45)+K38)-K52)-K53)+K55)-K51)-K56)</f>
        <v/>
      </c>
      <c r="L59" s="14">
        <f>(((((((K59+L45)+L38)-L52)-L53)+L55)-L51)-L56)</f>
        <v/>
      </c>
      <c r="M59" s="14">
        <f>(((((((L59+M45)+M38)-M52)-M53)+M55)-M51)-M56)</f>
        <v/>
      </c>
      <c r="N59" s="14">
        <f>(((((((M59+N45)+N38)-N52)-N53)+N55)-N51)-N56)</f>
        <v/>
      </c>
      <c r="O59" s="14">
        <f>(((((((N59+O45)+O38)-O52)-O53)+O55)-O51)-O56)</f>
        <v/>
      </c>
      <c r="P59" s="14">
        <f>(((((((O59+P45)+P38)-P52)-P53)+P55)-P51)-P56)</f>
        <v/>
      </c>
      <c r="Q59" s="14">
        <f>(((((((P59+Q45)+Q38)-Q52)-Q53)+Q55)-Q51)-Q56)</f>
        <v/>
      </c>
    </row>
    <row r="60">
      <c r="A60" t="inlineStr">
        <is>
          <t>Total debt</t>
        </is>
      </c>
      <c r="B60" t="inlineStr">
        <is>
          <t>debt</t>
        </is>
      </c>
      <c r="D60" s="13" t="n">
        <v>492.071979</v>
      </c>
      <c r="E60" s="13" t="n">
        <v>435.223173</v>
      </c>
      <c r="F60" s="13" t="n">
        <v>381.308049</v>
      </c>
      <c r="G60" s="13" t="n">
        <v>500.256273</v>
      </c>
      <c r="H60" s="14">
        <f>(G60+H55)</f>
        <v/>
      </c>
      <c r="I60" s="14">
        <f>(H60+I55)</f>
        <v/>
      </c>
      <c r="J60" s="14">
        <f>(I60+J55)</f>
        <v/>
      </c>
      <c r="K60" s="14">
        <f>(J60+K55)</f>
        <v/>
      </c>
      <c r="L60" s="14">
        <f>(K60+L55)</f>
        <v/>
      </c>
      <c r="M60" s="14">
        <f>(L60+M55)</f>
        <v/>
      </c>
      <c r="N60" s="14">
        <f>(M60+N55)</f>
        <v/>
      </c>
      <c r="O60" s="14">
        <f>(N60+O55)</f>
        <v/>
      </c>
      <c r="P60" s="14">
        <f>(O60+P55)</f>
        <v/>
      </c>
      <c r="Q60" s="14">
        <f>(P60+Q55)</f>
        <v/>
      </c>
    </row>
    <row r="61">
      <c r="A61" t="inlineStr">
        <is>
          <t>Fixed assets (net)</t>
        </is>
      </c>
      <c r="B61" t="inlineStr">
        <is>
          <t>ppe</t>
        </is>
      </c>
      <c r="D61" s="13" t="n">
        <v>12.643678</v>
      </c>
      <c r="E61" s="13" t="n">
        <v>11.33722</v>
      </c>
      <c r="F61" s="13" t="n">
        <v>14.104143</v>
      </c>
      <c r="G61" s="13" t="n">
        <v>16.260683</v>
      </c>
      <c r="H61" s="14">
        <f>((G61+H52)-H38)</f>
        <v/>
      </c>
      <c r="I61" s="14">
        <f>((H61+I52)-I38)</f>
        <v/>
      </c>
      <c r="J61" s="14">
        <f>((I61+J52)-J38)</f>
        <v/>
      </c>
      <c r="K61" s="14">
        <f>((J61+K52)-K38)</f>
        <v/>
      </c>
      <c r="L61" s="14">
        <f>((K61+L52)-L38)</f>
        <v/>
      </c>
      <c r="M61" s="14">
        <f>((L61+M52)-M38)</f>
        <v/>
      </c>
      <c r="N61" s="14">
        <f>((M61+N52)-N38)</f>
        <v/>
      </c>
      <c r="O61" s="14">
        <f>((N61+O52)-O38)</f>
        <v/>
      </c>
      <c r="P61" s="14">
        <f>((O61+P52)-P38)</f>
        <v/>
      </c>
      <c r="Q61" s="14">
        <f>((P61+Q52)-Q38)</f>
        <v/>
      </c>
    </row>
    <row r="62">
      <c r="A62" t="inlineStr">
        <is>
          <t>Parent shareholders' equity</t>
        </is>
      </c>
      <c r="B62" t="inlineStr">
        <is>
          <t>equity</t>
        </is>
      </c>
      <c r="D62" s="13" t="n">
        <v>141.694437</v>
      </c>
      <c r="E62" s="13" t="n">
        <v>156.415326</v>
      </c>
      <c r="F62" s="13" t="n">
        <v>275.058793</v>
      </c>
      <c r="G62" s="13" t="n">
        <v>500.030229</v>
      </c>
      <c r="H62" s="14">
        <f>((G62+H47)-H51)</f>
        <v/>
      </c>
      <c r="I62" s="14">
        <f>((H62+I47)-I51)</f>
        <v/>
      </c>
      <c r="J62" s="14">
        <f>((I62+J47)-J51)</f>
        <v/>
      </c>
      <c r="K62" s="14">
        <f>((J62+K47)-K51)</f>
        <v/>
      </c>
      <c r="L62" s="14">
        <f>((K62+L47)-L51)</f>
        <v/>
      </c>
      <c r="M62" s="14">
        <f>((L62+M47)-M51)</f>
        <v/>
      </c>
      <c r="N62" s="14">
        <f>((M62+N47)-N51)</f>
        <v/>
      </c>
      <c r="O62" s="14">
        <f>((N62+O47)-O51)</f>
        <v/>
      </c>
      <c r="P62" s="14">
        <f>((O62+P47)-P51)</f>
        <v/>
      </c>
      <c r="Q62" s="14">
        <f>((P62+Q47)-Q51)</f>
        <v/>
      </c>
    </row>
    <row r="63">
      <c r="A63" t="inlineStr">
        <is>
          <t>Minority interest (balance sheet)</t>
        </is>
      </c>
      <c r="B63" t="inlineStr">
        <is>
          <t>minority_bs</t>
        </is>
      </c>
      <c r="D63" s="13" t="n">
        <v>8e-06</v>
      </c>
      <c r="E63" s="13" t="n">
        <v>1.1e-05</v>
      </c>
      <c r="F63" s="13" t="n">
        <v>1.3e-05</v>
      </c>
      <c r="G63" s="13" t="n">
        <v>1.8e-05</v>
      </c>
      <c r="H63" s="14">
        <f>((G63+H46)-H56)</f>
        <v/>
      </c>
      <c r="I63" s="14">
        <f>((H63+I46)-I56)</f>
        <v/>
      </c>
      <c r="J63" s="14">
        <f>((I63+J46)-J56)</f>
        <v/>
      </c>
      <c r="K63" s="14">
        <f>((J63+K46)-K56)</f>
        <v/>
      </c>
      <c r="L63" s="14">
        <f>((K63+L46)-L56)</f>
        <v/>
      </c>
      <c r="M63" s="14">
        <f>((L63+M46)-M56)</f>
        <v/>
      </c>
      <c r="N63" s="14">
        <f>((M63+N46)-N56)</f>
        <v/>
      </c>
      <c r="O63" s="14">
        <f>((N63+O46)-O56)</f>
        <v/>
      </c>
      <c r="P63" s="14">
        <f>((O63+P46)-P56)</f>
        <v/>
      </c>
      <c r="Q63" s="14">
        <f>((P63+Q46)-Q56)</f>
        <v/>
      </c>
    </row>
    <row r="64">
      <c r="A64" t="inlineStr">
        <is>
          <t>Other assets less other liabilities</t>
        </is>
      </c>
      <c r="B64" t="inlineStr">
        <is>
          <t>other_net</t>
        </is>
      </c>
      <c r="D64" s="13" t="n">
        <v>592.7978479999999</v>
      </c>
      <c r="E64" s="13" t="n">
        <v>483.2978479999999</v>
      </c>
      <c r="F64" s="13" t="n">
        <v>422.3139729999999</v>
      </c>
      <c r="G64" s="13" t="n">
        <v>774.269097</v>
      </c>
      <c r="H64" s="14">
        <f>G64</f>
        <v/>
      </c>
      <c r="I64" s="14">
        <f>H64</f>
        <v/>
      </c>
      <c r="J64" s="14">
        <f>I64</f>
        <v/>
      </c>
      <c r="K64" s="14">
        <f>J64</f>
        <v/>
      </c>
      <c r="L64" s="14">
        <f>K64</f>
        <v/>
      </c>
      <c r="M64" s="14">
        <f>L64</f>
        <v/>
      </c>
      <c r="N64" s="14">
        <f>M64</f>
        <v/>
      </c>
      <c r="O64" s="14">
        <f>N64</f>
        <v/>
      </c>
      <c r="P64" s="14">
        <f>O64</f>
        <v/>
      </c>
      <c r="Q64" s="14">
        <f>P64</f>
        <v/>
      </c>
    </row>
    <row r="65">
      <c r="A65" t="inlineStr">
        <is>
          <t>Balance check (should be zero)</t>
        </is>
      </c>
      <c r="B65" t="inlineStr">
        <is>
          <t>bs_check</t>
        </is>
      </c>
      <c r="D65" s="13" t="n"/>
      <c r="E65" s="13" t="n"/>
      <c r="F65" s="13" t="n"/>
      <c r="G65" s="13" t="n"/>
      <c r="H65" s="14">
        <f>((((((H59+H58)+H61)+H64)-H60)-H62)-H63)</f>
        <v/>
      </c>
      <c r="I65" s="14">
        <f>((((((I59+I58)+I61)+I64)-I60)-I62)-I63)</f>
        <v/>
      </c>
      <c r="J65" s="14">
        <f>((((((J59+J58)+J61)+J64)-J60)-J62)-J63)</f>
        <v/>
      </c>
      <c r="K65" s="14">
        <f>((((((K59+K58)+K61)+K64)-K60)-K62)-K63)</f>
        <v/>
      </c>
      <c r="L65" s="14">
        <f>((((((L59+L58)+L61)+L64)-L60)-L62)-L63)</f>
        <v/>
      </c>
      <c r="M65" s="14">
        <f>((((((M59+M58)+M61)+M64)-M60)-M62)-M63)</f>
        <v/>
      </c>
      <c r="N65" s="14">
        <f>((((((N59+N58)+N61)+N64)-N60)-N62)-N63)</f>
        <v/>
      </c>
      <c r="O65" s="14">
        <f>((((((O59+O58)+O61)+O64)-O60)-O62)-O63)</f>
        <v/>
      </c>
      <c r="P65" s="14">
        <f>((((((P59+P58)+P61)+P64)-P60)-P62)-P63)</f>
        <v/>
      </c>
      <c r="Q65" s="14">
        <f>((((((Q59+Q58)+Q61)+Q64)-Q60)-Q62)-Q63)</f>
        <v/>
      </c>
    </row>
    <row r="66">
      <c r="A66" t="inlineStr">
        <is>
          <t>Net debt (cash)</t>
        </is>
      </c>
      <c r="B66" t="inlineStr">
        <is>
          <t>net_debt</t>
        </is>
      </c>
      <c r="D66" s="13" t="n">
        <v>159.839402</v>
      </c>
      <c r="E66" s="13" t="n">
        <v>32.41657299999997</v>
      </c>
      <c r="F66" s="13" t="n">
        <v>-160.967485</v>
      </c>
      <c r="G66" s="13" t="n">
        <v>9.071117000000015</v>
      </c>
      <c r="H66" s="14">
        <f>(H60-H59)</f>
        <v/>
      </c>
      <c r="I66" s="14">
        <f>(I60-I59)</f>
        <v/>
      </c>
      <c r="J66" s="14">
        <f>(J60-J59)</f>
        <v/>
      </c>
      <c r="K66" s="14">
        <f>(K60-K59)</f>
        <v/>
      </c>
      <c r="L66" s="14">
        <f>(L60-L59)</f>
        <v/>
      </c>
      <c r="M66" s="14">
        <f>(M60-M59)</f>
        <v/>
      </c>
      <c r="N66" s="14">
        <f>(N60-N59)</f>
        <v/>
      </c>
      <c r="O66" s="14">
        <f>(O60-O59)</f>
        <v/>
      </c>
      <c r="P66" s="14">
        <f>(P60-P59)</f>
        <v/>
      </c>
      <c r="Q66" s="14">
        <f>(Q60-Q59)</f>
        <v/>
      </c>
    </row>
    <row r="67">
      <c r="A67" t="inlineStr">
        <is>
          <t>Book value per share</t>
        </is>
      </c>
      <c r="B67" t="inlineStr">
        <is>
          <t>bvps</t>
        </is>
      </c>
      <c r="D67" s="16" t="n">
        <v>15.31364727987527</v>
      </c>
      <c r="E67" s="16" t="n">
        <v>16.90460954039222</v>
      </c>
      <c r="F67" s="16" t="n">
        <v>29.72701982104087</v>
      </c>
      <c r="G67" s="16" t="n">
        <v>54.04084111065885</v>
      </c>
      <c r="H67" s="17">
        <f>(IF(H48=0,0,H62/H48)*$C$8)</f>
        <v/>
      </c>
      <c r="I67" s="17">
        <f>(IF(I48=0,0,I62/I48)*$C$8)</f>
        <v/>
      </c>
      <c r="J67" s="17">
        <f>(IF(J48=0,0,J62/J48)*$C$8)</f>
        <v/>
      </c>
      <c r="K67" s="17">
        <f>(IF(K48=0,0,K62/K48)*$C$8)</f>
        <v/>
      </c>
      <c r="L67" s="17">
        <f>(IF(L48=0,0,L62/L48)*$C$8)</f>
        <v/>
      </c>
      <c r="M67" s="17">
        <f>(IF(M48=0,0,M62/M48)*$C$8)</f>
        <v/>
      </c>
      <c r="N67" s="17">
        <f>(IF(N48=0,0,N62/N48)*$C$8)</f>
        <v/>
      </c>
      <c r="O67" s="17">
        <f>(IF(O48=0,0,O62/O48)*$C$8)</f>
        <v/>
      </c>
      <c r="P67" s="17">
        <f>(IF(P48=0,0,P62/P48)*$C$8)</f>
        <v/>
      </c>
      <c r="Q67" s="17">
        <f>(IF(Q48=0,0,Q62/Q48)*$C$8)</f>
        <v/>
      </c>
    </row>
    <row r="68">
      <c r="A68" t="inlineStr">
        <is>
          <t>Revenue growth</t>
        </is>
      </c>
      <c r="B68" t="inlineStr">
        <is>
          <t>revenue_growth</t>
        </is>
      </c>
      <c r="D68" s="4" t="n"/>
      <c r="E68" s="4" t="n">
        <v>0.1710251584599713</v>
      </c>
      <c r="F68" s="4" t="n">
        <v>0.02334007726495102</v>
      </c>
      <c r="G68" s="4" t="n">
        <v>0.04779312617984588</v>
      </c>
      <c r="H68" s="18">
        <f>(IF(G33=0,0,H33/G33)-1)</f>
        <v/>
      </c>
      <c r="I68" s="18">
        <f>(IF(H33=0,0,I33/H33)-1)</f>
        <v/>
      </c>
      <c r="J68" s="18">
        <f>(IF(I33=0,0,J33/I33)-1)</f>
        <v/>
      </c>
      <c r="K68" s="18">
        <f>(IF(J33=0,0,K33/J33)-1)</f>
        <v/>
      </c>
      <c r="L68" s="18">
        <f>(IF(K33=0,0,L33/K33)-1)</f>
        <v/>
      </c>
      <c r="M68" s="18">
        <f>(IF(L33=0,0,M33/L33)-1)</f>
        <v/>
      </c>
      <c r="N68" s="18">
        <f>(IF(M33=0,0,N33/M33)-1)</f>
        <v/>
      </c>
      <c r="O68" s="18">
        <f>(IF(N33=0,0,O33/N33)-1)</f>
        <v/>
      </c>
      <c r="P68" s="18">
        <f>(IF(O33=0,0,P33/O33)-1)</f>
        <v/>
      </c>
      <c r="Q68" s="18">
        <f>(IF(P33=0,0,Q33/P33)-1)</f>
        <v/>
      </c>
    </row>
    <row r="69">
      <c r="A69" t="inlineStr">
        <is>
          <t>Gross margin</t>
        </is>
      </c>
      <c r="B69" t="inlineStr">
        <is>
          <t>gross_margin</t>
        </is>
      </c>
      <c r="D69" s="4" t="n">
        <v>0.05145413532614686</v>
      </c>
      <c r="E69" s="4" t="n">
        <v>0.08264660201357807</v>
      </c>
      <c r="F69" s="4" t="n">
        <v>0.09670823689809126</v>
      </c>
      <c r="G69" s="4" t="n">
        <v>0.1163908313315031</v>
      </c>
      <c r="H69" s="18">
        <f>IF(H33=0,0,H35/H33)</f>
        <v/>
      </c>
      <c r="I69" s="18">
        <f>IF(I33=0,0,I35/I33)</f>
        <v/>
      </c>
      <c r="J69" s="18">
        <f>IF(J33=0,0,J35/J33)</f>
        <v/>
      </c>
      <c r="K69" s="18">
        <f>IF(K33=0,0,K35/K33)</f>
        <v/>
      </c>
      <c r="L69" s="18">
        <f>IF(L33=0,0,L35/L33)</f>
        <v/>
      </c>
      <c r="M69" s="18">
        <f>IF(M33=0,0,M35/M33)</f>
        <v/>
      </c>
      <c r="N69" s="18">
        <f>IF(N33=0,0,N35/N33)</f>
        <v/>
      </c>
      <c r="O69" s="18">
        <f>IF(O33=0,0,O35/O33)</f>
        <v/>
      </c>
      <c r="P69" s="18">
        <f>IF(P33=0,0,P35/P33)</f>
        <v/>
      </c>
      <c r="Q69" s="18">
        <f>IF(Q33=0,0,Q35/Q33)</f>
        <v/>
      </c>
    </row>
    <row r="70">
      <c r="A70" t="inlineStr">
        <is>
          <t>EBITDA margin</t>
        </is>
      </c>
      <c r="B70" t="inlineStr">
        <is>
          <t>ebitda_margin</t>
        </is>
      </c>
      <c r="D70" s="4" t="n">
        <v>0.02192867480682161</v>
      </c>
      <c r="E70" s="4" t="n">
        <v>0.05372280958154667</v>
      </c>
      <c r="F70" s="4" t="n">
        <v>0.07245265783717376</v>
      </c>
      <c r="G70" s="4" t="n">
        <v>0.1004321848547243</v>
      </c>
      <c r="H70" s="18">
        <f>IF(H33=0,0,H39/H33)</f>
        <v/>
      </c>
      <c r="I70" s="18">
        <f>IF(I33=0,0,I39/I33)</f>
        <v/>
      </c>
      <c r="J70" s="18">
        <f>IF(J33=0,0,J39/J33)</f>
        <v/>
      </c>
      <c r="K70" s="18">
        <f>IF(K33=0,0,K39/K33)</f>
        <v/>
      </c>
      <c r="L70" s="18">
        <f>IF(L33=0,0,L39/L33)</f>
        <v/>
      </c>
      <c r="M70" s="18">
        <f>IF(M33=0,0,M39/M33)</f>
        <v/>
      </c>
      <c r="N70" s="18">
        <f>IF(N33=0,0,N39/N33)</f>
        <v/>
      </c>
      <c r="O70" s="18">
        <f>IF(O33=0,0,O39/O33)</f>
        <v/>
      </c>
      <c r="P70" s="18">
        <f>IF(P33=0,0,P39/P33)</f>
        <v/>
      </c>
      <c r="Q70" s="18">
        <f>IF(Q33=0,0,Q39/Q33)</f>
        <v/>
      </c>
    </row>
    <row r="71">
      <c r="A71" t="inlineStr">
        <is>
          <t>EBIT margin</t>
        </is>
      </c>
      <c r="B71" t="inlineStr">
        <is>
          <t>ebit_margin</t>
        </is>
      </c>
      <c r="D71" s="4" t="n">
        <v>0.02137380963721718</v>
      </c>
      <c r="E71" s="4" t="n">
        <v>0.05322536903869985</v>
      </c>
      <c r="F71" s="4" t="n">
        <v>0.07206055973391663</v>
      </c>
      <c r="G71" s="4" t="n">
        <v>0.09953948123999085</v>
      </c>
      <c r="H71" s="18">
        <f>IF(H33=0,0,H37/H33)</f>
        <v/>
      </c>
      <c r="I71" s="18">
        <f>IF(I33=0,0,I37/I33)</f>
        <v/>
      </c>
      <c r="J71" s="18">
        <f>IF(J33=0,0,J37/J33)</f>
        <v/>
      </c>
      <c r="K71" s="18">
        <f>IF(K33=0,0,K37/K33)</f>
        <v/>
      </c>
      <c r="L71" s="18">
        <f>IF(L33=0,0,L37/L33)</f>
        <v/>
      </c>
      <c r="M71" s="18">
        <f>IF(M33=0,0,M37/M33)</f>
        <v/>
      </c>
      <c r="N71" s="18">
        <f>IF(N33=0,0,N37/N33)</f>
        <v/>
      </c>
      <c r="O71" s="18">
        <f>IF(O33=0,0,O37/O33)</f>
        <v/>
      </c>
      <c r="P71" s="18">
        <f>IF(P33=0,0,P37/P33)</f>
        <v/>
      </c>
      <c r="Q71" s="18">
        <f>IF(Q33=0,0,Q37/Q33)</f>
        <v/>
      </c>
    </row>
    <row r="72">
      <c r="A72" t="inlineStr">
        <is>
          <t>Net margin</t>
        </is>
      </c>
      <c r="B72" t="inlineStr">
        <is>
          <t>np_margin</t>
        </is>
      </c>
      <c r="D72" s="4" t="n">
        <v>0.001220927654365262</v>
      </c>
      <c r="E72" s="4" t="n">
        <v>0.004795029456359484</v>
      </c>
      <c r="F72" s="4" t="n">
        <v>0.0354822185599137</v>
      </c>
      <c r="G72" s="4" t="n">
        <v>0.06425135666895447</v>
      </c>
      <c r="H72" s="18">
        <f>IF(H33=0,0,H47/H33)</f>
        <v/>
      </c>
      <c r="I72" s="18">
        <f>IF(I33=0,0,I47/I33)</f>
        <v/>
      </c>
      <c r="J72" s="18">
        <f>IF(J33=0,0,J47/J33)</f>
        <v/>
      </c>
      <c r="K72" s="18">
        <f>IF(K33=0,0,K47/K33)</f>
        <v/>
      </c>
      <c r="L72" s="18">
        <f>IF(L33=0,0,L47/L33)</f>
        <v/>
      </c>
      <c r="M72" s="18">
        <f>IF(M33=0,0,M47/M33)</f>
        <v/>
      </c>
      <c r="N72" s="18">
        <f>IF(N33=0,0,N47/N33)</f>
        <v/>
      </c>
      <c r="O72" s="18">
        <f>IF(O33=0,0,O47/O33)</f>
        <v/>
      </c>
      <c r="P72" s="18">
        <f>IF(P33=0,0,P47/P33)</f>
        <v/>
      </c>
      <c r="Q72" s="18">
        <f>IF(Q33=0,0,Q47/Q33)</f>
        <v/>
      </c>
    </row>
    <row r="73">
      <c r="A73" t="inlineStr">
        <is>
          <t>EPS growth</t>
        </is>
      </c>
      <c r="B73" t="inlineStr">
        <is>
          <t>eps_growth</t>
        </is>
      </c>
      <c r="D73" s="4" t="n"/>
      <c r="E73" s="4" t="n">
        <v>3.599044102963481</v>
      </c>
      <c r="F73" s="4" t="n">
        <v>6.572503279302434</v>
      </c>
      <c r="G73" s="4" t="n">
        <v>0.8973483789290948</v>
      </c>
      <c r="H73" s="18">
        <f>(IF(G49=0,0,H49/G49)-1)</f>
        <v/>
      </c>
      <c r="I73" s="18">
        <f>(IF(H49=0,0,I49/H49)-1)</f>
        <v/>
      </c>
      <c r="J73" s="18">
        <f>(IF(I49=0,0,J49/I49)-1)</f>
        <v/>
      </c>
      <c r="K73" s="18">
        <f>(IF(J49=0,0,K49/J49)-1)</f>
        <v/>
      </c>
      <c r="L73" s="18">
        <f>(IF(K49=0,0,L49/K49)-1)</f>
        <v/>
      </c>
      <c r="M73" s="18">
        <f>(IF(L49=0,0,M49/L49)-1)</f>
        <v/>
      </c>
      <c r="N73" s="18">
        <f>(IF(M49=0,0,N49/M49)-1)</f>
        <v/>
      </c>
      <c r="O73" s="18">
        <f>(IF(N49=0,0,O49/N49)-1)</f>
        <v/>
      </c>
      <c r="P73" s="18">
        <f>(IF(O49=0,0,P49/O49)-1)</f>
        <v/>
      </c>
      <c r="Q73" s="18">
        <f>(IF(P49=0,0,Q49/P49)-1)</f>
        <v/>
      </c>
    </row>
    <row r="74">
      <c r="A74" t="inlineStr">
        <is>
          <t>ROE</t>
        </is>
      </c>
      <c r="B74" t="inlineStr">
        <is>
          <t>roe</t>
        </is>
      </c>
      <c r="D74" s="4" t="n"/>
      <c r="E74" s="4" t="n">
        <v>0.1049108344700539</v>
      </c>
      <c r="F74" s="4" t="n">
        <v>0.5488848706589514</v>
      </c>
      <c r="G74" s="4" t="n">
        <v>0.5797376497999219</v>
      </c>
      <c r="H74" s="18">
        <f>IF(IF(2=0,0,(H62+G62)/2)=0,0,H47/IF(2=0,0,(H62+G62)/2))</f>
        <v/>
      </c>
      <c r="I74" s="18">
        <f>IF(IF(2=0,0,(I62+H62)/2)=0,0,I47/IF(2=0,0,(I62+H62)/2))</f>
        <v/>
      </c>
      <c r="J74" s="18">
        <f>IF(IF(2=0,0,(J62+I62)/2)=0,0,J47/IF(2=0,0,(J62+I62)/2))</f>
        <v/>
      </c>
      <c r="K74" s="18">
        <f>IF(IF(2=0,0,(K62+J62)/2)=0,0,K47/IF(2=0,0,(K62+J62)/2))</f>
        <v/>
      </c>
      <c r="L74" s="18">
        <f>IF(IF(2=0,0,(L62+K62)/2)=0,0,L47/IF(2=0,0,(L62+K62)/2))</f>
        <v/>
      </c>
      <c r="M74" s="18">
        <f>IF(IF(2=0,0,(M62+L62)/2)=0,0,M47/IF(2=0,0,(M62+L62)/2))</f>
        <v/>
      </c>
      <c r="N74" s="18">
        <f>IF(IF(2=0,0,(N62+M62)/2)=0,0,N47/IF(2=0,0,(N62+M62)/2))</f>
        <v/>
      </c>
      <c r="O74" s="18">
        <f>IF(IF(2=0,0,(O62+N62)/2)=0,0,O47/IF(2=0,0,(O62+N62)/2))</f>
        <v/>
      </c>
      <c r="P74" s="18">
        <f>IF(IF(2=0,0,(P62+O62)/2)=0,0,P47/IF(2=0,0,(P62+O62)/2))</f>
        <v/>
      </c>
      <c r="Q74" s="18">
        <f>IF(IF(2=0,0,(Q62+P62)/2)=0,0,Q47/IF(2=0,0,(Q62+P62)/2))</f>
        <v/>
      </c>
    </row>
    <row r="75">
      <c r="A75" t="inlineStr">
        <is>
          <t>Net debt / EBITDA</t>
        </is>
      </c>
      <c r="B75" t="inlineStr">
        <is>
          <t>net_debt_ebitda</t>
        </is>
      </c>
      <c r="D75" s="19" t="n">
        <v>2.617353719403075</v>
      </c>
      <c r="E75" s="19" t="n">
        <v>0.1850261522902699</v>
      </c>
      <c r="F75" s="19" t="n">
        <v>-0.6657153767745493</v>
      </c>
      <c r="G75" s="19" t="n">
        <v>0.02582956334585821</v>
      </c>
      <c r="H75" s="20">
        <f>IF(H39=0,0,H66/H39)</f>
        <v/>
      </c>
      <c r="I75" s="20">
        <f>IF(I39=0,0,I66/I39)</f>
        <v/>
      </c>
      <c r="J75" s="20">
        <f>IF(J39=0,0,J66/J39)</f>
        <v/>
      </c>
      <c r="K75" s="20">
        <f>IF(K39=0,0,K66/K39)</f>
        <v/>
      </c>
      <c r="L75" s="20">
        <f>IF(L39=0,0,L66/L39)</f>
        <v/>
      </c>
      <c r="M75" s="20">
        <f>IF(M39=0,0,M66/M39)</f>
        <v/>
      </c>
      <c r="N75" s="20">
        <f>IF(N39=0,0,N66/N39)</f>
        <v/>
      </c>
      <c r="O75" s="20">
        <f>IF(O39=0,0,O66/O39)</f>
        <v/>
      </c>
      <c r="P75" s="20">
        <f>IF(P39=0,0,P66/P39)</f>
        <v/>
      </c>
      <c r="Q75" s="20">
        <f>IF(Q39=0,0,Q66/Q39)</f>
        <v/>
      </c>
    </row>
    <row r="76">
      <c r="A76" t="inlineStr">
        <is>
          <t>Payout ratio</t>
        </is>
      </c>
      <c r="B76" t="inlineStr">
        <is>
          <t>payout_ratio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18">
        <f>IF(H49=0,0,H50/H49)</f>
        <v/>
      </c>
      <c r="I76" s="18">
        <f>IF(I49=0,0,I50/I49)</f>
        <v/>
      </c>
      <c r="J76" s="18">
        <f>IF(J49=0,0,J50/J49)</f>
        <v/>
      </c>
      <c r="K76" s="18">
        <f>IF(K49=0,0,K50/K49)</f>
        <v/>
      </c>
      <c r="L76" s="18">
        <f>IF(L49=0,0,L50/L49)</f>
        <v/>
      </c>
      <c r="M76" s="18">
        <f>IF(M49=0,0,M50/M49)</f>
        <v/>
      </c>
      <c r="N76" s="18">
        <f>IF(N49=0,0,N50/N49)</f>
        <v/>
      </c>
      <c r="O76" s="18">
        <f>IF(O49=0,0,O50/O49)</f>
        <v/>
      </c>
      <c r="P76" s="18">
        <f>IF(P49=0,0,P50/P49)</f>
        <v/>
      </c>
      <c r="Q76" s="18">
        <f>IF(Q49=0,0,Q50/Q49)</f>
        <v/>
      </c>
    </row>
    <row r="77">
      <c r="A77" t="inlineStr">
        <is>
          <t>Capex / revenue</t>
        </is>
      </c>
      <c r="B77" t="inlineStr">
        <is>
          <t>capex_revenue</t>
        </is>
      </c>
      <c r="D77" s="4" t="n">
        <v>0.0001074564219261277</v>
      </c>
      <c r="E77" s="4" t="n">
        <v>0.0001172540503176558</v>
      </c>
      <c r="F77" s="4" t="n">
        <v>0.0001720342792077428</v>
      </c>
      <c r="G77" s="4" t="n">
        <v>0.0002913480896819949</v>
      </c>
      <c r="H77" s="18">
        <f>IF(H33=0,0,H52/H33)</f>
        <v/>
      </c>
      <c r="I77" s="18">
        <f>IF(I33=0,0,I52/I33)</f>
        <v/>
      </c>
      <c r="J77" s="18">
        <f>IF(J33=0,0,J52/J33)</f>
        <v/>
      </c>
      <c r="K77" s="18">
        <f>IF(K33=0,0,K52/K33)</f>
        <v/>
      </c>
      <c r="L77" s="18">
        <f>IF(L33=0,0,L52/L33)</f>
        <v/>
      </c>
      <c r="M77" s="18">
        <f>IF(M33=0,0,M52/M33)</f>
        <v/>
      </c>
      <c r="N77" s="18">
        <f>IF(N33=0,0,N52/N33)</f>
        <v/>
      </c>
      <c r="O77" s="18">
        <f>IF(O33=0,0,O52/O33)</f>
        <v/>
      </c>
      <c r="P77" s="18">
        <f>IF(P33=0,0,P52/P33)</f>
        <v/>
      </c>
      <c r="Q77" s="18">
        <f>IF(Q33=0,0,Q52/Q33)</f>
        <v/>
      </c>
    </row>
    <row r="79">
      <c r="A79" s="1" t="inlineStr">
        <is>
          <t>VALUATION</t>
        </is>
      </c>
    </row>
    <row r="80">
      <c r="A80" t="inlineStr">
        <is>
          <t>Last price (IDR)</t>
        </is>
      </c>
      <c r="C80" s="16" t="n">
        <v>161</v>
      </c>
    </row>
    <row r="81">
      <c r="A81" t="inlineStr">
        <is>
          <t>Shares outstanding (m)</t>
        </is>
      </c>
      <c r="C81" s="13" t="n">
        <v>9252.820991000001</v>
      </c>
    </row>
    <row r="82">
      <c r="A82" t="inlineStr">
        <is>
          <t>IDR per USD (spot)</t>
        </is>
      </c>
      <c r="C82" s="3" t="n">
        <v>18128</v>
      </c>
    </row>
    <row r="83">
      <c r="A83" t="inlineStr">
        <is>
          <t>Debt at balance-sheet date</t>
        </is>
      </c>
      <c r="C83" s="13" t="n">
        <v>299.469147</v>
      </c>
    </row>
    <row r="84">
      <c r="A84" t="inlineStr">
        <is>
          <t>Cash at balance-sheet date</t>
        </is>
      </c>
      <c r="C84" s="13" t="n">
        <v>636.16324</v>
      </c>
    </row>
    <row r="85">
      <c r="A85" t="inlineStr">
        <is>
          <t>Minority interest (book)</t>
        </is>
      </c>
      <c r="C85" s="13" t="n">
        <v>2.4e-05</v>
      </c>
    </row>
    <row r="86">
      <c r="A86" t="inlineStr">
        <is>
          <t>Associates &amp; investments (book)</t>
        </is>
      </c>
      <c r="C86" s="13" t="n">
        <v>86.481318</v>
      </c>
    </row>
    <row r="87">
      <c r="A87" t="inlineStr">
        <is>
          <t>Post-balance-sheet &amp; other items (sourced, probability-weighted)</t>
        </is>
      </c>
      <c r="C87" s="13" t="n">
        <v>0</v>
      </c>
    </row>
    <row r="88">
      <c r="A88" t="inlineStr">
        <is>
          <t>Parent equity at balance-sheet date</t>
        </is>
      </c>
      <c r="C88" s="13" t="n">
        <v>597.8407529999999</v>
      </c>
    </row>
    <row r="89">
      <c r="A89" t="inlineStr">
        <is>
          <t>Per-share factor</t>
        </is>
      </c>
      <c r="C89" s="21" t="n">
        <v>1000</v>
      </c>
    </row>
    <row r="90">
      <c r="A90" t="inlineStr">
        <is>
          <t>Risk-free rate</t>
        </is>
      </c>
      <c r="C90" s="8">
        <f>Drivers!$C$9</f>
        <v/>
      </c>
    </row>
    <row r="91">
      <c r="A91" t="inlineStr">
        <is>
          <t>Less: default spread (IDR only)</t>
        </is>
      </c>
      <c r="C91" s="8">
        <f>Drivers!$C$11</f>
        <v/>
      </c>
    </row>
    <row r="92">
      <c r="A92" t="inlineStr">
        <is>
          <t>Mature ERP + Indonesia CRP</t>
        </is>
      </c>
      <c r="C92" s="8">
        <f>Drivers!$C$12+Drivers!$C$13</f>
        <v/>
      </c>
    </row>
    <row r="93">
      <c r="A93" t="inlineStr">
        <is>
          <t>Tax rate</t>
        </is>
      </c>
      <c r="C93" s="8">
        <f>Drivers!$C$15</f>
        <v/>
      </c>
    </row>
    <row r="94">
      <c r="A94" t="inlineStr">
        <is>
          <t>Unlevered beta (industry default (config))</t>
        </is>
      </c>
      <c r="C94" s="22" t="n">
        <v>1</v>
      </c>
    </row>
    <row r="95">
      <c r="A95" t="inlineStr">
        <is>
          <t>Debt / equity (market)</t>
        </is>
      </c>
      <c r="C95" s="22" t="n">
        <v>0.2010259158232748</v>
      </c>
    </row>
    <row r="96">
      <c r="A96" t="inlineStr">
        <is>
          <t>Levered beta</t>
        </is>
      </c>
      <c r="C96" s="23">
        <f>$C$94*(1+(1-$C$93)*$C$95)</f>
        <v/>
      </c>
    </row>
    <row r="97">
      <c r="A97" t="inlineStr">
        <is>
          <t>Explicit company premium</t>
        </is>
      </c>
      <c r="C97" s="4" t="n">
        <v>0</v>
      </c>
    </row>
    <row r="98">
      <c r="A98" t="inlineStr">
        <is>
          <t>Cost of equity</t>
        </is>
      </c>
      <c r="C98" s="10">
        <f>$C$90-$C$91+$C$96*$C$92+$C$97</f>
        <v/>
      </c>
    </row>
    <row r="99">
      <c r="A99" t="inlineStr">
        <is>
          <t>Pre-tax cost of debt</t>
        </is>
      </c>
      <c r="C99" s="10">
        <f>$C$90+Drivers!$C$14</f>
        <v/>
      </c>
    </row>
    <row r="100">
      <c r="A100" t="inlineStr">
        <is>
          <t>WACC</t>
        </is>
      </c>
      <c r="C100" s="10">
        <f>1/(1+$C$95)*$C$98+$C$95/(1+$C$95)*$C$99*(1-$C$93)</f>
        <v/>
      </c>
    </row>
    <row r="101">
      <c r="A101" t="inlineStr">
        <is>
          <t>Terminal growth (capped)</t>
        </is>
      </c>
      <c r="C101" s="4" t="n">
        <v>0.04</v>
      </c>
    </row>
    <row r="103">
      <c r="A103" s="1" t="inlineStr">
        <is>
          <t>DCF (FCFF, terminal value)</t>
        </is>
      </c>
    </row>
    <row r="104">
      <c r="A104" t="inlineStr">
        <is>
          <t>Share of year after balance-sheet date</t>
        </is>
      </c>
      <c r="H104" s="12" t="n">
        <v>0.503765</v>
      </c>
      <c r="I104" s="12" t="n">
        <v>0.996578</v>
      </c>
      <c r="J104" s="12" t="n">
        <v>0.999316</v>
      </c>
      <c r="K104" s="12" t="n">
        <v>0.996578</v>
      </c>
      <c r="L104" s="12" t="n">
        <v>0.996578</v>
      </c>
      <c r="M104" s="12" t="n">
        <v>0.996578</v>
      </c>
      <c r="N104" s="12" t="n">
        <v>0.999316</v>
      </c>
      <c r="O104" s="12" t="n">
        <v>0.996578</v>
      </c>
      <c r="P104" s="12" t="n">
        <v>0.996578</v>
      </c>
      <c r="Q104" s="12" t="n">
        <v>0.996578</v>
      </c>
    </row>
    <row r="105">
      <c r="A105" t="inlineStr">
        <is>
          <t>Discount time from valuation date (years)</t>
        </is>
      </c>
      <c r="H105" s="12" t="n">
        <v>0</v>
      </c>
      <c r="I105" s="12" t="n">
        <v>0.670773</v>
      </c>
      <c r="J105" s="12" t="n">
        <v>1.670089</v>
      </c>
      <c r="K105" s="12" t="n">
        <v>2.672142</v>
      </c>
      <c r="L105" s="12" t="n">
        <v>3.671458</v>
      </c>
      <c r="M105" s="12" t="n">
        <v>4.670773</v>
      </c>
      <c r="N105" s="12" t="n">
        <v>5.670089</v>
      </c>
      <c r="O105" s="12" t="n">
        <v>6.672142</v>
      </c>
      <c r="P105" s="12" t="n">
        <v>7.671458</v>
      </c>
      <c r="Q105" s="12" t="n">
        <v>8.670773000000001</v>
      </c>
    </row>
    <row r="106">
      <c r="A106" t="inlineStr">
        <is>
          <t>Discount factor</t>
        </is>
      </c>
      <c r="H106">
        <f>1/(1+$C$100)^H105</f>
        <v/>
      </c>
      <c r="I106">
        <f>1/(1+$C$100)^I105</f>
        <v/>
      </c>
      <c r="J106">
        <f>1/(1+$C$100)^J105</f>
        <v/>
      </c>
      <c r="K106">
        <f>1/(1+$C$100)^K105</f>
        <v/>
      </c>
      <c r="L106">
        <f>1/(1+$C$100)^L105</f>
        <v/>
      </c>
      <c r="M106">
        <f>1/(1+$C$100)^M105</f>
        <v/>
      </c>
      <c r="N106">
        <f>1/(1+$C$100)^N105</f>
        <v/>
      </c>
      <c r="O106">
        <f>1/(1+$C$100)^O105</f>
        <v/>
      </c>
      <c r="P106">
        <f>1/(1+$C$100)^P105</f>
        <v/>
      </c>
      <c r="Q106">
        <f>1/(1+$C$100)^Q105</f>
        <v/>
      </c>
    </row>
    <row r="107">
      <c r="A107" t="inlineStr">
        <is>
          <t>PV of FCFF</t>
        </is>
      </c>
      <c r="H107" s="24">
        <f>H54*H104*H106</f>
        <v/>
      </c>
      <c r="I107" s="24">
        <f>I54*I104*I106</f>
        <v/>
      </c>
      <c r="J107" s="24">
        <f>J54*J104*J106</f>
        <v/>
      </c>
      <c r="K107" s="24">
        <f>K54*K104*K106</f>
        <v/>
      </c>
      <c r="L107" s="24">
        <f>L54*L104*L106</f>
        <v/>
      </c>
      <c r="M107" s="24">
        <f>M54*M104*M106</f>
        <v/>
      </c>
      <c r="N107" s="24">
        <f>N54*N104*N106</f>
        <v/>
      </c>
      <c r="O107" s="24">
        <f>O54*O104*O106</f>
        <v/>
      </c>
      <c r="P107" s="24">
        <f>P54*P104*P106</f>
        <v/>
      </c>
      <c r="Q107" s="24">
        <f>Q54*Q104*Q106</f>
        <v/>
      </c>
    </row>
    <row r="108">
      <c r="A108" t="inlineStr">
        <is>
          <t>Sum of PV</t>
        </is>
      </c>
      <c r="C108" s="24">
        <f>SUM(H107:Q107)</f>
        <v/>
      </c>
    </row>
    <row r="109">
      <c r="A109" t="inlineStr">
        <is>
          <t>Years to end of horizon</t>
        </is>
      </c>
      <c r="C109" s="21" t="n">
        <v>9.169062</v>
      </c>
    </row>
    <row r="110">
      <c r="A110" t="inlineStr">
        <is>
          <t>Terminal value</t>
        </is>
      </c>
      <c r="C110" s="24">
        <f>Q54*(1+$C$101)/($C$100-$C$101)</f>
        <v/>
      </c>
    </row>
    <row r="111">
      <c r="A111" t="inlineStr">
        <is>
          <t>PV of terminal value</t>
        </is>
      </c>
      <c r="C111" s="24">
        <f>$C$110/(1+$C$100)^$C$109</f>
        <v/>
      </c>
    </row>
    <row r="112">
      <c r="A112" t="inlineStr">
        <is>
          <t>Enterprise value</t>
        </is>
      </c>
      <c r="C112" s="24">
        <f>$C$108+$C$111</f>
        <v/>
      </c>
    </row>
    <row r="113">
      <c r="A113" t="inlineStr">
        <is>
          <t>Equity value</t>
        </is>
      </c>
      <c r="C113" s="24">
        <f>$C$112-($C$83-$C$84)-$C$85+$C$86+$C$87</f>
        <v/>
      </c>
    </row>
    <row r="114">
      <c r="A114" t="inlineStr">
        <is>
          <t>Value per share (IDR) — DCF (FCFF, terminal value)</t>
        </is>
      </c>
      <c r="C114" s="25">
        <f>MAX(0,$C$113/$C$81*$C$89*1)</f>
        <v/>
      </c>
    </row>
    <row r="116">
      <c r="A116" s="1" t="inlineStr">
        <is>
          <t>EV/EBITDA</t>
        </is>
      </c>
    </row>
    <row r="117">
      <c r="A117" t="inlineStr">
        <is>
          <t>Target multiple (peer median)</t>
        </is>
      </c>
      <c r="C117" s="19" t="n">
        <v>17.247311</v>
      </c>
    </row>
    <row r="118">
      <c r="A118" t="inlineStr">
        <is>
          <t>Metric (LTM, or next-12m DPS for yield)</t>
        </is>
      </c>
      <c r="C118" s="13" t="n">
        <v>351.191264</v>
      </c>
    </row>
    <row r="119">
      <c r="A119" t="inlineStr">
        <is>
          <t>Value per share (IDR) — EV/EBITDA</t>
        </is>
      </c>
      <c r="C119" s="25">
        <f>MAX(0,($C$117*$C$118-($C$83-$C$84)-$C$85+$C$86+$C$87)/$C$81*$C$89*1)</f>
        <v/>
      </c>
    </row>
    <row r="121">
      <c r="A121" s="1" t="inlineStr">
        <is>
          <t>P/BV</t>
        </is>
      </c>
    </row>
    <row r="122">
      <c r="A122" t="inlineStr">
        <is>
          <t>Target multiple (peer median)</t>
        </is>
      </c>
      <c r="C122" s="19" t="n">
        <v>1.179917</v>
      </c>
    </row>
    <row r="123">
      <c r="A123" t="inlineStr">
        <is>
          <t>Metric (LTM, or next-12m DPS for yield)</t>
        </is>
      </c>
      <c r="C123" s="13" t="n">
        <v>597.8407529999999</v>
      </c>
    </row>
    <row r="124">
      <c r="A124" t="inlineStr">
        <is>
          <t>Value per share (IDR) — P/BV</t>
        </is>
      </c>
      <c r="C124" s="25">
        <f>MAX(0,$C$122*$C$123/$C$81*$C$89*1)</f>
        <v/>
      </c>
    </row>
    <row r="126">
      <c r="A126" s="1" t="inlineStr">
        <is>
          <t>TARGET</t>
        </is>
      </c>
    </row>
    <row r="127">
      <c r="A127" t="inlineStr">
        <is>
          <t>Weight: DCF (FCFF, terminal value)</t>
        </is>
      </c>
      <c r="C127" s="4" t="n">
        <v>0.7</v>
      </c>
    </row>
    <row r="128">
      <c r="A128" t="inlineStr">
        <is>
          <t>Weight: EV/EBITDA</t>
        </is>
      </c>
      <c r="C128" s="4" t="n">
        <v>0.15</v>
      </c>
    </row>
    <row r="129">
      <c r="A129" t="inlineStr">
        <is>
          <t>Weight: P/BV</t>
        </is>
      </c>
      <c r="C129" s="4" t="n">
        <v>0.15</v>
      </c>
    </row>
    <row r="130">
      <c r="A130" t="inlineStr">
        <is>
          <t>Value today (weighted)</t>
        </is>
      </c>
      <c r="C130" s="25">
        <f>$C$114*$C$127+$C$119*$C$128+$C$124*$C$129</f>
        <v/>
      </c>
    </row>
    <row r="131">
      <c r="A131" t="inlineStr">
        <is>
          <t>DPS expected in next 12 months (IDR)</t>
        </is>
      </c>
      <c r="C131" s="16" t="n">
        <v>0</v>
      </c>
    </row>
    <row r="132">
      <c r="A132" t="inlineStr">
        <is>
          <t>Base-case 12-month value</t>
        </is>
      </c>
      <c r="C132" s="25">
        <f>MAX(0,$C$130*(1+$C$98)-$C$131)</f>
        <v/>
      </c>
    </row>
    <row r="133">
      <c r="A133" t="inlineStr">
        <is>
          <t>Bear probability</t>
        </is>
      </c>
      <c r="C133" s="4" t="n">
        <v>0.25</v>
      </c>
    </row>
    <row r="134">
      <c r="A134" t="inlineStr">
        <is>
          <t>Bear 12-month value (engine)</t>
        </is>
      </c>
      <c r="C134" s="16" t="n">
        <v>227.9729991877886</v>
      </c>
    </row>
    <row r="135">
      <c r="A135" t="inlineStr">
        <is>
          <t>Base probability</t>
        </is>
      </c>
      <c r="C135" s="4" t="n">
        <v>0.5</v>
      </c>
    </row>
    <row r="136">
      <c r="A136" t="inlineStr">
        <is>
          <t>Bull probability</t>
        </is>
      </c>
      <c r="C136" s="4" t="n">
        <v>0.25</v>
      </c>
    </row>
    <row r="137">
      <c r="A137" t="inlineStr">
        <is>
          <t>Bull 12-month value (engine)</t>
        </is>
      </c>
      <c r="C137" s="16" t="n">
        <v>754.5070797459636</v>
      </c>
    </row>
    <row r="138">
      <c r="A138" t="inlineStr">
        <is>
          <t>Probability-weighted 12-month value</t>
        </is>
      </c>
      <c r="C138" s="25">
        <f>$C$133*$C$134+$C$135*$C$132+$C$136*$C$137</f>
        <v/>
      </c>
    </row>
    <row r="139">
      <c r="A139" t="inlineStr">
        <is>
          <t>Liquidity discount (limits.yaml)</t>
        </is>
      </c>
      <c r="C139" s="4" t="n">
        <v>0.1</v>
      </c>
    </row>
    <row r="140">
      <c r="A140" t="inlineStr">
        <is>
          <t>TARGET PRICE (IDR)</t>
        </is>
      </c>
      <c r="C140" s="27">
        <f>$C$138*(1-$C$139)</f>
        <v/>
      </c>
    </row>
    <row r="141">
      <c r="A141" t="inlineStr">
        <is>
          <t>Expected 12-month total return</t>
        </is>
      </c>
      <c r="C141" s="28">
        <f>($C$140+$C$131)/$C$80-1</f>
        <v/>
      </c>
    </row>
    <row r="142">
      <c r="A142" t="inlineStr">
        <is>
          <t>Rating</t>
        </is>
      </c>
      <c r="C142" s="29">
        <f>IF($C$141&gt;=0.25,"BUY",IF($C$141&gt;=0.1,"ADD",IF($C$141&lt;=-0.25,"SELL",IF($C$141&lt;=-0.1,"REDUCE","HOLD"))))</f>
        <v/>
      </c>
    </row>
    <row r="144">
      <c r="A144" s="1" t="inlineStr">
        <is>
          <t>DCF value per share vs WACC and terminal growth (engine values)</t>
        </is>
      </c>
    </row>
    <row r="145">
      <c r="A145" s="5" t="inlineStr">
        <is>
          <t>rows: Terminal growth (+/- pp) · columns: WACC (+/- pp)</t>
        </is>
      </c>
      <c r="D145" s="1" t="n">
        <v>-0.01</v>
      </c>
      <c r="E145" s="1" t="n">
        <v>-0.005</v>
      </c>
      <c r="F145" s="1" t="n">
        <v>0</v>
      </c>
      <c r="G145" s="1" t="n">
        <v>0.005</v>
      </c>
      <c r="H145" s="1" t="n">
        <v>0.01</v>
      </c>
    </row>
    <row r="146">
      <c r="C146" s="1" t="n">
        <v>-0.01</v>
      </c>
      <c r="D146" s="25" t="n">
        <v>432.160398</v>
      </c>
      <c r="E146" s="25" t="n">
        <v>412.499942</v>
      </c>
      <c r="F146" s="25" t="n">
        <v>394.900231</v>
      </c>
      <c r="G146" s="25" t="n">
        <v>379.052478</v>
      </c>
      <c r="H146" s="25" t="n">
        <v>364.706599</v>
      </c>
    </row>
    <row r="147">
      <c r="C147" s="1" t="n">
        <v>-0.005</v>
      </c>
      <c r="D147" s="25" t="n">
        <v>443.732095</v>
      </c>
      <c r="E147" s="25" t="n">
        <v>422.421161</v>
      </c>
      <c r="F147" s="25" t="n">
        <v>403.463331</v>
      </c>
      <c r="G147" s="25" t="n">
        <v>386.487751</v>
      </c>
      <c r="H147" s="25" t="n">
        <v>371.197561</v>
      </c>
    </row>
    <row r="148">
      <c r="C148" s="1" t="n">
        <v>0</v>
      </c>
      <c r="D148" s="25" t="n">
        <v>456.840215</v>
      </c>
      <c r="E148" s="25" t="n">
        <v>433.577656</v>
      </c>
      <c r="F148" s="25" t="n">
        <v>413.030126</v>
      </c>
      <c r="G148" s="25" t="n">
        <v>394.746275</v>
      </c>
      <c r="H148" s="25" t="n">
        <v>378.369519</v>
      </c>
    </row>
    <row r="149">
      <c r="C149" s="1" t="n">
        <v>0.005</v>
      </c>
      <c r="D149" s="25" t="n">
        <v>471.812512</v>
      </c>
      <c r="E149" s="25" t="n">
        <v>446.215446</v>
      </c>
      <c r="F149" s="25" t="n">
        <v>423.788067</v>
      </c>
      <c r="G149" s="25" t="n">
        <v>403.972794</v>
      </c>
      <c r="H149" s="25" t="n">
        <v>386.335575</v>
      </c>
    </row>
    <row r="150">
      <c r="C150" s="1" t="n">
        <v>0.01</v>
      </c>
      <c r="D150" s="25" t="n">
        <v>489.077102</v>
      </c>
      <c r="E150" s="25" t="n">
        <v>460.650526</v>
      </c>
      <c r="F150" s="25" t="n">
        <v>435.974386</v>
      </c>
      <c r="G150" s="25" t="n">
        <v>414.348093</v>
      </c>
      <c r="H150" s="25" t="n">
        <v>395.235344</v>
      </c>
    </row>
    <row r="152">
      <c r="A152" s="1" t="inlineStr">
        <is>
          <t>12-month value vs revenue growth and gross margin (engine values)</t>
        </is>
      </c>
    </row>
    <row r="153">
      <c r="A153" s="5" t="inlineStr">
        <is>
          <t>rows: Gross margin (+/- pp) · columns: Revenue growth (+/- pp, every year)</t>
        </is>
      </c>
      <c r="D153" s="1" t="n">
        <v>-0.04</v>
      </c>
      <c r="E153" s="1" t="n">
        <v>-0.02</v>
      </c>
      <c r="F153" s="1" t="n">
        <v>0</v>
      </c>
      <c r="G153" s="1" t="n">
        <v>0.02</v>
      </c>
      <c r="H153" s="1" t="n">
        <v>0.04</v>
      </c>
    </row>
    <row r="154">
      <c r="C154" s="1" t="n">
        <v>-0.02</v>
      </c>
      <c r="D154" s="25" t="n">
        <v>333.384859</v>
      </c>
      <c r="E154" s="25" t="n">
        <v>363.595813</v>
      </c>
      <c r="F154" s="25" t="n">
        <v>399.201226</v>
      </c>
      <c r="G154" s="25" t="n">
        <v>441.119418</v>
      </c>
      <c r="H154" s="25" t="n">
        <v>490.407635</v>
      </c>
    </row>
    <row r="155">
      <c r="C155" s="1" t="n">
        <v>-0.01</v>
      </c>
      <c r="D155" s="25" t="n">
        <v>356.618961</v>
      </c>
      <c r="E155" s="25" t="n">
        <v>390.29545</v>
      </c>
      <c r="F155" s="25" t="n">
        <v>429.924294</v>
      </c>
      <c r="G155" s="25" t="n">
        <v>476.509771</v>
      </c>
      <c r="H155" s="25" t="n">
        <v>531.206908</v>
      </c>
    </row>
    <row r="156">
      <c r="C156" s="1" t="n">
        <v>0</v>
      </c>
      <c r="D156" s="25" t="n">
        <v>379.853063</v>
      </c>
      <c r="E156" s="25" t="n">
        <v>416.995088</v>
      </c>
      <c r="F156" s="25" t="n">
        <v>460.647361</v>
      </c>
      <c r="G156" s="25" t="n">
        <v>511.900124</v>
      </c>
      <c r="H156" s="25" t="n">
        <v>572.006181</v>
      </c>
    </row>
    <row r="157">
      <c r="C157" s="1" t="n">
        <v>0.01</v>
      </c>
      <c r="D157" s="25" t="n">
        <v>403.087165</v>
      </c>
      <c r="E157" s="25" t="n">
        <v>443.694726</v>
      </c>
      <c r="F157" s="25" t="n">
        <v>491.370429</v>
      </c>
      <c r="G157" s="25" t="n">
        <v>547.290477</v>
      </c>
      <c r="H157" s="25" t="n">
        <v>612.8054540000001</v>
      </c>
    </row>
    <row r="158">
      <c r="C158" s="1" t="n">
        <v>0.02</v>
      </c>
      <c r="D158" s="25" t="n">
        <v>426.321268</v>
      </c>
      <c r="E158" s="25" t="n">
        <v>470.394364</v>
      </c>
      <c r="F158" s="25" t="n">
        <v>522.093497</v>
      </c>
      <c r="G158" s="25" t="n">
        <v>582.680829</v>
      </c>
      <c r="H158" s="25" t="n">
        <v>653.604727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Alfa Energi Investama Tbk (FIRE.JK) — Coal distribution, trading &amp; logistics</t>
        </is>
      </c>
    </row>
    <row r="2">
      <c r="A2" s="5" t="inlineStr">
        <is>
          <t>Units: IDR bn; per-share in IDR unless marked IDR. Model asof 2026-10-30 · data 2026-10-30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12" t="n">
        <v>10</v>
      </c>
    </row>
    <row r="8">
      <c r="A8" t="inlineStr">
        <is>
          <t>ps_factor</t>
        </is>
      </c>
      <c r="C8" s="12" t="n">
        <v>1000</v>
      </c>
    </row>
    <row r="9">
      <c r="A9" t="inlineStr">
        <is>
          <t>vp_factor</t>
        </is>
      </c>
      <c r="C9" s="12" t="n">
        <v>1e-06</v>
      </c>
    </row>
    <row r="11">
      <c r="A11" s="1" t="inlineStr">
        <is>
          <t>INPUTS (company assumptions)</t>
        </is>
      </c>
    </row>
    <row r="12">
      <c r="A12" t="inlineStr">
        <is>
          <t>Volume</t>
        </is>
      </c>
      <c r="B12" t="inlineStr">
        <is>
          <t>a.volume</t>
        </is>
      </c>
      <c r="H12" s="13" t="n">
        <v>400</v>
      </c>
      <c r="I12" s="13" t="n">
        <v>400</v>
      </c>
      <c r="J12" s="13" t="n">
        <v>400</v>
      </c>
      <c r="K12" s="13" t="n">
        <v>400</v>
      </c>
      <c r="L12" s="13" t="n">
        <v>400</v>
      </c>
      <c r="M12" s="13" t="n">
        <v>400</v>
      </c>
      <c r="N12" s="13" t="n">
        <v>400</v>
      </c>
      <c r="O12" s="13" t="n">
        <v>400</v>
      </c>
      <c r="P12" s="13" t="n">
        <v>400</v>
      </c>
      <c r="Q12" s="13" t="n">
        <v>400</v>
      </c>
    </row>
    <row r="13">
      <c r="A13" t="inlineStr">
        <is>
          <t>Average price</t>
        </is>
      </c>
      <c r="B13" t="inlineStr">
        <is>
          <t>a.price</t>
        </is>
      </c>
      <c r="H13" s="3" t="n">
        <v>830376</v>
      </c>
      <c r="I13" s="3" t="n">
        <v>851135</v>
      </c>
      <c r="J13" s="3" t="n">
        <v>872414</v>
      </c>
      <c r="K13" s="3" t="n">
        <v>894224</v>
      </c>
      <c r="L13" s="3" t="n">
        <v>916580</v>
      </c>
      <c r="M13" s="3" t="n">
        <v>939494</v>
      </c>
      <c r="N13" s="3" t="n">
        <v>962982</v>
      </c>
      <c r="O13" s="3" t="n">
        <v>987056</v>
      </c>
      <c r="P13" s="3" t="n">
        <v>1011733</v>
      </c>
      <c r="Q13" s="3" t="n">
        <v>1037026</v>
      </c>
    </row>
    <row r="14">
      <c r="A14" t="inlineStr">
        <is>
          <t>Gross margin at base input costs</t>
        </is>
      </c>
      <c r="B14" t="inlineStr">
        <is>
          <t>a.gross_margin</t>
        </is>
      </c>
      <c r="H14" s="4" t="n">
        <v>0.214</v>
      </c>
      <c r="I14" s="4" t="n">
        <v>0.214</v>
      </c>
      <c r="J14" s="4" t="n">
        <v>0.214</v>
      </c>
      <c r="K14" s="4" t="n">
        <v>0.214</v>
      </c>
      <c r="L14" s="4" t="n">
        <v>0.214</v>
      </c>
      <c r="M14" s="4" t="n">
        <v>0.214</v>
      </c>
      <c r="N14" s="4" t="n">
        <v>0.214</v>
      </c>
      <c r="O14" s="4" t="n">
        <v>0.214</v>
      </c>
      <c r="P14" s="4" t="n">
        <v>0.214</v>
      </c>
      <c r="Q14" s="4" t="n">
        <v>0.214</v>
      </c>
    </row>
    <row r="15">
      <c r="A15" t="inlineStr">
        <is>
          <t>Cost link 1: share of COGS exposed</t>
        </is>
      </c>
      <c r="B15" t="inlineStr">
        <is>
          <t>a.link1_share</t>
        </is>
      </c>
      <c r="C15" s="4" t="n">
        <v>0.15</v>
      </c>
    </row>
    <row r="16">
      <c r="A16" t="inlineStr">
        <is>
          <t>Cost link 1: pass-through to prices</t>
        </is>
      </c>
      <c r="B16" t="inlineStr">
        <is>
          <t>a.link1_pass</t>
        </is>
      </c>
      <c r="C16" s="4" t="n">
        <v>0.8</v>
      </c>
    </row>
    <row r="17">
      <c r="A17" t="inlineStr">
        <is>
          <t>Cost link 2: share of COGS exposed</t>
        </is>
      </c>
      <c r="B17" t="inlineStr">
        <is>
          <t>a.link2_share</t>
        </is>
      </c>
      <c r="C17" s="4" t="n">
        <v>0.15</v>
      </c>
    </row>
    <row r="18">
      <c r="A18" t="inlineStr">
        <is>
          <t>Cost link 2: pass-through to prices</t>
        </is>
      </c>
      <c r="B18" t="inlineStr">
        <is>
          <t>a.link2_pass</t>
        </is>
      </c>
      <c r="C18" s="4" t="n">
        <v>0.5</v>
      </c>
    </row>
    <row r="19">
      <c r="A19" t="inlineStr">
        <is>
          <t>SG&amp;A / revenue</t>
        </is>
      </c>
      <c r="B19" t="inlineStr">
        <is>
          <t>a.opex_pct</t>
        </is>
      </c>
      <c r="H19" s="4" t="n">
        <v>0.138</v>
      </c>
      <c r="I19" s="4" t="n">
        <v>0.138</v>
      </c>
      <c r="J19" s="4" t="n">
        <v>0.138</v>
      </c>
      <c r="K19" s="4" t="n">
        <v>0.138</v>
      </c>
      <c r="L19" s="4" t="n">
        <v>0.138</v>
      </c>
      <c r="M19" s="4" t="n">
        <v>0.138</v>
      </c>
      <c r="N19" s="4" t="n">
        <v>0.138</v>
      </c>
      <c r="O19" s="4" t="n">
        <v>0.138</v>
      </c>
      <c r="P19" s="4" t="n">
        <v>0.138</v>
      </c>
      <c r="Q19" s="4" t="n">
        <v>0.138</v>
      </c>
    </row>
    <row r="20">
      <c r="A20" t="inlineStr">
        <is>
          <t>D&amp;A / revenue</t>
        </is>
      </c>
      <c r="B20" t="inlineStr">
        <is>
          <t>a.da_pct</t>
        </is>
      </c>
      <c r="H20" s="4" t="n">
        <v>0.035</v>
      </c>
      <c r="I20" s="4" t="n">
        <v>0.035</v>
      </c>
      <c r="J20" s="4" t="n">
        <v>0.035</v>
      </c>
      <c r="K20" s="4" t="n">
        <v>0.035</v>
      </c>
      <c r="L20" s="4" t="n">
        <v>0.035</v>
      </c>
      <c r="M20" s="4" t="n">
        <v>0.035</v>
      </c>
      <c r="N20" s="4" t="n">
        <v>0.035</v>
      </c>
      <c r="O20" s="4" t="n">
        <v>0.035</v>
      </c>
      <c r="P20" s="4" t="n">
        <v>0.035</v>
      </c>
      <c r="Q20" s="4" t="n">
        <v>0.035</v>
      </c>
    </row>
    <row r="21">
      <c r="A21" t="inlineStr">
        <is>
          <t>Capex / revenue</t>
        </is>
      </c>
      <c r="B21" t="inlineStr">
        <is>
          <t>a.capex_pct</t>
        </is>
      </c>
      <c r="H21" s="4" t="n">
        <v>0.015</v>
      </c>
      <c r="I21" s="4" t="n">
        <v>0.015</v>
      </c>
      <c r="J21" s="4" t="n">
        <v>0.015</v>
      </c>
      <c r="K21" s="4" t="n">
        <v>0.015</v>
      </c>
      <c r="L21" s="4" t="n">
        <v>0.015</v>
      </c>
      <c r="M21" s="4" t="n">
        <v>0.015</v>
      </c>
      <c r="N21" s="4" t="n">
        <v>0.015</v>
      </c>
      <c r="O21" s="4" t="n">
        <v>0.015</v>
      </c>
      <c r="P21" s="4" t="n">
        <v>0.015</v>
      </c>
      <c r="Q21" s="4" t="n">
        <v>0.015</v>
      </c>
    </row>
    <row r="22">
      <c r="A22" t="inlineStr">
        <is>
          <t>Operating working capital / revenue</t>
        </is>
      </c>
      <c r="B22" t="inlineStr">
        <is>
          <t>a.nwc_pct</t>
        </is>
      </c>
      <c r="H22" s="4" t="n">
        <v>-0.06</v>
      </c>
      <c r="I22" s="4" t="n">
        <v>-0.06</v>
      </c>
      <c r="J22" s="4" t="n">
        <v>-0.06</v>
      </c>
      <c r="K22" s="4" t="n">
        <v>-0.06</v>
      </c>
      <c r="L22" s="4" t="n">
        <v>-0.06</v>
      </c>
      <c r="M22" s="4" t="n">
        <v>-0.06</v>
      </c>
      <c r="N22" s="4" t="n">
        <v>-0.06</v>
      </c>
      <c r="O22" s="4" t="n">
        <v>-0.06</v>
      </c>
      <c r="P22" s="4" t="n">
        <v>-0.06</v>
      </c>
      <c r="Q22" s="4" t="n">
        <v>-0.06</v>
      </c>
    </row>
    <row r="23">
      <c r="A23" t="inlineStr">
        <is>
          <t>Effective tax rate</t>
        </is>
      </c>
      <c r="B23" t="inlineStr">
        <is>
          <t>a.tax_rate</t>
        </is>
      </c>
      <c r="H23" s="4" t="n">
        <v>0.22</v>
      </c>
      <c r="I23" s="4" t="n">
        <v>0.22</v>
      </c>
      <c r="J23" s="4" t="n">
        <v>0.22</v>
      </c>
      <c r="K23" s="4" t="n">
        <v>0.22</v>
      </c>
      <c r="L23" s="4" t="n">
        <v>0.22</v>
      </c>
      <c r="M23" s="4" t="n">
        <v>0.22</v>
      </c>
      <c r="N23" s="4" t="n">
        <v>0.22</v>
      </c>
      <c r="O23" s="4" t="n">
        <v>0.22</v>
      </c>
      <c r="P23" s="4" t="n">
        <v>0.22</v>
      </c>
      <c r="Q23" s="4" t="n">
        <v>0.22</v>
      </c>
    </row>
    <row r="24">
      <c r="A24" t="inlineStr">
        <is>
          <t>Cost of debt (on opening debt)</t>
        </is>
      </c>
      <c r="B24" t="inlineStr">
        <is>
          <t>a.cost_of_debt</t>
        </is>
      </c>
      <c r="C24" s="4" t="n">
        <v>0.095</v>
      </c>
    </row>
    <row r="25">
      <c r="A25" t="inlineStr">
        <is>
          <t>Yield on opening cash</t>
        </is>
      </c>
      <c r="B25" t="inlineStr">
        <is>
          <t>a.cash_yield</t>
        </is>
      </c>
      <c r="C25" s="4" t="n">
        <v>0.025</v>
      </c>
    </row>
    <row r="26">
      <c r="A26" t="inlineStr">
        <is>
          <t>Net new borrowing</t>
        </is>
      </c>
      <c r="B26" t="inlineStr">
        <is>
          <t>a.net_borrowing</t>
        </is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</row>
    <row r="27">
      <c r="A27" t="inlineStr">
        <is>
          <t>Other non-operating items</t>
        </is>
      </c>
      <c r="B27" t="inlineStr">
        <is>
          <t>a.other_nonop</t>
        </is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</row>
    <row r="28">
      <c r="A28" t="inlineStr">
        <is>
          <t>Minorities' share of net profit</t>
        </is>
      </c>
      <c r="B28" t="inlineStr">
        <is>
          <t>a.minority_pct</t>
        </is>
      </c>
      <c r="H28" s="4" t="n">
        <v>0.01</v>
      </c>
      <c r="I28" s="4" t="n">
        <v>0.01</v>
      </c>
      <c r="J28" s="4" t="n">
        <v>0.01</v>
      </c>
      <c r="K28" s="4" t="n">
        <v>0.01</v>
      </c>
      <c r="L28" s="4" t="n">
        <v>0.01</v>
      </c>
      <c r="M28" s="4" t="n">
        <v>0.01</v>
      </c>
      <c r="N28" s="4" t="n">
        <v>0.01</v>
      </c>
      <c r="O28" s="4" t="n">
        <v>0.01</v>
      </c>
      <c r="P28" s="4" t="n">
        <v>0.01</v>
      </c>
      <c r="Q28" s="4" t="n">
        <v>0.01</v>
      </c>
    </row>
    <row r="29">
      <c r="A29" t="inlineStr">
        <is>
          <t>Dividend payout</t>
        </is>
      </c>
      <c r="B29" t="inlineStr">
        <is>
          <t>a.payout</t>
        </is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</row>
    <row r="30">
      <c r="A30" t="inlineStr">
        <is>
          <t>Change in share count</t>
        </is>
      </c>
      <c r="B30" t="inlineStr">
        <is>
          <t>a.share_change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</row>
    <row r="31">
      <c r="A31" t="inlineStr">
        <is>
          <t>Terminal growth (DCF)</t>
        </is>
      </c>
      <c r="B31" t="inlineStr">
        <is>
          <t>a.terminal_growth</t>
        </is>
      </c>
      <c r="C31" s="4" t="n">
        <v>0.03</v>
      </c>
    </row>
    <row r="33">
      <c r="A33" s="1" t="inlineStr">
        <is>
          <t>MODEL</t>
        </is>
      </c>
    </row>
    <row r="34">
      <c r="A34" t="inlineStr">
        <is>
          <t>Volume</t>
        </is>
      </c>
      <c r="B34" t="inlineStr">
        <is>
          <t>volume</t>
        </is>
      </c>
      <c r="D34" s="13" t="n"/>
      <c r="E34" s="13" t="n"/>
      <c r="F34" s="13" t="n">
        <v>556.995</v>
      </c>
      <c r="G34" s="13" t="n">
        <v>375.167</v>
      </c>
      <c r="H34" s="14">
        <f>H12</f>
        <v/>
      </c>
      <c r="I34" s="14">
        <f>I12</f>
        <v/>
      </c>
      <c r="J34" s="14">
        <f>J12</f>
        <v/>
      </c>
      <c r="K34" s="14">
        <f>K12</f>
        <v/>
      </c>
      <c r="L34" s="14">
        <f>L12</f>
        <v/>
      </c>
      <c r="M34" s="14">
        <f>M12</f>
        <v/>
      </c>
      <c r="N34" s="14">
        <f>N12</f>
        <v/>
      </c>
      <c r="O34" s="14">
        <f>O12</f>
        <v/>
      </c>
      <c r="P34" s="14">
        <f>P12</f>
        <v/>
      </c>
      <c r="Q34" s="14">
        <f>Q12</f>
        <v/>
      </c>
    </row>
    <row r="35">
      <c r="A35" t="inlineStr">
        <is>
          <t>Average price</t>
        </is>
      </c>
      <c r="B35" t="inlineStr">
        <is>
          <t>price</t>
        </is>
      </c>
      <c r="D35" s="3" t="n"/>
      <c r="E35" s="3" t="n"/>
      <c r="F35" s="3" t="n"/>
      <c r="G35" s="3" t="n"/>
      <c r="H35" s="30">
        <f>H13</f>
        <v/>
      </c>
      <c r="I35" s="30">
        <f>I13</f>
        <v/>
      </c>
      <c r="J35" s="30">
        <f>J13</f>
        <v/>
      </c>
      <c r="K35" s="30">
        <f>K13</f>
        <v/>
      </c>
      <c r="L35" s="30">
        <f>L13</f>
        <v/>
      </c>
      <c r="M35" s="30">
        <f>M13</f>
        <v/>
      </c>
      <c r="N35" s="30">
        <f>N13</f>
        <v/>
      </c>
      <c r="O35" s="30">
        <f>O13</f>
        <v/>
      </c>
      <c r="P35" s="30">
        <f>P13</f>
        <v/>
      </c>
      <c r="Q35" s="30">
        <f>Q13</f>
        <v/>
      </c>
    </row>
    <row r="36">
      <c r="A36" t="inlineStr">
        <is>
          <t>Revenue</t>
        </is>
      </c>
      <c r="B36" t="inlineStr">
        <is>
          <t>revenue</t>
        </is>
      </c>
      <c r="D36" s="13" t="n">
        <v>250.181705309</v>
      </c>
      <c r="E36" s="13" t="n">
        <v>264.364481467</v>
      </c>
      <c r="F36" s="13" t="n">
        <v>473.5021</v>
      </c>
      <c r="G36" s="13" t="n">
        <v>311.5296</v>
      </c>
      <c r="H36" s="14">
        <f>((H12*H13)*$C$9)</f>
        <v/>
      </c>
      <c r="I36" s="14">
        <f>((I12*I13)*$C$9)</f>
        <v/>
      </c>
      <c r="J36" s="14">
        <f>((J12*J13)*$C$9)</f>
        <v/>
      </c>
      <c r="K36" s="14">
        <f>((K12*K13)*$C$9)</f>
        <v/>
      </c>
      <c r="L36" s="14">
        <f>((L12*L13)*$C$9)</f>
        <v/>
      </c>
      <c r="M36" s="14">
        <f>((M12*M13)*$C$9)</f>
        <v/>
      </c>
      <c r="N36" s="14">
        <f>((N12*N13)*$C$9)</f>
        <v/>
      </c>
      <c r="O36" s="14">
        <f>((O12*O13)*$C$9)</f>
        <v/>
      </c>
      <c r="P36" s="14">
        <f>((P12*P13)*$C$9)</f>
        <v/>
      </c>
      <c r="Q36" s="14">
        <f>((Q12*Q13)*$C$9)</f>
        <v/>
      </c>
    </row>
    <row r="37">
      <c r="A37" t="inlineStr">
        <is>
          <t>Cost of revenue</t>
        </is>
      </c>
      <c r="B37" t="inlineStr">
        <is>
          <t>cogs</t>
        </is>
      </c>
      <c r="D37" s="13" t="n">
        <v>191.711207542</v>
      </c>
      <c r="E37" s="13" t="n">
        <v>194.721024958</v>
      </c>
      <c r="F37" s="13" t="n">
        <v>338.2158</v>
      </c>
      <c r="G37" s="13" t="n">
        <v>252.5344</v>
      </c>
      <c r="H37" s="15">
        <f>((H36*(1-H14))*((1+(($C$15*(1-$C$16))*(IF(Drivers!$G$4=0,0,Drivers!$H$4/Drivers!$G$4)-1)))+(($C$17*(1-$C$18))*(IF(Drivers!$G$6=0,0,Drivers!$H$6/Drivers!$G$6)-1))))</f>
        <v/>
      </c>
      <c r="I37" s="15">
        <f>((I36*(1-I14))*((1+(($C$15*(1-$C$16))*(IF(Drivers!$G$4=0,0,Drivers!$I$4/Drivers!$G$4)-1)))+(($C$17*(1-$C$18))*(IF(Drivers!$G$6=0,0,Drivers!$I$6/Drivers!$G$6)-1))))</f>
        <v/>
      </c>
      <c r="J37" s="15">
        <f>((J36*(1-J14))*((1+(($C$15*(1-$C$16))*(IF(Drivers!$G$4=0,0,Drivers!$J$4/Drivers!$G$4)-1)))+(($C$17*(1-$C$18))*(IF(Drivers!$G$6=0,0,Drivers!$J$6/Drivers!$G$6)-1))))</f>
        <v/>
      </c>
      <c r="K37" s="15">
        <f>((K36*(1-K14))*((1+(($C$15*(1-$C$16))*(IF(Drivers!$G$4=0,0,Drivers!$K$4/Drivers!$G$4)-1)))+(($C$17*(1-$C$18))*(IF(Drivers!$G$6=0,0,Drivers!$K$6/Drivers!$G$6)-1))))</f>
        <v/>
      </c>
      <c r="L37" s="15">
        <f>((L36*(1-L14))*((1+(($C$15*(1-$C$16))*(IF(Drivers!$G$4=0,0,Drivers!$L$4/Drivers!$G$4)-1)))+(($C$17*(1-$C$18))*(IF(Drivers!$G$6=0,0,Drivers!$L$6/Drivers!$G$6)-1))))</f>
        <v/>
      </c>
      <c r="M37" s="15">
        <f>((M36*(1-M14))*((1+(($C$15*(1-$C$16))*(IF(Drivers!$G$4=0,0,Drivers!$M$4/Drivers!$G$4)-1)))+(($C$17*(1-$C$18))*(IF(Drivers!$G$6=0,0,Drivers!$M$6/Drivers!$G$6)-1))))</f>
        <v/>
      </c>
      <c r="N37" s="15">
        <f>((N36*(1-N14))*((1+(($C$15*(1-$C$16))*(IF(Drivers!$G$4=0,0,Drivers!$N$4/Drivers!$G$4)-1)))+(($C$17*(1-$C$18))*(IF(Drivers!$G$6=0,0,Drivers!$N$6/Drivers!$G$6)-1))))</f>
        <v/>
      </c>
      <c r="O37" s="15">
        <f>((O36*(1-O14))*((1+(($C$15*(1-$C$16))*(IF(Drivers!$G$4=0,0,Drivers!$O$4/Drivers!$G$4)-1)))+(($C$17*(1-$C$18))*(IF(Drivers!$G$6=0,0,Drivers!$O$6/Drivers!$G$6)-1))))</f>
        <v/>
      </c>
      <c r="P37" s="15">
        <f>((P36*(1-P14))*((1+(($C$15*(1-$C$16))*(IF(Drivers!$G$4=0,0,Drivers!$P$4/Drivers!$G$4)-1)))+(($C$17*(1-$C$18))*(IF(Drivers!$G$6=0,0,Drivers!$P$6/Drivers!$G$6)-1))))</f>
        <v/>
      </c>
      <c r="Q37" s="15">
        <f>((Q36*(1-Q14))*((1+(($C$15*(1-$C$16))*(IF(Drivers!$G$4=0,0,Drivers!$Q$4/Drivers!$G$4)-1)))+(($C$17*(1-$C$18))*(IF(Drivers!$G$6=0,0,Drivers!$Q$6/Drivers!$G$6)-1))))</f>
        <v/>
      </c>
    </row>
    <row r="38">
      <c r="A38" t="inlineStr">
        <is>
          <t>Gross profit</t>
        </is>
      </c>
      <c r="B38" t="inlineStr">
        <is>
          <t>gross_profit</t>
        </is>
      </c>
      <c r="D38" s="13" t="n">
        <v>58.470497767</v>
      </c>
      <c r="E38" s="13" t="n">
        <v>69.643456509</v>
      </c>
      <c r="F38" s="13" t="n">
        <v>135.286353098</v>
      </c>
      <c r="G38" s="13" t="n">
        <v>58.995223637</v>
      </c>
      <c r="H38" s="14">
        <f>(H36-H37)</f>
        <v/>
      </c>
      <c r="I38" s="14">
        <f>(I36-I37)</f>
        <v/>
      </c>
      <c r="J38" s="14">
        <f>(J36-J37)</f>
        <v/>
      </c>
      <c r="K38" s="14">
        <f>(K36-K37)</f>
        <v/>
      </c>
      <c r="L38" s="14">
        <f>(L36-L37)</f>
        <v/>
      </c>
      <c r="M38" s="14">
        <f>(M36-M37)</f>
        <v/>
      </c>
      <c r="N38" s="14">
        <f>(N36-N37)</f>
        <v/>
      </c>
      <c r="O38" s="14">
        <f>(O36-O37)</f>
        <v/>
      </c>
      <c r="P38" s="14">
        <f>(P36-P37)</f>
        <v/>
      </c>
      <c r="Q38" s="14">
        <f>(Q36-Q37)</f>
        <v/>
      </c>
    </row>
    <row r="39">
      <c r="A39" t="inlineStr">
        <is>
          <t>SG&amp;A and other opex</t>
        </is>
      </c>
      <c r="B39" t="inlineStr">
        <is>
          <t>opex</t>
        </is>
      </c>
      <c r="D39" s="13" t="n">
        <v>78.45363031799999</v>
      </c>
      <c r="E39" s="13" t="n">
        <v>59.345084179</v>
      </c>
      <c r="F39" s="13" t="n">
        <v>96.8886</v>
      </c>
      <c r="G39" s="13" t="n">
        <v>61.3805</v>
      </c>
      <c r="H39" s="14">
        <f>(H36*H19)</f>
        <v/>
      </c>
      <c r="I39" s="14">
        <f>(I36*I19)</f>
        <v/>
      </c>
      <c r="J39" s="14">
        <f>(J36*J19)</f>
        <v/>
      </c>
      <c r="K39" s="14">
        <f>(K36*K19)</f>
        <v/>
      </c>
      <c r="L39" s="14">
        <f>(L36*L19)</f>
        <v/>
      </c>
      <c r="M39" s="14">
        <f>(M36*M19)</f>
        <v/>
      </c>
      <c r="N39" s="14">
        <f>(N36*N19)</f>
        <v/>
      </c>
      <c r="O39" s="14">
        <f>(O36*O19)</f>
        <v/>
      </c>
      <c r="P39" s="14">
        <f>(P36*P19)</f>
        <v/>
      </c>
      <c r="Q39" s="14">
        <f>(Q36*Q19)</f>
        <v/>
      </c>
    </row>
    <row r="40">
      <c r="A40" t="inlineStr">
        <is>
          <t>EBIT</t>
        </is>
      </c>
      <c r="B40" t="inlineStr">
        <is>
          <t>ebit</t>
        </is>
      </c>
      <c r="D40" s="13" t="n">
        <v>-19.983132551</v>
      </c>
      <c r="E40" s="13" t="n">
        <v>10.29837233</v>
      </c>
      <c r="F40" s="13" t="n">
        <v>38.397759675</v>
      </c>
      <c r="G40" s="13" t="n">
        <v>-2.385323586</v>
      </c>
      <c r="H40" s="14">
        <f>(H38-H39)</f>
        <v/>
      </c>
      <c r="I40" s="14">
        <f>(I38-I39)</f>
        <v/>
      </c>
      <c r="J40" s="14">
        <f>(J38-J39)</f>
        <v/>
      </c>
      <c r="K40" s="14">
        <f>(K38-K39)</f>
        <v/>
      </c>
      <c r="L40" s="14">
        <f>(L38-L39)</f>
        <v/>
      </c>
      <c r="M40" s="14">
        <f>(M38-M39)</f>
        <v/>
      </c>
      <c r="N40" s="14">
        <f>(N38-N39)</f>
        <v/>
      </c>
      <c r="O40" s="14">
        <f>(O38-O39)</f>
        <v/>
      </c>
      <c r="P40" s="14">
        <f>(P38-P39)</f>
        <v/>
      </c>
      <c r="Q40" s="14">
        <f>(Q38-Q39)</f>
        <v/>
      </c>
    </row>
    <row r="41">
      <c r="A41" t="inlineStr">
        <is>
          <t>Depreciation &amp; amortisation</t>
        </is>
      </c>
      <c r="B41" t="inlineStr">
        <is>
          <t>da</t>
        </is>
      </c>
      <c r="D41" s="13" t="n">
        <v>2.973744158</v>
      </c>
      <c r="E41" s="13" t="n">
        <v>3.563527836</v>
      </c>
      <c r="F41" s="13" t="n">
        <v>9.85175877</v>
      </c>
      <c r="G41" s="13" t="n">
        <v>9.421252634</v>
      </c>
      <c r="H41" s="14">
        <f>(H36*H20)</f>
        <v/>
      </c>
      <c r="I41" s="14">
        <f>(I36*I20)</f>
        <v/>
      </c>
      <c r="J41" s="14">
        <f>(J36*J20)</f>
        <v/>
      </c>
      <c r="K41" s="14">
        <f>(K36*K20)</f>
        <v/>
      </c>
      <c r="L41" s="14">
        <f>(L36*L20)</f>
        <v/>
      </c>
      <c r="M41" s="14">
        <f>(M36*M20)</f>
        <v/>
      </c>
      <c r="N41" s="14">
        <f>(N36*N20)</f>
        <v/>
      </c>
      <c r="O41" s="14">
        <f>(O36*O20)</f>
        <v/>
      </c>
      <c r="P41" s="14">
        <f>(P36*P20)</f>
        <v/>
      </c>
      <c r="Q41" s="14">
        <f>(Q36*Q20)</f>
        <v/>
      </c>
    </row>
    <row r="42">
      <c r="A42" t="inlineStr">
        <is>
          <t>EBITDA</t>
        </is>
      </c>
      <c r="B42" t="inlineStr">
        <is>
          <t>ebitda</t>
        </is>
      </c>
      <c r="D42" s="13" t="n">
        <v>-17.009388393</v>
      </c>
      <c r="E42" s="13" t="n">
        <v>13.861900166</v>
      </c>
      <c r="F42" s="13" t="n">
        <v>48.24951844500001</v>
      </c>
      <c r="G42" s="13" t="n">
        <v>7.035929048</v>
      </c>
      <c r="H42" s="14">
        <f>(H40+H41)</f>
        <v/>
      </c>
      <c r="I42" s="14">
        <f>(I40+I41)</f>
        <v/>
      </c>
      <c r="J42" s="14">
        <f>(J40+J41)</f>
        <v/>
      </c>
      <c r="K42" s="14">
        <f>(K40+K41)</f>
        <v/>
      </c>
      <c r="L42" s="14">
        <f>(L40+L41)</f>
        <v/>
      </c>
      <c r="M42" s="14">
        <f>(M40+M41)</f>
        <v/>
      </c>
      <c r="N42" s="14">
        <f>(N40+N41)</f>
        <v/>
      </c>
      <c r="O42" s="14">
        <f>(O40+O41)</f>
        <v/>
      </c>
      <c r="P42" s="14">
        <f>(P40+P41)</f>
        <v/>
      </c>
      <c r="Q42" s="14">
        <f>(Q40+Q41)</f>
        <v/>
      </c>
    </row>
    <row r="43">
      <c r="A43" t="inlineStr">
        <is>
          <t>Interest expense</t>
        </is>
      </c>
      <c r="B43" t="inlineStr">
        <is>
          <t>interest_expense</t>
        </is>
      </c>
      <c r="D43" s="13" t="n">
        <v>4.882793105</v>
      </c>
      <c r="E43" s="13" t="n">
        <v>4.100734452</v>
      </c>
      <c r="F43" s="13" t="n">
        <v>1.604709821</v>
      </c>
      <c r="G43" s="13" t="n">
        <v>0.91339057</v>
      </c>
      <c r="H43" s="14">
        <f>(G63*$C$24)</f>
        <v/>
      </c>
      <c r="I43" s="14">
        <f>(H63*$C$24)</f>
        <v/>
      </c>
      <c r="J43" s="14">
        <f>(I63*$C$24)</f>
        <v/>
      </c>
      <c r="K43" s="14">
        <f>(J63*$C$24)</f>
        <v/>
      </c>
      <c r="L43" s="14">
        <f>(K63*$C$24)</f>
        <v/>
      </c>
      <c r="M43" s="14">
        <f>(L63*$C$24)</f>
        <v/>
      </c>
      <c r="N43" s="14">
        <f>(M63*$C$24)</f>
        <v/>
      </c>
      <c r="O43" s="14">
        <f>(N63*$C$24)</f>
        <v/>
      </c>
      <c r="P43" s="14">
        <f>(O63*$C$24)</f>
        <v/>
      </c>
      <c r="Q43" s="14">
        <f>(P63*$C$24)</f>
        <v/>
      </c>
    </row>
    <row r="44">
      <c r="A44" t="inlineStr">
        <is>
          <t>Interest income</t>
        </is>
      </c>
      <c r="B44" t="inlineStr">
        <is>
          <t>interest_income</t>
        </is>
      </c>
      <c r="D44" s="13" t="n">
        <v>0.356232579</v>
      </c>
      <c r="E44" s="13" t="n">
        <v>0.354414471</v>
      </c>
      <c r="F44" s="13" t="n">
        <v>0.385864409</v>
      </c>
      <c r="G44" s="13" t="n">
        <v>0.399736039</v>
      </c>
      <c r="H44" s="14">
        <f>(G62*$C$25)</f>
        <v/>
      </c>
      <c r="I44" s="14">
        <f>(H62*$C$25)</f>
        <v/>
      </c>
      <c r="J44" s="14">
        <f>(I62*$C$25)</f>
        <v/>
      </c>
      <c r="K44" s="14">
        <f>(J62*$C$25)</f>
        <v/>
      </c>
      <c r="L44" s="14">
        <f>(K62*$C$25)</f>
        <v/>
      </c>
      <c r="M44" s="14">
        <f>(L62*$C$25)</f>
        <v/>
      </c>
      <c r="N44" s="14">
        <f>(M62*$C$25)</f>
        <v/>
      </c>
      <c r="O44" s="14">
        <f>(N62*$C$25)</f>
        <v/>
      </c>
      <c r="P44" s="14">
        <f>(O62*$C$25)</f>
        <v/>
      </c>
      <c r="Q44" s="14">
        <f>(P62*$C$25)</f>
        <v/>
      </c>
    </row>
    <row r="45">
      <c r="A45" t="inlineStr">
        <is>
          <t>Other non-operating</t>
        </is>
      </c>
      <c r="B45" t="inlineStr">
        <is>
          <t>other_nonop</t>
        </is>
      </c>
      <c r="D45" s="13" t="n">
        <v>-94.34293047599999</v>
      </c>
      <c r="E45" s="13" t="n">
        <v>-3.687647545999999</v>
      </c>
      <c r="F45" s="13" t="n">
        <v>-2.559011134000002</v>
      </c>
      <c r="G45" s="13" t="n">
        <v>20.030938572</v>
      </c>
      <c r="H45" s="14">
        <f>H27</f>
        <v/>
      </c>
      <c r="I45" s="14">
        <f>I27</f>
        <v/>
      </c>
      <c r="J45" s="14">
        <f>J27</f>
        <v/>
      </c>
      <c r="K45" s="14">
        <f>K27</f>
        <v/>
      </c>
      <c r="L45" s="14">
        <f>L27</f>
        <v/>
      </c>
      <c r="M45" s="14">
        <f>M27</f>
        <v/>
      </c>
      <c r="N45" s="14">
        <f>N27</f>
        <v/>
      </c>
      <c r="O45" s="14">
        <f>O27</f>
        <v/>
      </c>
      <c r="P45" s="14">
        <f>P27</f>
        <v/>
      </c>
      <c r="Q45" s="14">
        <f>Q27</f>
        <v/>
      </c>
    </row>
    <row r="46">
      <c r="A46" t="inlineStr">
        <is>
          <t>Profit before tax</t>
        </is>
      </c>
      <c r="B46" t="inlineStr">
        <is>
          <t>pbt</t>
        </is>
      </c>
      <c r="D46" s="13" t="n">
        <v>-118.852623553</v>
      </c>
      <c r="E46" s="13" t="n">
        <v>2.864404803</v>
      </c>
      <c r="F46" s="13" t="n">
        <v>34.619903129</v>
      </c>
      <c r="G46" s="13" t="n">
        <v>17.131960455</v>
      </c>
      <c r="H46" s="14">
        <f>(((H40-H43)+H44)+H45)</f>
        <v/>
      </c>
      <c r="I46" s="14">
        <f>(((I40-I43)+I44)+I45)</f>
        <v/>
      </c>
      <c r="J46" s="14">
        <f>(((J40-J43)+J44)+J45)</f>
        <v/>
      </c>
      <c r="K46" s="14">
        <f>(((K40-K43)+K44)+K45)</f>
        <v/>
      </c>
      <c r="L46" s="14">
        <f>(((L40-L43)+L44)+L45)</f>
        <v/>
      </c>
      <c r="M46" s="14">
        <f>(((M40-M43)+M44)+M45)</f>
        <v/>
      </c>
      <c r="N46" s="14">
        <f>(((N40-N43)+N44)+N45)</f>
        <v/>
      </c>
      <c r="O46" s="14">
        <f>(((O40-O43)+O44)+O45)</f>
        <v/>
      </c>
      <c r="P46" s="14">
        <f>(((P40-P43)+P44)+P45)</f>
        <v/>
      </c>
      <c r="Q46" s="14">
        <f>(((Q40-Q43)+Q44)+Q45)</f>
        <v/>
      </c>
    </row>
    <row r="47">
      <c r="A47" t="inlineStr">
        <is>
          <t>Tax</t>
        </is>
      </c>
      <c r="B47" t="inlineStr">
        <is>
          <t>tax</t>
        </is>
      </c>
      <c r="D47" s="13" t="n">
        <v>-24.150517929</v>
      </c>
      <c r="E47" s="13" t="n">
        <v>3.380640097</v>
      </c>
      <c r="F47" s="13" t="n">
        <v>9.118286104999999</v>
      </c>
      <c r="G47" s="13" t="n">
        <v>17.07287228</v>
      </c>
      <c r="H47" s="14">
        <f>(MAX(H46,0)*H23)</f>
        <v/>
      </c>
      <c r="I47" s="14">
        <f>(MAX(I46,0)*I23)</f>
        <v/>
      </c>
      <c r="J47" s="14">
        <f>(MAX(J46,0)*J23)</f>
        <v/>
      </c>
      <c r="K47" s="14">
        <f>(MAX(K46,0)*K23)</f>
        <v/>
      </c>
      <c r="L47" s="14">
        <f>(MAX(L46,0)*L23)</f>
        <v/>
      </c>
      <c r="M47" s="14">
        <f>(MAX(M46,0)*M23)</f>
        <v/>
      </c>
      <c r="N47" s="14">
        <f>(MAX(N46,0)*N23)</f>
        <v/>
      </c>
      <c r="O47" s="14">
        <f>(MAX(O46,0)*O23)</f>
        <v/>
      </c>
      <c r="P47" s="14">
        <f>(MAX(P46,0)*P23)</f>
        <v/>
      </c>
      <c r="Q47" s="14">
        <f>(MAX(Q46,0)*Q23)</f>
        <v/>
      </c>
    </row>
    <row r="48">
      <c r="A48" t="inlineStr">
        <is>
          <t>Net profit (incl. minorities)</t>
        </is>
      </c>
      <c r="B48" t="inlineStr">
        <is>
          <t>np</t>
        </is>
      </c>
      <c r="D48" s="13" t="n">
        <v>-94.702105624</v>
      </c>
      <c r="E48" s="13" t="n">
        <v>-0.516235294</v>
      </c>
      <c r="F48" s="13" t="n">
        <v>25.501617024</v>
      </c>
      <c r="G48" s="13" t="n">
        <v>0.059088175</v>
      </c>
      <c r="H48" s="14">
        <f>(H46-H47)</f>
        <v/>
      </c>
      <c r="I48" s="14">
        <f>(I46-I47)</f>
        <v/>
      </c>
      <c r="J48" s="14">
        <f>(J46-J47)</f>
        <v/>
      </c>
      <c r="K48" s="14">
        <f>(K46-K47)</f>
        <v/>
      </c>
      <c r="L48" s="14">
        <f>(L46-L47)</f>
        <v/>
      </c>
      <c r="M48" s="14">
        <f>(M46-M47)</f>
        <v/>
      </c>
      <c r="N48" s="14">
        <f>(N46-N47)</f>
        <v/>
      </c>
      <c r="O48" s="14">
        <f>(O46-O47)</f>
        <v/>
      </c>
      <c r="P48" s="14">
        <f>(P46-P47)</f>
        <v/>
      </c>
      <c r="Q48" s="14">
        <f>(Q46-Q47)</f>
        <v/>
      </c>
    </row>
    <row r="49">
      <c r="A49" t="inlineStr">
        <is>
          <t>Minority interests</t>
        </is>
      </c>
      <c r="B49" t="inlineStr">
        <is>
          <t>minority</t>
        </is>
      </c>
      <c r="D49" s="13" t="n">
        <v>-0.02395616500000131</v>
      </c>
      <c r="E49" s="13" t="n">
        <v>-0.005901294000000057</v>
      </c>
      <c r="F49" s="13" t="n">
        <v>0.001933972999999867</v>
      </c>
      <c r="G49" s="13" t="n">
        <v>0.0006245790000000001</v>
      </c>
      <c r="H49" s="14">
        <f>(H48*H28)</f>
        <v/>
      </c>
      <c r="I49" s="14">
        <f>(I48*I28)</f>
        <v/>
      </c>
      <c r="J49" s="14">
        <f>(J48*J28)</f>
        <v/>
      </c>
      <c r="K49" s="14">
        <f>(K48*K28)</f>
        <v/>
      </c>
      <c r="L49" s="14">
        <f>(L48*L28)</f>
        <v/>
      </c>
      <c r="M49" s="14">
        <f>(M48*M28)</f>
        <v/>
      </c>
      <c r="N49" s="14">
        <f>(N48*N28)</f>
        <v/>
      </c>
      <c r="O49" s="14">
        <f>(O48*O28)</f>
        <v/>
      </c>
      <c r="P49" s="14">
        <f>(P48*P28)</f>
        <v/>
      </c>
      <c r="Q49" s="14">
        <f>(Q48*Q28)</f>
        <v/>
      </c>
    </row>
    <row r="50">
      <c r="A50" t="inlineStr">
        <is>
          <t>Net profit to parent</t>
        </is>
      </c>
      <c r="B50" t="inlineStr">
        <is>
          <t>np_parent</t>
        </is>
      </c>
      <c r="D50" s="13" t="n">
        <v>-94.678149459</v>
      </c>
      <c r="E50" s="13" t="n">
        <v>-0.510334</v>
      </c>
      <c r="F50" s="13" t="n">
        <v>25.499683051</v>
      </c>
      <c r="G50" s="13" t="n">
        <v>0.058463596</v>
      </c>
      <c r="H50" s="14">
        <f>(H48-H49)</f>
        <v/>
      </c>
      <c r="I50" s="14">
        <f>(I48-I49)</f>
        <v/>
      </c>
      <c r="J50" s="14">
        <f>(J48-J49)</f>
        <v/>
      </c>
      <c r="K50" s="14">
        <f>(K48-K49)</f>
        <v/>
      </c>
      <c r="L50" s="14">
        <f>(L48-L49)</f>
        <v/>
      </c>
      <c r="M50" s="14">
        <f>(M48-M49)</f>
        <v/>
      </c>
      <c r="N50" s="14">
        <f>(N48-N49)</f>
        <v/>
      </c>
      <c r="O50" s="14">
        <f>(O48-O49)</f>
        <v/>
      </c>
      <c r="P50" s="14">
        <f>(P48-P49)</f>
        <v/>
      </c>
      <c r="Q50" s="14">
        <f>(Q48-Q49)</f>
        <v/>
      </c>
    </row>
    <row r="51">
      <c r="A51" t="inlineStr">
        <is>
          <t>Shares outstanding (m)</t>
        </is>
      </c>
      <c r="B51" t="inlineStr">
        <is>
          <t>shares</t>
        </is>
      </c>
      <c r="D51" s="13" t="n">
        <v>1475.363179</v>
      </c>
      <c r="E51" s="13" t="n">
        <v>1475.363179</v>
      </c>
      <c r="F51" s="13" t="n">
        <v>1475.363179</v>
      </c>
      <c r="G51" s="13" t="n">
        <v>1475.363179</v>
      </c>
      <c r="H51" s="14">
        <f>(G51*(1+H30))</f>
        <v/>
      </c>
      <c r="I51" s="14">
        <f>(H51*(1+I30))</f>
        <v/>
      </c>
      <c r="J51" s="14">
        <f>(I51*(1+J30))</f>
        <v/>
      </c>
      <c r="K51" s="14">
        <f>(J51*(1+K30))</f>
        <v/>
      </c>
      <c r="L51" s="14">
        <f>(K51*(1+L30))</f>
        <v/>
      </c>
      <c r="M51" s="14">
        <f>(L51*(1+M30))</f>
        <v/>
      </c>
      <c r="N51" s="14">
        <f>(M51*(1+N30))</f>
        <v/>
      </c>
      <c r="O51" s="14">
        <f>(N51*(1+O30))</f>
        <v/>
      </c>
      <c r="P51" s="14">
        <f>(O51*(1+P30))</f>
        <v/>
      </c>
      <c r="Q51" s="14">
        <f>(P51*(1+Q30))</f>
        <v/>
      </c>
    </row>
    <row r="52">
      <c r="A52" t="inlineStr">
        <is>
          <t>EPS</t>
        </is>
      </c>
      <c r="B52" t="inlineStr">
        <is>
          <t>eps</t>
        </is>
      </c>
      <c r="D52" s="16" t="n">
        <v>-64.17277508794328</v>
      </c>
      <c r="E52" s="16" t="n">
        <v>-0.3459039830083763</v>
      </c>
      <c r="F52" s="16" t="n">
        <v>17.28366507579759</v>
      </c>
      <c r="G52" s="16" t="n">
        <v>0.03962657929393804</v>
      </c>
      <c r="H52" s="17">
        <f>(IF(H51=0,0,H50/H51)*$C$8)</f>
        <v/>
      </c>
      <c r="I52" s="17">
        <f>(IF(I51=0,0,I50/I51)*$C$8)</f>
        <v/>
      </c>
      <c r="J52" s="17">
        <f>(IF(J51=0,0,J50/J51)*$C$8)</f>
        <v/>
      </c>
      <c r="K52" s="17">
        <f>(IF(K51=0,0,K50/K51)*$C$8)</f>
        <v/>
      </c>
      <c r="L52" s="17">
        <f>(IF(L51=0,0,L50/L51)*$C$8)</f>
        <v/>
      </c>
      <c r="M52" s="17">
        <f>(IF(M51=0,0,M50/M51)*$C$8)</f>
        <v/>
      </c>
      <c r="N52" s="17">
        <f>(IF(N51=0,0,N50/N51)*$C$8)</f>
        <v/>
      </c>
      <c r="O52" s="17">
        <f>(IF(O51=0,0,O50/O51)*$C$8)</f>
        <v/>
      </c>
      <c r="P52" s="17">
        <f>(IF(P51=0,0,P50/P51)*$C$8)</f>
        <v/>
      </c>
      <c r="Q52" s="17">
        <f>(IF(Q51=0,0,Q50/Q51)*$C$8)</f>
        <v/>
      </c>
    </row>
    <row r="53">
      <c r="A53" t="inlineStr">
        <is>
          <t>DPS (declared on the year)</t>
        </is>
      </c>
      <c r="B53" t="inlineStr">
        <is>
          <t>dps</t>
        </is>
      </c>
      <c r="D53" s="16" t="n">
        <v>0</v>
      </c>
      <c r="E53" s="16" t="n">
        <v>0</v>
      </c>
      <c r="F53" s="16" t="n">
        <v>0</v>
      </c>
      <c r="G53" s="16" t="n">
        <v>0</v>
      </c>
      <c r="H53" s="17">
        <f>(MAX(H52,0)*H29)</f>
        <v/>
      </c>
      <c r="I53" s="17">
        <f>(MAX(I52,0)*I29)</f>
        <v/>
      </c>
      <c r="J53" s="17">
        <f>(MAX(J52,0)*J29)</f>
        <v/>
      </c>
      <c r="K53" s="17">
        <f>(MAX(K52,0)*K29)</f>
        <v/>
      </c>
      <c r="L53" s="17">
        <f>(MAX(L52,0)*L29)</f>
        <v/>
      </c>
      <c r="M53" s="17">
        <f>(MAX(M52,0)*M29)</f>
        <v/>
      </c>
      <c r="N53" s="17">
        <f>(MAX(N52,0)*N29)</f>
        <v/>
      </c>
      <c r="O53" s="17">
        <f>(MAX(O52,0)*O29)</f>
        <v/>
      </c>
      <c r="P53" s="17">
        <f>(MAX(P52,0)*P29)</f>
        <v/>
      </c>
      <c r="Q53" s="17">
        <f>(MAX(Q52,0)*Q29)</f>
        <v/>
      </c>
    </row>
    <row r="54">
      <c r="A54" t="inlineStr">
        <is>
          <t>Dividends paid</t>
        </is>
      </c>
      <c r="B54" t="inlineStr">
        <is>
          <t>dividends_paid</t>
        </is>
      </c>
      <c r="D54" s="13" t="n"/>
      <c r="E54" s="13" t="n"/>
      <c r="F54" s="13" t="n"/>
      <c r="G54" s="13" t="n"/>
      <c r="H54" s="14">
        <f>IF($C$8=0,0,(G53*G51)/$C$8)</f>
        <v/>
      </c>
      <c r="I54" s="14">
        <f>IF($C$8=0,0,(H53*H51)/$C$8)</f>
        <v/>
      </c>
      <c r="J54" s="14">
        <f>IF($C$8=0,0,(I53*I51)/$C$8)</f>
        <v/>
      </c>
      <c r="K54" s="14">
        <f>IF($C$8=0,0,(J53*J51)/$C$8)</f>
        <v/>
      </c>
      <c r="L54" s="14">
        <f>IF($C$8=0,0,(K53*K51)/$C$8)</f>
        <v/>
      </c>
      <c r="M54" s="14">
        <f>IF($C$8=0,0,(L53*L51)/$C$8)</f>
        <v/>
      </c>
      <c r="N54" s="14">
        <f>IF($C$8=0,0,(M53*M51)/$C$8)</f>
        <v/>
      </c>
      <c r="O54" s="14">
        <f>IF($C$8=0,0,(N53*N51)/$C$8)</f>
        <v/>
      </c>
      <c r="P54" s="14">
        <f>IF($C$8=0,0,(O53*O51)/$C$8)</f>
        <v/>
      </c>
      <c r="Q54" s="14">
        <f>IF($C$8=0,0,(P53*P51)/$C$8)</f>
        <v/>
      </c>
    </row>
    <row r="55">
      <c r="A55" t="inlineStr">
        <is>
          <t>Capital expenditure</t>
        </is>
      </c>
      <c r="B55" t="inlineStr">
        <is>
          <t>capex</t>
        </is>
      </c>
      <c r="D55" s="13" t="n">
        <v>5.617339707</v>
      </c>
      <c r="E55" s="13" t="n">
        <v>1.529438408</v>
      </c>
      <c r="F55" s="13" t="n">
        <v>1.14634507</v>
      </c>
      <c r="G55" s="13" t="n">
        <v>3.145253639</v>
      </c>
      <c r="H55" s="14">
        <f>(H36*H21)</f>
        <v/>
      </c>
      <c r="I55" s="14">
        <f>(I36*I21)</f>
        <v/>
      </c>
      <c r="J55" s="14">
        <f>(J36*J21)</f>
        <v/>
      </c>
      <c r="K55" s="14">
        <f>(K36*K21)</f>
        <v/>
      </c>
      <c r="L55" s="14">
        <f>(L36*L21)</f>
        <v/>
      </c>
      <c r="M55" s="14">
        <f>(M36*M21)</f>
        <v/>
      </c>
      <c r="N55" s="14">
        <f>(N36*N21)</f>
        <v/>
      </c>
      <c r="O55" s="14">
        <f>(O36*O21)</f>
        <v/>
      </c>
      <c r="P55" s="14">
        <f>(P36*P21)</f>
        <v/>
      </c>
      <c r="Q55" s="14">
        <f>(Q36*Q21)</f>
        <v/>
      </c>
    </row>
    <row r="56">
      <c r="A56" t="inlineStr">
        <is>
          <t>Change in working capital</t>
        </is>
      </c>
      <c r="B56" t="inlineStr">
        <is>
          <t>delta_nwc</t>
        </is>
      </c>
      <c r="D56" s="13" t="n"/>
      <c r="E56" s="13" t="n">
        <v>10.01095089300002</v>
      </c>
      <c r="F56" s="13" t="n">
        <v>-3.417732494999996</v>
      </c>
      <c r="G56" s="13" t="n">
        <v>7.10747345699999</v>
      </c>
      <c r="H56" s="14">
        <f>(H61-G61)</f>
        <v/>
      </c>
      <c r="I56" s="14">
        <f>(I61-H61)</f>
        <v/>
      </c>
      <c r="J56" s="14">
        <f>(J61-I61)</f>
        <v/>
      </c>
      <c r="K56" s="14">
        <f>(K61-J61)</f>
        <v/>
      </c>
      <c r="L56" s="14">
        <f>(L61-K61)</f>
        <v/>
      </c>
      <c r="M56" s="14">
        <f>(M61-L61)</f>
        <v/>
      </c>
      <c r="N56" s="14">
        <f>(N61-M61)</f>
        <v/>
      </c>
      <c r="O56" s="14">
        <f>(O61-N61)</f>
        <v/>
      </c>
      <c r="P56" s="14">
        <f>(P61-O61)</f>
        <v/>
      </c>
      <c r="Q56" s="14">
        <f>(Q61-P61)</f>
        <v/>
      </c>
    </row>
    <row r="57">
      <c r="A57" t="inlineStr">
        <is>
          <t>Free cash flow to firm</t>
        </is>
      </c>
      <c r="B57" t="inlineStr">
        <is>
          <t>fcff</t>
        </is>
      </c>
      <c r="D57" s="13" t="n"/>
      <c r="E57" s="13" t="n">
        <v>-9.832878206045478</v>
      </c>
      <c r="F57" s="13" t="n">
        <v>40.4075974299658</v>
      </c>
      <c r="G57" s="13" t="n">
        <v>-0.8397014490894961</v>
      </c>
      <c r="H57" s="14">
        <f>((((H40*(1-H23))+H41)-H55)-H56)</f>
        <v/>
      </c>
      <c r="I57" s="14">
        <f>((((I40*(1-I23))+I41)-I55)-I56)</f>
        <v/>
      </c>
      <c r="J57" s="14">
        <f>((((J40*(1-J23))+J41)-J55)-J56)</f>
        <v/>
      </c>
      <c r="K57" s="14">
        <f>((((K40*(1-K23))+K41)-K55)-K56)</f>
        <v/>
      </c>
      <c r="L57" s="14">
        <f>((((L40*(1-L23))+L41)-L55)-L56)</f>
        <v/>
      </c>
      <c r="M57" s="14">
        <f>((((M40*(1-M23))+M41)-M55)-M56)</f>
        <v/>
      </c>
      <c r="N57" s="14">
        <f>((((N40*(1-N23))+N41)-N55)-N56)</f>
        <v/>
      </c>
      <c r="O57" s="14">
        <f>((((O40*(1-O23))+O41)-O55)-O56)</f>
        <v/>
      </c>
      <c r="P57" s="14">
        <f>((((P40*(1-P23))+P41)-P55)-P56)</f>
        <v/>
      </c>
      <c r="Q57" s="14">
        <f>((((Q40*(1-Q23))+Q41)-Q55)-Q56)</f>
        <v/>
      </c>
    </row>
    <row r="58">
      <c r="A58" t="inlineStr">
        <is>
          <t>Net borrowing</t>
        </is>
      </c>
      <c r="B58" t="inlineStr">
        <is>
          <t>net_borrowing</t>
        </is>
      </c>
      <c r="D58" s="13" t="n"/>
      <c r="E58" s="13" t="n">
        <v>8.181073400999999</v>
      </c>
      <c r="F58" s="13" t="n">
        <v>-41.260816405</v>
      </c>
      <c r="G58" s="13" t="n">
        <v>1.956750257</v>
      </c>
      <c r="H58" s="14">
        <f>H26</f>
        <v/>
      </c>
      <c r="I58" s="14">
        <f>I26</f>
        <v/>
      </c>
      <c r="J58" s="14">
        <f>J26</f>
        <v/>
      </c>
      <c r="K58" s="14">
        <f>K26</f>
        <v/>
      </c>
      <c r="L58" s="14">
        <f>L26</f>
        <v/>
      </c>
      <c r="M58" s="14">
        <f>M26</f>
        <v/>
      </c>
      <c r="N58" s="14">
        <f>N26</f>
        <v/>
      </c>
      <c r="O58" s="14">
        <f>O26</f>
        <v/>
      </c>
      <c r="P58" s="14">
        <f>P26</f>
        <v/>
      </c>
      <c r="Q58" s="14">
        <f>Q26</f>
        <v/>
      </c>
    </row>
    <row r="59">
      <c r="A59" t="inlineStr">
        <is>
          <t>Dividends to minorities</t>
        </is>
      </c>
      <c r="B59" t="inlineStr">
        <is>
          <t>minority_div</t>
        </is>
      </c>
      <c r="D59" s="13" t="n"/>
      <c r="E59" s="13" t="n"/>
      <c r="F59" s="13" t="n"/>
      <c r="G59" s="13" t="n"/>
      <c r="H59" s="14">
        <f>(MAX(G49,0)*H29)</f>
        <v/>
      </c>
      <c r="I59" s="14">
        <f>(MAX(H49,0)*I29)</f>
        <v/>
      </c>
      <c r="J59" s="14">
        <f>(MAX(I49,0)*J29)</f>
        <v/>
      </c>
      <c r="K59" s="14">
        <f>(MAX(J49,0)*K29)</f>
        <v/>
      </c>
      <c r="L59" s="14">
        <f>(MAX(K49,0)*L29)</f>
        <v/>
      </c>
      <c r="M59" s="14">
        <f>(MAX(L49,0)*M29)</f>
        <v/>
      </c>
      <c r="N59" s="14">
        <f>(MAX(M49,0)*N29)</f>
        <v/>
      </c>
      <c r="O59" s="14">
        <f>(MAX(N49,0)*O29)</f>
        <v/>
      </c>
      <c r="P59" s="14">
        <f>(MAX(O49,0)*P29)</f>
        <v/>
      </c>
      <c r="Q59" s="14">
        <f>(MAX(P49,0)*Q29)</f>
        <v/>
      </c>
    </row>
    <row r="60">
      <c r="A60" t="inlineStr">
        <is>
          <t>Free cash flow to equity</t>
        </is>
      </c>
      <c r="B60" t="inlineStr">
        <is>
          <t>fcfe</t>
        </is>
      </c>
      <c r="D60" s="13" t="n"/>
      <c r="E60" s="13" t="n"/>
      <c r="F60" s="13" t="n"/>
      <c r="G60" s="13" t="n"/>
      <c r="H60" s="14">
        <f>(((((H48+H41)-H55)-H56)+H58)-H59)</f>
        <v/>
      </c>
      <c r="I60" s="14">
        <f>(((((I48+I41)-I55)-I56)+I58)-I59)</f>
        <v/>
      </c>
      <c r="J60" s="14">
        <f>(((((J48+J41)-J55)-J56)+J58)-J59)</f>
        <v/>
      </c>
      <c r="K60" s="14">
        <f>(((((K48+K41)-K55)-K56)+K58)-K59)</f>
        <v/>
      </c>
      <c r="L60" s="14">
        <f>(((((L48+L41)-L55)-L56)+L58)-L59)</f>
        <v/>
      </c>
      <c r="M60" s="14">
        <f>(((((M48+M41)-M55)-M56)+M58)-M59)</f>
        <v/>
      </c>
      <c r="N60" s="14">
        <f>(((((N48+N41)-N55)-N56)+N58)-N59)</f>
        <v/>
      </c>
      <c r="O60" s="14">
        <f>(((((O48+O41)-O55)-O56)+O58)-O59)</f>
        <v/>
      </c>
      <c r="P60" s="14">
        <f>(((((P48+P41)-P55)-P56)+P58)-P59)</f>
        <v/>
      </c>
      <c r="Q60" s="14">
        <f>(((((Q48+Q41)-Q55)-Q56)+Q58)-Q59)</f>
        <v/>
      </c>
    </row>
    <row r="61">
      <c r="A61" t="inlineStr">
        <is>
          <t>Operating working capital</t>
        </is>
      </c>
      <c r="B61" t="inlineStr">
        <is>
          <t>nwc</t>
        </is>
      </c>
      <c r="D61" s="13" t="n">
        <v>-37.23788590700001</v>
      </c>
      <c r="E61" s="13" t="n">
        <v>-27.22693501399999</v>
      </c>
      <c r="F61" s="13" t="n">
        <v>-30.64466750899999</v>
      </c>
      <c r="G61" s="13" t="n">
        <v>-23.537194052</v>
      </c>
      <c r="H61" s="14">
        <f>(H36*H22)</f>
        <v/>
      </c>
      <c r="I61" s="14">
        <f>(I36*I22)</f>
        <v/>
      </c>
      <c r="J61" s="14">
        <f>(J36*J22)</f>
        <v/>
      </c>
      <c r="K61" s="14">
        <f>(K36*K22)</f>
        <v/>
      </c>
      <c r="L61" s="14">
        <f>(L36*L22)</f>
        <v/>
      </c>
      <c r="M61" s="14">
        <f>(M36*M22)</f>
        <v/>
      </c>
      <c r="N61" s="14">
        <f>(N36*N22)</f>
        <v/>
      </c>
      <c r="O61" s="14">
        <f>(O36*O22)</f>
        <v/>
      </c>
      <c r="P61" s="14">
        <f>(P36*P22)</f>
        <v/>
      </c>
      <c r="Q61" s="14">
        <f>(Q36*Q22)</f>
        <v/>
      </c>
    </row>
    <row r="62">
      <c r="A62" t="inlineStr">
        <is>
          <t>Cash &amp; equivalents</t>
        </is>
      </c>
      <c r="B62" t="inlineStr">
        <is>
          <t>cash</t>
        </is>
      </c>
      <c r="D62" s="13" t="n">
        <v>1.566422361</v>
      </c>
      <c r="E62" s="13" t="n">
        <v>10.710614411</v>
      </c>
      <c r="F62" s="13" t="n">
        <v>16.350008389</v>
      </c>
      <c r="G62" s="13" t="n">
        <v>11.091476324</v>
      </c>
      <c r="H62" s="14">
        <f>(((((((G62+H48)+H41)-H55)-H56)+H58)-H54)-H59)</f>
        <v/>
      </c>
      <c r="I62" s="14">
        <f>(((((((H62+I48)+I41)-I55)-I56)+I58)-I54)-I59)</f>
        <v/>
      </c>
      <c r="J62" s="14">
        <f>(((((((I62+J48)+J41)-J55)-J56)+J58)-J54)-J59)</f>
        <v/>
      </c>
      <c r="K62" s="14">
        <f>(((((((J62+K48)+K41)-K55)-K56)+K58)-K54)-K59)</f>
        <v/>
      </c>
      <c r="L62" s="14">
        <f>(((((((K62+L48)+L41)-L55)-L56)+L58)-L54)-L59)</f>
        <v/>
      </c>
      <c r="M62" s="14">
        <f>(((((((L62+M48)+M41)-M55)-M56)+M58)-M54)-M59)</f>
        <v/>
      </c>
      <c r="N62" s="14">
        <f>(((((((M62+N48)+N41)-N55)-N56)+N58)-N54)-N59)</f>
        <v/>
      </c>
      <c r="O62" s="14">
        <f>(((((((N62+O48)+O41)-O55)-O56)+O58)-O54)-O59)</f>
        <v/>
      </c>
      <c r="P62" s="14">
        <f>(((((((O62+P48)+P41)-P55)-P56)+P58)-P54)-P59)</f>
        <v/>
      </c>
      <c r="Q62" s="14">
        <f>(((((((P62+Q48)+Q41)-Q55)-Q56)+Q58)-Q54)-Q59)</f>
        <v/>
      </c>
    </row>
    <row r="63">
      <c r="A63" t="inlineStr">
        <is>
          <t>Total debt</t>
        </is>
      </c>
      <c r="B63" t="inlineStr">
        <is>
          <t>debt</t>
        </is>
      </c>
      <c r="D63" s="13" t="n">
        <v>35.758719089</v>
      </c>
      <c r="E63" s="13" t="n">
        <v>43.93979249</v>
      </c>
      <c r="F63" s="13" t="n">
        <v>2.678976085</v>
      </c>
      <c r="G63" s="13" t="n">
        <v>4.635726342</v>
      </c>
      <c r="H63" s="14">
        <f>(G63+H58)</f>
        <v/>
      </c>
      <c r="I63" s="14">
        <f>(H63+I58)</f>
        <v/>
      </c>
      <c r="J63" s="14">
        <f>(I63+J58)</f>
        <v/>
      </c>
      <c r="K63" s="14">
        <f>(J63+K58)</f>
        <v/>
      </c>
      <c r="L63" s="14">
        <f>(K63+L58)</f>
        <v/>
      </c>
      <c r="M63" s="14">
        <f>(L63+M58)</f>
        <v/>
      </c>
      <c r="N63" s="14">
        <f>(M63+N58)</f>
        <v/>
      </c>
      <c r="O63" s="14">
        <f>(N63+O58)</f>
        <v/>
      </c>
      <c r="P63" s="14">
        <f>(O63+P58)</f>
        <v/>
      </c>
      <c r="Q63" s="14">
        <f>(P63+Q58)</f>
        <v/>
      </c>
    </row>
    <row r="64">
      <c r="A64" t="inlineStr">
        <is>
          <t>Fixed assets (net)</t>
        </is>
      </c>
      <c r="B64" t="inlineStr">
        <is>
          <t>ppe</t>
        </is>
      </c>
      <c r="D64" s="13" t="n">
        <v>211.956006103</v>
      </c>
      <c r="E64" s="13" t="n">
        <v>200.736746697</v>
      </c>
      <c r="F64" s="13" t="n">
        <v>185.556064413</v>
      </c>
      <c r="G64" s="13" t="n">
        <v>197.238380683</v>
      </c>
      <c r="H64" s="14">
        <f>((G64+H55)-H41)</f>
        <v/>
      </c>
      <c r="I64" s="14">
        <f>((H64+I55)-I41)</f>
        <v/>
      </c>
      <c r="J64" s="14">
        <f>((I64+J55)-J41)</f>
        <v/>
      </c>
      <c r="K64" s="14">
        <f>((J64+K55)-K41)</f>
        <v/>
      </c>
      <c r="L64" s="14">
        <f>((K64+L55)-L41)</f>
        <v/>
      </c>
      <c r="M64" s="14">
        <f>((L64+M55)-M41)</f>
        <v/>
      </c>
      <c r="N64" s="14">
        <f>((M64+N55)-N41)</f>
        <v/>
      </c>
      <c r="O64" s="14">
        <f>((N64+O55)-O41)</f>
        <v/>
      </c>
      <c r="P64" s="14">
        <f>((O64+P55)-P41)</f>
        <v/>
      </c>
      <c r="Q64" s="14">
        <f>((P64+Q55)-Q41)</f>
        <v/>
      </c>
    </row>
    <row r="65">
      <c r="A65" t="inlineStr">
        <is>
          <t>Parent shareholders' equity</t>
        </is>
      </c>
      <c r="B65" t="inlineStr">
        <is>
          <t>equity</t>
        </is>
      </c>
      <c r="D65" s="13" t="n">
        <v>214.073460613</v>
      </c>
      <c r="E65" s="13" t="n">
        <v>213.509235613</v>
      </c>
      <c r="F65" s="13" t="n">
        <v>239.570743533</v>
      </c>
      <c r="G65" s="13" t="n">
        <v>239.795067046</v>
      </c>
      <c r="H65" s="14">
        <f>((G65+H50)-H54)</f>
        <v/>
      </c>
      <c r="I65" s="14">
        <f>((H65+I50)-I54)</f>
        <v/>
      </c>
      <c r="J65" s="14">
        <f>((I65+J50)-J54)</f>
        <v/>
      </c>
      <c r="K65" s="14">
        <f>((J65+K50)-K54)</f>
        <v/>
      </c>
      <c r="L65" s="14">
        <f>((K65+L50)-L54)</f>
        <v/>
      </c>
      <c r="M65" s="14">
        <f>((L65+M50)-M54)</f>
        <v/>
      </c>
      <c r="N65" s="14">
        <f>((M65+N50)-N54)</f>
        <v/>
      </c>
      <c r="O65" s="14">
        <f>((N65+O50)-O54)</f>
        <v/>
      </c>
      <c r="P65" s="14">
        <f>((O65+P50)-P54)</f>
        <v/>
      </c>
      <c r="Q65" s="14">
        <f>((P65+Q50)-Q54)</f>
        <v/>
      </c>
    </row>
    <row r="66">
      <c r="A66" t="inlineStr">
        <is>
          <t>Minority interest (balance sheet)</t>
        </is>
      </c>
      <c r="B66" t="inlineStr">
        <is>
          <t>minority_bs</t>
        </is>
      </c>
      <c r="D66" s="13" t="n">
        <v>0.017272926</v>
      </c>
      <c r="E66" s="13" t="n">
        <v>0.011334662</v>
      </c>
      <c r="F66" s="13" t="n">
        <v>0.013529976</v>
      </c>
      <c r="G66" s="13" t="n">
        <v>0.014236218</v>
      </c>
      <c r="H66" s="14">
        <f>((G66+H49)-H59)</f>
        <v/>
      </c>
      <c r="I66" s="14">
        <f>((H66+I49)-I59)</f>
        <v/>
      </c>
      <c r="J66" s="14">
        <f>((I66+J49)-J59)</f>
        <v/>
      </c>
      <c r="K66" s="14">
        <f>((J66+K49)-K59)</f>
        <v/>
      </c>
      <c r="L66" s="14">
        <f>((K66+L49)-L59)</f>
        <v/>
      </c>
      <c r="M66" s="14">
        <f>((L66+M49)-M59)</f>
        <v/>
      </c>
      <c r="N66" s="14">
        <f>((M66+N49)-N59)</f>
        <v/>
      </c>
      <c r="O66" s="14">
        <f>((N66+O49)-O59)</f>
        <v/>
      </c>
      <c r="P66" s="14">
        <f>((O66+P49)-P59)</f>
        <v/>
      </c>
      <c r="Q66" s="14">
        <f>((P66+Q49)-Q59)</f>
        <v/>
      </c>
    </row>
    <row r="67">
      <c r="A67" t="inlineStr">
        <is>
          <t>Other assets less other liabilities</t>
        </is>
      </c>
      <c r="B67" t="inlineStr">
        <is>
          <t>other_net</t>
        </is>
      </c>
      <c r="D67" s="13" t="n">
        <v>73.56491007100004</v>
      </c>
      <c r="E67" s="13" t="n">
        <v>73.23993667100001</v>
      </c>
      <c r="F67" s="13" t="n">
        <v>71.00184430099995</v>
      </c>
      <c r="G67" s="13" t="n">
        <v>59.65236665100002</v>
      </c>
      <c r="H67" s="14">
        <f>G67</f>
        <v/>
      </c>
      <c r="I67" s="14">
        <f>H67</f>
        <v/>
      </c>
      <c r="J67" s="14">
        <f>I67</f>
        <v/>
      </c>
      <c r="K67" s="14">
        <f>J67</f>
        <v/>
      </c>
      <c r="L67" s="14">
        <f>K67</f>
        <v/>
      </c>
      <c r="M67" s="14">
        <f>L67</f>
        <v/>
      </c>
      <c r="N67" s="14">
        <f>M67</f>
        <v/>
      </c>
      <c r="O67" s="14">
        <f>N67</f>
        <v/>
      </c>
      <c r="P67" s="14">
        <f>O67</f>
        <v/>
      </c>
      <c r="Q67" s="14">
        <f>P67</f>
        <v/>
      </c>
    </row>
    <row r="68">
      <c r="A68" t="inlineStr">
        <is>
          <t>Balance check (should be zero)</t>
        </is>
      </c>
      <c r="B68" t="inlineStr">
        <is>
          <t>bs_check</t>
        </is>
      </c>
      <c r="D68" s="13" t="n"/>
      <c r="E68" s="13" t="n"/>
      <c r="F68" s="13" t="n"/>
      <c r="G68" s="13" t="n"/>
      <c r="H68" s="14">
        <f>((((((H62+H61)+H64)+H67)-H63)-H65)-H66)</f>
        <v/>
      </c>
      <c r="I68" s="14">
        <f>((((((I62+I61)+I64)+I67)-I63)-I65)-I66)</f>
        <v/>
      </c>
      <c r="J68" s="14">
        <f>((((((J62+J61)+J64)+J67)-J63)-J65)-J66)</f>
        <v/>
      </c>
      <c r="K68" s="14">
        <f>((((((K62+K61)+K64)+K67)-K63)-K65)-K66)</f>
        <v/>
      </c>
      <c r="L68" s="14">
        <f>((((((L62+L61)+L64)+L67)-L63)-L65)-L66)</f>
        <v/>
      </c>
      <c r="M68" s="14">
        <f>((((((M62+M61)+M64)+M67)-M63)-M65)-M66)</f>
        <v/>
      </c>
      <c r="N68" s="14">
        <f>((((((N62+N61)+N64)+N67)-N63)-N65)-N66)</f>
        <v/>
      </c>
      <c r="O68" s="14">
        <f>((((((O62+O61)+O64)+O67)-O63)-O65)-O66)</f>
        <v/>
      </c>
      <c r="P68" s="14">
        <f>((((((P62+P61)+P64)+P67)-P63)-P65)-P66)</f>
        <v/>
      </c>
      <c r="Q68" s="14">
        <f>((((((Q62+Q61)+Q64)+Q67)-Q63)-Q65)-Q66)</f>
        <v/>
      </c>
    </row>
    <row r="69">
      <c r="A69" t="inlineStr">
        <is>
          <t>Net debt (cash)</t>
        </is>
      </c>
      <c r="B69" t="inlineStr">
        <is>
          <t>net_debt</t>
        </is>
      </c>
      <c r="D69" s="13" t="n">
        <v>34.192296728</v>
      </c>
      <c r="E69" s="13" t="n">
        <v>33.229178079</v>
      </c>
      <c r="F69" s="13" t="n">
        <v>-13.671032304</v>
      </c>
      <c r="G69" s="13" t="n">
        <v>-6.455749982</v>
      </c>
      <c r="H69" s="14">
        <f>(H63-H62)</f>
        <v/>
      </c>
      <c r="I69" s="14">
        <f>(I63-I62)</f>
        <v/>
      </c>
      <c r="J69" s="14">
        <f>(J63-J62)</f>
        <v/>
      </c>
      <c r="K69" s="14">
        <f>(K63-K62)</f>
        <v/>
      </c>
      <c r="L69" s="14">
        <f>(L63-L62)</f>
        <v/>
      </c>
      <c r="M69" s="14">
        <f>(M63-M62)</f>
        <v/>
      </c>
      <c r="N69" s="14">
        <f>(N63-N62)</f>
        <v/>
      </c>
      <c r="O69" s="14">
        <f>(O63-O62)</f>
        <v/>
      </c>
      <c r="P69" s="14">
        <f>(P63-P62)</f>
        <v/>
      </c>
      <c r="Q69" s="14">
        <f>(Q63-Q62)</f>
        <v/>
      </c>
    </row>
    <row r="70">
      <c r="A70" t="inlineStr">
        <is>
          <t>Book value per share</t>
        </is>
      </c>
      <c r="B70" t="inlineStr">
        <is>
          <t>bvps</t>
        </is>
      </c>
      <c r="D70" s="16" t="n">
        <v>145.0988228932884</v>
      </c>
      <c r="E70" s="16" t="n">
        <v>144.7163916329513</v>
      </c>
      <c r="F70" s="16" t="n">
        <v>162.3808611621857</v>
      </c>
      <c r="G70" s="16" t="n">
        <v>162.5329074625089</v>
      </c>
      <c r="H70" s="17">
        <f>(IF(H51=0,0,H65/H51)*$C$8)</f>
        <v/>
      </c>
      <c r="I70" s="17">
        <f>(IF(I51=0,0,I65/I51)*$C$8)</f>
        <v/>
      </c>
      <c r="J70" s="17">
        <f>(IF(J51=0,0,J65/J51)*$C$8)</f>
        <v/>
      </c>
      <c r="K70" s="17">
        <f>(IF(K51=0,0,K65/K51)*$C$8)</f>
        <v/>
      </c>
      <c r="L70" s="17">
        <f>(IF(L51=0,0,L65/L51)*$C$8)</f>
        <v/>
      </c>
      <c r="M70" s="17">
        <f>(IF(M51=0,0,M65/M51)*$C$8)</f>
        <v/>
      </c>
      <c r="N70" s="17">
        <f>(IF(N51=0,0,N65/N51)*$C$8)</f>
        <v/>
      </c>
      <c r="O70" s="17">
        <f>(IF(O51=0,0,O65/O51)*$C$8)</f>
        <v/>
      </c>
      <c r="P70" s="17">
        <f>(IF(P51=0,0,P65/P51)*$C$8)</f>
        <v/>
      </c>
      <c r="Q70" s="17">
        <f>(IF(Q51=0,0,Q65/Q51)*$C$8)</f>
        <v/>
      </c>
    </row>
    <row r="71">
      <c r="A71" t="inlineStr">
        <is>
          <t>Revenue growth</t>
        </is>
      </c>
      <c r="B71" t="inlineStr">
        <is>
          <t>revenue_growth</t>
        </is>
      </c>
      <c r="D71" s="4" t="n"/>
      <c r="E71" s="4" t="n">
        <v>0.05668990120793538</v>
      </c>
      <c r="F71" s="4" t="n">
        <v>0.7910957530015472</v>
      </c>
      <c r="G71" s="4" t="n">
        <v>-0.3420734564851983</v>
      </c>
      <c r="H71" s="18">
        <f>(IF(G36=0,0,H36/G36)-1)</f>
        <v/>
      </c>
      <c r="I71" s="18">
        <f>(IF(H36=0,0,I36/H36)-1)</f>
        <v/>
      </c>
      <c r="J71" s="18">
        <f>(IF(I36=0,0,J36/I36)-1)</f>
        <v/>
      </c>
      <c r="K71" s="18">
        <f>(IF(J36=0,0,K36/J36)-1)</f>
        <v/>
      </c>
      <c r="L71" s="18">
        <f>(IF(K36=0,0,L36/K36)-1)</f>
        <v/>
      </c>
      <c r="M71" s="18">
        <f>(IF(L36=0,0,M36/L36)-1)</f>
        <v/>
      </c>
      <c r="N71" s="18">
        <f>(IF(M36=0,0,N36/M36)-1)</f>
        <v/>
      </c>
      <c r="O71" s="18">
        <f>(IF(N36=0,0,O36/N36)-1)</f>
        <v/>
      </c>
      <c r="P71" s="18">
        <f>(IF(O36=0,0,P36/O36)-1)</f>
        <v/>
      </c>
      <c r="Q71" s="18">
        <f>(IF(P36=0,0,Q36/P36)-1)</f>
        <v/>
      </c>
    </row>
    <row r="72">
      <c r="A72" t="inlineStr">
        <is>
          <t>Gross margin</t>
        </is>
      </c>
      <c r="B72" t="inlineStr">
        <is>
          <t>gross_margin</t>
        </is>
      </c>
      <c r="D72" s="4" t="n">
        <v>0.2337121241330694</v>
      </c>
      <c r="E72" s="4" t="n">
        <v>0.2634372670736156</v>
      </c>
      <c r="F72" s="4" t="n">
        <v>0.2857143676828466</v>
      </c>
      <c r="G72" s="4" t="n">
        <v>0.1893727711170945</v>
      </c>
      <c r="H72" s="18">
        <f>IF(H36=0,0,H38/H36)</f>
        <v/>
      </c>
      <c r="I72" s="18">
        <f>IF(I36=0,0,I38/I36)</f>
        <v/>
      </c>
      <c r="J72" s="18">
        <f>IF(J36=0,0,J38/J36)</f>
        <v/>
      </c>
      <c r="K72" s="18">
        <f>IF(K36=0,0,K38/K36)</f>
        <v/>
      </c>
      <c r="L72" s="18">
        <f>IF(L36=0,0,L38/L36)</f>
        <v/>
      </c>
      <c r="M72" s="18">
        <f>IF(M36=0,0,M38/M36)</f>
        <v/>
      </c>
      <c r="N72" s="18">
        <f>IF(N36=0,0,N38/N36)</f>
        <v/>
      </c>
      <c r="O72" s="18">
        <f>IF(O36=0,0,O38/O36)</f>
        <v/>
      </c>
      <c r="P72" s="18">
        <f>IF(P36=0,0,P38/P36)</f>
        <v/>
      </c>
      <c r="Q72" s="18">
        <f>IF(Q36=0,0,Q38/Q36)</f>
        <v/>
      </c>
    </row>
    <row r="73">
      <c r="A73" t="inlineStr">
        <is>
          <t>EBITDA margin</t>
        </is>
      </c>
      <c r="B73" t="inlineStr">
        <is>
          <t>ebitda_margin</t>
        </is>
      </c>
      <c r="D73" s="4" t="n">
        <v>-0.06798813834925167</v>
      </c>
      <c r="E73" s="4" t="n">
        <v>0.0524348054968585</v>
      </c>
      <c r="F73" s="4" t="n">
        <v>0.1018992702355491</v>
      </c>
      <c r="G73" s="4" t="n">
        <v>0.02258510603165799</v>
      </c>
      <c r="H73" s="18">
        <f>IF(H36=0,0,H42/H36)</f>
        <v/>
      </c>
      <c r="I73" s="18">
        <f>IF(I36=0,0,I42/I36)</f>
        <v/>
      </c>
      <c r="J73" s="18">
        <f>IF(J36=0,0,J42/J36)</f>
        <v/>
      </c>
      <c r="K73" s="18">
        <f>IF(K36=0,0,K42/K36)</f>
        <v/>
      </c>
      <c r="L73" s="18">
        <f>IF(L36=0,0,L42/L36)</f>
        <v/>
      </c>
      <c r="M73" s="18">
        <f>IF(M36=0,0,M42/M36)</f>
        <v/>
      </c>
      <c r="N73" s="18">
        <f>IF(N36=0,0,N42/N36)</f>
        <v/>
      </c>
      <c r="O73" s="18">
        <f>IF(O36=0,0,O42/O36)</f>
        <v/>
      </c>
      <c r="P73" s="18">
        <f>IF(P36=0,0,P42/P36)</f>
        <v/>
      </c>
      <c r="Q73" s="18">
        <f>IF(Q36=0,0,Q42/Q36)</f>
        <v/>
      </c>
    </row>
    <row r="74">
      <c r="A74" t="inlineStr">
        <is>
          <t>EBIT margin</t>
        </is>
      </c>
      <c r="B74" t="inlineStr">
        <is>
          <t>ebit_margin</t>
        </is>
      </c>
      <c r="D74" s="4" t="n">
        <v>-0.07987447573881866</v>
      </c>
      <c r="E74" s="4" t="n">
        <v>0.03895520409115746</v>
      </c>
      <c r="F74" s="4" t="n">
        <v>0.08109311378978046</v>
      </c>
      <c r="G74" s="4" t="n">
        <v>-0.007656812020430804</v>
      </c>
      <c r="H74" s="18">
        <f>IF(H36=0,0,H40/H36)</f>
        <v/>
      </c>
      <c r="I74" s="18">
        <f>IF(I36=0,0,I40/I36)</f>
        <v/>
      </c>
      <c r="J74" s="18">
        <f>IF(J36=0,0,J40/J36)</f>
        <v/>
      </c>
      <c r="K74" s="18">
        <f>IF(K36=0,0,K40/K36)</f>
        <v/>
      </c>
      <c r="L74" s="18">
        <f>IF(L36=0,0,L40/L36)</f>
        <v/>
      </c>
      <c r="M74" s="18">
        <f>IF(M36=0,0,M40/M36)</f>
        <v/>
      </c>
      <c r="N74" s="18">
        <f>IF(N36=0,0,N40/N36)</f>
        <v/>
      </c>
      <c r="O74" s="18">
        <f>IF(O36=0,0,O40/O36)</f>
        <v/>
      </c>
      <c r="P74" s="18">
        <f>IF(P36=0,0,P40/P36)</f>
        <v/>
      </c>
      <c r="Q74" s="18">
        <f>IF(Q36=0,0,Q40/Q36)</f>
        <v/>
      </c>
    </row>
    <row r="75">
      <c r="A75" t="inlineStr">
        <is>
          <t>Net margin</t>
        </is>
      </c>
      <c r="B75" t="inlineStr">
        <is>
          <t>np_margin</t>
        </is>
      </c>
      <c r="D75" s="4" t="n">
        <v>-0.3784375413944149</v>
      </c>
      <c r="E75" s="4" t="n">
        <v>-0.001930418175573649</v>
      </c>
      <c r="F75" s="4" t="n">
        <v>0.05385336844546202</v>
      </c>
      <c r="G75" s="4" t="n">
        <v>0.0001876662634947048</v>
      </c>
      <c r="H75" s="18">
        <f>IF(H36=0,0,H50/H36)</f>
        <v/>
      </c>
      <c r="I75" s="18">
        <f>IF(I36=0,0,I50/I36)</f>
        <v/>
      </c>
      <c r="J75" s="18">
        <f>IF(J36=0,0,J50/J36)</f>
        <v/>
      </c>
      <c r="K75" s="18">
        <f>IF(K36=0,0,K50/K36)</f>
        <v/>
      </c>
      <c r="L75" s="18">
        <f>IF(L36=0,0,L50/L36)</f>
        <v/>
      </c>
      <c r="M75" s="18">
        <f>IF(M36=0,0,M50/M36)</f>
        <v/>
      </c>
      <c r="N75" s="18">
        <f>IF(N36=0,0,N50/N36)</f>
        <v/>
      </c>
      <c r="O75" s="18">
        <f>IF(O36=0,0,O50/O36)</f>
        <v/>
      </c>
      <c r="P75" s="18">
        <f>IF(P36=0,0,P50/P36)</f>
        <v/>
      </c>
      <c r="Q75" s="18">
        <f>IF(Q36=0,0,Q50/Q36)</f>
        <v/>
      </c>
    </row>
    <row r="76">
      <c r="A76" t="inlineStr">
        <is>
          <t>EPS growth</t>
        </is>
      </c>
      <c r="B76" t="inlineStr">
        <is>
          <t>eps_growth</t>
        </is>
      </c>
      <c r="D76" s="4" t="n"/>
      <c r="E76" s="4" t="n">
        <v>-0.9946098017027573</v>
      </c>
      <c r="F76" s="4" t="n">
        <v>-50.96665527086184</v>
      </c>
      <c r="G76" s="4" t="n">
        <v>-0.9977072814637314</v>
      </c>
      <c r="H76" s="18">
        <f>(IF(G52=0,0,H52/G52)-1)</f>
        <v/>
      </c>
      <c r="I76" s="18">
        <f>(IF(H52=0,0,I52/H52)-1)</f>
        <v/>
      </c>
      <c r="J76" s="18">
        <f>(IF(I52=0,0,J52/I52)-1)</f>
        <v/>
      </c>
      <c r="K76" s="18">
        <f>(IF(J52=0,0,K52/J52)-1)</f>
        <v/>
      </c>
      <c r="L76" s="18">
        <f>(IF(K52=0,0,L52/K52)-1)</f>
        <v/>
      </c>
      <c r="M76" s="18">
        <f>(IF(L52=0,0,M52/L52)-1)</f>
        <v/>
      </c>
      <c r="N76" s="18">
        <f>(IF(M52=0,0,N52/M52)-1)</f>
        <v/>
      </c>
      <c r="O76" s="18">
        <f>(IF(N52=0,0,O52/N52)-1)</f>
        <v/>
      </c>
      <c r="P76" s="18">
        <f>(IF(O52=0,0,P52/O52)-1)</f>
        <v/>
      </c>
      <c r="Q76" s="18">
        <f>(IF(P52=0,0,Q52/P52)-1)</f>
        <v/>
      </c>
    </row>
    <row r="77">
      <c r="A77" t="inlineStr">
        <is>
          <t>ROE</t>
        </is>
      </c>
      <c r="B77" t="inlineStr">
        <is>
          <t>roe</t>
        </is>
      </c>
      <c r="D77" s="4" t="n"/>
      <c r="E77" s="4" t="n">
        <v>-0.002387065727890268</v>
      </c>
      <c r="F77" s="4" t="n">
        <v>0.1125615088932588</v>
      </c>
      <c r="G77" s="4" t="n">
        <v>0.0002439205913721088</v>
      </c>
      <c r="H77" s="18">
        <f>IF(IF(2=0,0,(H65+G65)/2)=0,0,H50/IF(2=0,0,(H65+G65)/2))</f>
        <v/>
      </c>
      <c r="I77" s="18">
        <f>IF(IF(2=0,0,(I65+H65)/2)=0,0,I50/IF(2=0,0,(I65+H65)/2))</f>
        <v/>
      </c>
      <c r="J77" s="18">
        <f>IF(IF(2=0,0,(J65+I65)/2)=0,0,J50/IF(2=0,0,(J65+I65)/2))</f>
        <v/>
      </c>
      <c r="K77" s="18">
        <f>IF(IF(2=0,0,(K65+J65)/2)=0,0,K50/IF(2=0,0,(K65+J65)/2))</f>
        <v/>
      </c>
      <c r="L77" s="18">
        <f>IF(IF(2=0,0,(L65+K65)/2)=0,0,L50/IF(2=0,0,(L65+K65)/2))</f>
        <v/>
      </c>
      <c r="M77" s="18">
        <f>IF(IF(2=0,0,(M65+L65)/2)=0,0,M50/IF(2=0,0,(M65+L65)/2))</f>
        <v/>
      </c>
      <c r="N77" s="18">
        <f>IF(IF(2=0,0,(N65+M65)/2)=0,0,N50/IF(2=0,0,(N65+M65)/2))</f>
        <v/>
      </c>
      <c r="O77" s="18">
        <f>IF(IF(2=0,0,(O65+N65)/2)=0,0,O50/IF(2=0,0,(O65+N65)/2))</f>
        <v/>
      </c>
      <c r="P77" s="18">
        <f>IF(IF(2=0,0,(P65+O65)/2)=0,0,P50/IF(2=0,0,(P65+O65)/2))</f>
        <v/>
      </c>
      <c r="Q77" s="18">
        <f>IF(IF(2=0,0,(Q65+P65)/2)=0,0,Q50/IF(2=0,0,(Q65+P65)/2))</f>
        <v/>
      </c>
    </row>
    <row r="78">
      <c r="A78" t="inlineStr">
        <is>
          <t>Net debt / EBITDA</t>
        </is>
      </c>
      <c r="B78" t="inlineStr">
        <is>
          <t>net_debt_ebitda</t>
        </is>
      </c>
      <c r="D78" s="19" t="n">
        <v>-2.010201421590879</v>
      </c>
      <c r="E78" s="19" t="n">
        <v>2.397158952313291</v>
      </c>
      <c r="F78" s="19" t="n">
        <v>-0.2833402849312105</v>
      </c>
      <c r="G78" s="19" t="n">
        <v>-0.9175405178133628</v>
      </c>
      <c r="H78" s="20">
        <f>IF(H42=0,0,H69/H42)</f>
        <v/>
      </c>
      <c r="I78" s="20">
        <f>IF(I42=0,0,I69/I42)</f>
        <v/>
      </c>
      <c r="J78" s="20">
        <f>IF(J42=0,0,J69/J42)</f>
        <v/>
      </c>
      <c r="K78" s="20">
        <f>IF(K42=0,0,K69/K42)</f>
        <v/>
      </c>
      <c r="L78" s="20">
        <f>IF(L42=0,0,L69/L42)</f>
        <v/>
      </c>
      <c r="M78" s="20">
        <f>IF(M42=0,0,M69/M42)</f>
        <v/>
      </c>
      <c r="N78" s="20">
        <f>IF(N42=0,0,N69/N42)</f>
        <v/>
      </c>
      <c r="O78" s="20">
        <f>IF(O42=0,0,O69/O42)</f>
        <v/>
      </c>
      <c r="P78" s="20">
        <f>IF(P42=0,0,P69/P42)</f>
        <v/>
      </c>
      <c r="Q78" s="20">
        <f>IF(Q42=0,0,Q69/Q42)</f>
        <v/>
      </c>
    </row>
    <row r="79">
      <c r="A79" t="inlineStr">
        <is>
          <t>Payout ratio</t>
        </is>
      </c>
      <c r="B79" t="inlineStr">
        <is>
          <t>payout_ratio</t>
        </is>
      </c>
      <c r="D79" s="4" t="n">
        <v>-0</v>
      </c>
      <c r="E79" s="4" t="n">
        <v>-0</v>
      </c>
      <c r="F79" s="4" t="n">
        <v>0</v>
      </c>
      <c r="G79" s="4" t="n">
        <v>0</v>
      </c>
      <c r="H79" s="18">
        <f>IF(H52=0,0,H53/H52)</f>
        <v/>
      </c>
      <c r="I79" s="18">
        <f>IF(I52=0,0,I53/I52)</f>
        <v/>
      </c>
      <c r="J79" s="18">
        <f>IF(J52=0,0,J53/J52)</f>
        <v/>
      </c>
      <c r="K79" s="18">
        <f>IF(K52=0,0,K53/K52)</f>
        <v/>
      </c>
      <c r="L79" s="18">
        <f>IF(L52=0,0,L53/L52)</f>
        <v/>
      </c>
      <c r="M79" s="18">
        <f>IF(M52=0,0,M53/M52)</f>
        <v/>
      </c>
      <c r="N79" s="18">
        <f>IF(N52=0,0,N53/N52)</f>
        <v/>
      </c>
      <c r="O79" s="18">
        <f>IF(O52=0,0,O53/O52)</f>
        <v/>
      </c>
      <c r="P79" s="18">
        <f>IF(P52=0,0,P53/P52)</f>
        <v/>
      </c>
      <c r="Q79" s="18">
        <f>IF(Q52=0,0,Q53/Q52)</f>
        <v/>
      </c>
    </row>
    <row r="80">
      <c r="A80" t="inlineStr">
        <is>
          <t>Capex / revenue</t>
        </is>
      </c>
      <c r="B80" t="inlineStr">
        <is>
          <t>capex_revenue</t>
        </is>
      </c>
      <c r="D80" s="4" t="n">
        <v>0.02245303948209167</v>
      </c>
      <c r="E80" s="4" t="n">
        <v>0.005785339995421875</v>
      </c>
      <c r="F80" s="4" t="n">
        <v>0.002420992578491204</v>
      </c>
      <c r="G80" s="4" t="n">
        <v>0.01009616305802081</v>
      </c>
      <c r="H80" s="18">
        <f>IF(H36=0,0,H55/H36)</f>
        <v/>
      </c>
      <c r="I80" s="18">
        <f>IF(I36=0,0,I55/I36)</f>
        <v/>
      </c>
      <c r="J80" s="18">
        <f>IF(J36=0,0,J55/J36)</f>
        <v/>
      </c>
      <c r="K80" s="18">
        <f>IF(K36=0,0,K55/K36)</f>
        <v/>
      </c>
      <c r="L80" s="18">
        <f>IF(L36=0,0,L55/L36)</f>
        <v/>
      </c>
      <c r="M80" s="18">
        <f>IF(M36=0,0,M55/M36)</f>
        <v/>
      </c>
      <c r="N80" s="18">
        <f>IF(N36=0,0,N55/N36)</f>
        <v/>
      </c>
      <c r="O80" s="18">
        <f>IF(O36=0,0,O55/O36)</f>
        <v/>
      </c>
      <c r="P80" s="18">
        <f>IF(P36=0,0,P55/P36)</f>
        <v/>
      </c>
      <c r="Q80" s="18">
        <f>IF(Q36=0,0,Q55/Q36)</f>
        <v/>
      </c>
    </row>
    <row r="82">
      <c r="A82" s="1" t="inlineStr">
        <is>
          <t>VALUATION</t>
        </is>
      </c>
    </row>
    <row r="83">
      <c r="A83" t="inlineStr">
        <is>
          <t>Last price (IDR)</t>
        </is>
      </c>
      <c r="C83" s="16" t="n">
        <v>86</v>
      </c>
    </row>
    <row r="84">
      <c r="A84" t="inlineStr">
        <is>
          <t>Shares outstanding (m)</t>
        </is>
      </c>
      <c r="C84" s="13" t="n">
        <v>1475.363179</v>
      </c>
    </row>
    <row r="85">
      <c r="A85" t="inlineStr">
        <is>
          <t>IDR per USD (spot)</t>
        </is>
      </c>
      <c r="C85" s="3" t="n">
        <v>18128</v>
      </c>
    </row>
    <row r="86">
      <c r="A86" t="inlineStr">
        <is>
          <t>Debt at balance-sheet date</t>
        </is>
      </c>
      <c r="C86" s="13" t="n">
        <v>14.881775664</v>
      </c>
    </row>
    <row r="87">
      <c r="A87" t="inlineStr">
        <is>
          <t>Cash at balance-sheet date</t>
        </is>
      </c>
      <c r="C87" s="13" t="n">
        <v>9.936684959999999</v>
      </c>
    </row>
    <row r="88">
      <c r="A88" t="inlineStr">
        <is>
          <t>Minority interest (book)</t>
        </is>
      </c>
      <c r="C88" s="13" t="n">
        <v>0.017240083</v>
      </c>
    </row>
    <row r="89">
      <c r="A89" t="inlineStr">
        <is>
          <t>Associates &amp; investments (book)</t>
        </is>
      </c>
      <c r="C89" s="13" t="n">
        <v>0</v>
      </c>
    </row>
    <row r="90">
      <c r="A90" t="inlineStr">
        <is>
          <t>Post-balance-sheet &amp; other items (sourced, probability-weighted)</t>
        </is>
      </c>
      <c r="C90" s="13" t="n">
        <v>-6.02</v>
      </c>
    </row>
    <row r="91">
      <c r="A91" t="inlineStr">
        <is>
          <t>Parent equity at balance-sheet date</t>
        </is>
      </c>
      <c r="C91" s="13" t="n">
        <v>241.749159781</v>
      </c>
    </row>
    <row r="92">
      <c r="A92" t="inlineStr">
        <is>
          <t>Per-share factor</t>
        </is>
      </c>
      <c r="C92" s="21" t="n">
        <v>1000</v>
      </c>
    </row>
    <row r="93">
      <c r="A93" t="inlineStr">
        <is>
          <t>Risk-free rate</t>
        </is>
      </c>
      <c r="C93" s="8">
        <f>Drivers!$C$9</f>
        <v/>
      </c>
    </row>
    <row r="94">
      <c r="A94" t="inlineStr">
        <is>
          <t>Less: default spread (IDR only)</t>
        </is>
      </c>
      <c r="C94" s="8">
        <f>Drivers!$C$11</f>
        <v/>
      </c>
    </row>
    <row r="95">
      <c r="A95" t="inlineStr">
        <is>
          <t>Mature ERP + Indonesia CRP</t>
        </is>
      </c>
      <c r="C95" s="8">
        <f>Drivers!$C$12+Drivers!$C$13</f>
        <v/>
      </c>
    </row>
    <row r="96">
      <c r="A96" t="inlineStr">
        <is>
          <t>Tax rate</t>
        </is>
      </c>
      <c r="C96" s="8">
        <f>Drivers!$C$15</f>
        <v/>
      </c>
    </row>
    <row r="97">
      <c r="A97" t="inlineStr">
        <is>
          <t>Unlevered beta (industry default (config))</t>
        </is>
      </c>
      <c r="C97" s="22" t="n">
        <v>1</v>
      </c>
    </row>
    <row r="98">
      <c r="A98" t="inlineStr">
        <is>
          <t>Debt / equity (market)</t>
        </is>
      </c>
      <c r="C98" s="22" t="n">
        <v>0.1172890211256705</v>
      </c>
    </row>
    <row r="99">
      <c r="A99" t="inlineStr">
        <is>
          <t>Levered beta</t>
        </is>
      </c>
      <c r="C99" s="23">
        <f>$C$97*(1+(1-$C$96)*$C$98)</f>
        <v/>
      </c>
    </row>
    <row r="100">
      <c r="A100" t="inlineStr">
        <is>
          <t>Explicit company premium</t>
        </is>
      </c>
      <c r="C100" s="4" t="n">
        <v>0</v>
      </c>
    </row>
    <row r="101">
      <c r="A101" t="inlineStr">
        <is>
          <t>Cost of equity</t>
        </is>
      </c>
      <c r="C101" s="10">
        <f>$C$93-$C$94+$C$99*$C$95+$C$100</f>
        <v/>
      </c>
    </row>
    <row r="102">
      <c r="A102" t="inlineStr">
        <is>
          <t>Pre-tax cost of debt</t>
        </is>
      </c>
      <c r="C102" s="10">
        <f>$C$93+Drivers!$C$14</f>
        <v/>
      </c>
    </row>
    <row r="103">
      <c r="A103" t="inlineStr">
        <is>
          <t>WACC</t>
        </is>
      </c>
      <c r="C103" s="10">
        <f>1/(1+$C$98)*$C$101+$C$98/(1+$C$98)*$C$102*(1-$C$96)</f>
        <v/>
      </c>
    </row>
    <row r="104">
      <c r="A104" t="inlineStr">
        <is>
          <t>Terminal growth (capped)</t>
        </is>
      </c>
      <c r="C104" s="4" t="n">
        <v>0.03</v>
      </c>
    </row>
    <row r="106">
      <c r="A106" s="1" t="inlineStr">
        <is>
          <t>DCF to end of life (no terminal value)</t>
        </is>
      </c>
    </row>
    <row r="107">
      <c r="A107" t="inlineStr">
        <is>
          <t>Share of year after balance-sheet date</t>
        </is>
      </c>
      <c r="H107" s="12" t="n">
        <v>0.503765</v>
      </c>
      <c r="I107" s="12" t="n">
        <v>0.996578</v>
      </c>
      <c r="J107" s="12" t="n">
        <v>0.999316</v>
      </c>
      <c r="K107" s="12" t="n">
        <v>0.996578</v>
      </c>
      <c r="L107" s="12" t="n">
        <v>0.996578</v>
      </c>
      <c r="M107" s="12" t="n">
        <v>0.996578</v>
      </c>
      <c r="N107" s="12" t="n">
        <v>0.999316</v>
      </c>
      <c r="O107" s="12" t="n">
        <v>0.996578</v>
      </c>
      <c r="P107" s="12" t="n">
        <v>0.996578</v>
      </c>
      <c r="Q107" s="12" t="n">
        <v>0.996578</v>
      </c>
    </row>
    <row r="108">
      <c r="A108" t="inlineStr">
        <is>
          <t>Discount time from valuation date (years)</t>
        </is>
      </c>
      <c r="H108" s="12" t="n">
        <v>0</v>
      </c>
      <c r="I108" s="12" t="n">
        <v>0.670773</v>
      </c>
      <c r="J108" s="12" t="n">
        <v>1.670089</v>
      </c>
      <c r="K108" s="12" t="n">
        <v>2.672142</v>
      </c>
      <c r="L108" s="12" t="n">
        <v>3.671458</v>
      </c>
      <c r="M108" s="12" t="n">
        <v>4.670773</v>
      </c>
      <c r="N108" s="12" t="n">
        <v>5.670089</v>
      </c>
      <c r="O108" s="12" t="n">
        <v>6.672142</v>
      </c>
      <c r="P108" s="12" t="n">
        <v>7.671458</v>
      </c>
      <c r="Q108" s="12" t="n">
        <v>8.670773000000001</v>
      </c>
    </row>
    <row r="109">
      <c r="A109" t="inlineStr">
        <is>
          <t>Discount factor</t>
        </is>
      </c>
      <c r="H109">
        <f>1/(1+$C$103)^H108</f>
        <v/>
      </c>
      <c r="I109">
        <f>1/(1+$C$103)^I108</f>
        <v/>
      </c>
      <c r="J109">
        <f>1/(1+$C$103)^J108</f>
        <v/>
      </c>
      <c r="K109">
        <f>1/(1+$C$103)^K108</f>
        <v/>
      </c>
      <c r="L109">
        <f>1/(1+$C$103)^L108</f>
        <v/>
      </c>
      <c r="M109">
        <f>1/(1+$C$103)^M108</f>
        <v/>
      </c>
      <c r="N109">
        <f>1/(1+$C$103)^N108</f>
        <v/>
      </c>
      <c r="O109">
        <f>1/(1+$C$103)^O108</f>
        <v/>
      </c>
      <c r="P109">
        <f>1/(1+$C$103)^P108</f>
        <v/>
      </c>
      <c r="Q109">
        <f>1/(1+$C$103)^Q108</f>
        <v/>
      </c>
    </row>
    <row r="110">
      <c r="A110" t="inlineStr">
        <is>
          <t>PV of FCFF</t>
        </is>
      </c>
      <c r="H110" s="24">
        <f>H57*H107*H109</f>
        <v/>
      </c>
      <c r="I110" s="24">
        <f>I57*I107*I109</f>
        <v/>
      </c>
      <c r="J110" s="24">
        <f>J57*J107*J109</f>
        <v/>
      </c>
      <c r="K110" s="24">
        <f>K57*K107*K109</f>
        <v/>
      </c>
      <c r="L110" s="24">
        <f>L57*L107*L109</f>
        <v/>
      </c>
      <c r="M110" s="24">
        <f>M57*M107*M109</f>
        <v/>
      </c>
      <c r="N110" s="24">
        <f>N57*N107*N109</f>
        <v/>
      </c>
      <c r="O110" s="24">
        <f>O57*O107*O109</f>
        <v/>
      </c>
      <c r="P110" s="24">
        <f>P57*P107*P109</f>
        <v/>
      </c>
      <c r="Q110" s="24">
        <f>Q57*Q107*Q109</f>
        <v/>
      </c>
    </row>
    <row r="111">
      <c r="A111" t="inlineStr">
        <is>
          <t>Cumulative PV (production stops at its peak)</t>
        </is>
      </c>
      <c r="H111" s="24">
        <f>H110</f>
        <v/>
      </c>
      <c r="I111" s="24">
        <f>H111+I110</f>
        <v/>
      </c>
      <c r="J111" s="24">
        <f>I111+J110</f>
        <v/>
      </c>
      <c r="K111" s="24">
        <f>J111+K110</f>
        <v/>
      </c>
      <c r="L111" s="24">
        <f>K111+L110</f>
        <v/>
      </c>
      <c r="M111" s="24">
        <f>L111+M110</f>
        <v/>
      </c>
      <c r="N111" s="24">
        <f>M111+N110</f>
        <v/>
      </c>
      <c r="O111" s="24">
        <f>N111+O110</f>
        <v/>
      </c>
      <c r="P111" s="24">
        <f>O111+P110</f>
        <v/>
      </c>
      <c r="Q111" s="24">
        <f>P111+Q110</f>
        <v/>
      </c>
    </row>
    <row r="112">
      <c r="A112" t="inlineStr">
        <is>
          <t>Best cumulative PV (never below zero)</t>
        </is>
      </c>
      <c r="C112" s="24">
        <f>MAX(0,MAX(H111:Q111))</f>
        <v/>
      </c>
    </row>
    <row r="113">
      <c r="A113" t="inlineStr">
        <is>
          <t>No terminal value (end of life)</t>
        </is>
      </c>
      <c r="C113" s="24" t="n">
        <v>0</v>
      </c>
    </row>
    <row r="114">
      <c r="A114" t="inlineStr">
        <is>
          <t>Enterprise value</t>
        </is>
      </c>
      <c r="C114" s="24">
        <f>$C$112+$C$113</f>
        <v/>
      </c>
    </row>
    <row r="115">
      <c r="A115" t="inlineStr">
        <is>
          <t>Equity value</t>
        </is>
      </c>
      <c r="C115" s="24">
        <f>$C$114-($C$86-$C$87)-$C$88+$C$89+$C$90</f>
        <v/>
      </c>
    </row>
    <row r="116">
      <c r="A116" t="inlineStr">
        <is>
          <t>Value per share (IDR) — DCF to end of life (no terminal value)</t>
        </is>
      </c>
      <c r="C116" s="25">
        <f>MAX(0,$C$115/$C$84*$C$92*1)</f>
        <v/>
      </c>
    </row>
    <row r="118">
      <c r="A118" s="1" t="inlineStr">
        <is>
          <t>DCF (FCFF, terminal value)</t>
        </is>
      </c>
    </row>
    <row r="119">
      <c r="A119" t="inlineStr">
        <is>
          <t>Share of year after balance-sheet date</t>
        </is>
      </c>
      <c r="H119" s="12" t="n">
        <v>0.503765</v>
      </c>
      <c r="I119" s="12" t="n">
        <v>0.996578</v>
      </c>
      <c r="J119" s="12" t="n">
        <v>0.999316</v>
      </c>
      <c r="K119" s="12" t="n">
        <v>0.996578</v>
      </c>
      <c r="L119" s="12" t="n">
        <v>0.996578</v>
      </c>
      <c r="M119" s="12" t="n">
        <v>0.996578</v>
      </c>
      <c r="N119" s="12" t="n">
        <v>0.999316</v>
      </c>
      <c r="O119" s="12" t="n">
        <v>0.996578</v>
      </c>
      <c r="P119" s="12" t="n">
        <v>0.996578</v>
      </c>
      <c r="Q119" s="12" t="n">
        <v>0.996578</v>
      </c>
    </row>
    <row r="120">
      <c r="A120" t="inlineStr">
        <is>
          <t>Discount time from valuation date (years)</t>
        </is>
      </c>
      <c r="H120" s="12" t="n">
        <v>0</v>
      </c>
      <c r="I120" s="12" t="n">
        <v>0.670773</v>
      </c>
      <c r="J120" s="12" t="n">
        <v>1.670089</v>
      </c>
      <c r="K120" s="12" t="n">
        <v>2.672142</v>
      </c>
      <c r="L120" s="12" t="n">
        <v>3.671458</v>
      </c>
      <c r="M120" s="12" t="n">
        <v>4.670773</v>
      </c>
      <c r="N120" s="12" t="n">
        <v>5.670089</v>
      </c>
      <c r="O120" s="12" t="n">
        <v>6.672142</v>
      </c>
      <c r="P120" s="12" t="n">
        <v>7.671458</v>
      </c>
      <c r="Q120" s="12" t="n">
        <v>8.670773000000001</v>
      </c>
    </row>
    <row r="121">
      <c r="A121" t="inlineStr">
        <is>
          <t>Discount factor</t>
        </is>
      </c>
      <c r="H121">
        <f>1/(1+$C$103)^H120</f>
        <v/>
      </c>
      <c r="I121">
        <f>1/(1+$C$103)^I120</f>
        <v/>
      </c>
      <c r="J121">
        <f>1/(1+$C$103)^J120</f>
        <v/>
      </c>
      <c r="K121">
        <f>1/(1+$C$103)^K120</f>
        <v/>
      </c>
      <c r="L121">
        <f>1/(1+$C$103)^L120</f>
        <v/>
      </c>
      <c r="M121">
        <f>1/(1+$C$103)^M120</f>
        <v/>
      </c>
      <c r="N121">
        <f>1/(1+$C$103)^N120</f>
        <v/>
      </c>
      <c r="O121">
        <f>1/(1+$C$103)^O120</f>
        <v/>
      </c>
      <c r="P121">
        <f>1/(1+$C$103)^P120</f>
        <v/>
      </c>
      <c r="Q121">
        <f>1/(1+$C$103)^Q120</f>
        <v/>
      </c>
    </row>
    <row r="122">
      <c r="A122" t="inlineStr">
        <is>
          <t>PV of FCFF</t>
        </is>
      </c>
      <c r="H122" s="24">
        <f>H57*H119*H121</f>
        <v/>
      </c>
      <c r="I122" s="24">
        <f>I57*I119*I121</f>
        <v/>
      </c>
      <c r="J122" s="24">
        <f>J57*J119*J121</f>
        <v/>
      </c>
      <c r="K122" s="24">
        <f>K57*K119*K121</f>
        <v/>
      </c>
      <c r="L122" s="24">
        <f>L57*L119*L121</f>
        <v/>
      </c>
      <c r="M122" s="24">
        <f>M57*M119*M121</f>
        <v/>
      </c>
      <c r="N122" s="24">
        <f>N57*N119*N121</f>
        <v/>
      </c>
      <c r="O122" s="24">
        <f>O57*O119*O121</f>
        <v/>
      </c>
      <c r="P122" s="24">
        <f>P57*P119*P121</f>
        <v/>
      </c>
      <c r="Q122" s="24">
        <f>Q57*Q119*Q121</f>
        <v/>
      </c>
    </row>
    <row r="123">
      <c r="A123" t="inlineStr">
        <is>
          <t>Sum of PV</t>
        </is>
      </c>
      <c r="C123" s="24">
        <f>SUM(H122:Q122)</f>
        <v/>
      </c>
    </row>
    <row r="124">
      <c r="A124" t="inlineStr">
        <is>
          <t>Years to end of horizon</t>
        </is>
      </c>
      <c r="C124" s="21" t="n">
        <v>9.169062</v>
      </c>
    </row>
    <row r="125">
      <c r="A125" t="inlineStr">
        <is>
          <t>Terminal value</t>
        </is>
      </c>
      <c r="C125" s="24">
        <f>Q57*(1+$C$104)/($C$103-$C$104)</f>
        <v/>
      </c>
    </row>
    <row r="126">
      <c r="A126" t="inlineStr">
        <is>
          <t>PV of terminal value</t>
        </is>
      </c>
      <c r="C126" s="24">
        <f>$C$125/(1+$C$103)^$C$124</f>
        <v/>
      </c>
    </row>
    <row r="127">
      <c r="A127" t="inlineStr">
        <is>
          <t>Enterprise value</t>
        </is>
      </c>
      <c r="C127" s="24">
        <f>$C$123+$C$126</f>
        <v/>
      </c>
    </row>
    <row r="128">
      <c r="A128" t="inlineStr">
        <is>
          <t>Equity value</t>
        </is>
      </c>
      <c r="C128" s="24">
        <f>$C$127-($C$86-$C$87)-$C$88+$C$89+$C$90</f>
        <v/>
      </c>
    </row>
    <row r="129">
      <c r="A129" t="inlineStr">
        <is>
          <t>Value per share (IDR) — DCF (FCFF, terminal value)</t>
        </is>
      </c>
      <c r="C129" s="25">
        <f>MAX(0,$C$128/$C$84*$C$92*1)</f>
        <v/>
      </c>
    </row>
    <row r="131">
      <c r="A131" s="1" t="inlineStr">
        <is>
          <t>EV/EBITDA</t>
        </is>
      </c>
    </row>
    <row r="132">
      <c r="A132" t="inlineStr">
        <is>
          <t>Target multiple (peer median)</t>
        </is>
      </c>
      <c r="C132" s="19" t="n">
        <v>12.91005</v>
      </c>
    </row>
    <row r="133">
      <c r="A133" t="inlineStr">
        <is>
          <t>Metric (LTM, or next-12m DPS for yield)</t>
        </is>
      </c>
      <c r="C133" s="13" t="n">
        <v>7.035929</v>
      </c>
    </row>
    <row r="134">
      <c r="A134" t="inlineStr">
        <is>
          <t>Value per share (IDR) — EV/EBITDA</t>
        </is>
      </c>
      <c r="C134" s="25">
        <f>MAX(0,($C$132*$C$133-($C$86-$C$87)-$C$88+$C$89+$C$90)/$C$84*$C$92*1)</f>
        <v/>
      </c>
    </row>
    <row r="136">
      <c r="A136" s="1" t="inlineStr">
        <is>
          <t>TARGET</t>
        </is>
      </c>
    </row>
    <row r="137">
      <c r="A137" t="inlineStr">
        <is>
          <t>Weight: DCF to end of life (no terminal value)</t>
        </is>
      </c>
      <c r="C137" s="4" t="n">
        <v>0.88</v>
      </c>
    </row>
    <row r="138">
      <c r="A138" t="inlineStr">
        <is>
          <t>Weight: DCF (FCFF, terminal value)</t>
        </is>
      </c>
      <c r="C138" s="4" t="n">
        <v>0.02</v>
      </c>
    </row>
    <row r="139">
      <c r="A139" t="inlineStr">
        <is>
          <t>Weight: EV/EBITDA</t>
        </is>
      </c>
      <c r="C139" s="4" t="n">
        <v>0.1</v>
      </c>
    </row>
    <row r="140">
      <c r="A140" t="inlineStr">
        <is>
          <t>Value today (weighted)</t>
        </is>
      </c>
      <c r="C140" s="25">
        <f>$C$116*$C$137+$C$129*$C$138+$C$134*$C$139</f>
        <v/>
      </c>
    </row>
    <row r="141">
      <c r="A141" t="inlineStr">
        <is>
          <t>DPS expected in next 12 months (IDR)</t>
        </is>
      </c>
      <c r="C141" s="16" t="n">
        <v>0</v>
      </c>
    </row>
    <row r="142">
      <c r="A142" t="inlineStr">
        <is>
          <t>Base-case 12-month value</t>
        </is>
      </c>
      <c r="C142" s="25">
        <f>MAX(0,$C$140*(1+$C$101)-$C$141)</f>
        <v/>
      </c>
    </row>
    <row r="143">
      <c r="A143" t="inlineStr">
        <is>
          <t>Bear probability</t>
        </is>
      </c>
      <c r="C143" s="4" t="n">
        <v>0.3</v>
      </c>
    </row>
    <row r="144">
      <c r="A144" t="inlineStr">
        <is>
          <t>Bear 12-month value (engine)</t>
        </is>
      </c>
      <c r="C144" s="16" t="n">
        <v>34.30669225157748</v>
      </c>
    </row>
    <row r="145">
      <c r="A145" t="inlineStr">
        <is>
          <t>Base probability</t>
        </is>
      </c>
      <c r="C145" s="4" t="n">
        <v>0.45</v>
      </c>
    </row>
    <row r="146">
      <c r="A146" t="inlineStr">
        <is>
          <t>Bull probability</t>
        </is>
      </c>
      <c r="C146" s="4" t="n">
        <v>0.25</v>
      </c>
    </row>
    <row r="147">
      <c r="A147" t="inlineStr">
        <is>
          <t>Bull 12-month value (engine)</t>
        </is>
      </c>
      <c r="C147" s="16" t="n">
        <v>252.3623802527441</v>
      </c>
    </row>
    <row r="148">
      <c r="A148" t="inlineStr">
        <is>
          <t>Probability-weighted 12-month value</t>
        </is>
      </c>
      <c r="C148" s="25">
        <f>$C$143*$C$144+$C$145*$C$142+$C$146*$C$147</f>
        <v/>
      </c>
    </row>
    <row r="149">
      <c r="A149" t="inlineStr">
        <is>
          <t>Liquidity discount (limits.yaml)</t>
        </is>
      </c>
      <c r="C149" s="4" t="n">
        <v>0</v>
      </c>
    </row>
    <row r="150">
      <c r="A150" t="inlineStr">
        <is>
          <t>TARGET PRICE (IDR)</t>
        </is>
      </c>
      <c r="C150" s="27">
        <f>$C$148*(1-$C$149)</f>
        <v/>
      </c>
    </row>
    <row r="151">
      <c r="A151" t="inlineStr">
        <is>
          <t>Expected 12-month total return</t>
        </is>
      </c>
      <c r="C151" s="28">
        <f>($C$150+$C$141)/$C$83-1</f>
        <v/>
      </c>
    </row>
    <row r="152">
      <c r="A152" t="inlineStr">
        <is>
          <t>Rating</t>
        </is>
      </c>
      <c r="C152" s="29">
        <f>IF($C$151&gt;=0.25,"BUY",IF($C$151&gt;=0.1,"ADD",IF($C$151&lt;=-0.25,"SELL",IF($C$151&lt;=-0.1,"REDUCE","HOLD"))))</f>
        <v/>
      </c>
    </row>
    <row r="154">
      <c r="A154" s="1" t="inlineStr">
        <is>
          <t>DCF value per share vs WACC and terminal growth (engine values)</t>
        </is>
      </c>
    </row>
    <row r="155">
      <c r="A155" s="5" t="inlineStr">
        <is>
          <t>rows: Terminal growth (+/- pp) · columns: WACC (+/- pp)</t>
        </is>
      </c>
      <c r="D155" s="1" t="n">
        <v>-0.01</v>
      </c>
      <c r="E155" s="1" t="n">
        <v>-0.005</v>
      </c>
      <c r="F155" s="1" t="n">
        <v>0</v>
      </c>
      <c r="G155" s="1" t="n">
        <v>0.005</v>
      </c>
      <c r="H155" s="1" t="n">
        <v>0.01</v>
      </c>
    </row>
    <row r="156">
      <c r="C156" s="1" t="n">
        <v>-0.01</v>
      </c>
      <c r="D156" s="25" t="n">
        <v>174.018329</v>
      </c>
      <c r="E156" s="25" t="n">
        <v>165.558264</v>
      </c>
      <c r="F156" s="25" t="n">
        <v>157.902713</v>
      </c>
      <c r="G156" s="25" t="n">
        <v>150.941903</v>
      </c>
      <c r="H156" s="25" t="n">
        <v>144.585133</v>
      </c>
    </row>
    <row r="157">
      <c r="C157" s="1" t="n">
        <v>-0.005</v>
      </c>
      <c r="D157" s="25" t="n">
        <v>178.578841</v>
      </c>
      <c r="E157" s="25" t="n">
        <v>169.516643</v>
      </c>
      <c r="F157" s="25" t="n">
        <v>161.357099</v>
      </c>
      <c r="G157" s="25" t="n">
        <v>153.971301</v>
      </c>
      <c r="H157" s="25" t="n">
        <v>147.253748</v>
      </c>
    </row>
    <row r="158">
      <c r="C158" s="1" t="n">
        <v>0</v>
      </c>
      <c r="D158" s="25" t="n">
        <v>183.674168</v>
      </c>
      <c r="E158" s="25" t="n">
        <v>173.913514</v>
      </c>
      <c r="F158" s="25" t="n">
        <v>165.174065</v>
      </c>
      <c r="G158" s="25" t="n">
        <v>157.302816</v>
      </c>
      <c r="H158" s="25" t="n">
        <v>150.175859</v>
      </c>
    </row>
    <row r="159">
      <c r="C159" s="1" t="n">
        <v>0.005</v>
      </c>
      <c r="D159" s="25" t="n">
        <v>189.404248</v>
      </c>
      <c r="E159" s="25" t="n">
        <v>178.82601</v>
      </c>
      <c r="F159" s="25" t="n">
        <v>169.413856</v>
      </c>
      <c r="G159" s="25" t="n">
        <v>160.984012</v>
      </c>
      <c r="H159" s="25" t="n">
        <v>153.389386</v>
      </c>
    </row>
    <row r="160">
      <c r="C160" s="1" t="n">
        <v>0.01</v>
      </c>
      <c r="D160" s="25" t="n">
        <v>195.895572</v>
      </c>
      <c r="E160" s="25" t="n">
        <v>184.350483</v>
      </c>
      <c r="F160" s="25" t="n">
        <v>174.150852</v>
      </c>
      <c r="G160" s="25" t="n">
        <v>165.072996</v>
      </c>
      <c r="H160" s="25" t="n">
        <v>156.940211</v>
      </c>
    </row>
    <row r="162">
      <c r="A162" s="1" t="inlineStr">
        <is>
          <t>12-month value vs revenue growth and gross margin (engine values)</t>
        </is>
      </c>
    </row>
    <row r="163">
      <c r="A163" s="5" t="inlineStr">
        <is>
          <t>rows: Gross margin (+/- pp) · columns: Revenue growth (+/- pp, every year)</t>
        </is>
      </c>
      <c r="D163" s="1" t="n">
        <v>-0.04</v>
      </c>
      <c r="E163" s="1" t="n">
        <v>-0.02</v>
      </c>
      <c r="F163" s="1" t="n">
        <v>0</v>
      </c>
      <c r="G163" s="1" t="n">
        <v>0.02</v>
      </c>
      <c r="H163" s="1" t="n">
        <v>0.04</v>
      </c>
    </row>
    <row r="164">
      <c r="C164" s="1" t="n">
        <v>-0.02</v>
      </c>
      <c r="D164" s="25" t="n">
        <v>80.457347</v>
      </c>
      <c r="E164" s="25" t="n">
        <v>80.457347</v>
      </c>
      <c r="F164" s="25" t="n">
        <v>80.457347</v>
      </c>
      <c r="G164" s="25" t="n">
        <v>80.457347</v>
      </c>
      <c r="H164" s="25" t="n">
        <v>80.457347</v>
      </c>
    </row>
    <row r="165">
      <c r="C165" s="1" t="n">
        <v>-0.01</v>
      </c>
      <c r="D165" s="25" t="n">
        <v>92.501633</v>
      </c>
      <c r="E165" s="25" t="n">
        <v>92.501633</v>
      </c>
      <c r="F165" s="25" t="n">
        <v>92.501633</v>
      </c>
      <c r="G165" s="25" t="n">
        <v>92.501633</v>
      </c>
      <c r="H165" s="25" t="n">
        <v>92.501633</v>
      </c>
    </row>
    <row r="166">
      <c r="C166" s="1" t="n">
        <v>0</v>
      </c>
      <c r="D166" s="25" t="n">
        <v>104.545919</v>
      </c>
      <c r="E166" s="25" t="n">
        <v>104.545919</v>
      </c>
      <c r="F166" s="25" t="n">
        <v>104.545919</v>
      </c>
      <c r="G166" s="25" t="n">
        <v>104.545919</v>
      </c>
      <c r="H166" s="25" t="n">
        <v>104.545919</v>
      </c>
    </row>
    <row r="167">
      <c r="C167" s="1" t="n">
        <v>0.01</v>
      </c>
      <c r="D167" s="25" t="n">
        <v>116.590205</v>
      </c>
      <c r="E167" s="25" t="n">
        <v>116.590205</v>
      </c>
      <c r="F167" s="25" t="n">
        <v>116.590205</v>
      </c>
      <c r="G167" s="25" t="n">
        <v>116.590205</v>
      </c>
      <c r="H167" s="25" t="n">
        <v>116.590205</v>
      </c>
    </row>
    <row r="168">
      <c r="C168" s="1" t="n">
        <v>0.02</v>
      </c>
      <c r="D168" s="25" t="n">
        <v>128.634492</v>
      </c>
      <c r="E168" s="25" t="n">
        <v>128.634492</v>
      </c>
      <c r="F168" s="25" t="n">
        <v>128.634492</v>
      </c>
      <c r="G168" s="25" t="n">
        <v>128.634492</v>
      </c>
      <c r="H168" s="25" t="n">
        <v>128.634492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Sumber Global Energy Tbk (SGER.JK) — Coal distribution, trading &amp; logistics</t>
        </is>
      </c>
    </row>
    <row r="2">
      <c r="A2" s="5" t="inlineStr">
        <is>
          <t>Units: IDR bn; per-share in IDR unless marked IDR. Model asof 2026-10-30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ps_factor</t>
        </is>
      </c>
      <c r="C7" s="12" t="n">
        <v>1000</v>
      </c>
    </row>
    <row r="8">
      <c r="A8" t="inlineStr">
        <is>
          <t>vp_factor</t>
        </is>
      </c>
      <c r="C8" s="12" t="n">
        <v>1</v>
      </c>
    </row>
    <row r="10">
      <c r="A10" s="1" t="inlineStr">
        <is>
          <t>INPUTS (company assumptions)</t>
        </is>
      </c>
    </row>
    <row r="11">
      <c r="A11" t="inlineStr">
        <is>
          <t>Revenue growth</t>
        </is>
      </c>
      <c r="B11" t="inlineStr">
        <is>
          <t>a.revenue_growth</t>
        </is>
      </c>
      <c r="H11" s="4" t="n">
        <v>0.067</v>
      </c>
      <c r="I11" s="4" t="n">
        <v>-0.05</v>
      </c>
      <c r="J11" s="4" t="n">
        <v>-0.02</v>
      </c>
      <c r="K11" s="4" t="n">
        <v>0</v>
      </c>
      <c r="L11" s="4" t="n">
        <v>0.015</v>
      </c>
      <c r="M11" s="4" t="n">
        <v>0.0328</v>
      </c>
      <c r="N11" s="4" t="n">
        <v>0.0328</v>
      </c>
      <c r="O11" s="4" t="n">
        <v>0.0328</v>
      </c>
      <c r="P11" s="4" t="n">
        <v>0.0328</v>
      </c>
      <c r="Q11" s="4" t="n">
        <v>0.0328</v>
      </c>
    </row>
    <row r="12">
      <c r="A12" t="inlineStr">
        <is>
          <t>Gross margin at base input costs</t>
        </is>
      </c>
      <c r="B12" t="inlineStr">
        <is>
          <t>a.gross_margin</t>
        </is>
      </c>
      <c r="H12" s="4" t="n">
        <v>0.08</v>
      </c>
      <c r="I12" s="4" t="n">
        <v>0.08</v>
      </c>
      <c r="J12" s="4" t="n">
        <v>0.08</v>
      </c>
      <c r="K12" s="4" t="n">
        <v>0.08</v>
      </c>
      <c r="L12" s="4" t="n">
        <v>0.08</v>
      </c>
      <c r="M12" s="4" t="n">
        <v>0.08</v>
      </c>
      <c r="N12" s="4" t="n">
        <v>0.08</v>
      </c>
      <c r="O12" s="4" t="n">
        <v>0.08</v>
      </c>
      <c r="P12" s="4" t="n">
        <v>0.08</v>
      </c>
      <c r="Q12" s="4" t="n">
        <v>0.08</v>
      </c>
    </row>
    <row r="13">
      <c r="A13" t="inlineStr">
        <is>
          <t>Cost link 1: share of COGS exposed</t>
        </is>
      </c>
      <c r="B13" t="inlineStr">
        <is>
          <t>a.link1_share</t>
        </is>
      </c>
      <c r="C13" s="4" t="n">
        <v>0.732</v>
      </c>
    </row>
    <row r="14">
      <c r="A14" t="inlineStr">
        <is>
          <t>Cost link 1: pass-through to prices</t>
        </is>
      </c>
      <c r="B14" t="inlineStr">
        <is>
          <t>a.link1_pass</t>
        </is>
      </c>
      <c r="C14" s="4" t="n">
        <v>1</v>
      </c>
    </row>
    <row r="15">
      <c r="A15" t="inlineStr">
        <is>
          <t>Cost link 2: share of COGS exposed</t>
        </is>
      </c>
      <c r="B15" t="inlineStr">
        <is>
          <t>a.link2_share</t>
        </is>
      </c>
      <c r="C15" s="4" t="n">
        <v>0</v>
      </c>
    </row>
    <row r="16">
      <c r="A16" t="inlineStr">
        <is>
          <t>Cost link 2: pass-through to prices</t>
        </is>
      </c>
      <c r="B16" t="inlineStr">
        <is>
          <t>a.link2_pass</t>
        </is>
      </c>
      <c r="C16" s="4" t="n">
        <v>0</v>
      </c>
    </row>
    <row r="17">
      <c r="A17" t="inlineStr">
        <is>
          <t>SG&amp;A / revenue</t>
        </is>
      </c>
      <c r="B17" t="inlineStr">
        <is>
          <t>a.opex_pct</t>
        </is>
      </c>
      <c r="H17" s="4" t="n">
        <v>0.0233</v>
      </c>
      <c r="I17" s="4" t="n">
        <v>0.0233</v>
      </c>
      <c r="J17" s="4" t="n">
        <v>0.0233</v>
      </c>
      <c r="K17" s="4" t="n">
        <v>0.0233</v>
      </c>
      <c r="L17" s="4" t="n">
        <v>0.0233</v>
      </c>
      <c r="M17" s="4" t="n">
        <v>0.0233</v>
      </c>
      <c r="N17" s="4" t="n">
        <v>0.0233</v>
      </c>
      <c r="O17" s="4" t="n">
        <v>0.0233</v>
      </c>
      <c r="P17" s="4" t="n">
        <v>0.0233</v>
      </c>
      <c r="Q17" s="4" t="n">
        <v>0.0233</v>
      </c>
    </row>
    <row r="18">
      <c r="A18" t="inlineStr">
        <is>
          <t>D&amp;A / revenue</t>
        </is>
      </c>
      <c r="B18" t="inlineStr">
        <is>
          <t>a.da_pct</t>
        </is>
      </c>
      <c r="H18" s="4" t="n">
        <v>0.003</v>
      </c>
      <c r="I18" s="4" t="n">
        <v>0.003</v>
      </c>
      <c r="J18" s="4" t="n">
        <v>0.003</v>
      </c>
      <c r="K18" s="4" t="n">
        <v>0.003</v>
      </c>
      <c r="L18" s="4" t="n">
        <v>0.003</v>
      </c>
      <c r="M18" s="4" t="n">
        <v>0.003</v>
      </c>
      <c r="N18" s="4" t="n">
        <v>0.003</v>
      </c>
      <c r="O18" s="4" t="n">
        <v>0.003</v>
      </c>
      <c r="P18" s="4" t="n">
        <v>0.003</v>
      </c>
      <c r="Q18" s="4" t="n">
        <v>0.003</v>
      </c>
    </row>
    <row r="19">
      <c r="A19" t="inlineStr">
        <is>
          <t>Capex / revenue</t>
        </is>
      </c>
      <c r="B19" t="inlineStr">
        <is>
          <t>a.capex_pct</t>
        </is>
      </c>
      <c r="H19" s="4" t="n">
        <v>0.035</v>
      </c>
      <c r="I19" s="4" t="n">
        <v>0.025</v>
      </c>
      <c r="J19" s="4" t="n">
        <v>0.02</v>
      </c>
      <c r="K19" s="4" t="n">
        <v>0.015</v>
      </c>
      <c r="L19" s="4" t="n">
        <v>0.012</v>
      </c>
      <c r="M19" s="4" t="n">
        <v>0.01</v>
      </c>
      <c r="N19" s="4" t="n">
        <v>0.01</v>
      </c>
      <c r="O19" s="4" t="n">
        <v>0.01</v>
      </c>
      <c r="P19" s="4" t="n">
        <v>0.01</v>
      </c>
      <c r="Q19" s="4" t="n">
        <v>0.01</v>
      </c>
    </row>
    <row r="20">
      <c r="A20" t="inlineStr">
        <is>
          <t>Operating working capital / revenue</t>
        </is>
      </c>
      <c r="B20" t="inlineStr">
        <is>
          <t>a.nwc_pct</t>
        </is>
      </c>
      <c r="H20" s="4" t="n">
        <v>0.35</v>
      </c>
      <c r="I20" s="4" t="n">
        <v>0.35</v>
      </c>
      <c r="J20" s="4" t="n">
        <v>0.35</v>
      </c>
      <c r="K20" s="4" t="n">
        <v>0.35</v>
      </c>
      <c r="L20" s="4" t="n">
        <v>0.35</v>
      </c>
      <c r="M20" s="4" t="n">
        <v>0.35</v>
      </c>
      <c r="N20" s="4" t="n">
        <v>0.35</v>
      </c>
      <c r="O20" s="4" t="n">
        <v>0.35</v>
      </c>
      <c r="P20" s="4" t="n">
        <v>0.35</v>
      </c>
      <c r="Q20" s="4" t="n">
        <v>0.35</v>
      </c>
    </row>
    <row r="21">
      <c r="A21" t="inlineStr">
        <is>
          <t>Effective tax rate</t>
        </is>
      </c>
      <c r="B21" t="inlineStr">
        <is>
          <t>a.tax_rate</t>
        </is>
      </c>
      <c r="H21" s="4" t="n">
        <v>0.1279</v>
      </c>
      <c r="I21" s="4" t="n">
        <v>0.1279</v>
      </c>
      <c r="J21" s="4" t="n">
        <v>0.1279</v>
      </c>
      <c r="K21" s="4" t="n">
        <v>0.1279</v>
      </c>
      <c r="L21" s="4" t="n">
        <v>0.1279</v>
      </c>
      <c r="M21" s="4" t="n">
        <v>0.1279</v>
      </c>
      <c r="N21" s="4" t="n">
        <v>0.1279</v>
      </c>
      <c r="O21" s="4" t="n">
        <v>0.1279</v>
      </c>
      <c r="P21" s="4" t="n">
        <v>0.1279</v>
      </c>
      <c r="Q21" s="4" t="n">
        <v>0.1279</v>
      </c>
    </row>
    <row r="22">
      <c r="A22" t="inlineStr">
        <is>
          <t>Cost of debt (on opening debt)</t>
        </is>
      </c>
      <c r="B22" t="inlineStr">
        <is>
          <t>a.cost_of_debt</t>
        </is>
      </c>
      <c r="C22" s="4" t="n">
        <v>0.08500000000000001</v>
      </c>
    </row>
    <row r="23">
      <c r="A23" t="inlineStr">
        <is>
          <t>Yield on opening cash</t>
        </is>
      </c>
      <c r="B23" t="inlineStr">
        <is>
          <t>a.cash_yield</t>
        </is>
      </c>
      <c r="C23" s="4" t="n">
        <v>0.025</v>
      </c>
    </row>
    <row r="24">
      <c r="A24" t="inlineStr">
        <is>
          <t>Net new borrowing</t>
        </is>
      </c>
      <c r="B24" t="inlineStr">
        <is>
          <t>a.net_borrowing</t>
        </is>
      </c>
      <c r="H24" s="13" t="n">
        <v>-352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</row>
    <row r="25">
      <c r="A25" t="inlineStr">
        <is>
          <t>Other non-operating items</t>
        </is>
      </c>
      <c r="B25" t="inlineStr">
        <is>
          <t>a.other_nonop</t>
        </is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</row>
    <row r="26">
      <c r="A26" t="inlineStr">
        <is>
          <t>Minorities' share of net profit</t>
        </is>
      </c>
      <c r="B26" t="inlineStr">
        <is>
          <t>a.minority_pct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</row>
    <row r="27">
      <c r="A27" t="inlineStr">
        <is>
          <t>Dividend payout</t>
        </is>
      </c>
      <c r="B27" t="inlineStr">
        <is>
          <t>a.payout</t>
        </is>
      </c>
      <c r="H27" s="4" t="n">
        <v>0.15</v>
      </c>
      <c r="I27" s="4" t="n">
        <v>0.15</v>
      </c>
      <c r="J27" s="4" t="n">
        <v>0.15</v>
      </c>
      <c r="K27" s="4" t="n">
        <v>0.15</v>
      </c>
      <c r="L27" s="4" t="n">
        <v>0.15</v>
      </c>
      <c r="M27" s="4" t="n">
        <v>0.15</v>
      </c>
      <c r="N27" s="4" t="n">
        <v>0.15</v>
      </c>
      <c r="O27" s="4" t="n">
        <v>0.15</v>
      </c>
      <c r="P27" s="4" t="n">
        <v>0.15</v>
      </c>
      <c r="Q27" s="4" t="n">
        <v>0.15</v>
      </c>
    </row>
    <row r="28">
      <c r="A28" t="inlineStr">
        <is>
          <t>Change in share count</t>
        </is>
      </c>
      <c r="B28" t="inlineStr">
        <is>
          <t>a.share_change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</row>
    <row r="29">
      <c r="A29" t="inlineStr">
        <is>
          <t>Terminal growth (DCF)</t>
        </is>
      </c>
      <c r="B29" t="inlineStr">
        <is>
          <t>a.terminal_growth</t>
        </is>
      </c>
      <c r="C29" s="4" t="n">
        <v>0.0328</v>
      </c>
    </row>
    <row r="31">
      <c r="A31" s="1" t="inlineStr">
        <is>
          <t>MODEL</t>
        </is>
      </c>
    </row>
    <row r="32">
      <c r="A32" t="inlineStr">
        <is>
          <t>Revenue</t>
        </is>
      </c>
      <c r="B32" t="inlineStr">
        <is>
          <t>revenue</t>
        </is>
      </c>
      <c r="D32" s="13" t="n">
        <v>10448.875185271</v>
      </c>
      <c r="E32" s="13" t="n">
        <v>12312.861734739</v>
      </c>
      <c r="F32" s="13" t="n">
        <v>14762.475115697</v>
      </c>
      <c r="G32" s="13" t="n">
        <v>6739.5202794</v>
      </c>
      <c r="H32" s="14">
        <f>(G32*(1+H11))</f>
        <v/>
      </c>
      <c r="I32" s="14">
        <f>(H32*(1+I11))</f>
        <v/>
      </c>
      <c r="J32" s="14">
        <f>(I32*(1+J11))</f>
        <v/>
      </c>
      <c r="K32" s="14">
        <f>(J32*(1+K11))</f>
        <v/>
      </c>
      <c r="L32" s="14">
        <f>(K32*(1+L11))</f>
        <v/>
      </c>
      <c r="M32" s="14">
        <f>(L32*(1+M11))</f>
        <v/>
      </c>
      <c r="N32" s="14">
        <f>(M32*(1+N11))</f>
        <v/>
      </c>
      <c r="O32" s="14">
        <f>(N32*(1+O11))</f>
        <v/>
      </c>
      <c r="P32" s="14">
        <f>(O32*(1+P11))</f>
        <v/>
      </c>
      <c r="Q32" s="14">
        <f>(P32*(1+Q11))</f>
        <v/>
      </c>
    </row>
    <row r="33">
      <c r="A33" t="inlineStr">
        <is>
          <t>Cost of revenue</t>
        </is>
      </c>
      <c r="B33" t="inlineStr">
        <is>
          <t>cogs</t>
        </is>
      </c>
      <c r="D33" s="13" t="n">
        <v>9718.905432718</v>
      </c>
      <c r="E33" s="13" t="n">
        <v>11254.655600773</v>
      </c>
      <c r="F33" s="13" t="n">
        <v>13732.693926425</v>
      </c>
      <c r="G33" s="13" t="n">
        <v>6202.578351684</v>
      </c>
      <c r="H33" s="15">
        <f>((H32*(1-H12))*((1+(($C$13*(1-$C$14))*(IF(Drivers!$G$4=0,0,Drivers!$H$4/Drivers!$G$4)-1)))+(($C$15*(1-$C$16))*(IF(Drivers!$G$6=0,0,Drivers!$H$6/Drivers!$G$6)-1))))</f>
        <v/>
      </c>
      <c r="I33" s="15">
        <f>((I32*(1-I12))*((1+(($C$13*(1-$C$14))*(IF(Drivers!$G$4=0,0,Drivers!$I$4/Drivers!$G$4)-1)))+(($C$15*(1-$C$16))*(IF(Drivers!$G$6=0,0,Drivers!$I$6/Drivers!$G$6)-1))))</f>
        <v/>
      </c>
      <c r="J33" s="15">
        <f>((J32*(1-J12))*((1+(($C$13*(1-$C$14))*(IF(Drivers!$G$4=0,0,Drivers!$J$4/Drivers!$G$4)-1)))+(($C$15*(1-$C$16))*(IF(Drivers!$G$6=0,0,Drivers!$J$6/Drivers!$G$6)-1))))</f>
        <v/>
      </c>
      <c r="K33" s="15">
        <f>((K32*(1-K12))*((1+(($C$13*(1-$C$14))*(IF(Drivers!$G$4=0,0,Drivers!$K$4/Drivers!$G$4)-1)))+(($C$15*(1-$C$16))*(IF(Drivers!$G$6=0,0,Drivers!$K$6/Drivers!$G$6)-1))))</f>
        <v/>
      </c>
      <c r="L33" s="15">
        <f>((L32*(1-L12))*((1+(($C$13*(1-$C$14))*(IF(Drivers!$G$4=0,0,Drivers!$L$4/Drivers!$G$4)-1)))+(($C$15*(1-$C$16))*(IF(Drivers!$G$6=0,0,Drivers!$L$6/Drivers!$G$6)-1))))</f>
        <v/>
      </c>
      <c r="M33" s="15">
        <f>((M32*(1-M12))*((1+(($C$13*(1-$C$14))*(IF(Drivers!$G$4=0,0,Drivers!$M$4/Drivers!$G$4)-1)))+(($C$15*(1-$C$16))*(IF(Drivers!$G$6=0,0,Drivers!$M$6/Drivers!$G$6)-1))))</f>
        <v/>
      </c>
      <c r="N33" s="15">
        <f>((N32*(1-N12))*((1+(($C$13*(1-$C$14))*(IF(Drivers!$G$4=0,0,Drivers!$N$4/Drivers!$G$4)-1)))+(($C$15*(1-$C$16))*(IF(Drivers!$G$6=0,0,Drivers!$N$6/Drivers!$G$6)-1))))</f>
        <v/>
      </c>
      <c r="O33" s="15">
        <f>((O32*(1-O12))*((1+(($C$13*(1-$C$14))*(IF(Drivers!$G$4=0,0,Drivers!$O$4/Drivers!$G$4)-1)))+(($C$15*(1-$C$16))*(IF(Drivers!$G$6=0,0,Drivers!$O$6/Drivers!$G$6)-1))))</f>
        <v/>
      </c>
      <c r="P33" s="15">
        <f>((P32*(1-P12))*((1+(($C$13*(1-$C$14))*(IF(Drivers!$G$4=0,0,Drivers!$P$4/Drivers!$G$4)-1)))+(($C$15*(1-$C$16))*(IF(Drivers!$G$6=0,0,Drivers!$P$6/Drivers!$G$6)-1))))</f>
        <v/>
      </c>
      <c r="Q33" s="15">
        <f>((Q32*(1-Q12))*((1+(($C$13*(1-$C$14))*(IF(Drivers!$G$4=0,0,Drivers!$Q$4/Drivers!$G$4)-1)))+(($C$15*(1-$C$16))*(IF(Drivers!$G$6=0,0,Drivers!$Q$6/Drivers!$G$6)-1))))</f>
        <v/>
      </c>
    </row>
    <row r="34">
      <c r="A34" t="inlineStr">
        <is>
          <t>Gross profit</t>
        </is>
      </c>
      <c r="B34" t="inlineStr">
        <is>
          <t>gross_profit</t>
        </is>
      </c>
      <c r="D34" s="13" t="n">
        <v>729.969752553</v>
      </c>
      <c r="E34" s="13" t="n">
        <v>1058.206133966</v>
      </c>
      <c r="F34" s="13" t="n">
        <v>1029.781189272</v>
      </c>
      <c r="G34" s="13" t="n">
        <v>536.941927716</v>
      </c>
      <c r="H34" s="14">
        <f>(H32-H33)</f>
        <v/>
      </c>
      <c r="I34" s="14">
        <f>(I32-I33)</f>
        <v/>
      </c>
      <c r="J34" s="14">
        <f>(J32-J33)</f>
        <v/>
      </c>
      <c r="K34" s="14">
        <f>(K32-K33)</f>
        <v/>
      </c>
      <c r="L34" s="14">
        <f>(L32-L33)</f>
        <v/>
      </c>
      <c r="M34" s="14">
        <f>(M32-M33)</f>
        <v/>
      </c>
      <c r="N34" s="14">
        <f>(N32-N33)</f>
        <v/>
      </c>
      <c r="O34" s="14">
        <f>(O32-O33)</f>
        <v/>
      </c>
      <c r="P34" s="14">
        <f>(P32-P33)</f>
        <v/>
      </c>
      <c r="Q34" s="14">
        <f>(Q32-Q33)</f>
        <v/>
      </c>
    </row>
    <row r="35">
      <c r="A35" t="inlineStr">
        <is>
          <t>SG&amp;A and other opex</t>
        </is>
      </c>
      <c r="B35" t="inlineStr">
        <is>
          <t>opex</t>
        </is>
      </c>
      <c r="D35" s="13" t="n">
        <v>113.7125300160001</v>
      </c>
      <c r="E35" s="13" t="n">
        <v>165.2133127599999</v>
      </c>
      <c r="F35" s="13" t="n">
        <v>115.996527436</v>
      </c>
      <c r="G35" s="13" t="n">
        <v>157.131564794</v>
      </c>
      <c r="H35" s="14">
        <f>(H32*H17)</f>
        <v/>
      </c>
      <c r="I35" s="14">
        <f>(I32*I17)</f>
        <v/>
      </c>
      <c r="J35" s="14">
        <f>(J32*J17)</f>
        <v/>
      </c>
      <c r="K35" s="14">
        <f>(K32*K17)</f>
        <v/>
      </c>
      <c r="L35" s="14">
        <f>(L32*L17)</f>
        <v/>
      </c>
      <c r="M35" s="14">
        <f>(M32*M17)</f>
        <v/>
      </c>
      <c r="N35" s="14">
        <f>(N32*N17)</f>
        <v/>
      </c>
      <c r="O35" s="14">
        <f>(O32*O17)</f>
        <v/>
      </c>
      <c r="P35" s="14">
        <f>(P32*P17)</f>
        <v/>
      </c>
      <c r="Q35" s="14">
        <f>(Q32*Q17)</f>
        <v/>
      </c>
    </row>
    <row r="36">
      <c r="A36" t="inlineStr">
        <is>
          <t>EBIT</t>
        </is>
      </c>
      <c r="B36" t="inlineStr">
        <is>
          <t>ebit</t>
        </is>
      </c>
      <c r="D36" s="13" t="n">
        <v>616.257222537</v>
      </c>
      <c r="E36" s="13" t="n">
        <v>892.992821206</v>
      </c>
      <c r="F36" s="13" t="n">
        <v>913.7846618360001</v>
      </c>
      <c r="G36" s="13" t="n">
        <v>379.810362922</v>
      </c>
      <c r="H36" s="14">
        <f>(H34-H35)</f>
        <v/>
      </c>
      <c r="I36" s="14">
        <f>(I34-I35)</f>
        <v/>
      </c>
      <c r="J36" s="14">
        <f>(J34-J35)</f>
        <v/>
      </c>
      <c r="K36" s="14">
        <f>(K34-K35)</f>
        <v/>
      </c>
      <c r="L36" s="14">
        <f>(L34-L35)</f>
        <v/>
      </c>
      <c r="M36" s="14">
        <f>(M34-M35)</f>
        <v/>
      </c>
      <c r="N36" s="14">
        <f>(N34-N35)</f>
        <v/>
      </c>
      <c r="O36" s="14">
        <f>(O34-O35)</f>
        <v/>
      </c>
      <c r="P36" s="14">
        <f>(P34-P35)</f>
        <v/>
      </c>
      <c r="Q36" s="14">
        <f>(Q34-Q35)</f>
        <v/>
      </c>
    </row>
    <row r="37">
      <c r="A37" t="inlineStr">
        <is>
          <t>Depreciation &amp; amortisation</t>
        </is>
      </c>
      <c r="B37" t="inlineStr">
        <is>
          <t>da</t>
        </is>
      </c>
      <c r="D37" s="13" t="n">
        <v>3.635199603</v>
      </c>
      <c r="E37" s="13" t="n">
        <v>5.704266209</v>
      </c>
      <c r="F37" s="13" t="n">
        <v>13.040679232</v>
      </c>
      <c r="G37" s="13" t="n">
        <v>17.740538907</v>
      </c>
      <c r="H37" s="14">
        <f>(H32*H18)</f>
        <v/>
      </c>
      <c r="I37" s="14">
        <f>(I32*I18)</f>
        <v/>
      </c>
      <c r="J37" s="14">
        <f>(J32*J18)</f>
        <v/>
      </c>
      <c r="K37" s="14">
        <f>(K32*K18)</f>
        <v/>
      </c>
      <c r="L37" s="14">
        <f>(L32*L18)</f>
        <v/>
      </c>
      <c r="M37" s="14">
        <f>(M32*M18)</f>
        <v/>
      </c>
      <c r="N37" s="14">
        <f>(N32*N18)</f>
        <v/>
      </c>
      <c r="O37" s="14">
        <f>(O32*O18)</f>
        <v/>
      </c>
      <c r="P37" s="14">
        <f>(P32*P18)</f>
        <v/>
      </c>
      <c r="Q37" s="14">
        <f>(Q32*Q18)</f>
        <v/>
      </c>
    </row>
    <row r="38">
      <c r="A38" t="inlineStr">
        <is>
          <t>EBITDA</t>
        </is>
      </c>
      <c r="B38" t="inlineStr">
        <is>
          <t>ebitda</t>
        </is>
      </c>
      <c r="D38" s="13" t="n">
        <v>619.89242214</v>
      </c>
      <c r="E38" s="13" t="n">
        <v>898.6970874150001</v>
      </c>
      <c r="F38" s="13" t="n">
        <v>926.8253410680001</v>
      </c>
      <c r="G38" s="13" t="n">
        <v>397.5509018290001</v>
      </c>
      <c r="H38" s="14">
        <f>(H36+H37)</f>
        <v/>
      </c>
      <c r="I38" s="14">
        <f>(I36+I37)</f>
        <v/>
      </c>
      <c r="J38" s="14">
        <f>(J36+J37)</f>
        <v/>
      </c>
      <c r="K38" s="14">
        <f>(K36+K37)</f>
        <v/>
      </c>
      <c r="L38" s="14">
        <f>(L36+L37)</f>
        <v/>
      </c>
      <c r="M38" s="14">
        <f>(M36+M37)</f>
        <v/>
      </c>
      <c r="N38" s="14">
        <f>(N36+N37)</f>
        <v/>
      </c>
      <c r="O38" s="14">
        <f>(O36+O37)</f>
        <v/>
      </c>
      <c r="P38" s="14">
        <f>(P36+P37)</f>
        <v/>
      </c>
      <c r="Q38" s="14">
        <f>(Q36+Q37)</f>
        <v/>
      </c>
    </row>
    <row r="39">
      <c r="A39" t="inlineStr">
        <is>
          <t>Interest expense</t>
        </is>
      </c>
      <c r="B39" t="inlineStr">
        <is>
          <t>interest_expense</t>
        </is>
      </c>
      <c r="D39" s="13" t="n">
        <v>33.217495651</v>
      </c>
      <c r="E39" s="13" t="n">
        <v>42.482408866</v>
      </c>
      <c r="F39" s="13" t="n">
        <v>106.497805113</v>
      </c>
      <c r="G39" s="13" t="n">
        <v>151.150515754</v>
      </c>
      <c r="H39" s="14">
        <f>(G59*$C$22)</f>
        <v/>
      </c>
      <c r="I39" s="14">
        <f>(H59*$C$22)</f>
        <v/>
      </c>
      <c r="J39" s="14">
        <f>(I59*$C$22)</f>
        <v/>
      </c>
      <c r="K39" s="14">
        <f>(J59*$C$22)</f>
        <v/>
      </c>
      <c r="L39" s="14">
        <f>(K59*$C$22)</f>
        <v/>
      </c>
      <c r="M39" s="14">
        <f>(L59*$C$22)</f>
        <v/>
      </c>
      <c r="N39" s="14">
        <f>(M59*$C$22)</f>
        <v/>
      </c>
      <c r="O39" s="14">
        <f>(N59*$C$22)</f>
        <v/>
      </c>
      <c r="P39" s="14">
        <f>(O59*$C$22)</f>
        <v/>
      </c>
      <c r="Q39" s="14">
        <f>(P59*$C$22)</f>
        <v/>
      </c>
    </row>
    <row r="40">
      <c r="A40" t="inlineStr">
        <is>
          <t>Interest income</t>
        </is>
      </c>
      <c r="B40" t="inlineStr">
        <is>
          <t>interest_income</t>
        </is>
      </c>
      <c r="D40" s="13" t="n"/>
      <c r="E40" s="13" t="n"/>
      <c r="F40" s="13" t="n"/>
      <c r="G40" s="13" t="n"/>
      <c r="H40" s="14">
        <f>(G58*$C$23)</f>
        <v/>
      </c>
      <c r="I40" s="14">
        <f>(H58*$C$23)</f>
        <v/>
      </c>
      <c r="J40" s="14">
        <f>(I58*$C$23)</f>
        <v/>
      </c>
      <c r="K40" s="14">
        <f>(J58*$C$23)</f>
        <v/>
      </c>
      <c r="L40" s="14">
        <f>(K58*$C$23)</f>
        <v/>
      </c>
      <c r="M40" s="14">
        <f>(L58*$C$23)</f>
        <v/>
      </c>
      <c r="N40" s="14">
        <f>(M58*$C$23)</f>
        <v/>
      </c>
      <c r="O40" s="14">
        <f>(N58*$C$23)</f>
        <v/>
      </c>
      <c r="P40" s="14">
        <f>(O58*$C$23)</f>
        <v/>
      </c>
      <c r="Q40" s="14">
        <f>(P58*$C$23)</f>
        <v/>
      </c>
    </row>
    <row r="41">
      <c r="A41" t="inlineStr">
        <is>
          <t>Other non-operating</t>
        </is>
      </c>
      <c r="B41" t="inlineStr">
        <is>
          <t>other_nonop</t>
        </is>
      </c>
      <c r="D41" s="13" t="n"/>
      <c r="E41" s="13" t="n"/>
      <c r="F41" s="13" t="n"/>
      <c r="G41" s="13" t="n"/>
      <c r="H41" s="14">
        <f>H25</f>
        <v/>
      </c>
      <c r="I41" s="14">
        <f>I25</f>
        <v/>
      </c>
      <c r="J41" s="14">
        <f>J25</f>
        <v/>
      </c>
      <c r="K41" s="14">
        <f>K25</f>
        <v/>
      </c>
      <c r="L41" s="14">
        <f>L25</f>
        <v/>
      </c>
      <c r="M41" s="14">
        <f>M25</f>
        <v/>
      </c>
      <c r="N41" s="14">
        <f>N25</f>
        <v/>
      </c>
      <c r="O41" s="14">
        <f>O25</f>
        <v/>
      </c>
      <c r="P41" s="14">
        <f>P25</f>
        <v/>
      </c>
      <c r="Q41" s="14">
        <f>Q25</f>
        <v/>
      </c>
    </row>
    <row r="42">
      <c r="A42" t="inlineStr">
        <is>
          <t>Profit before tax</t>
        </is>
      </c>
      <c r="B42" t="inlineStr">
        <is>
          <t>pbt</t>
        </is>
      </c>
      <c r="D42" s="13" t="n">
        <v>748.250494759</v>
      </c>
      <c r="E42" s="13" t="n">
        <v>840.910489431</v>
      </c>
      <c r="F42" s="13" t="n">
        <v>810.9434556579999</v>
      </c>
      <c r="G42" s="13" t="n">
        <v>238.256115308</v>
      </c>
      <c r="H42" s="14">
        <f>(((H36-H39)+H40)+H41)</f>
        <v/>
      </c>
      <c r="I42" s="14">
        <f>(((I36-I39)+I40)+I41)</f>
        <v/>
      </c>
      <c r="J42" s="14">
        <f>(((J36-J39)+J40)+J41)</f>
        <v/>
      </c>
      <c r="K42" s="14">
        <f>(((K36-K39)+K40)+K41)</f>
        <v/>
      </c>
      <c r="L42" s="14">
        <f>(((L36-L39)+L40)+L41)</f>
        <v/>
      </c>
      <c r="M42" s="14">
        <f>(((M36-M39)+M40)+M41)</f>
        <v/>
      </c>
      <c r="N42" s="14">
        <f>(((N36-N39)+N40)+N41)</f>
        <v/>
      </c>
      <c r="O42" s="14">
        <f>(((O36-O39)+O40)+O41)</f>
        <v/>
      </c>
      <c r="P42" s="14">
        <f>(((P36-P39)+P40)+P41)</f>
        <v/>
      </c>
      <c r="Q42" s="14">
        <f>(((Q36-Q39)+Q40)+Q41)</f>
        <v/>
      </c>
    </row>
    <row r="43">
      <c r="A43" t="inlineStr">
        <is>
          <t>Tax</t>
        </is>
      </c>
      <c r="B43" t="inlineStr">
        <is>
          <t>tax</t>
        </is>
      </c>
      <c r="D43" s="13" t="n">
        <v>157.31943228</v>
      </c>
      <c r="E43" s="13" t="n">
        <v>159.603994721</v>
      </c>
      <c r="F43" s="13" t="n">
        <v>156.284696169</v>
      </c>
      <c r="G43" s="13" t="n">
        <v>30.467121672</v>
      </c>
      <c r="H43" s="14">
        <f>(MAX(H42,0)*H21)</f>
        <v/>
      </c>
      <c r="I43" s="14">
        <f>(MAX(I42,0)*I21)</f>
        <v/>
      </c>
      <c r="J43" s="14">
        <f>(MAX(J42,0)*J21)</f>
        <v/>
      </c>
      <c r="K43" s="14">
        <f>(MAX(K42,0)*K21)</f>
        <v/>
      </c>
      <c r="L43" s="14">
        <f>(MAX(L42,0)*L21)</f>
        <v/>
      </c>
      <c r="M43" s="14">
        <f>(MAX(M42,0)*M21)</f>
        <v/>
      </c>
      <c r="N43" s="14">
        <f>(MAX(N42,0)*N21)</f>
        <v/>
      </c>
      <c r="O43" s="14">
        <f>(MAX(O42,0)*O21)</f>
        <v/>
      </c>
      <c r="P43" s="14">
        <f>(MAX(P42,0)*P21)</f>
        <v/>
      </c>
      <c r="Q43" s="14">
        <f>(MAX(Q42,0)*Q21)</f>
        <v/>
      </c>
    </row>
    <row r="44">
      <c r="A44" t="inlineStr">
        <is>
          <t>Net profit (incl. minorities)</t>
        </is>
      </c>
      <c r="B44" t="inlineStr">
        <is>
          <t>np</t>
        </is>
      </c>
      <c r="D44" s="13" t="n">
        <v>590.931062479</v>
      </c>
      <c r="E44" s="13" t="n">
        <v>681.30649471</v>
      </c>
      <c r="F44" s="13" t="n">
        <v>654.658759489</v>
      </c>
      <c r="G44" s="13" t="n">
        <v>207.788993636</v>
      </c>
      <c r="H44" s="14">
        <f>(H42-H43)</f>
        <v/>
      </c>
      <c r="I44" s="14">
        <f>(I42-I43)</f>
        <v/>
      </c>
      <c r="J44" s="14">
        <f>(J42-J43)</f>
        <v/>
      </c>
      <c r="K44" s="14">
        <f>(K42-K43)</f>
        <v/>
      </c>
      <c r="L44" s="14">
        <f>(L42-L43)</f>
        <v/>
      </c>
      <c r="M44" s="14">
        <f>(M42-M43)</f>
        <v/>
      </c>
      <c r="N44" s="14">
        <f>(N42-N43)</f>
        <v/>
      </c>
      <c r="O44" s="14">
        <f>(O42-O43)</f>
        <v/>
      </c>
      <c r="P44" s="14">
        <f>(P42-P43)</f>
        <v/>
      </c>
      <c r="Q44" s="14">
        <f>(Q42-Q43)</f>
        <v/>
      </c>
    </row>
    <row r="45">
      <c r="A45" t="inlineStr">
        <is>
          <t>Minority interests</t>
        </is>
      </c>
      <c r="B45" t="inlineStr">
        <is>
          <t>minority</t>
        </is>
      </c>
      <c r="D45" s="13" t="n">
        <v>-14.73476171499999</v>
      </c>
      <c r="E45" s="13" t="n">
        <v>-6.639140516999987</v>
      </c>
      <c r="F45" s="13" t="n">
        <v>-4.037466950000066</v>
      </c>
      <c r="G45" s="13" t="n">
        <v>-5.480021612000002</v>
      </c>
      <c r="H45" s="14">
        <f>(H44*H26)</f>
        <v/>
      </c>
      <c r="I45" s="14">
        <f>(I44*I26)</f>
        <v/>
      </c>
      <c r="J45" s="14">
        <f>(J44*J26)</f>
        <v/>
      </c>
      <c r="K45" s="14">
        <f>(K44*K26)</f>
        <v/>
      </c>
      <c r="L45" s="14">
        <f>(L44*L26)</f>
        <v/>
      </c>
      <c r="M45" s="14">
        <f>(M44*M26)</f>
        <v/>
      </c>
      <c r="N45" s="14">
        <f>(N44*N26)</f>
        <v/>
      </c>
      <c r="O45" s="14">
        <f>(O44*O26)</f>
        <v/>
      </c>
      <c r="P45" s="14">
        <f>(P44*P26)</f>
        <v/>
      </c>
      <c r="Q45" s="14">
        <f>(Q44*Q26)</f>
        <v/>
      </c>
    </row>
    <row r="46">
      <c r="A46" t="inlineStr">
        <is>
          <t>Net profit to parent</t>
        </is>
      </c>
      <c r="B46" t="inlineStr">
        <is>
          <t>np_parent</t>
        </is>
      </c>
      <c r="D46" s="13" t="n">
        <v>605.665824194</v>
      </c>
      <c r="E46" s="13" t="n">
        <v>687.945635227</v>
      </c>
      <c r="F46" s="13" t="n">
        <v>658.696226439</v>
      </c>
      <c r="G46" s="13" t="n">
        <v>213.269015248</v>
      </c>
      <c r="H46" s="14">
        <f>(H44-H45)</f>
        <v/>
      </c>
      <c r="I46" s="14">
        <f>(I44-I45)</f>
        <v/>
      </c>
      <c r="J46" s="14">
        <f>(J44-J45)</f>
        <v/>
      </c>
      <c r="K46" s="14">
        <f>(K44-K45)</f>
        <v/>
      </c>
      <c r="L46" s="14">
        <f>(L44-L45)</f>
        <v/>
      </c>
      <c r="M46" s="14">
        <f>(M44-M45)</f>
        <v/>
      </c>
      <c r="N46" s="14">
        <f>(N44-N45)</f>
        <v/>
      </c>
      <c r="O46" s="14">
        <f>(O44-O45)</f>
        <v/>
      </c>
      <c r="P46" s="14">
        <f>(P44-P45)</f>
        <v/>
      </c>
      <c r="Q46" s="14">
        <f>(Q44-Q45)</f>
        <v/>
      </c>
    </row>
    <row r="47">
      <c r="A47" t="inlineStr">
        <is>
          <t>Shares outstanding (m)</t>
        </is>
      </c>
      <c r="B47" t="inlineStr">
        <is>
          <t>shares</t>
        </is>
      </c>
      <c r="D47" s="13" t="n">
        <v>14143.778715</v>
      </c>
      <c r="E47" s="13" t="n">
        <v>15586.913235</v>
      </c>
      <c r="F47" s="13" t="n">
        <v>15586.909438</v>
      </c>
      <c r="G47" s="13" t="n">
        <v>15586.909438</v>
      </c>
      <c r="H47" s="14">
        <f>(G47*(1+H28))</f>
        <v/>
      </c>
      <c r="I47" s="14">
        <f>(H47*(1+I28))</f>
        <v/>
      </c>
      <c r="J47" s="14">
        <f>(I47*(1+J28))</f>
        <v/>
      </c>
      <c r="K47" s="14">
        <f>(J47*(1+K28))</f>
        <v/>
      </c>
      <c r="L47" s="14">
        <f>(K47*(1+L28))</f>
        <v/>
      </c>
      <c r="M47" s="14">
        <f>(L47*(1+M28))</f>
        <v/>
      </c>
      <c r="N47" s="14">
        <f>(M47*(1+N28))</f>
        <v/>
      </c>
      <c r="O47" s="14">
        <f>(N47*(1+O28))</f>
        <v/>
      </c>
      <c r="P47" s="14">
        <f>(O47*(1+P28))</f>
        <v/>
      </c>
      <c r="Q47" s="14">
        <f>(P47*(1+Q28))</f>
        <v/>
      </c>
    </row>
    <row r="48">
      <c r="A48" t="inlineStr">
        <is>
          <t>EPS</t>
        </is>
      </c>
      <c r="B48" t="inlineStr">
        <is>
          <t>eps</t>
        </is>
      </c>
      <c r="D48" s="16" t="n">
        <v>42.82206589895733</v>
      </c>
      <c r="E48" s="16" t="n">
        <v>44.13610474729765</v>
      </c>
      <c r="F48" s="16" t="n">
        <v>42.25957872271562</v>
      </c>
      <c r="G48" s="16" t="n">
        <v>13.68257229544571</v>
      </c>
      <c r="H48" s="17">
        <f>(IF(H47=0,0,H46/H47)*$C$7)</f>
        <v/>
      </c>
      <c r="I48" s="17">
        <f>(IF(I47=0,0,I46/I47)*$C$7)</f>
        <v/>
      </c>
      <c r="J48" s="17">
        <f>(IF(J47=0,0,J46/J47)*$C$7)</f>
        <v/>
      </c>
      <c r="K48" s="17">
        <f>(IF(K47=0,0,K46/K47)*$C$7)</f>
        <v/>
      </c>
      <c r="L48" s="17">
        <f>(IF(L47=0,0,L46/L47)*$C$7)</f>
        <v/>
      </c>
      <c r="M48" s="17">
        <f>(IF(M47=0,0,M46/M47)*$C$7)</f>
        <v/>
      </c>
      <c r="N48" s="17">
        <f>(IF(N47=0,0,N46/N47)*$C$7)</f>
        <v/>
      </c>
      <c r="O48" s="17">
        <f>(IF(O47=0,0,O46/O47)*$C$7)</f>
        <v/>
      </c>
      <c r="P48" s="17">
        <f>(IF(P47=0,0,P46/P47)*$C$7)</f>
        <v/>
      </c>
      <c r="Q48" s="17">
        <f>(IF(Q47=0,0,Q46/Q47)*$C$7)</f>
        <v/>
      </c>
    </row>
    <row r="49">
      <c r="A49" t="inlineStr">
        <is>
          <t>DPS (declared on the year)</t>
        </is>
      </c>
      <c r="B49" t="inlineStr">
        <is>
          <t>dps</t>
        </is>
      </c>
      <c r="D49" s="16" t="n">
        <v>17.149783</v>
      </c>
      <c r="E49" s="16" t="n">
        <v>28</v>
      </c>
      <c r="F49" s="16" t="n">
        <v>9</v>
      </c>
      <c r="G49" s="16" t="n">
        <v>0</v>
      </c>
      <c r="H49" s="17">
        <f>(MAX(H48,0)*H27)</f>
        <v/>
      </c>
      <c r="I49" s="17">
        <f>(MAX(I48,0)*I27)</f>
        <v/>
      </c>
      <c r="J49" s="17">
        <f>(MAX(J48,0)*J27)</f>
        <v/>
      </c>
      <c r="K49" s="17">
        <f>(MAX(K48,0)*K27)</f>
        <v/>
      </c>
      <c r="L49" s="17">
        <f>(MAX(L48,0)*L27)</f>
        <v/>
      </c>
      <c r="M49" s="17">
        <f>(MAX(M48,0)*M27)</f>
        <v/>
      </c>
      <c r="N49" s="17">
        <f>(MAX(N48,0)*N27)</f>
        <v/>
      </c>
      <c r="O49" s="17">
        <f>(MAX(O48,0)*O27)</f>
        <v/>
      </c>
      <c r="P49" s="17">
        <f>(MAX(P48,0)*P27)</f>
        <v/>
      </c>
      <c r="Q49" s="17">
        <f>(MAX(Q48,0)*Q27)</f>
        <v/>
      </c>
    </row>
    <row r="50">
      <c r="A50" t="inlineStr">
        <is>
          <t>Dividends paid</t>
        </is>
      </c>
      <c r="B50" t="inlineStr">
        <is>
          <t>dividends_paid</t>
        </is>
      </c>
      <c r="D50" s="13" t="n">
        <v>33.317417</v>
      </c>
      <c r="E50" s="13" t="n">
        <v>267.312308819</v>
      </c>
      <c r="F50" s="13" t="n">
        <v>122.201399768</v>
      </c>
      <c r="G50" s="13" t="n">
        <v>140.282184942</v>
      </c>
      <c r="H50" s="14">
        <f>IF($C$7=0,0,(G49*G47)/$C$7)</f>
        <v/>
      </c>
      <c r="I50" s="14">
        <f>IF($C$7=0,0,(H49*H47)/$C$7)</f>
        <v/>
      </c>
      <c r="J50" s="14">
        <f>IF($C$7=0,0,(I49*I47)/$C$7)</f>
        <v/>
      </c>
      <c r="K50" s="14">
        <f>IF($C$7=0,0,(J49*J47)/$C$7)</f>
        <v/>
      </c>
      <c r="L50" s="14">
        <f>IF($C$7=0,0,(K49*K47)/$C$7)</f>
        <v/>
      </c>
      <c r="M50" s="14">
        <f>IF($C$7=0,0,(L49*L47)/$C$7)</f>
        <v/>
      </c>
      <c r="N50" s="14">
        <f>IF($C$7=0,0,(M49*M47)/$C$7)</f>
        <v/>
      </c>
      <c r="O50" s="14">
        <f>IF($C$7=0,0,(N49*N47)/$C$7)</f>
        <v/>
      </c>
      <c r="P50" s="14">
        <f>IF($C$7=0,0,(O49*O47)/$C$7)</f>
        <v/>
      </c>
      <c r="Q50" s="14">
        <f>IF($C$7=0,0,(P49*P47)/$C$7)</f>
        <v/>
      </c>
    </row>
    <row r="51">
      <c r="A51" t="inlineStr">
        <is>
          <t>Capital expenditure</t>
        </is>
      </c>
      <c r="B51" t="inlineStr">
        <is>
          <t>capex</t>
        </is>
      </c>
      <c r="D51" s="13" t="n">
        <v>1.183807131</v>
      </c>
      <c r="E51" s="13" t="n">
        <v>73.80651360500001</v>
      </c>
      <c r="F51" s="13" t="n">
        <v>292.869413831</v>
      </c>
      <c r="G51" s="13" t="n">
        <v>475.353823608</v>
      </c>
      <c r="H51" s="14">
        <f>(H32*H19)</f>
        <v/>
      </c>
      <c r="I51" s="14">
        <f>(I32*I19)</f>
        <v/>
      </c>
      <c r="J51" s="14">
        <f>(J32*J19)</f>
        <v/>
      </c>
      <c r="K51" s="14">
        <f>(K32*K19)</f>
        <v/>
      </c>
      <c r="L51" s="14">
        <f>(L32*L19)</f>
        <v/>
      </c>
      <c r="M51" s="14">
        <f>(M32*M19)</f>
        <v/>
      </c>
      <c r="N51" s="14">
        <f>(N32*N19)</f>
        <v/>
      </c>
      <c r="O51" s="14">
        <f>(O32*O19)</f>
        <v/>
      </c>
      <c r="P51" s="14">
        <f>(P32*P19)</f>
        <v/>
      </c>
      <c r="Q51" s="14">
        <f>(Q32*Q19)</f>
        <v/>
      </c>
    </row>
    <row r="52">
      <c r="A52" t="inlineStr">
        <is>
          <t>Change in working capital</t>
        </is>
      </c>
      <c r="B52" t="inlineStr">
        <is>
          <t>delta_nwc</t>
        </is>
      </c>
      <c r="D52" s="13" t="n"/>
      <c r="E52" s="13" t="n">
        <v>916.6269799919996</v>
      </c>
      <c r="F52" s="13" t="n">
        <v>1131.392724111</v>
      </c>
      <c r="G52" s="13" t="n">
        <v>505.7311411649998</v>
      </c>
      <c r="H52" s="14">
        <f>(H57-G57)</f>
        <v/>
      </c>
      <c r="I52" s="14">
        <f>(I57-H57)</f>
        <v/>
      </c>
      <c r="J52" s="14">
        <f>(J57-I57)</f>
        <v/>
      </c>
      <c r="K52" s="14">
        <f>(K57-J57)</f>
        <v/>
      </c>
      <c r="L52" s="14">
        <f>(L57-K57)</f>
        <v/>
      </c>
      <c r="M52" s="14">
        <f>(M57-L57)</f>
        <v/>
      </c>
      <c r="N52" s="14">
        <f>(N57-M57)</f>
        <v/>
      </c>
      <c r="O52" s="14">
        <f>(O57-N57)</f>
        <v/>
      </c>
      <c r="P52" s="14">
        <f>(P57-O57)</f>
        <v/>
      </c>
      <c r="Q52" s="14">
        <f>(Q57-P57)</f>
        <v/>
      </c>
    </row>
    <row r="53">
      <c r="A53" t="inlineStr">
        <is>
          <t>Free cash flow to firm</t>
        </is>
      </c>
      <c r="B53" t="inlineStr">
        <is>
          <t>fcff</t>
        </is>
      </c>
      <c r="D53" s="13" t="n"/>
      <c r="E53" s="13" t="n">
        <v>-261.2255769236949</v>
      </c>
      <c r="F53" s="13" t="n">
        <v>-673.5410088785903</v>
      </c>
      <c r="G53" s="13" t="n">
        <v>-632.1025058755567</v>
      </c>
      <c r="H53" s="14">
        <f>((((H36*(1-H21))+H37)-H51)-H52)</f>
        <v/>
      </c>
      <c r="I53" s="14">
        <f>((((I36*(1-I21))+I37)-I51)-I52)</f>
        <v/>
      </c>
      <c r="J53" s="14">
        <f>((((J36*(1-J21))+J37)-J51)-J52)</f>
        <v/>
      </c>
      <c r="K53" s="14">
        <f>((((K36*(1-K21))+K37)-K51)-K52)</f>
        <v/>
      </c>
      <c r="L53" s="14">
        <f>((((L36*(1-L21))+L37)-L51)-L52)</f>
        <v/>
      </c>
      <c r="M53" s="14">
        <f>((((M36*(1-M21))+M37)-M51)-M52)</f>
        <v/>
      </c>
      <c r="N53" s="14">
        <f>((((N36*(1-N21))+N37)-N51)-N52)</f>
        <v/>
      </c>
      <c r="O53" s="14">
        <f>((((O36*(1-O21))+O37)-O51)-O52)</f>
        <v/>
      </c>
      <c r="P53" s="14">
        <f>((((P36*(1-P21))+P37)-P51)-P52)</f>
        <v/>
      </c>
      <c r="Q53" s="14">
        <f>((((Q36*(1-Q21))+Q37)-Q51)-Q52)</f>
        <v/>
      </c>
    </row>
    <row r="54">
      <c r="A54" t="inlineStr">
        <is>
          <t>Net borrowing</t>
        </is>
      </c>
      <c r="B54" t="inlineStr">
        <is>
          <t>net_borrowing</t>
        </is>
      </c>
      <c r="D54" s="13" t="n"/>
      <c r="E54" s="13" t="n">
        <v>444.007160466</v>
      </c>
      <c r="F54" s="13" t="n">
        <v>493.7497542130001</v>
      </c>
      <c r="G54" s="13" t="n">
        <v>1049.665488868</v>
      </c>
      <c r="H54" s="14">
        <f>H24</f>
        <v/>
      </c>
      <c r="I54" s="14">
        <f>I24</f>
        <v/>
      </c>
      <c r="J54" s="14">
        <f>J24</f>
        <v/>
      </c>
      <c r="K54" s="14">
        <f>K24</f>
        <v/>
      </c>
      <c r="L54" s="14">
        <f>L24</f>
        <v/>
      </c>
      <c r="M54" s="14">
        <f>M24</f>
        <v/>
      </c>
      <c r="N54" s="14">
        <f>N24</f>
        <v/>
      </c>
      <c r="O54" s="14">
        <f>O24</f>
        <v/>
      </c>
      <c r="P54" s="14">
        <f>P24</f>
        <v/>
      </c>
      <c r="Q54" s="14">
        <f>Q24</f>
        <v/>
      </c>
    </row>
    <row r="55">
      <c r="A55" t="inlineStr">
        <is>
          <t>Dividends to minorities</t>
        </is>
      </c>
      <c r="B55" t="inlineStr">
        <is>
          <t>minority_div</t>
        </is>
      </c>
      <c r="D55" s="13" t="n"/>
      <c r="E55" s="13" t="n"/>
      <c r="F55" s="13" t="n"/>
      <c r="G55" s="13" t="n"/>
      <c r="H55" s="14">
        <f>(MAX(G45,0)*H27)</f>
        <v/>
      </c>
      <c r="I55" s="14">
        <f>(MAX(H45,0)*I27)</f>
        <v/>
      </c>
      <c r="J55" s="14">
        <f>(MAX(I45,0)*J27)</f>
        <v/>
      </c>
      <c r="K55" s="14">
        <f>(MAX(J45,0)*K27)</f>
        <v/>
      </c>
      <c r="L55" s="14">
        <f>(MAX(K45,0)*L27)</f>
        <v/>
      </c>
      <c r="M55" s="14">
        <f>(MAX(L45,0)*M27)</f>
        <v/>
      </c>
      <c r="N55" s="14">
        <f>(MAX(M45,0)*N27)</f>
        <v/>
      </c>
      <c r="O55" s="14">
        <f>(MAX(N45,0)*O27)</f>
        <v/>
      </c>
      <c r="P55" s="14">
        <f>(MAX(O45,0)*P27)</f>
        <v/>
      </c>
      <c r="Q55" s="14">
        <f>(MAX(P45,0)*Q27)</f>
        <v/>
      </c>
    </row>
    <row r="56">
      <c r="A56" t="inlineStr">
        <is>
          <t>Free cash flow to equity</t>
        </is>
      </c>
      <c r="B56" t="inlineStr">
        <is>
          <t>fcfe</t>
        </is>
      </c>
      <c r="D56" s="13" t="n"/>
      <c r="E56" s="13" t="n"/>
      <c r="F56" s="13" t="n"/>
      <c r="G56" s="13" t="n"/>
      <c r="H56" s="14">
        <f>(((((H44+H37)-H51)-H52)+H54)-H55)</f>
        <v/>
      </c>
      <c r="I56" s="14">
        <f>(((((I44+I37)-I51)-I52)+I54)-I55)</f>
        <v/>
      </c>
      <c r="J56" s="14">
        <f>(((((J44+J37)-J51)-J52)+J54)-J55)</f>
        <v/>
      </c>
      <c r="K56" s="14">
        <f>(((((K44+K37)-K51)-K52)+K54)-K55)</f>
        <v/>
      </c>
      <c r="L56" s="14">
        <f>(((((L44+L37)-L51)-L52)+L54)-L55)</f>
        <v/>
      </c>
      <c r="M56" s="14">
        <f>(((((M44+M37)-M51)-M52)+M54)-M55)</f>
        <v/>
      </c>
      <c r="N56" s="14">
        <f>(((((N44+N37)-N51)-N52)+N54)-N55)</f>
        <v/>
      </c>
      <c r="O56" s="14">
        <f>(((((O44+O37)-O51)-O52)+O54)-O55)</f>
        <v/>
      </c>
      <c r="P56" s="14">
        <f>(((((P44+P37)-P51)-P52)+P54)-P55)</f>
        <v/>
      </c>
      <c r="Q56" s="14">
        <f>(((((Q44+Q37)-Q51)-Q52)+Q54)-Q55)</f>
        <v/>
      </c>
    </row>
    <row r="57">
      <c r="A57" t="inlineStr">
        <is>
          <t>Operating working capital</t>
        </is>
      </c>
      <c r="B57" t="inlineStr">
        <is>
          <t>nwc</t>
        </is>
      </c>
      <c r="D57" s="13" t="n">
        <v>884.8959801410001</v>
      </c>
      <c r="E57" s="13" t="n">
        <v>1801.522960133</v>
      </c>
      <c r="F57" s="13" t="n">
        <v>2932.915684244</v>
      </c>
      <c r="G57" s="13" t="n">
        <v>3438.646825409</v>
      </c>
      <c r="H57" s="14">
        <f>(H32*H20)</f>
        <v/>
      </c>
      <c r="I57" s="14">
        <f>(I32*I20)</f>
        <v/>
      </c>
      <c r="J57" s="14">
        <f>(J32*J20)</f>
        <v/>
      </c>
      <c r="K57" s="14">
        <f>(K32*K20)</f>
        <v/>
      </c>
      <c r="L57" s="14">
        <f>(L32*L20)</f>
        <v/>
      </c>
      <c r="M57" s="14">
        <f>(M32*M20)</f>
        <v/>
      </c>
      <c r="N57" s="14">
        <f>(N32*N20)</f>
        <v/>
      </c>
      <c r="O57" s="14">
        <f>(O32*O20)</f>
        <v/>
      </c>
      <c r="P57" s="14">
        <f>(P32*P20)</f>
        <v/>
      </c>
      <c r="Q57" s="14">
        <f>(Q32*Q20)</f>
        <v/>
      </c>
    </row>
    <row r="58">
      <c r="A58" t="inlineStr">
        <is>
          <t>Cash &amp; equivalents</t>
        </is>
      </c>
      <c r="B58" t="inlineStr">
        <is>
          <t>cash</t>
        </is>
      </c>
      <c r="D58" s="13" t="n">
        <v>388.545087523</v>
      </c>
      <c r="E58" s="13" t="n">
        <v>295.962651657</v>
      </c>
      <c r="F58" s="13" t="n">
        <v>150.244231902</v>
      </c>
      <c r="G58" s="13" t="n">
        <v>361.272686633</v>
      </c>
      <c r="H58" s="14">
        <f>(((((((G58+H44)+H37)-H51)-H52)+H54)-H50)-H55)</f>
        <v/>
      </c>
      <c r="I58" s="14">
        <f>(((((((H58+I44)+I37)-I51)-I52)+I54)-I50)-I55)</f>
        <v/>
      </c>
      <c r="J58" s="14">
        <f>(((((((I58+J44)+J37)-J51)-J52)+J54)-J50)-J55)</f>
        <v/>
      </c>
      <c r="K58" s="14">
        <f>(((((((J58+K44)+K37)-K51)-K52)+K54)-K50)-K55)</f>
        <v/>
      </c>
      <c r="L58" s="14">
        <f>(((((((K58+L44)+L37)-L51)-L52)+L54)-L50)-L55)</f>
        <v/>
      </c>
      <c r="M58" s="14">
        <f>(((((((L58+M44)+M37)-M51)-M52)+M54)-M50)-M55)</f>
        <v/>
      </c>
      <c r="N58" s="14">
        <f>(((((((M58+N44)+N37)-N51)-N52)+N54)-N50)-N55)</f>
        <v/>
      </c>
      <c r="O58" s="14">
        <f>(((((((N58+O44)+O37)-O51)-O52)+O54)-O50)-O55)</f>
        <v/>
      </c>
      <c r="P58" s="14">
        <f>(((((((O58+P44)+P37)-P51)-P52)+P54)-P50)-P55)</f>
        <v/>
      </c>
      <c r="Q58" s="14">
        <f>(((((((P58+Q44)+Q37)-Q51)-Q52)+Q54)-Q50)-Q55)</f>
        <v/>
      </c>
    </row>
    <row r="59">
      <c r="A59" t="inlineStr">
        <is>
          <t>Total debt</t>
        </is>
      </c>
      <c r="B59" t="inlineStr">
        <is>
          <t>debt</t>
        </is>
      </c>
      <c r="D59" s="13" t="n">
        <v>313.268947722</v>
      </c>
      <c r="E59" s="13" t="n">
        <v>757.276108188</v>
      </c>
      <c r="F59" s="13" t="n">
        <v>1251.025862401</v>
      </c>
      <c r="G59" s="13" t="n">
        <v>2300.691351269</v>
      </c>
      <c r="H59" s="14">
        <f>(G59+H54)</f>
        <v/>
      </c>
      <c r="I59" s="14">
        <f>(H59+I54)</f>
        <v/>
      </c>
      <c r="J59" s="14">
        <f>(I59+J54)</f>
        <v/>
      </c>
      <c r="K59" s="14">
        <f>(J59+K54)</f>
        <v/>
      </c>
      <c r="L59" s="14">
        <f>(K59+L54)</f>
        <v/>
      </c>
      <c r="M59" s="14">
        <f>(L59+M54)</f>
        <v/>
      </c>
      <c r="N59" s="14">
        <f>(M59+N54)</f>
        <v/>
      </c>
      <c r="O59" s="14">
        <f>(N59+O54)</f>
        <v/>
      </c>
      <c r="P59" s="14">
        <f>(O59+P54)</f>
        <v/>
      </c>
      <c r="Q59" s="14">
        <f>(P59+Q54)</f>
        <v/>
      </c>
    </row>
    <row r="60">
      <c r="A60" t="inlineStr">
        <is>
          <t>Fixed assets (net)</t>
        </is>
      </c>
      <c r="B60" t="inlineStr">
        <is>
          <t>ppe</t>
        </is>
      </c>
      <c r="D60" s="13" t="n">
        <v>39.973687151</v>
      </c>
      <c r="E60" s="13" t="n">
        <v>131.12921052</v>
      </c>
      <c r="F60" s="13" t="n">
        <v>402.937544988</v>
      </c>
      <c r="G60" s="13" t="n">
        <v>862.105011699</v>
      </c>
      <c r="H60" s="14">
        <f>((G60+H51)-H37)</f>
        <v/>
      </c>
      <c r="I60" s="14">
        <f>((H60+I51)-I37)</f>
        <v/>
      </c>
      <c r="J60" s="14">
        <f>((I60+J51)-J37)</f>
        <v/>
      </c>
      <c r="K60" s="14">
        <f>((J60+K51)-K37)</f>
        <v/>
      </c>
      <c r="L60" s="14">
        <f>((K60+L51)-L37)</f>
        <v/>
      </c>
      <c r="M60" s="14">
        <f>((L60+M51)-M37)</f>
        <v/>
      </c>
      <c r="N60" s="14">
        <f>((M60+N51)-N37)</f>
        <v/>
      </c>
      <c r="O60" s="14">
        <f>((N60+O51)-O37)</f>
        <v/>
      </c>
      <c r="P60" s="14">
        <f>((O60+P51)-P37)</f>
        <v/>
      </c>
      <c r="Q60" s="14">
        <f>((P60+Q51)-Q37)</f>
        <v/>
      </c>
    </row>
    <row r="61">
      <c r="A61" t="inlineStr">
        <is>
          <t>Parent shareholders' equity</t>
        </is>
      </c>
      <c r="B61" t="inlineStr">
        <is>
          <t>equity</t>
        </is>
      </c>
      <c r="D61" s="13" t="n">
        <v>983.176862312</v>
      </c>
      <c r="E61" s="13" t="n">
        <v>1449.87836595</v>
      </c>
      <c r="F61" s="13" t="n">
        <v>2125.969629322</v>
      </c>
      <c r="G61" s="13" t="n">
        <v>2233.913688487</v>
      </c>
      <c r="H61" s="14">
        <f>((G61+H46)-H50)</f>
        <v/>
      </c>
      <c r="I61" s="14">
        <f>((H61+I46)-I50)</f>
        <v/>
      </c>
      <c r="J61" s="14">
        <f>((I61+J46)-J50)</f>
        <v/>
      </c>
      <c r="K61" s="14">
        <f>((J61+K46)-K50)</f>
        <v/>
      </c>
      <c r="L61" s="14">
        <f>((K61+L46)-L50)</f>
        <v/>
      </c>
      <c r="M61" s="14">
        <f>((L61+M46)-M50)</f>
        <v/>
      </c>
      <c r="N61" s="14">
        <f>((M61+N46)-N50)</f>
        <v/>
      </c>
      <c r="O61" s="14">
        <f>((N61+O46)-O50)</f>
        <v/>
      </c>
      <c r="P61" s="14">
        <f>((O61+P46)-P50)</f>
        <v/>
      </c>
      <c r="Q61" s="14">
        <f>((P61+Q46)-Q50)</f>
        <v/>
      </c>
    </row>
    <row r="62">
      <c r="A62" t="inlineStr">
        <is>
          <t>Minority interest (balance sheet)</t>
        </is>
      </c>
      <c r="B62" t="inlineStr">
        <is>
          <t>minority_bs</t>
        </is>
      </c>
      <c r="D62" s="13" t="n">
        <v>28.956019605</v>
      </c>
      <c r="E62" s="13" t="n">
        <v>31.889428227</v>
      </c>
      <c r="F62" s="13" t="n">
        <v>115.166554542</v>
      </c>
      <c r="G62" s="13" t="n">
        <v>131.608679787</v>
      </c>
      <c r="H62" s="14">
        <f>((G62+H45)-H55)</f>
        <v/>
      </c>
      <c r="I62" s="14">
        <f>((H62+I45)-I55)</f>
        <v/>
      </c>
      <c r="J62" s="14">
        <f>((I62+J45)-J55)</f>
        <v/>
      </c>
      <c r="K62" s="14">
        <f>((J62+K45)-K55)</f>
        <v/>
      </c>
      <c r="L62" s="14">
        <f>((K62+L45)-L55)</f>
        <v/>
      </c>
      <c r="M62" s="14">
        <f>((L62+M45)-M55)</f>
        <v/>
      </c>
      <c r="N62" s="14">
        <f>((M62+N45)-N55)</f>
        <v/>
      </c>
      <c r="O62" s="14">
        <f>((N62+O45)-O55)</f>
        <v/>
      </c>
      <c r="P62" s="14">
        <f>((O62+P45)-P55)</f>
        <v/>
      </c>
      <c r="Q62" s="14">
        <f>((P62+Q45)-Q55)</f>
        <v/>
      </c>
    </row>
    <row r="63">
      <c r="A63" t="inlineStr">
        <is>
          <t>Other assets less other liabilities</t>
        </is>
      </c>
      <c r="B63" t="inlineStr">
        <is>
          <t>other_net</t>
        </is>
      </c>
      <c r="D63" s="13" t="n">
        <v>11.98707482399985</v>
      </c>
      <c r="E63" s="13" t="n">
        <v>10.42908005500001</v>
      </c>
      <c r="F63" s="13" t="n">
        <v>6.064585130999944</v>
      </c>
      <c r="G63" s="13" t="n">
        <v>4.189195801999631</v>
      </c>
      <c r="H63" s="14">
        <f>G63</f>
        <v/>
      </c>
      <c r="I63" s="14">
        <f>H63</f>
        <v/>
      </c>
      <c r="J63" s="14">
        <f>I63</f>
        <v/>
      </c>
      <c r="K63" s="14">
        <f>J63</f>
        <v/>
      </c>
      <c r="L63" s="14">
        <f>K63</f>
        <v/>
      </c>
      <c r="M63" s="14">
        <f>L63</f>
        <v/>
      </c>
      <c r="N63" s="14">
        <f>M63</f>
        <v/>
      </c>
      <c r="O63" s="14">
        <f>N63</f>
        <v/>
      </c>
      <c r="P63" s="14">
        <f>O63</f>
        <v/>
      </c>
      <c r="Q63" s="14">
        <f>P63</f>
        <v/>
      </c>
    </row>
    <row r="64">
      <c r="A64" t="inlineStr">
        <is>
          <t>Balance check (should be zero)</t>
        </is>
      </c>
      <c r="B64" t="inlineStr">
        <is>
          <t>bs_check</t>
        </is>
      </c>
      <c r="D64" s="13" t="n"/>
      <c r="E64" s="13" t="n"/>
      <c r="F64" s="13" t="n"/>
      <c r="G64" s="13" t="n"/>
      <c r="H64" s="14">
        <f>((((((H58+H57)+H60)+H63)-H59)-H61)-H62)</f>
        <v/>
      </c>
      <c r="I64" s="14">
        <f>((((((I58+I57)+I60)+I63)-I59)-I61)-I62)</f>
        <v/>
      </c>
      <c r="J64" s="14">
        <f>((((((J58+J57)+J60)+J63)-J59)-J61)-J62)</f>
        <v/>
      </c>
      <c r="K64" s="14">
        <f>((((((K58+K57)+K60)+K63)-K59)-K61)-K62)</f>
        <v/>
      </c>
      <c r="L64" s="14">
        <f>((((((L58+L57)+L60)+L63)-L59)-L61)-L62)</f>
        <v/>
      </c>
      <c r="M64" s="14">
        <f>((((((M58+M57)+M60)+M63)-M59)-M61)-M62)</f>
        <v/>
      </c>
      <c r="N64" s="14">
        <f>((((((N58+N57)+N60)+N63)-N59)-N61)-N62)</f>
        <v/>
      </c>
      <c r="O64" s="14">
        <f>((((((O58+O57)+O60)+O63)-O59)-O61)-O62)</f>
        <v/>
      </c>
      <c r="P64" s="14">
        <f>((((((P58+P57)+P60)+P63)-P59)-P61)-P62)</f>
        <v/>
      </c>
      <c r="Q64" s="14">
        <f>((((((Q58+Q57)+Q60)+Q63)-Q59)-Q61)-Q62)</f>
        <v/>
      </c>
    </row>
    <row r="65">
      <c r="A65" t="inlineStr">
        <is>
          <t>Net debt (cash)</t>
        </is>
      </c>
      <c r="B65" t="inlineStr">
        <is>
          <t>net_debt</t>
        </is>
      </c>
      <c r="D65" s="13" t="n">
        <v>-75.276139801</v>
      </c>
      <c r="E65" s="13" t="n">
        <v>461.313456531</v>
      </c>
      <c r="F65" s="13" t="n">
        <v>1100.781630499</v>
      </c>
      <c r="G65" s="13" t="n">
        <v>1939.418664636</v>
      </c>
      <c r="H65" s="14">
        <f>(H59-H58)</f>
        <v/>
      </c>
      <c r="I65" s="14">
        <f>(I59-I58)</f>
        <v/>
      </c>
      <c r="J65" s="14">
        <f>(J59-J58)</f>
        <v/>
      </c>
      <c r="K65" s="14">
        <f>(K59-K58)</f>
        <v/>
      </c>
      <c r="L65" s="14">
        <f>(L59-L58)</f>
        <v/>
      </c>
      <c r="M65" s="14">
        <f>(M59-M58)</f>
        <v/>
      </c>
      <c r="N65" s="14">
        <f>(N59-N58)</f>
        <v/>
      </c>
      <c r="O65" s="14">
        <f>(O59-O58)</f>
        <v/>
      </c>
      <c r="P65" s="14">
        <f>(P59-P58)</f>
        <v/>
      </c>
      <c r="Q65" s="14">
        <f>(Q59-Q58)</f>
        <v/>
      </c>
    </row>
    <row r="66">
      <c r="A66" t="inlineStr">
        <is>
          <t>Book value per share</t>
        </is>
      </c>
      <c r="B66" t="inlineStr">
        <is>
          <t>bvps</t>
        </is>
      </c>
      <c r="D66" s="16" t="n">
        <v>69.51302633639939</v>
      </c>
      <c r="E66" s="16" t="n">
        <v>93.01895404757477</v>
      </c>
      <c r="F66" s="16" t="n">
        <v>136.3945583810865</v>
      </c>
      <c r="G66" s="16" t="n">
        <v>143.3198606415743</v>
      </c>
      <c r="H66" s="17">
        <f>(IF(H47=0,0,H61/H47)*$C$7)</f>
        <v/>
      </c>
      <c r="I66" s="17">
        <f>(IF(I47=0,0,I61/I47)*$C$7)</f>
        <v/>
      </c>
      <c r="J66" s="17">
        <f>(IF(J47=0,0,J61/J47)*$C$7)</f>
        <v/>
      </c>
      <c r="K66" s="17">
        <f>(IF(K47=0,0,K61/K47)*$C$7)</f>
        <v/>
      </c>
      <c r="L66" s="17">
        <f>(IF(L47=0,0,L61/L47)*$C$7)</f>
        <v/>
      </c>
      <c r="M66" s="17">
        <f>(IF(M47=0,0,M61/M47)*$C$7)</f>
        <v/>
      </c>
      <c r="N66" s="17">
        <f>(IF(N47=0,0,N61/N47)*$C$7)</f>
        <v/>
      </c>
      <c r="O66" s="17">
        <f>(IF(O47=0,0,O61/O47)*$C$7)</f>
        <v/>
      </c>
      <c r="P66" s="17">
        <f>(IF(P47=0,0,P61/P47)*$C$7)</f>
        <v/>
      </c>
      <c r="Q66" s="17">
        <f>(IF(Q47=0,0,Q61/Q47)*$C$7)</f>
        <v/>
      </c>
    </row>
    <row r="67">
      <c r="A67" t="inlineStr">
        <is>
          <t>Revenue growth</t>
        </is>
      </c>
      <c r="B67" t="inlineStr">
        <is>
          <t>revenue_growth</t>
        </is>
      </c>
      <c r="D67" s="4" t="n"/>
      <c r="E67" s="4" t="n">
        <v>0.1783911202323025</v>
      </c>
      <c r="F67" s="4" t="n">
        <v>0.198947526069164</v>
      </c>
      <c r="G67" s="4" t="n">
        <v>-0.5434694909504816</v>
      </c>
      <c r="H67" s="18">
        <f>(IF(G32=0,0,H32/G32)-1)</f>
        <v/>
      </c>
      <c r="I67" s="18">
        <f>(IF(H32=0,0,I32/H32)-1)</f>
        <v/>
      </c>
      <c r="J67" s="18">
        <f>(IF(I32=0,0,J32/I32)-1)</f>
        <v/>
      </c>
      <c r="K67" s="18">
        <f>(IF(J32=0,0,K32/J32)-1)</f>
        <v/>
      </c>
      <c r="L67" s="18">
        <f>(IF(K32=0,0,L32/K32)-1)</f>
        <v/>
      </c>
      <c r="M67" s="18">
        <f>(IF(L32=0,0,M32/L32)-1)</f>
        <v/>
      </c>
      <c r="N67" s="18">
        <f>(IF(M32=0,0,N32/M32)-1)</f>
        <v/>
      </c>
      <c r="O67" s="18">
        <f>(IF(N32=0,0,O32/N32)-1)</f>
        <v/>
      </c>
      <c r="P67" s="18">
        <f>(IF(O32=0,0,P32/O32)-1)</f>
        <v/>
      </c>
      <c r="Q67" s="18">
        <f>(IF(P32=0,0,Q32/P32)-1)</f>
        <v/>
      </c>
    </row>
    <row r="68">
      <c r="A68" t="inlineStr">
        <is>
          <t>Gross margin</t>
        </is>
      </c>
      <c r="B68" t="inlineStr">
        <is>
          <t>gross_margin</t>
        </is>
      </c>
      <c r="D68" s="4" t="n">
        <v>0.06986108452917343</v>
      </c>
      <c r="E68" s="4" t="n">
        <v>0.08594315089078119</v>
      </c>
      <c r="F68" s="4" t="n">
        <v>0.069756675706571</v>
      </c>
      <c r="G68" s="4" t="n">
        <v>0.07967064500973686</v>
      </c>
      <c r="H68" s="18">
        <f>IF(H32=0,0,H34/H32)</f>
        <v/>
      </c>
      <c r="I68" s="18">
        <f>IF(I32=0,0,I34/I32)</f>
        <v/>
      </c>
      <c r="J68" s="18">
        <f>IF(J32=0,0,J34/J32)</f>
        <v/>
      </c>
      <c r="K68" s="18">
        <f>IF(K32=0,0,K34/K32)</f>
        <v/>
      </c>
      <c r="L68" s="18">
        <f>IF(L32=0,0,L34/L32)</f>
        <v/>
      </c>
      <c r="M68" s="18">
        <f>IF(M32=0,0,M34/M32)</f>
        <v/>
      </c>
      <c r="N68" s="18">
        <f>IF(N32=0,0,N34/N32)</f>
        <v/>
      </c>
      <c r="O68" s="18">
        <f>IF(O32=0,0,O34/O32)</f>
        <v/>
      </c>
      <c r="P68" s="18">
        <f>IF(P32=0,0,P34/P32)</f>
        <v/>
      </c>
      <c r="Q68" s="18">
        <f>IF(Q32=0,0,Q34/Q32)</f>
        <v/>
      </c>
    </row>
    <row r="69">
      <c r="A69" t="inlineStr">
        <is>
          <t>EBITDA margin</t>
        </is>
      </c>
      <c r="B69" t="inlineStr">
        <is>
          <t>ebitda_margin</t>
        </is>
      </c>
      <c r="D69" s="4" t="n">
        <v>0.0593262347524082</v>
      </c>
      <c r="E69" s="4" t="n">
        <v>0.07298848202603081</v>
      </c>
      <c r="F69" s="4" t="n">
        <v>0.06278251673952039</v>
      </c>
      <c r="G69" s="4" t="n">
        <v>0.05898801180911246</v>
      </c>
      <c r="H69" s="18">
        <f>IF(H32=0,0,H38/H32)</f>
        <v/>
      </c>
      <c r="I69" s="18">
        <f>IF(I32=0,0,I38/I32)</f>
        <v/>
      </c>
      <c r="J69" s="18">
        <f>IF(J32=0,0,J38/J32)</f>
        <v/>
      </c>
      <c r="K69" s="18">
        <f>IF(K32=0,0,K38/K32)</f>
        <v/>
      </c>
      <c r="L69" s="18">
        <f>IF(L32=0,0,L38/L32)</f>
        <v/>
      </c>
      <c r="M69" s="18">
        <f>IF(M32=0,0,M38/M32)</f>
        <v/>
      </c>
      <c r="N69" s="18">
        <f>IF(N32=0,0,N38/N32)</f>
        <v/>
      </c>
      <c r="O69" s="18">
        <f>IF(O32=0,0,O38/O32)</f>
        <v/>
      </c>
      <c r="P69" s="18">
        <f>IF(P32=0,0,P38/P32)</f>
        <v/>
      </c>
      <c r="Q69" s="18">
        <f>IF(Q32=0,0,Q38/Q32)</f>
        <v/>
      </c>
    </row>
    <row r="70">
      <c r="A70" t="inlineStr">
        <is>
          <t>EBIT margin</t>
        </is>
      </c>
      <c r="B70" t="inlineStr">
        <is>
          <t>ebit_margin</t>
        </is>
      </c>
      <c r="D70" s="4" t="n">
        <v>0.05897833131413914</v>
      </c>
      <c r="E70" s="4" t="n">
        <v>0.0725252049802969</v>
      </c>
      <c r="F70" s="4" t="n">
        <v>0.06189915001884536</v>
      </c>
      <c r="G70" s="4" t="n">
        <v>0.05635569701940469</v>
      </c>
      <c r="H70" s="18">
        <f>IF(H32=0,0,H36/H32)</f>
        <v/>
      </c>
      <c r="I70" s="18">
        <f>IF(I32=0,0,I36/I32)</f>
        <v/>
      </c>
      <c r="J70" s="18">
        <f>IF(J32=0,0,J36/J32)</f>
        <v/>
      </c>
      <c r="K70" s="18">
        <f>IF(K32=0,0,K36/K32)</f>
        <v/>
      </c>
      <c r="L70" s="18">
        <f>IF(L32=0,0,L36/L32)</f>
        <v/>
      </c>
      <c r="M70" s="18">
        <f>IF(M32=0,0,M36/M32)</f>
        <v/>
      </c>
      <c r="N70" s="18">
        <f>IF(N32=0,0,N36/N32)</f>
        <v/>
      </c>
      <c r="O70" s="18">
        <f>IF(O32=0,0,O36/O32)</f>
        <v/>
      </c>
      <c r="P70" s="18">
        <f>IF(P32=0,0,P36/P32)</f>
        <v/>
      </c>
      <c r="Q70" s="18">
        <f>IF(Q32=0,0,Q36/Q32)</f>
        <v/>
      </c>
    </row>
    <row r="71">
      <c r="A71" t="inlineStr">
        <is>
          <t>Net margin</t>
        </is>
      </c>
      <c r="B71" t="inlineStr">
        <is>
          <t>np_margin</t>
        </is>
      </c>
      <c r="D71" s="4" t="n">
        <v>0.05796469126626778</v>
      </c>
      <c r="E71" s="4" t="n">
        <v>0.05587211568258405</v>
      </c>
      <c r="F71" s="4" t="n">
        <v>0.04461963331193735</v>
      </c>
      <c r="G71" s="4" t="n">
        <v>0.03164453943404214</v>
      </c>
      <c r="H71" s="18">
        <f>IF(H32=0,0,H46/H32)</f>
        <v/>
      </c>
      <c r="I71" s="18">
        <f>IF(I32=0,0,I46/I32)</f>
        <v/>
      </c>
      <c r="J71" s="18">
        <f>IF(J32=0,0,J46/J32)</f>
        <v/>
      </c>
      <c r="K71" s="18">
        <f>IF(K32=0,0,K46/K32)</f>
        <v/>
      </c>
      <c r="L71" s="18">
        <f>IF(L32=0,0,L46/L32)</f>
        <v/>
      </c>
      <c r="M71" s="18">
        <f>IF(M32=0,0,M46/M32)</f>
        <v/>
      </c>
      <c r="N71" s="18">
        <f>IF(N32=0,0,N46/N32)</f>
        <v/>
      </c>
      <c r="O71" s="18">
        <f>IF(O32=0,0,O46/O32)</f>
        <v/>
      </c>
      <c r="P71" s="18">
        <f>IF(P32=0,0,P46/P32)</f>
        <v/>
      </c>
      <c r="Q71" s="18">
        <f>IF(Q32=0,0,Q46/Q32)</f>
        <v/>
      </c>
    </row>
    <row r="72">
      <c r="A72" t="inlineStr">
        <is>
          <t>EPS growth</t>
        </is>
      </c>
      <c r="B72" t="inlineStr">
        <is>
          <t>eps_growth</t>
        </is>
      </c>
      <c r="D72" s="4" t="n"/>
      <c r="E72" s="4" t="n">
        <v>0.03068602181503599</v>
      </c>
      <c r="F72" s="4" t="n">
        <v>-0.04251680195445728</v>
      </c>
      <c r="G72" s="4" t="n">
        <v>-0.6762255396528369</v>
      </c>
      <c r="H72" s="18">
        <f>(IF(G48=0,0,H48/G48)-1)</f>
        <v/>
      </c>
      <c r="I72" s="18">
        <f>(IF(H48=0,0,I48/H48)-1)</f>
        <v/>
      </c>
      <c r="J72" s="18">
        <f>(IF(I48=0,0,J48/I48)-1)</f>
        <v/>
      </c>
      <c r="K72" s="18">
        <f>(IF(J48=0,0,K48/J48)-1)</f>
        <v/>
      </c>
      <c r="L72" s="18">
        <f>(IF(K48=0,0,L48/K48)-1)</f>
        <v/>
      </c>
      <c r="M72" s="18">
        <f>(IF(L48=0,0,M48/L48)-1)</f>
        <v/>
      </c>
      <c r="N72" s="18">
        <f>(IF(M48=0,0,N48/M48)-1)</f>
        <v/>
      </c>
      <c r="O72" s="18">
        <f>(IF(N48=0,0,O48/N48)-1)</f>
        <v/>
      </c>
      <c r="P72" s="18">
        <f>(IF(O48=0,0,P48/O48)-1)</f>
        <v/>
      </c>
      <c r="Q72" s="18">
        <f>(IF(P48=0,0,Q48/P48)-1)</f>
        <v/>
      </c>
    </row>
    <row r="73">
      <c r="A73" t="inlineStr">
        <is>
          <t>ROE</t>
        </is>
      </c>
      <c r="B73" t="inlineStr">
        <is>
          <t>roe</t>
        </is>
      </c>
      <c r="D73" s="4" t="n"/>
      <c r="E73" s="4" t="n">
        <v>0.5654993994677375</v>
      </c>
      <c r="F73" s="4" t="n">
        <v>0.3684139970770182</v>
      </c>
      <c r="G73" s="4" t="n">
        <v>0.097832441697167</v>
      </c>
      <c r="H73" s="18">
        <f>IF(IF(2=0,0,(H61+G61)/2)=0,0,H46/IF(2=0,0,(H61+G61)/2))</f>
        <v/>
      </c>
      <c r="I73" s="18">
        <f>IF(IF(2=0,0,(I61+H61)/2)=0,0,I46/IF(2=0,0,(I61+H61)/2))</f>
        <v/>
      </c>
      <c r="J73" s="18">
        <f>IF(IF(2=0,0,(J61+I61)/2)=0,0,J46/IF(2=0,0,(J61+I61)/2))</f>
        <v/>
      </c>
      <c r="K73" s="18">
        <f>IF(IF(2=0,0,(K61+J61)/2)=0,0,K46/IF(2=0,0,(K61+J61)/2))</f>
        <v/>
      </c>
      <c r="L73" s="18">
        <f>IF(IF(2=0,0,(L61+K61)/2)=0,0,L46/IF(2=0,0,(L61+K61)/2))</f>
        <v/>
      </c>
      <c r="M73" s="18">
        <f>IF(IF(2=0,0,(M61+L61)/2)=0,0,M46/IF(2=0,0,(M61+L61)/2))</f>
        <v/>
      </c>
      <c r="N73" s="18">
        <f>IF(IF(2=0,0,(N61+M61)/2)=0,0,N46/IF(2=0,0,(N61+M61)/2))</f>
        <v/>
      </c>
      <c r="O73" s="18">
        <f>IF(IF(2=0,0,(O61+N61)/2)=0,0,O46/IF(2=0,0,(O61+N61)/2))</f>
        <v/>
      </c>
      <c r="P73" s="18">
        <f>IF(IF(2=0,0,(P61+O61)/2)=0,0,P46/IF(2=0,0,(P61+O61)/2))</f>
        <v/>
      </c>
      <c r="Q73" s="18">
        <f>IF(IF(2=0,0,(Q61+P61)/2)=0,0,Q46/IF(2=0,0,(Q61+P61)/2))</f>
        <v/>
      </c>
    </row>
    <row r="74">
      <c r="A74" t="inlineStr">
        <is>
          <t>Net debt / EBITDA</t>
        </is>
      </c>
      <c r="B74" t="inlineStr">
        <is>
          <t>net_debt_ebitda</t>
        </is>
      </c>
      <c r="D74" s="19" t="n">
        <v>-0.1214341990843037</v>
      </c>
      <c r="E74" s="19" t="n">
        <v>0.5133136214538268</v>
      </c>
      <c r="F74" s="19" t="n">
        <v>1.187690475996855</v>
      </c>
      <c r="G74" s="19" t="n">
        <v>4.878415960606244</v>
      </c>
      <c r="H74" s="20">
        <f>IF(H38=0,0,H65/H38)</f>
        <v/>
      </c>
      <c r="I74" s="20">
        <f>IF(I38=0,0,I65/I38)</f>
        <v/>
      </c>
      <c r="J74" s="20">
        <f>IF(J38=0,0,J65/J38)</f>
        <v/>
      </c>
      <c r="K74" s="20">
        <f>IF(K38=0,0,K65/K38)</f>
        <v/>
      </c>
      <c r="L74" s="20">
        <f>IF(L38=0,0,L65/L38)</f>
        <v/>
      </c>
      <c r="M74" s="20">
        <f>IF(M38=0,0,M65/M38)</f>
        <v/>
      </c>
      <c r="N74" s="20">
        <f>IF(N38=0,0,N65/N38)</f>
        <v/>
      </c>
      <c r="O74" s="20">
        <f>IF(O38=0,0,O65/O38)</f>
        <v/>
      </c>
      <c r="P74" s="20">
        <f>IF(P38=0,0,P65/P38)</f>
        <v/>
      </c>
      <c r="Q74" s="20">
        <f>IF(Q38=0,0,Q65/Q38)</f>
        <v/>
      </c>
    </row>
    <row r="75">
      <c r="A75" t="inlineStr">
        <is>
          <t>Payout ratio</t>
        </is>
      </c>
      <c r="B75" t="inlineStr">
        <is>
          <t>payout_ratio</t>
        </is>
      </c>
      <c r="D75" s="4" t="n">
        <v>0.4004893888227279</v>
      </c>
      <c r="E75" s="4" t="n">
        <v>0.634401249505698</v>
      </c>
      <c r="F75" s="4" t="n">
        <v>0.2129694680359477</v>
      </c>
      <c r="G75" s="4" t="n">
        <v>0</v>
      </c>
      <c r="H75" s="18">
        <f>IF(H48=0,0,H49/H48)</f>
        <v/>
      </c>
      <c r="I75" s="18">
        <f>IF(I48=0,0,I49/I48)</f>
        <v/>
      </c>
      <c r="J75" s="18">
        <f>IF(J48=0,0,J49/J48)</f>
        <v/>
      </c>
      <c r="K75" s="18">
        <f>IF(K48=0,0,K49/K48)</f>
        <v/>
      </c>
      <c r="L75" s="18">
        <f>IF(L48=0,0,L49/L48)</f>
        <v/>
      </c>
      <c r="M75" s="18">
        <f>IF(M48=0,0,M49/M48)</f>
        <v/>
      </c>
      <c r="N75" s="18">
        <f>IF(N48=0,0,N49/N48)</f>
        <v/>
      </c>
      <c r="O75" s="18">
        <f>IF(O48=0,0,O49/O48)</f>
        <v/>
      </c>
      <c r="P75" s="18">
        <f>IF(P48=0,0,P49/P48)</f>
        <v/>
      </c>
      <c r="Q75" s="18">
        <f>IF(Q48=0,0,Q49/Q48)</f>
        <v/>
      </c>
    </row>
    <row r="76">
      <c r="A76" t="inlineStr">
        <is>
          <t>Capex / revenue</t>
        </is>
      </c>
      <c r="B76" t="inlineStr">
        <is>
          <t>capex_revenue</t>
        </is>
      </c>
      <c r="D76" s="4" t="n">
        <v>0.0001132951738832831</v>
      </c>
      <c r="E76" s="4" t="n">
        <v>0.005994261544963617</v>
      </c>
      <c r="F76" s="4" t="n">
        <v>0.01983877442879418</v>
      </c>
      <c r="G76" s="4" t="n">
        <v>0.0705322936798581</v>
      </c>
      <c r="H76" s="18">
        <f>IF(H32=0,0,H51/H32)</f>
        <v/>
      </c>
      <c r="I76" s="18">
        <f>IF(I32=0,0,I51/I32)</f>
        <v/>
      </c>
      <c r="J76" s="18">
        <f>IF(J32=0,0,J51/J32)</f>
        <v/>
      </c>
      <c r="K76" s="18">
        <f>IF(K32=0,0,K51/K32)</f>
        <v/>
      </c>
      <c r="L76" s="18">
        <f>IF(L32=0,0,L51/L32)</f>
        <v/>
      </c>
      <c r="M76" s="18">
        <f>IF(M32=0,0,M51/M32)</f>
        <v/>
      </c>
      <c r="N76" s="18">
        <f>IF(N32=0,0,N51/N32)</f>
        <v/>
      </c>
      <c r="O76" s="18">
        <f>IF(O32=0,0,O51/O32)</f>
        <v/>
      </c>
      <c r="P76" s="18">
        <f>IF(P32=0,0,P51/P32)</f>
        <v/>
      </c>
      <c r="Q76" s="18">
        <f>IF(Q32=0,0,Q51/Q32)</f>
        <v/>
      </c>
    </row>
    <row r="78">
      <c r="A78" s="1" t="inlineStr">
        <is>
          <t>VALUATION</t>
        </is>
      </c>
    </row>
    <row r="79">
      <c r="A79" t="inlineStr">
        <is>
          <t>Last price (IDR)</t>
        </is>
      </c>
      <c r="C79" s="16" t="n">
        <v>800</v>
      </c>
    </row>
    <row r="80">
      <c r="A80" t="inlineStr">
        <is>
          <t>Shares outstanding (m)</t>
        </is>
      </c>
      <c r="C80" s="13" t="n">
        <v>15586.909438</v>
      </c>
    </row>
    <row r="81">
      <c r="A81" t="inlineStr">
        <is>
          <t>IDR per USD (spot)</t>
        </is>
      </c>
      <c r="C81" s="3" t="n">
        <v>18128</v>
      </c>
    </row>
    <row r="82">
      <c r="A82" t="inlineStr">
        <is>
          <t>Debt at balance-sheet date</t>
        </is>
      </c>
      <c r="C82" s="13" t="n">
        <v>2222.316719668</v>
      </c>
    </row>
    <row r="83">
      <c r="A83" t="inlineStr">
        <is>
          <t>Cash at balance-sheet date</t>
        </is>
      </c>
      <c r="C83" s="13" t="n">
        <v>270.021002061</v>
      </c>
    </row>
    <row r="84">
      <c r="A84" t="inlineStr">
        <is>
          <t>Minority interest (book)</t>
        </is>
      </c>
      <c r="C84" s="13" t="n">
        <v>133.739754302</v>
      </c>
    </row>
    <row r="85">
      <c r="A85" t="inlineStr">
        <is>
          <t>Associates &amp; investments (book)</t>
        </is>
      </c>
      <c r="C85" s="13" t="n">
        <v>4.365436924</v>
      </c>
    </row>
    <row r="86">
      <c r="A86" t="inlineStr">
        <is>
          <t>Post-balance-sheet &amp; other items (sourced, probability-weighted)</t>
        </is>
      </c>
      <c r="C86" s="13" t="n">
        <v>0</v>
      </c>
    </row>
    <row r="87">
      <c r="A87" t="inlineStr">
        <is>
          <t>Parent equity at balance-sheet date</t>
        </is>
      </c>
      <c r="C87" s="13" t="n">
        <v>2447.012104329</v>
      </c>
    </row>
    <row r="88">
      <c r="A88" t="inlineStr">
        <is>
          <t>Per-share factor</t>
        </is>
      </c>
      <c r="C88" s="21" t="n">
        <v>1000</v>
      </c>
    </row>
    <row r="89">
      <c r="A89" t="inlineStr">
        <is>
          <t>Risk-free rate</t>
        </is>
      </c>
      <c r="C89" s="8">
        <f>Drivers!$C$9</f>
        <v/>
      </c>
    </row>
    <row r="90">
      <c r="A90" t="inlineStr">
        <is>
          <t>Less: default spread (IDR only)</t>
        </is>
      </c>
      <c r="C90" s="8">
        <f>Drivers!$C$11</f>
        <v/>
      </c>
    </row>
    <row r="91">
      <c r="A91" t="inlineStr">
        <is>
          <t>Mature ERP + Indonesia CRP</t>
        </is>
      </c>
      <c r="C91" s="8">
        <f>Drivers!$C$12+Drivers!$C$13</f>
        <v/>
      </c>
    </row>
    <row r="92">
      <c r="A92" t="inlineStr">
        <is>
          <t>Tax rate</t>
        </is>
      </c>
      <c r="C92" s="8">
        <f>Drivers!$C$15</f>
        <v/>
      </c>
    </row>
    <row r="93">
      <c r="A93" t="inlineStr">
        <is>
          <t>Unlevered beta (industry default (config))</t>
        </is>
      </c>
      <c r="C93" s="22" t="n">
        <v>1</v>
      </c>
    </row>
    <row r="94">
      <c r="A94" t="inlineStr">
        <is>
          <t>Debt / equity (market)</t>
        </is>
      </c>
      <c r="C94" s="22" t="n">
        <v>0.1782198010859451</v>
      </c>
    </row>
    <row r="95">
      <c r="A95" t="inlineStr">
        <is>
          <t>Levered beta</t>
        </is>
      </c>
      <c r="C95" s="23">
        <f>$C$93*(1+(1-$C$92)*$C$94)</f>
        <v/>
      </c>
    </row>
    <row r="96">
      <c r="A96" t="inlineStr">
        <is>
          <t>Explicit company premium</t>
        </is>
      </c>
      <c r="C96" s="4" t="n">
        <v>0</v>
      </c>
    </row>
    <row r="97">
      <c r="A97" t="inlineStr">
        <is>
          <t>Cost of equity</t>
        </is>
      </c>
      <c r="C97" s="10">
        <f>$C$89-$C$90+$C$95*$C$91+$C$96</f>
        <v/>
      </c>
    </row>
    <row r="98">
      <c r="A98" t="inlineStr">
        <is>
          <t>Pre-tax cost of debt</t>
        </is>
      </c>
      <c r="C98" s="10">
        <f>$C$89+Drivers!$C$14</f>
        <v/>
      </c>
    </row>
    <row r="99">
      <c r="A99" t="inlineStr">
        <is>
          <t>WACC</t>
        </is>
      </c>
      <c r="C99" s="10">
        <f>1/(1+$C$94)*$C$97+$C$94/(1+$C$94)*$C$98*(1-$C$92)</f>
        <v/>
      </c>
    </row>
    <row r="100">
      <c r="A100" t="inlineStr">
        <is>
          <t>Terminal growth (capped)</t>
        </is>
      </c>
      <c r="C100" s="4" t="n">
        <v>0.0328</v>
      </c>
    </row>
    <row r="102">
      <c r="A102" s="1" t="inlineStr">
        <is>
          <t>DCF (FCFF, terminal value)</t>
        </is>
      </c>
    </row>
    <row r="103">
      <c r="A103" t="inlineStr">
        <is>
          <t>Share of year after balance-sheet date</t>
        </is>
      </c>
      <c r="H103" s="12" t="n">
        <v>0.503765</v>
      </c>
      <c r="I103" s="12" t="n">
        <v>0.996578</v>
      </c>
      <c r="J103" s="12" t="n">
        <v>0.999316</v>
      </c>
      <c r="K103" s="12" t="n">
        <v>0.996578</v>
      </c>
      <c r="L103" s="12" t="n">
        <v>0.996578</v>
      </c>
      <c r="M103" s="12" t="n">
        <v>0.996578</v>
      </c>
      <c r="N103" s="12" t="n">
        <v>0.999316</v>
      </c>
      <c r="O103" s="12" t="n">
        <v>0.996578</v>
      </c>
      <c r="P103" s="12" t="n">
        <v>0.996578</v>
      </c>
      <c r="Q103" s="12" t="n">
        <v>0.996578</v>
      </c>
    </row>
    <row r="104">
      <c r="A104" t="inlineStr">
        <is>
          <t>Discount time from valuation date (years)</t>
        </is>
      </c>
      <c r="H104" s="12" t="n">
        <v>0</v>
      </c>
      <c r="I104" s="12" t="n">
        <v>0.670773</v>
      </c>
      <c r="J104" s="12" t="n">
        <v>1.670089</v>
      </c>
      <c r="K104" s="12" t="n">
        <v>2.672142</v>
      </c>
      <c r="L104" s="12" t="n">
        <v>3.671458</v>
      </c>
      <c r="M104" s="12" t="n">
        <v>4.670773</v>
      </c>
      <c r="N104" s="12" t="n">
        <v>5.670089</v>
      </c>
      <c r="O104" s="12" t="n">
        <v>6.672142</v>
      </c>
      <c r="P104" s="12" t="n">
        <v>7.671458</v>
      </c>
      <c r="Q104" s="12" t="n">
        <v>8.670773000000001</v>
      </c>
    </row>
    <row r="105">
      <c r="A105" t="inlineStr">
        <is>
          <t>Discount factor</t>
        </is>
      </c>
      <c r="H105">
        <f>1/(1+$C$99)^H104</f>
        <v/>
      </c>
      <c r="I105">
        <f>1/(1+$C$99)^I104</f>
        <v/>
      </c>
      <c r="J105">
        <f>1/(1+$C$99)^J104</f>
        <v/>
      </c>
      <c r="K105">
        <f>1/(1+$C$99)^K104</f>
        <v/>
      </c>
      <c r="L105">
        <f>1/(1+$C$99)^L104</f>
        <v/>
      </c>
      <c r="M105">
        <f>1/(1+$C$99)^M104</f>
        <v/>
      </c>
      <c r="N105">
        <f>1/(1+$C$99)^N104</f>
        <v/>
      </c>
      <c r="O105">
        <f>1/(1+$C$99)^O104</f>
        <v/>
      </c>
      <c r="P105">
        <f>1/(1+$C$99)^P104</f>
        <v/>
      </c>
      <c r="Q105">
        <f>1/(1+$C$99)^Q104</f>
        <v/>
      </c>
    </row>
    <row r="106">
      <c r="A106" t="inlineStr">
        <is>
          <t>PV of FCFF</t>
        </is>
      </c>
      <c r="H106" s="24">
        <f>H53*H103*H105</f>
        <v/>
      </c>
      <c r="I106" s="24">
        <f>I53*I103*I105</f>
        <v/>
      </c>
      <c r="J106" s="24">
        <f>J53*J103*J105</f>
        <v/>
      </c>
      <c r="K106" s="24">
        <f>K53*K103*K105</f>
        <v/>
      </c>
      <c r="L106" s="24">
        <f>L53*L103*L105</f>
        <v/>
      </c>
      <c r="M106" s="24">
        <f>M53*M103*M105</f>
        <v/>
      </c>
      <c r="N106" s="24">
        <f>N53*N103*N105</f>
        <v/>
      </c>
      <c r="O106" s="24">
        <f>O53*O103*O105</f>
        <v/>
      </c>
      <c r="P106" s="24">
        <f>P53*P103*P105</f>
        <v/>
      </c>
      <c r="Q106" s="24">
        <f>Q53*Q103*Q105</f>
        <v/>
      </c>
    </row>
    <row r="107">
      <c r="A107" t="inlineStr">
        <is>
          <t>Sum of PV</t>
        </is>
      </c>
      <c r="C107" s="24">
        <f>SUM(H106:Q106)</f>
        <v/>
      </c>
    </row>
    <row r="108">
      <c r="A108" t="inlineStr">
        <is>
          <t>Years to end of horizon</t>
        </is>
      </c>
      <c r="C108" s="21" t="n">
        <v>9.169062</v>
      </c>
    </row>
    <row r="109">
      <c r="A109" t="inlineStr">
        <is>
          <t>Terminal value</t>
        </is>
      </c>
      <c r="C109" s="24">
        <f>Q53*(1+$C$100)/($C$99-$C$100)</f>
        <v/>
      </c>
    </row>
    <row r="110">
      <c r="A110" t="inlineStr">
        <is>
          <t>PV of terminal value</t>
        </is>
      </c>
      <c r="C110" s="24">
        <f>$C$109/(1+$C$99)^$C$108</f>
        <v/>
      </c>
    </row>
    <row r="111">
      <c r="A111" t="inlineStr">
        <is>
          <t>Enterprise value</t>
        </is>
      </c>
      <c r="C111" s="24">
        <f>$C$107+$C$110</f>
        <v/>
      </c>
    </row>
    <row r="112">
      <c r="A112" t="inlineStr">
        <is>
          <t>Equity value</t>
        </is>
      </c>
      <c r="C112" s="24">
        <f>$C$111-($C$82-$C$83)-$C$84+$C$85+$C$86</f>
        <v/>
      </c>
    </row>
    <row r="113">
      <c r="A113" t="inlineStr">
        <is>
          <t>Value per share (IDR) — DCF (FCFF, terminal value)</t>
        </is>
      </c>
      <c r="C113" s="25">
        <f>MAX(0,$C$112/$C$80*$C$88*1)</f>
        <v/>
      </c>
    </row>
    <row r="115">
      <c r="A115" s="1" t="inlineStr">
        <is>
          <t>EV/EBITDA</t>
        </is>
      </c>
    </row>
    <row r="116">
      <c r="A116" t="inlineStr">
        <is>
          <t>Target multiple (peer median)</t>
        </is>
      </c>
      <c r="C116" s="19" t="n">
        <v>10.171977</v>
      </c>
    </row>
    <row r="117">
      <c r="A117" t="inlineStr">
        <is>
          <t>Metric (LTM, or next-12m DPS for yield)</t>
        </is>
      </c>
      <c r="C117" s="13" t="n">
        <v>397.550902</v>
      </c>
    </row>
    <row r="118">
      <c r="A118" t="inlineStr">
        <is>
          <t>Value per share (IDR) — EV/EBITDA</t>
        </is>
      </c>
      <c r="C118" s="25">
        <f>MAX(0,($C$116*$C$117-($C$82-$C$83)-$C$84+$C$85+$C$86)/$C$80*$C$88*1)</f>
        <v/>
      </c>
    </row>
    <row r="120">
      <c r="A120" s="1" t="inlineStr">
        <is>
          <t>TARGET</t>
        </is>
      </c>
    </row>
    <row r="121">
      <c r="A121" t="inlineStr">
        <is>
          <t>Weight: DCF (FCFF, terminal value)</t>
        </is>
      </c>
      <c r="C121" s="4" t="n">
        <v>0.6</v>
      </c>
    </row>
    <row r="122">
      <c r="A122" t="inlineStr">
        <is>
          <t>Weight: EV/EBITDA</t>
        </is>
      </c>
      <c r="C122" s="4" t="n">
        <v>0.4</v>
      </c>
    </row>
    <row r="123">
      <c r="A123" t="inlineStr">
        <is>
          <t>Value today (weighted)</t>
        </is>
      </c>
      <c r="C123" s="25">
        <f>$C$113*$C$121+$C$118*$C$122</f>
        <v/>
      </c>
    </row>
    <row r="124">
      <c r="A124" t="inlineStr">
        <is>
          <t>DPS expected in next 12 months (IDR)</t>
        </is>
      </c>
      <c r="C124" s="16" t="n">
        <v>1.856502955447745</v>
      </c>
    </row>
    <row r="125">
      <c r="A125" t="inlineStr">
        <is>
          <t>Base-case 12-month value</t>
        </is>
      </c>
      <c r="C125" s="25">
        <f>MAX(0,$C$123*(1+$C$97)-$C$124)</f>
        <v/>
      </c>
    </row>
    <row r="126">
      <c r="A126" t="inlineStr">
        <is>
          <t>Bear probability</t>
        </is>
      </c>
      <c r="C126" s="4" t="n">
        <v>0.25</v>
      </c>
    </row>
    <row r="127">
      <c r="A127" t="inlineStr">
        <is>
          <t>Bear 12-month value (engine)</t>
        </is>
      </c>
      <c r="C127" s="16" t="n">
        <v>73.70861857037934</v>
      </c>
    </row>
    <row r="128">
      <c r="A128" t="inlineStr">
        <is>
          <t>Base probability</t>
        </is>
      </c>
      <c r="C128" s="4" t="n">
        <v>0.5</v>
      </c>
    </row>
    <row r="129">
      <c r="A129" t="inlineStr">
        <is>
          <t>Bull probability</t>
        </is>
      </c>
      <c r="C129" s="4" t="n">
        <v>0.25</v>
      </c>
    </row>
    <row r="130">
      <c r="A130" t="inlineStr">
        <is>
          <t>Bull 12-month value (engine)</t>
        </is>
      </c>
      <c r="C130" s="16" t="n">
        <v>242.6132603071521</v>
      </c>
    </row>
    <row r="131">
      <c r="A131" t="inlineStr">
        <is>
          <t>Probability-weighted 12-month value</t>
        </is>
      </c>
      <c r="C131" s="25">
        <f>$C$126*$C$127+$C$128*$C$125+$C$129*$C$130</f>
        <v/>
      </c>
    </row>
    <row r="132">
      <c r="A132" t="inlineStr">
        <is>
          <t>Liquidity discount (limits.yaml)</t>
        </is>
      </c>
      <c r="C132" s="4" t="n">
        <v>0</v>
      </c>
    </row>
    <row r="133">
      <c r="A133" t="inlineStr">
        <is>
          <t>TARGET PRICE (IDR)</t>
        </is>
      </c>
      <c r="C133" s="27">
        <f>$C$131*(1-$C$132)</f>
        <v/>
      </c>
    </row>
    <row r="134">
      <c r="A134" t="inlineStr">
        <is>
          <t>Expected 12-month total return</t>
        </is>
      </c>
      <c r="C134" s="28">
        <f>($C$133+$C$124)/$C$79-1</f>
        <v/>
      </c>
    </row>
    <row r="135">
      <c r="A135" t="inlineStr">
        <is>
          <t>Rating</t>
        </is>
      </c>
      <c r="C135" s="29">
        <f>IF($C$134&gt;=0.25,"BUY",IF($C$134&gt;=0.1,"ADD",IF($C$134&lt;=-0.25,"SELL",IF($C$134&lt;=-0.1,"REDUCE","HOLD"))))</f>
        <v/>
      </c>
    </row>
    <row r="137">
      <c r="A137" s="1" t="inlineStr">
        <is>
          <t>DCF value per share vs WACC and terminal growth (engine values)</t>
        </is>
      </c>
    </row>
    <row r="138">
      <c r="A138" s="5" t="inlineStr">
        <is>
          <t>rows: Terminal growth (+/- pp) · columns: WACC (+/- pp)</t>
        </is>
      </c>
      <c r="D138" s="1" t="n">
        <v>-0.01</v>
      </c>
      <c r="E138" s="1" t="n">
        <v>-0.005</v>
      </c>
      <c r="F138" s="1" t="n">
        <v>0</v>
      </c>
      <c r="G138" s="1" t="n">
        <v>0.005</v>
      </c>
      <c r="H138" s="1" t="n">
        <v>0.01</v>
      </c>
    </row>
    <row r="139">
      <c r="C139" s="1" t="n">
        <v>-0.01</v>
      </c>
      <c r="D139" s="25" t="n">
        <v>57.016401</v>
      </c>
      <c r="E139" s="25" t="n">
        <v>49.665504</v>
      </c>
      <c r="F139" s="25" t="n">
        <v>43.032017</v>
      </c>
      <c r="G139" s="25" t="n">
        <v>37.015446</v>
      </c>
      <c r="H139" s="25" t="n">
        <v>31.533193</v>
      </c>
    </row>
    <row r="140">
      <c r="C140" s="1" t="n">
        <v>-0.005</v>
      </c>
      <c r="D140" s="25" t="n">
        <v>61.082162</v>
      </c>
      <c r="E140" s="25" t="n">
        <v>53.183362</v>
      </c>
      <c r="F140" s="25" t="n">
        <v>46.093273</v>
      </c>
      <c r="G140" s="25" t="n">
        <v>39.693189</v>
      </c>
      <c r="H140" s="25" t="n">
        <v>33.886522</v>
      </c>
    </row>
    <row r="141">
      <c r="C141" s="1" t="n">
        <v>0</v>
      </c>
      <c r="D141" s="25" t="n">
        <v>65.640716</v>
      </c>
      <c r="E141" s="25" t="n">
        <v>57.103239</v>
      </c>
      <c r="F141" s="25" t="n">
        <v>49.485458</v>
      </c>
      <c r="G141" s="25" t="n">
        <v>42.64556</v>
      </c>
      <c r="H141" s="25" t="n">
        <v>36.469435</v>
      </c>
    </row>
    <row r="142">
      <c r="C142" s="1" t="n">
        <v>0.005</v>
      </c>
      <c r="D142" s="25" t="n">
        <v>70.787434</v>
      </c>
      <c r="E142" s="25" t="n">
        <v>61.498227</v>
      </c>
      <c r="F142" s="25" t="n">
        <v>53.2653</v>
      </c>
      <c r="G142" s="25" t="n">
        <v>45.917089</v>
      </c>
      <c r="H142" s="25" t="n">
        <v>39.317248</v>
      </c>
    </row>
    <row r="143">
      <c r="C143" s="1" t="n">
        <v>0.01</v>
      </c>
      <c r="D143" s="25" t="n">
        <v>76.64399899999999</v>
      </c>
      <c r="E143" s="25" t="n">
        <v>66.460275</v>
      </c>
      <c r="F143" s="25" t="n">
        <v>57.50328</v>
      </c>
      <c r="G143" s="25" t="n">
        <v>49.562488</v>
      </c>
      <c r="H143" s="25" t="n">
        <v>42.472918</v>
      </c>
    </row>
    <row r="145">
      <c r="A145" s="1" t="inlineStr">
        <is>
          <t>12-month value vs revenue growth and gross margin (engine values)</t>
        </is>
      </c>
    </row>
    <row r="146">
      <c r="A146" s="5" t="inlineStr">
        <is>
          <t>rows: Gross margin (+/- pp) · columns: Revenue growth (+/- pp, every year)</t>
        </is>
      </c>
      <c r="D146" s="1" t="n">
        <v>-0.04</v>
      </c>
      <c r="E146" s="1" t="n">
        <v>-0.02</v>
      </c>
      <c r="F146" s="1" t="n">
        <v>0</v>
      </c>
      <c r="G146" s="1" t="n">
        <v>0.02</v>
      </c>
      <c r="H146" s="1" t="n">
        <v>0.04</v>
      </c>
    </row>
    <row r="147">
      <c r="C147" s="1" t="n">
        <v>-0.02</v>
      </c>
      <c r="D147" s="25" t="n">
        <v>57.822642</v>
      </c>
      <c r="E147" s="25" t="n">
        <v>56.520126</v>
      </c>
      <c r="F147" s="25" t="n">
        <v>56.478609</v>
      </c>
      <c r="G147" s="25" t="n">
        <v>56.437093</v>
      </c>
      <c r="H147" s="25" t="n">
        <v>56.395576</v>
      </c>
    </row>
    <row r="148">
      <c r="C148" s="1" t="n">
        <v>-0.01</v>
      </c>
      <c r="D148" s="25" t="n">
        <v>78.024292</v>
      </c>
      <c r="E148" s="25" t="n">
        <v>71.484011</v>
      </c>
      <c r="F148" s="25" t="n">
        <v>62.148866</v>
      </c>
      <c r="G148" s="25" t="n">
        <v>55.822261</v>
      </c>
      <c r="H148" s="25" t="n">
        <v>55.769432</v>
      </c>
    </row>
    <row r="149">
      <c r="C149" s="1" t="n">
        <v>0</v>
      </c>
      <c r="D149" s="25" t="n">
        <v>98.22594100000001</v>
      </c>
      <c r="E149" s="25" t="n">
        <v>94.741236</v>
      </c>
      <c r="F149" s="25" t="n">
        <v>88.95631899999999</v>
      </c>
      <c r="G149" s="25" t="n">
        <v>80.226483</v>
      </c>
      <c r="H149" s="25" t="n">
        <v>67.77578200000001</v>
      </c>
    </row>
    <row r="150">
      <c r="C150" s="1" t="n">
        <v>0.01</v>
      </c>
      <c r="D150" s="25" t="n">
        <v>118.427591</v>
      </c>
      <c r="E150" s="25" t="n">
        <v>117.99846</v>
      </c>
      <c r="F150" s="25" t="n">
        <v>115.763771</v>
      </c>
      <c r="G150" s="25" t="n">
        <v>111.155708</v>
      </c>
      <c r="H150" s="25" t="n">
        <v>103.485912</v>
      </c>
    </row>
    <row r="151">
      <c r="C151" s="1" t="n">
        <v>0.02</v>
      </c>
      <c r="D151" s="25" t="n">
        <v>138.629241</v>
      </c>
      <c r="E151" s="25" t="n">
        <v>141.255685</v>
      </c>
      <c r="F151" s="25" t="n">
        <v>142.571224</v>
      </c>
      <c r="G151" s="25" t="n">
        <v>142.084933</v>
      </c>
      <c r="H151" s="25" t="n">
        <v>139.196043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2026-10-30T00:57:06Z</dcterms:created>
  <dcterms:modified xsi:type="dcterms:W3CDTF">2026-10-30T00:57:06Z</dcterms:modified>
</cp:coreProperties>
</file>