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2026-10-29T18:55:58+07:00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  <c r="BT3" s="1" t="inlineStr">
        <is>
          <t>FY2086E</t>
        </is>
      </c>
      <c r="BU3" s="1" t="inlineStr">
        <is>
          <t>FY2087E</t>
        </is>
      </c>
      <c r="BV3" s="1" t="inlineStr">
        <is>
          <t>FY2088E</t>
        </is>
      </c>
      <c r="BW3" s="1" t="inlineStr">
        <is>
          <t>FY2089E</t>
        </is>
      </c>
      <c r="BX3" s="1" t="inlineStr">
        <is>
          <t>FY2090E</t>
        </is>
      </c>
      <c r="BY3" s="1" t="inlineStr">
        <is>
          <t>FY2091E</t>
        </is>
      </c>
      <c r="BZ3" s="1" t="inlineStr">
        <is>
          <t>FY2092E</t>
        </is>
      </c>
      <c r="CA3" s="1" t="inlineStr">
        <is>
          <t>FY2093E</t>
        </is>
      </c>
      <c r="CB3" s="1" t="inlineStr">
        <is>
          <t>FY2094E</t>
        </is>
      </c>
      <c r="CC3" s="1" t="inlineStr">
        <is>
          <t>FY2095E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  <c r="BT4" s="3" t="n">
        <v>70</v>
      </c>
      <c r="BU4" s="3" t="n">
        <v>70</v>
      </c>
      <c r="BV4" s="3" t="n">
        <v>70</v>
      </c>
      <c r="BW4" s="3" t="n">
        <v>70</v>
      </c>
      <c r="BX4" s="3" t="n">
        <v>70</v>
      </c>
      <c r="BY4" s="3" t="n">
        <v>70</v>
      </c>
      <c r="BZ4" s="3" t="n">
        <v>70</v>
      </c>
      <c r="CA4" s="3" t="n">
        <v>70</v>
      </c>
      <c r="CB4" s="3" t="n">
        <v>70</v>
      </c>
      <c r="CC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  <c r="BT5" s="3" t="n">
        <v>324.6378021823888</v>
      </c>
      <c r="BU5" s="3" t="n">
        <v>331.1305582260367</v>
      </c>
      <c r="BV5" s="3" t="n">
        <v>337.7531693905574</v>
      </c>
      <c r="BW5" s="3" t="n">
        <v>344.5082327783686</v>
      </c>
      <c r="BX5" s="3" t="n">
        <v>351.3983974339359</v>
      </c>
      <c r="BY5" s="3" t="n">
        <v>358.4263653826146</v>
      </c>
      <c r="BZ5" s="3" t="n">
        <v>365.5948926902669</v>
      </c>
      <c r="CA5" s="3" t="n">
        <v>372.9067905440723</v>
      </c>
      <c r="CB5" s="3" t="n">
        <v>380.3649263549538</v>
      </c>
      <c r="CC5" s="3" t="n">
        <v>387.9722248820528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  <c r="BT6" s="3" t="n">
        <v>324.6378021823888</v>
      </c>
      <c r="BU6" s="3" t="n">
        <v>331.1305582260367</v>
      </c>
      <c r="BV6" s="3" t="n">
        <v>337.7531693905574</v>
      </c>
      <c r="BW6" s="3" t="n">
        <v>344.5082327783686</v>
      </c>
      <c r="BX6" s="3" t="n">
        <v>351.3983974339359</v>
      </c>
      <c r="BY6" s="3" t="n">
        <v>358.4263653826146</v>
      </c>
      <c r="BZ6" s="3" t="n">
        <v>365.5948926902669</v>
      </c>
      <c r="CA6" s="3" t="n">
        <v>372.9067905440723</v>
      </c>
      <c r="CB6" s="3" t="n">
        <v>380.3649263549538</v>
      </c>
      <c r="CC6" s="3" t="n">
        <v>387.9722248820528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  <c r="BT7" s="3" t="n">
        <v>25107.5385312548</v>
      </c>
      <c r="BU7" s="3" t="n">
        <v>25230.61470052566</v>
      </c>
      <c r="BV7" s="3" t="n">
        <v>25354.29418435177</v>
      </c>
      <c r="BW7" s="3" t="n">
        <v>25478.57994015741</v>
      </c>
      <c r="BX7" s="3" t="n">
        <v>25603.47493986406</v>
      </c>
      <c r="BY7" s="3" t="n">
        <v>25728.98216996143</v>
      </c>
      <c r="BZ7" s="3" t="n">
        <v>25855.1046315789</v>
      </c>
      <c r="CA7" s="3" t="n">
        <v>25981.84534055722</v>
      </c>
      <c r="CB7" s="3" t="n">
        <v>26109.20732752073</v>
      </c>
      <c r="CC7" s="3" t="n">
        <v>26237.19363794976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  <c r="BT8" s="3" t="n">
        <v>231.884144415992</v>
      </c>
      <c r="BU8" s="3" t="n">
        <v>236.5218273043119</v>
      </c>
      <c r="BV8" s="3" t="n">
        <v>241.2522638503981</v>
      </c>
      <c r="BW8" s="3" t="n">
        <v>246.0773091274061</v>
      </c>
      <c r="BX8" s="3" t="n">
        <v>250.9988553099542</v>
      </c>
      <c r="BY8" s="3" t="n">
        <v>256.0188324161533</v>
      </c>
      <c r="BZ8" s="3" t="n">
        <v>261.1392090644763</v>
      </c>
      <c r="CA8" s="3" t="n">
        <v>266.3619932457659</v>
      </c>
      <c r="CB8" s="3" t="n">
        <v>271.6892331106812</v>
      </c>
      <c r="CC8" s="3" t="n">
        <v>277.1230177728949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0.05045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2026-10-29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2026-10-29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2026-10-29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3.911808</v>
      </c>
      <c r="I2" s="10" t="n">
        <v>2.23925</v>
      </c>
      <c r="J2" s="11" t="n">
        <v>0.217291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7.990223</v>
      </c>
      <c r="I3" s="10" t="n">
        <v>6.069422</v>
      </c>
      <c r="J3" s="11" t="n">
        <v>0.043804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5.51166</v>
      </c>
      <c r="I4" s="10" t="n">
        <v>1.420463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5.851501</v>
      </c>
      <c r="I6" s="10" t="n">
        <v>3.928984</v>
      </c>
      <c r="J6" s="11" t="n">
        <v>0.119627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11.211613</v>
      </c>
      <c r="I7" s="10" t="n">
        <v>3.580541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13.999135</v>
      </c>
      <c r="I8" s="10" t="n">
        <v>9.363326000000001</v>
      </c>
      <c r="J8" s="11" t="n">
        <v>0.052146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4.157985</v>
      </c>
      <c r="I9" s="10" t="n">
        <v>2.610284</v>
      </c>
      <c r="J9" s="11" t="n">
        <v>0.108947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8.011011999999999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58.625535</v>
      </c>
      <c r="I11" s="10" t="n">
        <v>20.35267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6.000575</v>
      </c>
      <c r="I12" s="10" t="n">
        <v>2.651847</v>
      </c>
      <c r="J12" s="11" t="n">
        <v>0.049995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3.8917</v>
      </c>
      <c r="I13" s="10" t="n">
        <v>1.111052</v>
      </c>
      <c r="J13" s="11" t="n">
        <v>0.154174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'KKGI'!$C$151</f>
        <v/>
      </c>
      <c r="D14" s="8">
        <f>'KKGI'!$C$149</f>
        <v/>
      </c>
      <c r="E14" s="8">
        <f>'KKGI'!$C$102</f>
        <v/>
      </c>
      <c r="F14" s="9">
        <f>'KKGI'!$C$150</f>
        <v/>
      </c>
      <c r="G14" s="8">
        <f>'KKGI'!$C$139</f>
        <v/>
      </c>
      <c r="H14" s="10" t="n">
        <v>8.419345</v>
      </c>
      <c r="I14" s="10" t="n">
        <v>1.811404</v>
      </c>
      <c r="J14" s="11" t="n">
        <v>0.040383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9.058754</v>
      </c>
      <c r="I15" s="10" t="n">
        <v>1.439321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6.349367</v>
      </c>
      <c r="I16" s="10" t="n">
        <v>2.520914</v>
      </c>
      <c r="J16" s="11" t="n">
        <v>0.089006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5.802136</v>
      </c>
      <c r="I17" s="10" t="n">
        <v>3.22341</v>
      </c>
      <c r="J17" s="11" t="n">
        <v>0.10341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111.674749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25.396235</v>
      </c>
      <c r="I19" s="10" t="n">
        <v>16.487483</v>
      </c>
      <c r="J19" s="11" t="n">
        <v>0.009844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0.2063881866941053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6.754152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2471.683418764378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4216.482843797269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21425.37233287181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3794.889845</v>
      </c>
      <c r="E161" s="27" t="n">
        <v>5464.080701</v>
      </c>
      <c r="F161" s="27" t="n">
        <v>9047.925711</v>
      </c>
      <c r="G161" s="27" t="n">
        <v>12428.32623</v>
      </c>
      <c r="H161" s="27" t="n">
        <v>15478.18648</v>
      </c>
    </row>
    <row r="162">
      <c r="C162" s="1" t="n">
        <v>0.95</v>
      </c>
      <c r="D162" s="27" t="n">
        <v>4007.771722</v>
      </c>
      <c r="E162" s="27" t="n">
        <v>5770.800547</v>
      </c>
      <c r="F162" s="27" t="n">
        <v>9556.210132</v>
      </c>
      <c r="G162" s="27" t="n">
        <v>13126.853608</v>
      </c>
      <c r="H162" s="27" t="n">
        <v>16348.364726</v>
      </c>
    </row>
    <row r="163">
      <c r="C163" s="1" t="n">
        <v>1</v>
      </c>
      <c r="D163" s="27" t="n">
        <v>4220.869783</v>
      </c>
      <c r="E163" s="27" t="n">
        <v>6077.849335</v>
      </c>
      <c r="F163" s="27" t="n">
        <v>10065.069328</v>
      </c>
      <c r="G163" s="27" t="n">
        <v>13826.198532</v>
      </c>
      <c r="H163" s="27" t="n">
        <v>17219.580782</v>
      </c>
    </row>
    <row r="164">
      <c r="C164" s="1" t="n">
        <v>1.05</v>
      </c>
      <c r="D164" s="27" t="n">
        <v>4434.184015</v>
      </c>
      <c r="E164" s="27" t="n">
        <v>6385.226613</v>
      </c>
      <c r="F164" s="27" t="n">
        <v>10574.501195</v>
      </c>
      <c r="G164" s="27" t="n">
        <v>14526.357117</v>
      </c>
      <c r="H164" s="27" t="n">
        <v>18091.829175</v>
      </c>
    </row>
    <row r="165">
      <c r="C165" s="1" t="n">
        <v>1.1</v>
      </c>
      <c r="D165" s="27" t="n">
        <v>4647.714408</v>
      </c>
      <c r="E165" s="27" t="n">
        <v>6692.931942</v>
      </c>
      <c r="F165" s="27" t="n">
        <v>11084.503699</v>
      </c>
      <c r="G165" s="27" t="n">
        <v>15227.325606</v>
      </c>
      <c r="H165" s="27" t="n">
        <v>18965.104615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12536.109465</v>
      </c>
      <c r="E169" s="27" t="n">
        <v>11737.112703</v>
      </c>
      <c r="F169" s="27" t="n">
        <v>10938.11594</v>
      </c>
      <c r="G169" s="27" t="n">
        <v>10139.119178</v>
      </c>
      <c r="H169" s="27" t="n">
        <v>9340.122416</v>
      </c>
    </row>
    <row r="170">
      <c r="C170" s="1" t="n">
        <v>0.95</v>
      </c>
      <c r="D170" s="27" t="n">
        <v>12975.851375</v>
      </c>
      <c r="E170" s="27" t="n">
        <v>12132.465904</v>
      </c>
      <c r="F170" s="27" t="n">
        <v>11289.080433</v>
      </c>
      <c r="G170" s="27" t="n">
        <v>10445.694961</v>
      </c>
      <c r="H170" s="27" t="n">
        <v>9602.30949</v>
      </c>
    </row>
    <row r="171">
      <c r="C171" s="1" t="n">
        <v>1</v>
      </c>
      <c r="D171" s="27" t="n">
        <v>13415.593286</v>
      </c>
      <c r="E171" s="27" t="n">
        <v>12527.819105</v>
      </c>
      <c r="F171" s="27" t="n">
        <v>11640.044925</v>
      </c>
      <c r="G171" s="27" t="n">
        <v>10752.270745</v>
      </c>
      <c r="H171" s="27" t="n">
        <v>9864.496563999999</v>
      </c>
    </row>
    <row r="172">
      <c r="C172" s="1" t="n">
        <v>1.05</v>
      </c>
      <c r="D172" s="27" t="n">
        <v>13855.335196</v>
      </c>
      <c r="E172" s="27" t="n">
        <v>12923.172307</v>
      </c>
      <c r="F172" s="27" t="n">
        <v>11991.009417</v>
      </c>
      <c r="G172" s="27" t="n">
        <v>11058.846528</v>
      </c>
      <c r="H172" s="27" t="n">
        <v>10126.683639</v>
      </c>
    </row>
    <row r="173">
      <c r="C173" s="1" t="n">
        <v>1.1</v>
      </c>
      <c r="D173" s="27" t="n">
        <v>14295.077107</v>
      </c>
      <c r="E173" s="27" t="n">
        <v>13318.525508</v>
      </c>
      <c r="F173" s="27" t="n">
        <v>12341.97391</v>
      </c>
      <c r="G173" s="27" t="n">
        <v>11365.422311</v>
      </c>
      <c r="H173" s="27" t="n">
        <v>10388.870713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0.6274182620751545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7.523507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57.1636112602326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483.1123716739774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1401.922950201327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448.869459</v>
      </c>
      <c r="E167" s="27" t="n">
        <v>630.257067</v>
      </c>
      <c r="F167" s="27" t="n">
        <v>822.317224</v>
      </c>
      <c r="G167" s="27" t="n">
        <v>1015.763669</v>
      </c>
      <c r="H167" s="27" t="n">
        <v>1209.776268</v>
      </c>
    </row>
    <row r="168">
      <c r="C168" s="1" t="n">
        <v>0.95</v>
      </c>
      <c r="D168" s="27" t="n">
        <v>474.482435</v>
      </c>
      <c r="E168" s="27" t="n">
        <v>666.276491</v>
      </c>
      <c r="F168" s="27" t="n">
        <v>869.3680419999999</v>
      </c>
      <c r="G168" s="27" t="n">
        <v>1073.927373</v>
      </c>
      <c r="H168" s="27" t="n">
        <v>1279.086185</v>
      </c>
    </row>
    <row r="169">
      <c r="C169" s="1" t="n">
        <v>1</v>
      </c>
      <c r="D169" s="27" t="n">
        <v>500.163218</v>
      </c>
      <c r="E169" s="27" t="n">
        <v>702.394915</v>
      </c>
      <c r="F169" s="27" t="n">
        <v>916.551734</v>
      </c>
      <c r="G169" s="27" t="n">
        <v>1132.258196</v>
      </c>
      <c r="H169" s="27" t="n">
        <v>1348.59762</v>
      </c>
    </row>
    <row r="170">
      <c r="C170" s="1" t="n">
        <v>1.05</v>
      </c>
      <c r="D170" s="27" t="n">
        <v>525.911507</v>
      </c>
      <c r="E170" s="27" t="n">
        <v>738.611717</v>
      </c>
      <c r="F170" s="27" t="n">
        <v>963.867295</v>
      </c>
      <c r="G170" s="27" t="n">
        <v>1190.75474</v>
      </c>
      <c r="H170" s="27" t="n">
        <v>1418.308779</v>
      </c>
    </row>
    <row r="171">
      <c r="C171" s="1" t="n">
        <v>1.1</v>
      </c>
      <c r="D171" s="27" t="n">
        <v>551.727017</v>
      </c>
      <c r="E171" s="27" t="n">
        <v>774.926318</v>
      </c>
      <c r="F171" s="27" t="n">
        <v>1011.31379</v>
      </c>
      <c r="G171" s="27" t="n">
        <v>1249.415707</v>
      </c>
      <c r="H171" s="27" t="n">
        <v>1488.217995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1102.812518</v>
      </c>
      <c r="E175" s="27" t="n">
        <v>1063.332173</v>
      </c>
      <c r="F175" s="27" t="n">
        <v>1023.851829</v>
      </c>
      <c r="G175" s="27" t="n">
        <v>984.371484</v>
      </c>
      <c r="H175" s="27" t="n">
        <v>944.89114</v>
      </c>
    </row>
    <row r="176">
      <c r="C176" s="1" t="n">
        <v>0.95</v>
      </c>
      <c r="D176" s="27" t="n">
        <v>1155.288043</v>
      </c>
      <c r="E176" s="27" t="n">
        <v>1113.614347</v>
      </c>
      <c r="F176" s="27" t="n">
        <v>1071.94065</v>
      </c>
      <c r="G176" s="27" t="n">
        <v>1030.266953</v>
      </c>
      <c r="H176" s="27" t="n">
        <v>988.593256</v>
      </c>
    </row>
    <row r="177">
      <c r="C177" s="1" t="n">
        <v>1</v>
      </c>
      <c r="D177" s="27" t="n">
        <v>1201.608239</v>
      </c>
      <c r="E177" s="27" t="n">
        <v>1158.048183</v>
      </c>
      <c r="F177" s="27" t="n">
        <v>1114.488127</v>
      </c>
      <c r="G177" s="27" t="n">
        <v>1070.92807</v>
      </c>
      <c r="H177" s="27" t="n">
        <v>1027.368014</v>
      </c>
    </row>
    <row r="178">
      <c r="C178" s="1" t="n">
        <v>1.05</v>
      </c>
      <c r="D178" s="27" t="n">
        <v>1238.591176</v>
      </c>
      <c r="E178" s="27" t="n">
        <v>1193.687884</v>
      </c>
      <c r="F178" s="27" t="n">
        <v>1148.784591</v>
      </c>
      <c r="G178" s="27" t="n">
        <v>1103.881299</v>
      </c>
      <c r="H178" s="27" t="n">
        <v>1058.978006</v>
      </c>
    </row>
    <row r="179">
      <c r="C179" s="1" t="n">
        <v>1.1</v>
      </c>
      <c r="D179" s="27" t="n">
        <v>1273.278006</v>
      </c>
      <c r="E179" s="27" t="n">
        <v>1227.095685</v>
      </c>
      <c r="F179" s="27" t="n">
        <v>1180.913364</v>
      </c>
      <c r="G179" s="27" t="n">
        <v>1134.731043</v>
      </c>
      <c r="H179" s="27" t="n">
        <v>1088.548721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3.975</v>
      </c>
      <c r="I25" s="3" t="n">
        <v>3.975</v>
      </c>
      <c r="J25" s="3" t="n">
        <v>3.975</v>
      </c>
      <c r="K25" s="3" t="n">
        <v>3.975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0.72845984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1064.892862719446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51.388467</v>
      </c>
      <c r="F155" s="27" t="n">
        <v>130.038842</v>
      </c>
      <c r="G155" s="27" t="n">
        <v>369.521587</v>
      </c>
      <c r="H155" s="27" t="n">
        <v>678.057955</v>
      </c>
    </row>
    <row r="156">
      <c r="C156" s="1" t="n">
        <v>0.95</v>
      </c>
      <c r="D156" s="27" t="n">
        <v>0</v>
      </c>
      <c r="E156" s="27" t="n">
        <v>54.316351</v>
      </c>
      <c r="F156" s="27" t="n">
        <v>137.447879</v>
      </c>
      <c r="G156" s="27" t="n">
        <v>390.593064</v>
      </c>
      <c r="H156" s="27" t="n">
        <v>716.7438069999999</v>
      </c>
    </row>
    <row r="157">
      <c r="C157" s="1" t="n">
        <v>1</v>
      </c>
      <c r="D157" s="27" t="n">
        <v>0</v>
      </c>
      <c r="E157" s="27" t="n">
        <v>57.251917</v>
      </c>
      <c r="F157" s="27" t="n">
        <v>144.876353</v>
      </c>
      <c r="G157" s="27" t="n">
        <v>411.720909</v>
      </c>
      <c r="H157" s="27" t="n">
        <v>755.534406</v>
      </c>
    </row>
    <row r="158">
      <c r="C158" s="1" t="n">
        <v>1.05</v>
      </c>
      <c r="D158" s="27" t="n">
        <v>0</v>
      </c>
      <c r="E158" s="27" t="n">
        <v>60.195164</v>
      </c>
      <c r="F158" s="27" t="n">
        <v>152.324265</v>
      </c>
      <c r="G158" s="27" t="n">
        <v>432.905061</v>
      </c>
      <c r="H158" s="27" t="n">
        <v>794.429562</v>
      </c>
    </row>
    <row r="159">
      <c r="C159" s="1" t="n">
        <v>1.1</v>
      </c>
      <c r="D159" s="27" t="n">
        <v>0</v>
      </c>
      <c r="E159" s="27" t="n">
        <v>63.146092</v>
      </c>
      <c r="F159" s="27" t="n">
        <v>159.791613</v>
      </c>
      <c r="G159" s="27" t="n">
        <v>454.145461</v>
      </c>
      <c r="H159" s="27" t="n">
        <v>833.429105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224.405633</v>
      </c>
      <c r="E163" s="27" t="n">
        <v>158.256885</v>
      </c>
      <c r="F163" s="27" t="n">
        <v>113.690766</v>
      </c>
      <c r="G163" s="27" t="n">
        <v>97.48490700000001</v>
      </c>
      <c r="H163" s="27" t="n">
        <v>81.377976</v>
      </c>
    </row>
    <row r="164">
      <c r="C164" s="1" t="n">
        <v>0.95</v>
      </c>
      <c r="D164" s="27" t="n">
        <v>246.149252</v>
      </c>
      <c r="E164" s="27" t="n">
        <v>176.325574</v>
      </c>
      <c r="F164" s="27" t="n">
        <v>129.28356</v>
      </c>
      <c r="G164" s="27" t="n">
        <v>112.177375</v>
      </c>
      <c r="H164" s="27" t="n">
        <v>95.17561499999999</v>
      </c>
    </row>
    <row r="165">
      <c r="C165" s="1" t="n">
        <v>1</v>
      </c>
      <c r="D165" s="27" t="n">
        <v>267.892872</v>
      </c>
      <c r="E165" s="27" t="n">
        <v>194.394264</v>
      </c>
      <c r="F165" s="27" t="n">
        <v>144.876353</v>
      </c>
      <c r="G165" s="27" t="n">
        <v>126.869843</v>
      </c>
      <c r="H165" s="27" t="n">
        <v>108.973254</v>
      </c>
    </row>
    <row r="166">
      <c r="C166" s="1" t="n">
        <v>1.05</v>
      </c>
      <c r="D166" s="27" t="n">
        <v>289.636491</v>
      </c>
      <c r="E166" s="27" t="n">
        <v>212.462953</v>
      </c>
      <c r="F166" s="27" t="n">
        <v>160.469147</v>
      </c>
      <c r="G166" s="27" t="n">
        <v>141.562311</v>
      </c>
      <c r="H166" s="27" t="n">
        <v>122.770893</v>
      </c>
    </row>
    <row r="167">
      <c r="C167" s="1" t="n">
        <v>1.1</v>
      </c>
      <c r="D167" s="27" t="n">
        <v>311.380111</v>
      </c>
      <c r="E167" s="27" t="n">
        <v>230.531642</v>
      </c>
      <c r="F167" s="27" t="n">
        <v>176.061941</v>
      </c>
      <c r="G167" s="27" t="n">
        <v>156.254779</v>
      </c>
      <c r="H167" s="27" t="n">
        <v>136.568531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0.673511</v>
      </c>
      <c r="K127" s="6" t="n">
        <v>1.672827</v>
      </c>
      <c r="L127" s="6" t="n">
        <v>2.67488</v>
      </c>
      <c r="M127" s="6" t="n">
        <v>3.674196</v>
      </c>
      <c r="N127" s="6" t="n">
        <v>4.673511</v>
      </c>
      <c r="O127" s="6" t="n">
        <v>5.672827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144.4498755162188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52.826495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63.892778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74.498706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84.630081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94.272706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6.754152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625.0532693157797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2124.822462856901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7023.959433728283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2000.583287</v>
      </c>
      <c r="E167" s="27" t="n">
        <v>2335.84834</v>
      </c>
      <c r="F167" s="27" t="n">
        <v>3157.377863</v>
      </c>
      <c r="G167" s="27" t="n">
        <v>4226.384821</v>
      </c>
      <c r="H167" s="27" t="n">
        <v>5309.576999</v>
      </c>
    </row>
    <row r="168">
      <c r="C168" s="1" t="n">
        <v>0.95</v>
      </c>
      <c r="D168" s="27" t="n">
        <v>2111.726803</v>
      </c>
      <c r="E168" s="27" t="n">
        <v>2465.617693</v>
      </c>
      <c r="F168" s="27" t="n">
        <v>3332.787744</v>
      </c>
      <c r="G168" s="27" t="n">
        <v>4461.183978</v>
      </c>
      <c r="H168" s="27" t="n">
        <v>5604.553499</v>
      </c>
    </row>
    <row r="169">
      <c r="C169" s="1" t="n">
        <v>1</v>
      </c>
      <c r="D169" s="27" t="n">
        <v>2222.870319</v>
      </c>
      <c r="E169" s="27" t="n">
        <v>2595.387045</v>
      </c>
      <c r="F169" s="27" t="n">
        <v>3508.197625</v>
      </c>
      <c r="G169" s="27" t="n">
        <v>4695.983135</v>
      </c>
      <c r="H169" s="27" t="n">
        <v>5899.529999</v>
      </c>
    </row>
    <row r="170">
      <c r="C170" s="1" t="n">
        <v>1.05</v>
      </c>
      <c r="D170" s="27" t="n">
        <v>2334.013835</v>
      </c>
      <c r="E170" s="27" t="n">
        <v>2725.156397</v>
      </c>
      <c r="F170" s="27" t="n">
        <v>3683.607507</v>
      </c>
      <c r="G170" s="27" t="n">
        <v>4930.782291</v>
      </c>
      <c r="H170" s="27" t="n">
        <v>6194.506499</v>
      </c>
    </row>
    <row r="171">
      <c r="C171" s="1" t="n">
        <v>1.1</v>
      </c>
      <c r="D171" s="27" t="n">
        <v>2445.157351</v>
      </c>
      <c r="E171" s="27" t="n">
        <v>2854.925749</v>
      </c>
      <c r="F171" s="27" t="n">
        <v>3859.017388</v>
      </c>
      <c r="G171" s="27" t="n">
        <v>5165.581448</v>
      </c>
      <c r="H171" s="27" t="n">
        <v>6489.482999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4924.327598</v>
      </c>
      <c r="E175" s="27" t="n">
        <v>4249.916581</v>
      </c>
      <c r="F175" s="27" t="n">
        <v>3575.505564</v>
      </c>
      <c r="G175" s="27" t="n">
        <v>2901.094548</v>
      </c>
      <c r="H175" s="27" t="n">
        <v>2481.815119</v>
      </c>
    </row>
    <row r="176">
      <c r="C176" s="1" t="n">
        <v>0.95</v>
      </c>
      <c r="D176" s="27" t="n">
        <v>5077.112821</v>
      </c>
      <c r="E176" s="27" t="n">
        <v>4365.234526</v>
      </c>
      <c r="F176" s="27" t="n">
        <v>3653.35623</v>
      </c>
      <c r="G176" s="27" t="n">
        <v>2941.477935</v>
      </c>
      <c r="H176" s="27" t="n">
        <v>2498.905205</v>
      </c>
    </row>
    <row r="177">
      <c r="C177" s="1" t="n">
        <v>1</v>
      </c>
      <c r="D177" s="27" t="n">
        <v>5229.898044</v>
      </c>
      <c r="E177" s="27" t="n">
        <v>4480.55247</v>
      </c>
      <c r="F177" s="27" t="n">
        <v>3731.206896</v>
      </c>
      <c r="G177" s="27" t="n">
        <v>2981.861322</v>
      </c>
      <c r="H177" s="27" t="n">
        <v>2515.995291</v>
      </c>
    </row>
    <row r="178">
      <c r="C178" s="1" t="n">
        <v>1.05</v>
      </c>
      <c r="D178" s="27" t="n">
        <v>5382.683268</v>
      </c>
      <c r="E178" s="27" t="n">
        <v>4595.870415</v>
      </c>
      <c r="F178" s="27" t="n">
        <v>3809.057562</v>
      </c>
      <c r="G178" s="27" t="n">
        <v>3022.244709</v>
      </c>
      <c r="H178" s="27" t="n">
        <v>2533.085376</v>
      </c>
    </row>
    <row r="179">
      <c r="C179" s="1" t="n">
        <v>1.1</v>
      </c>
      <c r="D179" s="27" t="n">
        <v>5535.468491</v>
      </c>
      <c r="E179" s="27" t="n">
        <v>4711.18836</v>
      </c>
      <c r="F179" s="27" t="n">
        <v>3886.908228</v>
      </c>
      <c r="G179" s="27" t="n">
        <v>3062.628097</v>
      </c>
      <c r="H179" s="27" t="n">
        <v>2550.175462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0.2552019647370136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  <c r="AK127" s="6" t="n">
        <v>28.673511</v>
      </c>
      <c r="AL127" s="6" t="n">
        <v>29.672827</v>
      </c>
      <c r="AM127" s="6" t="n">
        <v>30.67488</v>
      </c>
      <c r="AN127" s="6" t="n">
        <v>31.674196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6.407543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17.88473529537924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241.716205305869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2.565144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16.080862</v>
      </c>
      <c r="E170" s="27" t="n">
        <v>16.080862</v>
      </c>
      <c r="F170" s="27" t="n">
        <v>19.661952</v>
      </c>
      <c r="G170" s="27" t="n">
        <v>62.097742</v>
      </c>
      <c r="H170" s="27" t="n">
        <v>100.891974</v>
      </c>
    </row>
    <row r="171">
      <c r="C171" s="1" t="n">
        <v>0.95</v>
      </c>
      <c r="D171" s="27" t="n">
        <v>16.982371</v>
      </c>
      <c r="E171" s="27" t="n">
        <v>16.982371</v>
      </c>
      <c r="F171" s="27" t="n">
        <v>20.767226</v>
      </c>
      <c r="G171" s="27" t="n">
        <v>65.591154</v>
      </c>
      <c r="H171" s="27" t="n">
        <v>106.570085</v>
      </c>
    </row>
    <row r="172">
      <c r="C172" s="1" t="n">
        <v>1</v>
      </c>
      <c r="D172" s="27" t="n">
        <v>17.884735</v>
      </c>
      <c r="E172" s="27" t="n">
        <v>17.884735</v>
      </c>
      <c r="F172" s="27" t="n">
        <v>21.873802</v>
      </c>
      <c r="G172" s="27" t="n">
        <v>69.088905</v>
      </c>
      <c r="H172" s="27" t="n">
        <v>112.255439</v>
      </c>
    </row>
    <row r="173">
      <c r="C173" s="1" t="n">
        <v>1.05</v>
      </c>
      <c r="D173" s="27" t="n">
        <v>18.787955</v>
      </c>
      <c r="E173" s="27" t="n">
        <v>18.787955</v>
      </c>
      <c r="F173" s="27" t="n">
        <v>22.981672</v>
      </c>
      <c r="G173" s="27" t="n">
        <v>72.59096599999999</v>
      </c>
      <c r="H173" s="27" t="n">
        <v>117.947984</v>
      </c>
    </row>
    <row r="174">
      <c r="C174" s="1" t="n">
        <v>1.1</v>
      </c>
      <c r="D174" s="27" t="n">
        <v>19.69203</v>
      </c>
      <c r="E174" s="27" t="n">
        <v>19.69203</v>
      </c>
      <c r="F174" s="27" t="n">
        <v>24.09083</v>
      </c>
      <c r="G174" s="27" t="n">
        <v>76.09730999999999</v>
      </c>
      <c r="H174" s="27" t="n">
        <v>123.647671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73.38117699999999</v>
      </c>
      <c r="E178" s="27" t="n">
        <v>50.195262</v>
      </c>
      <c r="F178" s="27" t="n">
        <v>28.639872</v>
      </c>
      <c r="G178" s="27" t="n">
        <v>17.884735</v>
      </c>
      <c r="H178" s="27" t="n">
        <v>17.884735</v>
      </c>
    </row>
    <row r="179">
      <c r="C179" s="1" t="n">
        <v>0.95</v>
      </c>
      <c r="D179" s="27" t="n">
        <v>78.304059</v>
      </c>
      <c r="E179" s="27" t="n">
        <v>53.830039</v>
      </c>
      <c r="F179" s="27" t="n">
        <v>31.077127</v>
      </c>
      <c r="G179" s="27" t="n">
        <v>17.884735</v>
      </c>
      <c r="H179" s="27" t="n">
        <v>17.884735</v>
      </c>
    </row>
    <row r="180">
      <c r="C180" s="1" t="n">
        <v>1</v>
      </c>
      <c r="D180" s="27" t="n">
        <v>83.22694199999999</v>
      </c>
      <c r="E180" s="27" t="n">
        <v>57.464815</v>
      </c>
      <c r="F180" s="27" t="n">
        <v>33.514381</v>
      </c>
      <c r="G180" s="27" t="n">
        <v>17.884735</v>
      </c>
      <c r="H180" s="27" t="n">
        <v>17.884735</v>
      </c>
    </row>
    <row r="181">
      <c r="C181" s="1" t="n">
        <v>1.05</v>
      </c>
      <c r="D181" s="27" t="n">
        <v>88.14982500000001</v>
      </c>
      <c r="E181" s="27" t="n">
        <v>61.099591</v>
      </c>
      <c r="F181" s="27" t="n">
        <v>35.951636</v>
      </c>
      <c r="G181" s="27" t="n">
        <v>17.884735</v>
      </c>
      <c r="H181" s="27" t="n">
        <v>17.884735</v>
      </c>
    </row>
    <row r="182">
      <c r="C182" s="1" t="n">
        <v>1.1</v>
      </c>
      <c r="D182" s="27" t="n">
        <v>93.07270699999999</v>
      </c>
      <c r="E182" s="27" t="n">
        <v>64.734368</v>
      </c>
      <c r="F182" s="27" t="n">
        <v>38.388891</v>
      </c>
      <c r="G182" s="27" t="n">
        <v>17.884735</v>
      </c>
      <c r="H182" s="27" t="n">
        <v>17.884735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6.407543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546.2301597983679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1950.611806269331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6186.433259430874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2.414577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1903.127666</v>
      </c>
      <c r="E176" s="27" t="n">
        <v>2560.115211</v>
      </c>
      <c r="F176" s="27" t="n">
        <v>3342.441255</v>
      </c>
      <c r="G176" s="27" t="n">
        <v>4191.017282</v>
      </c>
      <c r="H176" s="27" t="n">
        <v>5052.814267</v>
      </c>
    </row>
    <row r="177">
      <c r="C177" s="1" t="n">
        <v>0.95</v>
      </c>
      <c r="D177" s="27" t="n">
        <v>2008.856981</v>
      </c>
      <c r="E177" s="27" t="n">
        <v>2702.343834</v>
      </c>
      <c r="F177" s="27" t="n">
        <v>3528.132436</v>
      </c>
      <c r="G177" s="27" t="n">
        <v>4423.851576</v>
      </c>
      <c r="H177" s="27" t="n">
        <v>5333.526171</v>
      </c>
    </row>
    <row r="178">
      <c r="C178" s="1" t="n">
        <v>1</v>
      </c>
      <c r="D178" s="27" t="n">
        <v>2114.586296</v>
      </c>
      <c r="E178" s="27" t="n">
        <v>2844.572457</v>
      </c>
      <c r="F178" s="27" t="n">
        <v>3713.823617</v>
      </c>
      <c r="G178" s="27" t="n">
        <v>4656.685869</v>
      </c>
      <c r="H178" s="27" t="n">
        <v>5614.238075</v>
      </c>
    </row>
    <row r="179">
      <c r="C179" s="1" t="n">
        <v>1.05</v>
      </c>
      <c r="D179" s="27" t="n">
        <v>2220.315611</v>
      </c>
      <c r="E179" s="27" t="n">
        <v>2986.80108</v>
      </c>
      <c r="F179" s="27" t="n">
        <v>3899.514798</v>
      </c>
      <c r="G179" s="27" t="n">
        <v>4889.520163</v>
      </c>
      <c r="H179" s="27" t="n">
        <v>5894.949978</v>
      </c>
    </row>
    <row r="180">
      <c r="C180" s="1" t="n">
        <v>1.1</v>
      </c>
      <c r="D180" s="27" t="n">
        <v>2326.044925</v>
      </c>
      <c r="E180" s="27" t="n">
        <v>3129.029703</v>
      </c>
      <c r="F180" s="27" t="n">
        <v>4085.205979</v>
      </c>
      <c r="G180" s="27" t="n">
        <v>5122.354456</v>
      </c>
      <c r="H180" s="27" t="n">
        <v>6175.661882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4894.154962</v>
      </c>
      <c r="E184" s="27" t="n">
        <v>4517.203673</v>
      </c>
      <c r="F184" s="27" t="n">
        <v>4140.252384</v>
      </c>
      <c r="G184" s="27" t="n">
        <v>3763.301095</v>
      </c>
      <c r="H184" s="27" t="n">
        <v>3386.349807</v>
      </c>
    </row>
    <row r="185">
      <c r="C185" s="1" t="n">
        <v>0.95</v>
      </c>
      <c r="D185" s="27" t="n">
        <v>5088.466697</v>
      </c>
      <c r="E185" s="27" t="n">
        <v>4690.573669</v>
      </c>
      <c r="F185" s="27" t="n">
        <v>4292.680642</v>
      </c>
      <c r="G185" s="27" t="n">
        <v>3894.787615</v>
      </c>
      <c r="H185" s="27" t="n">
        <v>3496.894588</v>
      </c>
    </row>
    <row r="186">
      <c r="C186" s="1" t="n">
        <v>1</v>
      </c>
      <c r="D186" s="27" t="n">
        <v>5282.778431</v>
      </c>
      <c r="E186" s="27" t="n">
        <v>4863.943666</v>
      </c>
      <c r="F186" s="27" t="n">
        <v>4445.1089</v>
      </c>
      <c r="G186" s="27" t="n">
        <v>4026.274135</v>
      </c>
      <c r="H186" s="27" t="n">
        <v>3607.439369</v>
      </c>
    </row>
    <row r="187">
      <c r="C187" s="1" t="n">
        <v>1.05</v>
      </c>
      <c r="D187" s="27" t="n">
        <v>5457.412653</v>
      </c>
      <c r="E187" s="27" t="n">
        <v>5021.133738</v>
      </c>
      <c r="F187" s="27" t="n">
        <v>4584.854823</v>
      </c>
      <c r="G187" s="27" t="n">
        <v>4148.575908</v>
      </c>
      <c r="H187" s="27" t="n">
        <v>3712.296992</v>
      </c>
    </row>
    <row r="188">
      <c r="C188" s="1" t="n">
        <v>1.1</v>
      </c>
      <c r="D188" s="27" t="n">
        <v>5609.586706</v>
      </c>
      <c r="E188" s="27" t="n">
        <v>5158.585364</v>
      </c>
      <c r="F188" s="27" t="n">
        <v>4707.584022</v>
      </c>
      <c r="G188" s="27" t="n">
        <v>4256.582679</v>
      </c>
      <c r="H188" s="27" t="n">
        <v>3805.581337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0.05593598513257236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5.792074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803.4840527361094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2368.814957928492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11438.99298950225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1.1659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2231.500422</v>
      </c>
      <c r="E170" s="27" t="n">
        <v>3544.838177</v>
      </c>
      <c r="F170" s="27" t="n">
        <v>5395.157464</v>
      </c>
      <c r="G170" s="27" t="n">
        <v>7295.513683</v>
      </c>
      <c r="H170" s="27" t="n">
        <v>9195.869901</v>
      </c>
    </row>
    <row r="171">
      <c r="C171" s="1" t="n">
        <v>0.95</v>
      </c>
      <c r="D171" s="27" t="n">
        <v>2355.759712</v>
      </c>
      <c r="E171" s="27" t="n">
        <v>3742.304325</v>
      </c>
      <c r="F171" s="27" t="n">
        <v>5695.798537</v>
      </c>
      <c r="G171" s="27" t="n">
        <v>7702.12424</v>
      </c>
      <c r="H171" s="27" t="n">
        <v>9708.449944</v>
      </c>
    </row>
    <row r="172">
      <c r="C172" s="1" t="n">
        <v>1</v>
      </c>
      <c r="D172" s="27" t="n">
        <v>2480.049192</v>
      </c>
      <c r="E172" s="27" t="n">
        <v>3939.825923</v>
      </c>
      <c r="F172" s="27" t="n">
        <v>5996.534217</v>
      </c>
      <c r="G172" s="27" t="n">
        <v>8108.870066</v>
      </c>
      <c r="H172" s="27" t="n">
        <v>10221.205915</v>
      </c>
    </row>
    <row r="173">
      <c r="C173" s="1" t="n">
        <v>1.05</v>
      </c>
      <c r="D173" s="27" t="n">
        <v>2604.368858</v>
      </c>
      <c r="E173" s="27" t="n">
        <v>4137.402913</v>
      </c>
      <c r="F173" s="27" t="n">
        <v>6297.364335</v>
      </c>
      <c r="G173" s="27" t="n">
        <v>8515.750873000001</v>
      </c>
      <c r="H173" s="27" t="n">
        <v>10734.137411</v>
      </c>
    </row>
    <row r="174">
      <c r="C174" s="1" t="n">
        <v>1.1</v>
      </c>
      <c r="D174" s="27" t="n">
        <v>2728.718706</v>
      </c>
      <c r="E174" s="27" t="n">
        <v>4335.035237</v>
      </c>
      <c r="F174" s="27" t="n">
        <v>6598.288724</v>
      </c>
      <c r="G174" s="27" t="n">
        <v>8922.766378</v>
      </c>
      <c r="H174" s="27" t="n">
        <v>11247.244031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7554.095676</v>
      </c>
      <c r="E178" s="27" t="n">
        <v>6944.192375</v>
      </c>
      <c r="F178" s="27" t="n">
        <v>6334.289074</v>
      </c>
      <c r="G178" s="27" t="n">
        <v>5724.385772</v>
      </c>
      <c r="H178" s="27" t="n">
        <v>5114.482471</v>
      </c>
    </row>
    <row r="179">
      <c r="C179" s="1" t="n">
        <v>0.95</v>
      </c>
      <c r="D179" s="27" t="n">
        <v>7844.881513</v>
      </c>
      <c r="E179" s="27" t="n">
        <v>7201.094695</v>
      </c>
      <c r="F179" s="27" t="n">
        <v>6557.307877</v>
      </c>
      <c r="G179" s="27" t="n">
        <v>5913.521058</v>
      </c>
      <c r="H179" s="27" t="n">
        <v>5269.73424</v>
      </c>
    </row>
    <row r="180">
      <c r="C180" s="1" t="n">
        <v>1</v>
      </c>
      <c r="D180" s="27" t="n">
        <v>8135.66735</v>
      </c>
      <c r="E180" s="27" t="n">
        <v>7457.997015</v>
      </c>
      <c r="F180" s="27" t="n">
        <v>6780.32668</v>
      </c>
      <c r="G180" s="27" t="n">
        <v>6102.656345</v>
      </c>
      <c r="H180" s="27" t="n">
        <v>5424.98601</v>
      </c>
    </row>
    <row r="181">
      <c r="C181" s="1" t="n">
        <v>1.05</v>
      </c>
      <c r="D181" s="27" t="n">
        <v>8426.453186000001</v>
      </c>
      <c r="E181" s="27" t="n">
        <v>7714.899335</v>
      </c>
      <c r="F181" s="27" t="n">
        <v>7003.345483</v>
      </c>
      <c r="G181" s="27" t="n">
        <v>6291.791631</v>
      </c>
      <c r="H181" s="27" t="n">
        <v>5580.23778</v>
      </c>
    </row>
    <row r="182">
      <c r="C182" s="1" t="n">
        <v>1.1</v>
      </c>
      <c r="D182" s="27" t="n">
        <v>8717.239023</v>
      </c>
      <c r="E182" s="27" t="n">
        <v>7971.801655</v>
      </c>
      <c r="F182" s="27" t="n">
        <v>7226.364286</v>
      </c>
      <c r="G182" s="27" t="n">
        <v>6480.926918</v>
      </c>
      <c r="H182" s="27" t="n">
        <v>5735.489549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0.02051615835294118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379.9610418578636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24.636723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26.009796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27.383322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28.7573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30.131729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0.3551193974926785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  <c r="AK127" s="6" t="n">
        <v>28.673511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6.407543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12.44076676895395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130.5991687798299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11.181949</v>
      </c>
      <c r="E161" s="27" t="n">
        <v>17.195424</v>
      </c>
      <c r="F161" s="27" t="n">
        <v>39.391823</v>
      </c>
      <c r="G161" s="27" t="n">
        <v>63.642841</v>
      </c>
      <c r="H161" s="27" t="n">
        <v>89.13385</v>
      </c>
    </row>
    <row r="162">
      <c r="C162" s="1" t="n">
        <v>0.95</v>
      </c>
      <c r="D162" s="27" t="n">
        <v>11.810949</v>
      </c>
      <c r="E162" s="27" t="n">
        <v>18.178176</v>
      </c>
      <c r="F162" s="27" t="n">
        <v>41.642002</v>
      </c>
      <c r="G162" s="27" t="n">
        <v>67.281177</v>
      </c>
      <c r="H162" s="27" t="n">
        <v>94.233931</v>
      </c>
    </row>
    <row r="163">
      <c r="C163" s="1" t="n">
        <v>1</v>
      </c>
      <c r="D163" s="27" t="n">
        <v>12.440767</v>
      </c>
      <c r="E163" s="27" t="n">
        <v>19.163428</v>
      </c>
      <c r="F163" s="27" t="n">
        <v>43.897821</v>
      </c>
      <c r="G163" s="27" t="n">
        <v>70.928867</v>
      </c>
      <c r="H163" s="27" t="n">
        <v>99.34748500000001</v>
      </c>
    </row>
    <row r="164">
      <c r="C164" s="1" t="n">
        <v>1.05</v>
      </c>
      <c r="D164" s="27" t="n">
        <v>13.071404</v>
      </c>
      <c r="E164" s="27" t="n">
        <v>20.151135</v>
      </c>
      <c r="F164" s="27" t="n">
        <v>46.159186</v>
      </c>
      <c r="G164" s="27" t="n">
        <v>74.58575</v>
      </c>
      <c r="H164" s="27" t="n">
        <v>104.474274</v>
      </c>
    </row>
    <row r="165">
      <c r="C165" s="1" t="n">
        <v>1.1</v>
      </c>
      <c r="D165" s="27" t="n">
        <v>13.70286</v>
      </c>
      <c r="E165" s="27" t="n">
        <v>21.141257</v>
      </c>
      <c r="F165" s="27" t="n">
        <v>48.426006</v>
      </c>
      <c r="G165" s="27" t="n">
        <v>78.251671</v>
      </c>
      <c r="H165" s="27" t="n">
        <v>109.614073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94.661315</v>
      </c>
      <c r="E169" s="27" t="n">
        <v>79.837749</v>
      </c>
      <c r="F169" s="27" t="n">
        <v>65.014184</v>
      </c>
      <c r="G169" s="27" t="n">
        <v>50.190619</v>
      </c>
      <c r="H169" s="27" t="n">
        <v>35.367053</v>
      </c>
    </row>
    <row r="170">
      <c r="C170" s="1" t="n">
        <v>0.95</v>
      </c>
      <c r="D170" s="27" t="n">
        <v>100.27067</v>
      </c>
      <c r="E170" s="27" t="n">
        <v>84.623574</v>
      </c>
      <c r="F170" s="27" t="n">
        <v>68.976477</v>
      </c>
      <c r="G170" s="27" t="n">
        <v>53.32938</v>
      </c>
      <c r="H170" s="27" t="n">
        <v>37.682284</v>
      </c>
    </row>
    <row r="171">
      <c r="C171" s="1" t="n">
        <v>1</v>
      </c>
      <c r="D171" s="27" t="n">
        <v>105.880026</v>
      </c>
      <c r="E171" s="27" t="n">
        <v>89.409398</v>
      </c>
      <c r="F171" s="27" t="n">
        <v>72.93877000000001</v>
      </c>
      <c r="G171" s="27" t="n">
        <v>56.468142</v>
      </c>
      <c r="H171" s="27" t="n">
        <v>39.997514</v>
      </c>
    </row>
    <row r="172">
      <c r="C172" s="1" t="n">
        <v>1.05</v>
      </c>
      <c r="D172" s="27" t="n">
        <v>111.489382</v>
      </c>
      <c r="E172" s="27" t="n">
        <v>94.195222</v>
      </c>
      <c r="F172" s="27" t="n">
        <v>76.90106299999999</v>
      </c>
      <c r="G172" s="27" t="n">
        <v>59.606903</v>
      </c>
      <c r="H172" s="27" t="n">
        <v>42.312744</v>
      </c>
    </row>
    <row r="173">
      <c r="C173" s="1" t="n">
        <v>1.1</v>
      </c>
      <c r="D173" s="27" t="n">
        <v>117.098738</v>
      </c>
      <c r="E173" s="27" t="n">
        <v>98.981047</v>
      </c>
      <c r="F173" s="27" t="n">
        <v>80.863356</v>
      </c>
      <c r="G173" s="27" t="n">
        <v>62.745665</v>
      </c>
      <c r="H173" s="27" t="n">
        <v>44.627974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1.991129665751507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5.984367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109.4894983244543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451.844290057374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3182.693512006612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406.331474</v>
      </c>
      <c r="E167" s="27" t="n">
        <v>466.765495</v>
      </c>
      <c r="F167" s="27" t="n">
        <v>527.199516</v>
      </c>
      <c r="G167" s="27" t="n">
        <v>1327.165903</v>
      </c>
      <c r="H167" s="27" t="n">
        <v>2704.115759</v>
      </c>
    </row>
    <row r="168">
      <c r="C168" s="1" t="n">
        <v>0.95</v>
      </c>
      <c r="D168" s="27" t="n">
        <v>430.485322</v>
      </c>
      <c r="E168" s="27" t="n">
        <v>494.652263</v>
      </c>
      <c r="F168" s="27" t="n">
        <v>558.819204</v>
      </c>
      <c r="G168" s="27" t="n">
        <v>1406.77682</v>
      </c>
      <c r="H168" s="27" t="n">
        <v>2866.053876</v>
      </c>
    </row>
    <row r="169">
      <c r="C169" s="1" t="n">
        <v>1</v>
      </c>
      <c r="D169" s="27" t="n">
        <v>454.805472</v>
      </c>
      <c r="E169" s="27" t="n">
        <v>522.744857</v>
      </c>
      <c r="F169" s="27" t="n">
        <v>590.684241</v>
      </c>
      <c r="G169" s="27" t="n">
        <v>1486.980492</v>
      </c>
      <c r="H169" s="27" t="n">
        <v>3029.16416</v>
      </c>
    </row>
    <row r="170">
      <c r="C170" s="1" t="n">
        <v>1.05</v>
      </c>
      <c r="D170" s="27" t="n">
        <v>477.701328</v>
      </c>
      <c r="E170" s="27" t="n">
        <v>549.074657</v>
      </c>
      <c r="F170" s="27" t="n">
        <v>620.447987</v>
      </c>
      <c r="G170" s="27" t="n">
        <v>1561.904826</v>
      </c>
      <c r="H170" s="27" t="n">
        <v>3181.766967</v>
      </c>
    </row>
    <row r="171">
      <c r="C171" s="1" t="n">
        <v>1.1</v>
      </c>
      <c r="D171" s="27" t="n">
        <v>500.44901</v>
      </c>
      <c r="E171" s="27" t="n">
        <v>575.2210700000001</v>
      </c>
      <c r="F171" s="27" t="n">
        <v>649.993129</v>
      </c>
      <c r="G171" s="27" t="n">
        <v>1636.281246</v>
      </c>
      <c r="H171" s="27" t="n">
        <v>3333.27968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2101.185225</v>
      </c>
      <c r="E175" s="27" t="n">
        <v>1265.140792</v>
      </c>
      <c r="F175" s="27" t="n">
        <v>571.174</v>
      </c>
      <c r="G175" s="27" t="n">
        <v>544.346589</v>
      </c>
      <c r="H175" s="27" t="n">
        <v>517.519177</v>
      </c>
    </row>
    <row r="176">
      <c r="C176" s="1" t="n">
        <v>0.95</v>
      </c>
      <c r="D176" s="27" t="n">
        <v>2264.593057</v>
      </c>
      <c r="E176" s="27" t="n">
        <v>1382.101711</v>
      </c>
      <c r="F176" s="27" t="n">
        <v>580.929121</v>
      </c>
      <c r="G176" s="27" t="n">
        <v>552.611298</v>
      </c>
      <c r="H176" s="27" t="n">
        <v>524.2934739999999</v>
      </c>
    </row>
    <row r="177">
      <c r="C177" s="1" t="n">
        <v>1</v>
      </c>
      <c r="D177" s="27" t="n">
        <v>2428.000888</v>
      </c>
      <c r="E177" s="27" t="n">
        <v>1499.06263</v>
      </c>
      <c r="F177" s="27" t="n">
        <v>590.684241</v>
      </c>
      <c r="G177" s="27" t="n">
        <v>560.876006</v>
      </c>
      <c r="H177" s="27" t="n">
        <v>531.067772</v>
      </c>
    </row>
    <row r="178">
      <c r="C178" s="1" t="n">
        <v>1.05</v>
      </c>
      <c r="D178" s="27" t="n">
        <v>2597.986677</v>
      </c>
      <c r="E178" s="27" t="n">
        <v>1633.075102</v>
      </c>
      <c r="F178" s="27" t="n">
        <v>668.163527</v>
      </c>
      <c r="G178" s="27" t="n">
        <v>569.140715</v>
      </c>
      <c r="H178" s="27" t="n">
        <v>537.842069</v>
      </c>
    </row>
    <row r="179">
      <c r="C179" s="1" t="n">
        <v>1.1</v>
      </c>
      <c r="D179" s="27" t="n">
        <v>2777.957842</v>
      </c>
      <c r="E179" s="27" t="n">
        <v>1792.971928</v>
      </c>
      <c r="F179" s="27" t="n">
        <v>807.986014</v>
      </c>
      <c r="G179" s="27" t="n">
        <v>577.405424</v>
      </c>
      <c r="H179" s="27" t="n">
        <v>544.616366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0.06394413039037523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4.272882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3931.443988882621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17989.27304202091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41585.59347638452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16285.732737</v>
      </c>
      <c r="E167" s="27" t="n">
        <v>17459.989562</v>
      </c>
      <c r="F167" s="27" t="n">
        <v>20183.469105</v>
      </c>
      <c r="G167" s="27" t="n">
        <v>25622.085717</v>
      </c>
      <c r="H167" s="27" t="n">
        <v>32711.573092</v>
      </c>
    </row>
    <row r="168">
      <c r="C168" s="1" t="n">
        <v>0.95</v>
      </c>
      <c r="D168" s="27" t="n">
        <v>17192.762746</v>
      </c>
      <c r="E168" s="27" t="n">
        <v>18432.53822</v>
      </c>
      <c r="F168" s="27" t="n">
        <v>21307.853938</v>
      </c>
      <c r="G168" s="27" t="n">
        <v>27049.716166</v>
      </c>
      <c r="H168" s="27" t="n">
        <v>34534.683817</v>
      </c>
    </row>
    <row r="169">
      <c r="C169" s="1" t="n">
        <v>1</v>
      </c>
      <c r="D169" s="27" t="n">
        <v>18100.031395</v>
      </c>
      <c r="E169" s="27" t="n">
        <v>19405.355203</v>
      </c>
      <c r="F169" s="27" t="n">
        <v>22432.562741</v>
      </c>
      <c r="G169" s="27" t="n">
        <v>28477.784748</v>
      </c>
      <c r="H169" s="27" t="n">
        <v>36358.399721</v>
      </c>
    </row>
    <row r="170">
      <c r="C170" s="1" t="n">
        <v>1.05</v>
      </c>
      <c r="D170" s="27" t="n">
        <v>19007.538684</v>
      </c>
      <c r="E170" s="27" t="n">
        <v>20378.440509</v>
      </c>
      <c r="F170" s="27" t="n">
        <v>23557.595466</v>
      </c>
      <c r="G170" s="27" t="n">
        <v>29906.291181</v>
      </c>
      <c r="H170" s="27" t="n">
        <v>38182.720035</v>
      </c>
    </row>
    <row r="171">
      <c r="C171" s="1" t="n">
        <v>1.1</v>
      </c>
      <c r="D171" s="27" t="n">
        <v>19915.284613</v>
      </c>
      <c r="E171" s="27" t="n">
        <v>21351.794135</v>
      </c>
      <c r="F171" s="27" t="n">
        <v>24682.952065</v>
      </c>
      <c r="G171" s="27" t="n">
        <v>31335.235186</v>
      </c>
      <c r="H171" s="27" t="n">
        <v>40007.644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29967.327158</v>
      </c>
      <c r="E175" s="27" t="n">
        <v>26028.207098</v>
      </c>
      <c r="F175" s="27" t="n">
        <v>22161.90484</v>
      </c>
      <c r="G175" s="27" t="n">
        <v>20327.667933</v>
      </c>
      <c r="H175" s="27" t="n">
        <v>19511.508216</v>
      </c>
    </row>
    <row r="176">
      <c r="C176" s="1" t="n">
        <v>0.95</v>
      </c>
      <c r="D176" s="27" t="n">
        <v>30636.284858</v>
      </c>
      <c r="E176" s="27" t="n">
        <v>26594.062108</v>
      </c>
      <c r="F176" s="27" t="n">
        <v>22551.839358</v>
      </c>
      <c r="G176" s="27" t="n">
        <v>20487.063111</v>
      </c>
      <c r="H176" s="27" t="n">
        <v>19625.561187</v>
      </c>
    </row>
    <row r="177">
      <c r="C177" s="1" t="n">
        <v>1</v>
      </c>
      <c r="D177" s="27" t="n">
        <v>31246.583781</v>
      </c>
      <c r="E177" s="27" t="n">
        <v>27108.233112</v>
      </c>
      <c r="F177" s="27" t="n">
        <v>22969.882443</v>
      </c>
      <c r="G177" s="27" t="n">
        <v>20646.458289</v>
      </c>
      <c r="H177" s="27" t="n">
        <v>19739.614158</v>
      </c>
    </row>
    <row r="178">
      <c r="C178" s="1" t="n">
        <v>1.05</v>
      </c>
      <c r="D178" s="27" t="n">
        <v>31867.606507</v>
      </c>
      <c r="E178" s="27" t="n">
        <v>27640.320895</v>
      </c>
      <c r="F178" s="27" t="n">
        <v>23413.035283</v>
      </c>
      <c r="G178" s="27" t="n">
        <v>20818.475989</v>
      </c>
      <c r="H178" s="27" t="n">
        <v>19853.667129</v>
      </c>
    </row>
    <row r="179">
      <c r="C179" s="1" t="n">
        <v>1.1</v>
      </c>
      <c r="D179" s="27" t="n">
        <v>32485.300177</v>
      </c>
      <c r="E179" s="27" t="n">
        <v>28172.963503</v>
      </c>
      <c r="F179" s="27" t="n">
        <v>23860.626829</v>
      </c>
      <c r="G179" s="27" t="n">
        <v>20991.666892</v>
      </c>
      <c r="H179" s="27" t="n">
        <v>19967.720101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2.58</v>
      </c>
      <c r="I22" s="13" t="n">
        <v>2.58</v>
      </c>
      <c r="J22" s="13" t="n">
        <v>2.58</v>
      </c>
      <c r="K22" s="13" t="n">
        <v>2.58</v>
      </c>
      <c r="L22" s="13" t="n">
        <v>2.58</v>
      </c>
      <c r="M22" s="13" t="n">
        <v>2.6316</v>
      </c>
      <c r="N22" s="13" t="n">
        <v>2.684232</v>
      </c>
      <c r="O22" s="13" t="n">
        <v>2.73791664</v>
      </c>
      <c r="P22" s="13" t="n">
        <v>2.7926749728</v>
      </c>
      <c r="Q22" s="13" t="n">
        <v>2.848528472256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-4.2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0.34</v>
      </c>
      <c r="I34" s="4" t="n">
        <v>0.34</v>
      </c>
      <c r="J34" s="4" t="n">
        <v>0.34</v>
      </c>
      <c r="K34" s="4" t="n">
        <v>0.34</v>
      </c>
      <c r="L34" s="4" t="n">
        <v>0.34</v>
      </c>
      <c r="M34" s="4" t="n">
        <v>0.34</v>
      </c>
      <c r="N34" s="4" t="n">
        <v>0.34</v>
      </c>
      <c r="O34" s="4" t="n">
        <v>0.34</v>
      </c>
      <c r="P34" s="4" t="n">
        <v>0.34</v>
      </c>
      <c r="Q34" s="4" t="n">
        <v>0.34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288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38.68299999999999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0.03322145536455814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11.63035793393754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330.7935502153965</v>
      </c>
    </row>
    <row r="144">
      <c r="A144" t="inlineStr">
        <is>
          <t>Base probability</t>
        </is>
      </c>
      <c r="C144" s="4" t="n">
        <v>0.65</v>
      </c>
    </row>
    <row r="145">
      <c r="A145" t="inlineStr">
        <is>
          <t>Bull probability</t>
        </is>
      </c>
      <c r="C145" s="4" t="n">
        <v>0.1</v>
      </c>
    </row>
    <row r="146">
      <c r="A146" t="inlineStr">
        <is>
          <t>Bull 12-month value (engine)</t>
        </is>
      </c>
      <c r="C146" s="20" t="n">
        <v>875.126969395288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302.224953</v>
      </c>
      <c r="E155" s="27" t="n">
        <v>310.335932</v>
      </c>
      <c r="F155" s="27" t="n">
        <v>337.243132</v>
      </c>
      <c r="G155" s="27" t="n">
        <v>413.762981</v>
      </c>
      <c r="H155" s="27" t="n">
        <v>524.029627</v>
      </c>
    </row>
    <row r="156">
      <c r="C156" s="1" t="n">
        <v>0.95</v>
      </c>
      <c r="D156" s="27" t="n">
        <v>319.035263</v>
      </c>
      <c r="E156" s="27" t="n">
        <v>327.597614</v>
      </c>
      <c r="F156" s="27" t="n">
        <v>356.002198</v>
      </c>
      <c r="G156" s="27" t="n">
        <v>436.780833</v>
      </c>
      <c r="H156" s="27" t="n">
        <v>553.185695</v>
      </c>
    </row>
    <row r="157">
      <c r="C157" s="1" t="n">
        <v>1</v>
      </c>
      <c r="D157" s="27" t="n">
        <v>335.847681</v>
      </c>
      <c r="E157" s="27" t="n">
        <v>344.861486</v>
      </c>
      <c r="F157" s="27" t="n">
        <v>374.763719</v>
      </c>
      <c r="G157" s="27" t="n">
        <v>459.801942</v>
      </c>
      <c r="H157" s="27" t="n">
        <v>582.3463</v>
      </c>
    </row>
    <row r="158">
      <c r="C158" s="1" t="n">
        <v>1.05</v>
      </c>
      <c r="D158" s="27" t="n">
        <v>352.662209</v>
      </c>
      <c r="E158" s="27" t="n">
        <v>362.127547</v>
      </c>
      <c r="F158" s="27" t="n">
        <v>393.527696</v>
      </c>
      <c r="G158" s="27" t="n">
        <v>482.826307</v>
      </c>
      <c r="H158" s="27" t="n">
        <v>611.511439</v>
      </c>
    </row>
    <row r="159">
      <c r="C159" s="1" t="n">
        <v>1.1</v>
      </c>
      <c r="D159" s="27" t="n">
        <v>369.478845</v>
      </c>
      <c r="E159" s="27" t="n">
        <v>379.395796</v>
      </c>
      <c r="F159" s="27" t="n">
        <v>412.294128</v>
      </c>
      <c r="G159" s="27" t="n">
        <v>505.853928</v>
      </c>
      <c r="H159" s="27" t="n">
        <v>640.681108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510.495387</v>
      </c>
      <c r="E163" s="27" t="n">
        <v>435.72913</v>
      </c>
      <c r="F163" s="27" t="n">
        <v>376.630744</v>
      </c>
      <c r="G163" s="27" t="n">
        <v>356.230155</v>
      </c>
      <c r="H163" s="27" t="n">
        <v>342.300123</v>
      </c>
    </row>
    <row r="164">
      <c r="C164" s="1" t="n">
        <v>0.95</v>
      </c>
      <c r="D164" s="27" t="n">
        <v>515.867972</v>
      </c>
      <c r="E164" s="27" t="n">
        <v>436.948034</v>
      </c>
      <c r="F164" s="27" t="n">
        <v>375.697231</v>
      </c>
      <c r="G164" s="27" t="n">
        <v>354.39171</v>
      </c>
      <c r="H164" s="27" t="n">
        <v>339.687788</v>
      </c>
    </row>
    <row r="165">
      <c r="C165" s="1" t="n">
        <v>1</v>
      </c>
      <c r="D165" s="27" t="n">
        <v>521.240557</v>
      </c>
      <c r="E165" s="27" t="n">
        <v>438.166938</v>
      </c>
      <c r="F165" s="27" t="n">
        <v>374.763719</v>
      </c>
      <c r="G165" s="27" t="n">
        <v>352.553266</v>
      </c>
      <c r="H165" s="27" t="n">
        <v>337.075452</v>
      </c>
    </row>
    <row r="166">
      <c r="C166" s="1" t="n">
        <v>1.05</v>
      </c>
      <c r="D166" s="27" t="n">
        <v>526.613142</v>
      </c>
      <c r="E166" s="27" t="n">
        <v>439.385842</v>
      </c>
      <c r="F166" s="27" t="n">
        <v>373.830207</v>
      </c>
      <c r="G166" s="27" t="n">
        <v>350.714821</v>
      </c>
      <c r="H166" s="27" t="n">
        <v>334.463117</v>
      </c>
    </row>
    <row r="167">
      <c r="C167" s="1" t="n">
        <v>1.1</v>
      </c>
      <c r="D167" s="27" t="n">
        <v>531.985727</v>
      </c>
      <c r="E167" s="27" t="n">
        <v>440.604747</v>
      </c>
      <c r="F167" s="27" t="n">
        <v>372.896695</v>
      </c>
      <c r="G167" s="27" t="n">
        <v>348.876376</v>
      </c>
      <c r="H167" s="27" t="n">
        <v>331.850781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0.347989301110955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6.407543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1870.778539556681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2445.640264258539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1637.917474</v>
      </c>
      <c r="E161" s="27" t="n">
        <v>1707.569109</v>
      </c>
      <c r="F161" s="27" t="n">
        <v>1802.110804</v>
      </c>
      <c r="G161" s="27" t="n">
        <v>1930.133464</v>
      </c>
      <c r="H161" s="27" t="n">
        <v>2058.156125</v>
      </c>
    </row>
    <row r="162">
      <c r="C162" s="1" t="n">
        <v>0.95</v>
      </c>
      <c r="D162" s="27" t="n">
        <v>1730.038161</v>
      </c>
      <c r="E162" s="27" t="n">
        <v>1803.609324</v>
      </c>
      <c r="F162" s="27" t="n">
        <v>1903.472454</v>
      </c>
      <c r="G162" s="27" t="n">
        <v>2038.7035</v>
      </c>
      <c r="H162" s="27" t="n">
        <v>2173.934545</v>
      </c>
    </row>
    <row r="163">
      <c r="C163" s="1" t="n">
        <v>1</v>
      </c>
      <c r="D163" s="27" t="n">
        <v>1822.277298</v>
      </c>
      <c r="E163" s="27" t="n">
        <v>1899.773196</v>
      </c>
      <c r="F163" s="27" t="n">
        <v>2004.96493</v>
      </c>
      <c r="G163" s="27" t="n">
        <v>2147.41426</v>
      </c>
      <c r="H163" s="27" t="n">
        <v>2289.863591</v>
      </c>
    </row>
    <row r="164">
      <c r="C164" s="1" t="n">
        <v>1.05</v>
      </c>
      <c r="D164" s="27" t="n">
        <v>1914.634885</v>
      </c>
      <c r="E164" s="27" t="n">
        <v>1996.060719</v>
      </c>
      <c r="F164" s="27" t="n">
        <v>2106.588214</v>
      </c>
      <c r="G164" s="27" t="n">
        <v>2256.265706</v>
      </c>
      <c r="H164" s="27" t="n">
        <v>2405.943198</v>
      </c>
    </row>
    <row r="165">
      <c r="C165" s="1" t="n">
        <v>1.1</v>
      </c>
      <c r="D165" s="27" t="n">
        <v>2007.110921</v>
      </c>
      <c r="E165" s="27" t="n">
        <v>2092.471887</v>
      </c>
      <c r="F165" s="27" t="n">
        <v>2208.342289</v>
      </c>
      <c r="G165" s="27" t="n">
        <v>2365.257798</v>
      </c>
      <c r="H165" s="27" t="n">
        <v>2522.173308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2252.528523</v>
      </c>
      <c r="E169" s="27" t="n">
        <v>2132.422473</v>
      </c>
      <c r="F169" s="27" t="n">
        <v>2012.316424</v>
      </c>
      <c r="G169" s="27" t="n">
        <v>1919.512607</v>
      </c>
      <c r="H169" s="27" t="n">
        <v>1843.159124</v>
      </c>
    </row>
    <row r="170">
      <c r="C170" s="1" t="n">
        <v>0.95</v>
      </c>
      <c r="D170" s="27" t="n">
        <v>2262.197893</v>
      </c>
      <c r="E170" s="27" t="n">
        <v>2135.419285</v>
      </c>
      <c r="F170" s="27" t="n">
        <v>2008.640677</v>
      </c>
      <c r="G170" s="27" t="n">
        <v>1912.921198</v>
      </c>
      <c r="H170" s="27" t="n">
        <v>1832.325855</v>
      </c>
    </row>
    <row r="171">
      <c r="C171" s="1" t="n">
        <v>1</v>
      </c>
      <c r="D171" s="27" t="n">
        <v>2271.867263</v>
      </c>
      <c r="E171" s="27" t="n">
        <v>2138.416096</v>
      </c>
      <c r="F171" s="27" t="n">
        <v>2004.96493</v>
      </c>
      <c r="G171" s="27" t="n">
        <v>1906.32979</v>
      </c>
      <c r="H171" s="27" t="n">
        <v>1821.492587</v>
      </c>
    </row>
    <row r="172">
      <c r="C172" s="1" t="n">
        <v>1.05</v>
      </c>
      <c r="D172" s="27" t="n">
        <v>2307.124344</v>
      </c>
      <c r="E172" s="27" t="n">
        <v>2174.573179</v>
      </c>
      <c r="F172" s="27" t="n">
        <v>2042.022014</v>
      </c>
      <c r="G172" s="27" t="n">
        <v>1909.470849</v>
      </c>
      <c r="H172" s="27" t="n">
        <v>1810.659318</v>
      </c>
    </row>
    <row r="173">
      <c r="C173" s="1" t="n">
        <v>1.1</v>
      </c>
      <c r="D173" s="27" t="n">
        <v>2342.381425</v>
      </c>
      <c r="E173" s="27" t="n">
        <v>2210.730261</v>
      </c>
      <c r="F173" s="27" t="n">
        <v>2079.079098</v>
      </c>
      <c r="G173" s="27" t="n">
        <v>1947.427934</v>
      </c>
      <c r="H173" s="27" t="n">
        <v>1815.776771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0.08195537969653025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6.100823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321.3117976503117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2719.403034617026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6690.925736492273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1.000676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2623.506965</v>
      </c>
      <c r="E176" s="27" t="n">
        <v>3340.322793</v>
      </c>
      <c r="F176" s="27" t="n">
        <v>4049.880088</v>
      </c>
      <c r="G176" s="27" t="n">
        <v>4753.65496</v>
      </c>
      <c r="H176" s="27" t="n">
        <v>5448.17438</v>
      </c>
    </row>
    <row r="177">
      <c r="C177" s="1" t="n">
        <v>0.95</v>
      </c>
      <c r="D177" s="27" t="n">
        <v>2769.738609</v>
      </c>
      <c r="E177" s="27" t="n">
        <v>3526.562584</v>
      </c>
      <c r="F177" s="27" t="n">
        <v>4275.722803</v>
      </c>
      <c r="G177" s="27" t="n">
        <v>5018.777825</v>
      </c>
      <c r="H177" s="27" t="n">
        <v>5752.061464</v>
      </c>
    </row>
    <row r="178">
      <c r="C178" s="1" t="n">
        <v>1</v>
      </c>
      <c r="D178" s="27" t="n">
        <v>2916.02061</v>
      </c>
      <c r="E178" s="27" t="n">
        <v>3712.871832</v>
      </c>
      <c r="F178" s="27" t="n">
        <v>4501.653868</v>
      </c>
      <c r="G178" s="27" t="n">
        <v>5284.007771</v>
      </c>
      <c r="H178" s="27" t="n">
        <v>6056.074179</v>
      </c>
    </row>
    <row r="179">
      <c r="C179" s="1" t="n">
        <v>1.05</v>
      </c>
      <c r="D179" s="27" t="n">
        <v>3062.352928</v>
      </c>
      <c r="E179" s="27" t="n">
        <v>3899.250445</v>
      </c>
      <c r="F179" s="27" t="n">
        <v>4727.673136</v>
      </c>
      <c r="G179" s="27" t="n">
        <v>5549.3446</v>
      </c>
      <c r="H179" s="27" t="n">
        <v>6360.212274</v>
      </c>
    </row>
    <row r="180">
      <c r="C180" s="1" t="n">
        <v>1.1</v>
      </c>
      <c r="D180" s="27" t="n">
        <v>3208.735522</v>
      </c>
      <c r="E180" s="27" t="n">
        <v>4085.698328</v>
      </c>
      <c r="F180" s="27" t="n">
        <v>4953.780463</v>
      </c>
      <c r="G180" s="27" t="n">
        <v>5814.788114</v>
      </c>
      <c r="H180" s="27" t="n">
        <v>6664.475501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5374.65899</v>
      </c>
      <c r="E184" s="27" t="n">
        <v>4970.193513</v>
      </c>
      <c r="F184" s="27" t="n">
        <v>4565.728036</v>
      </c>
      <c r="G184" s="27" t="n">
        <v>4161.262559</v>
      </c>
      <c r="H184" s="27" t="n">
        <v>3756.797081</v>
      </c>
    </row>
    <row r="185">
      <c r="C185" s="1" t="n">
        <v>0.95</v>
      </c>
      <c r="D185" s="27" t="n">
        <v>5444.150238</v>
      </c>
      <c r="E185" s="27" t="n">
        <v>5017.214456</v>
      </c>
      <c r="F185" s="27" t="n">
        <v>4590.278675</v>
      </c>
      <c r="G185" s="27" t="n">
        <v>4163.342893</v>
      </c>
      <c r="H185" s="27" t="n">
        <v>3736.407112</v>
      </c>
    </row>
    <row r="186">
      <c r="C186" s="1" t="n">
        <v>1</v>
      </c>
      <c r="D186" s="27" t="n">
        <v>5513.641485</v>
      </c>
      <c r="E186" s="27" t="n">
        <v>5064.235399</v>
      </c>
      <c r="F186" s="27" t="n">
        <v>4614.829314</v>
      </c>
      <c r="G186" s="27" t="n">
        <v>4165.423228</v>
      </c>
      <c r="H186" s="27" t="n">
        <v>3716.017142</v>
      </c>
    </row>
    <row r="187">
      <c r="C187" s="1" t="n">
        <v>1.05</v>
      </c>
      <c r="D187" s="27" t="n">
        <v>5583.132733</v>
      </c>
      <c r="E187" s="27" t="n">
        <v>5111.256343</v>
      </c>
      <c r="F187" s="27" t="n">
        <v>4639.379953</v>
      </c>
      <c r="G187" s="27" t="n">
        <v>4167.503563</v>
      </c>
      <c r="H187" s="27" t="n">
        <v>3695.627172</v>
      </c>
    </row>
    <row r="188">
      <c r="C188" s="1" t="n">
        <v>1.1</v>
      </c>
      <c r="D188" s="27" t="n">
        <v>5652.62398</v>
      </c>
      <c r="E188" s="27" t="n">
        <v>5158.277286</v>
      </c>
      <c r="F188" s="27" t="n">
        <v>4663.930592</v>
      </c>
      <c r="G188" s="27" t="n">
        <v>4169.583897</v>
      </c>
      <c r="H188" s="27" t="n">
        <v>3675.237203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Y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  <c r="BP4" s="1" t="inlineStr">
        <is>
          <t>FY2086E</t>
        </is>
      </c>
      <c r="BQ4" s="1" t="inlineStr">
        <is>
          <t>FY2087E</t>
        </is>
      </c>
      <c r="BR4" s="1" t="inlineStr">
        <is>
          <t>FY2088E</t>
        </is>
      </c>
      <c r="BS4" s="1" t="inlineStr">
        <is>
          <t>FY2089E</t>
        </is>
      </c>
      <c r="BT4" s="1" t="inlineStr">
        <is>
          <t>FY2090E</t>
        </is>
      </c>
      <c r="BU4" s="1" t="inlineStr">
        <is>
          <t>FY2091E</t>
        </is>
      </c>
      <c r="BV4" s="1" t="inlineStr">
        <is>
          <t>FY2092E</t>
        </is>
      </c>
      <c r="BW4" s="1" t="inlineStr">
        <is>
          <t>FY2093E</t>
        </is>
      </c>
      <c r="BX4" s="1" t="inlineStr">
        <is>
          <t>FY2094E</t>
        </is>
      </c>
      <c r="BY4" s="1" t="inlineStr">
        <is>
          <t>FY2095E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70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44</v>
      </c>
      <c r="I14" s="13" t="n">
        <v>47</v>
      </c>
      <c r="J14" s="13" t="n">
        <v>49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  <c r="BP14" s="13" t="n">
        <v>50</v>
      </c>
      <c r="BQ14" s="13" t="n">
        <v>50</v>
      </c>
      <c r="BR14" s="13" t="n">
        <v>50</v>
      </c>
      <c r="BS14" s="13" t="n">
        <v>50</v>
      </c>
      <c r="BT14" s="13" t="n">
        <v>50</v>
      </c>
      <c r="BU14" s="13" t="n">
        <v>50</v>
      </c>
      <c r="BV14" s="13" t="n">
        <v>50</v>
      </c>
      <c r="BW14" s="13" t="n">
        <v>50</v>
      </c>
      <c r="BX14" s="13" t="n">
        <v>50</v>
      </c>
      <c r="BY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0.497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  <c r="BP15" s="14" t="n">
        <v>0.5175</v>
      </c>
      <c r="BQ15" s="14" t="n">
        <v>0.5175</v>
      </c>
      <c r="BR15" s="14" t="n">
        <v>0.5175</v>
      </c>
      <c r="BS15" s="14" t="n">
        <v>0.5175</v>
      </c>
      <c r="BT15" s="14" t="n">
        <v>0.5175</v>
      </c>
      <c r="BU15" s="14" t="n">
        <v>0.5175</v>
      </c>
      <c r="BV15" s="14" t="n">
        <v>0.5175</v>
      </c>
      <c r="BW15" s="14" t="n">
        <v>0.5175</v>
      </c>
      <c r="BX15" s="14" t="n">
        <v>0.5175</v>
      </c>
      <c r="BY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  <c r="BP16" s="4" t="n">
        <v>0.54</v>
      </c>
      <c r="BQ16" s="4" t="n">
        <v>0.54</v>
      </c>
      <c r="BR16" s="4" t="n">
        <v>0.54</v>
      </c>
      <c r="BS16" s="4" t="n">
        <v>0.54</v>
      </c>
      <c r="BT16" s="4" t="n">
        <v>0.54</v>
      </c>
      <c r="BU16" s="4" t="n">
        <v>0.54</v>
      </c>
      <c r="BV16" s="4" t="n">
        <v>0.54</v>
      </c>
      <c r="BW16" s="4" t="n">
        <v>0.54</v>
      </c>
      <c r="BX16" s="4" t="n">
        <v>0.54</v>
      </c>
      <c r="BY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  <c r="BP17" s="14" t="n">
        <v>6.06</v>
      </c>
      <c r="BQ17" s="14" t="n">
        <v>6.06</v>
      </c>
      <c r="BR17" s="14" t="n">
        <v>6.06</v>
      </c>
      <c r="BS17" s="14" t="n">
        <v>6.06</v>
      </c>
      <c r="BT17" s="14" t="n">
        <v>6.06</v>
      </c>
      <c r="BU17" s="14" t="n">
        <v>6.06</v>
      </c>
      <c r="BV17" s="14" t="n">
        <v>6.06</v>
      </c>
      <c r="BW17" s="14" t="n">
        <v>6.06</v>
      </c>
      <c r="BX17" s="14" t="n">
        <v>6.06</v>
      </c>
      <c r="BY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  <c r="BP18" s="3" t="n">
        <v>199299.6179961162</v>
      </c>
      <c r="BQ18" s="3" t="n">
        <v>204282.1084460191</v>
      </c>
      <c r="BR18" s="3" t="n">
        <v>209389.1611571696</v>
      </c>
      <c r="BS18" s="3" t="n">
        <v>214623.8901860988</v>
      </c>
      <c r="BT18" s="3" t="n">
        <v>219989.4874407512</v>
      </c>
      <c r="BU18" s="3" t="n">
        <v>225489.22462677</v>
      </c>
      <c r="BV18" s="3" t="n">
        <v>231126.4552424392</v>
      </c>
      <c r="BW18" s="3" t="n">
        <v>236904.6166235002</v>
      </c>
      <c r="BX18" s="3" t="n">
        <v>242827.2320390877</v>
      </c>
      <c r="BY18" s="3" t="n">
        <v>248897.9128400648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  <c r="BP20" s="3" t="n">
        <v>1397476.963411687</v>
      </c>
      <c r="BQ20" s="3" t="n">
        <v>1432413.887496979</v>
      </c>
      <c r="BR20" s="3" t="n">
        <v>1468224.234684404</v>
      </c>
      <c r="BS20" s="3" t="n">
        <v>1504929.840551513</v>
      </c>
      <c r="BT20" s="3" t="n">
        <v>1542553.086565301</v>
      </c>
      <c r="BU20" s="3" t="n">
        <v>1581116.913729434</v>
      </c>
      <c r="BV20" s="3" t="n">
        <v>1620644.836572669</v>
      </c>
      <c r="BW20" s="3" t="n">
        <v>1661160.957486986</v>
      </c>
      <c r="BX20" s="3" t="n">
        <v>1702689.98142416</v>
      </c>
      <c r="BY20" s="3" t="n">
        <v>1745257.230959764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  <c r="BP21" s="4" t="n">
        <v>0.1031</v>
      </c>
      <c r="BQ21" s="4" t="n">
        <v>0.1031</v>
      </c>
      <c r="BR21" s="4" t="n">
        <v>0.1031</v>
      </c>
      <c r="BS21" s="4" t="n">
        <v>0.1031</v>
      </c>
      <c r="BT21" s="4" t="n">
        <v>0.1031</v>
      </c>
      <c r="BU21" s="4" t="n">
        <v>0.1031</v>
      </c>
      <c r="BV21" s="4" t="n">
        <v>0.1031</v>
      </c>
      <c r="BW21" s="4" t="n">
        <v>0.1031</v>
      </c>
      <c r="BX21" s="4" t="n">
        <v>0.1031</v>
      </c>
      <c r="BY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  <c r="BP22" s="13" t="n">
        <v>2960.149394187995</v>
      </c>
      <c r="BQ22" s="13" t="n">
        <v>3034.153129042695</v>
      </c>
      <c r="BR22" s="13" t="n">
        <v>3110.006957268762</v>
      </c>
      <c r="BS22" s="13" t="n">
        <v>3187.75713120048</v>
      </c>
      <c r="BT22" s="13" t="n">
        <v>3267.451059480492</v>
      </c>
      <c r="BU22" s="13" t="n">
        <v>3349.137335967504</v>
      </c>
      <c r="BV22" s="13" t="n">
        <v>3432.865769366691</v>
      </c>
      <c r="BW22" s="13" t="n">
        <v>3518.687413600859</v>
      </c>
      <c r="BX22" s="13" t="n">
        <v>3606.65459894088</v>
      </c>
      <c r="BY22" s="13" t="n">
        <v>3696.820963914402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  <c r="BP24" s="3" t="n">
        <v>176714.9852847963</v>
      </c>
      <c r="BQ24" s="3" t="n">
        <v>181132.8599169162</v>
      </c>
      <c r="BR24" s="3" t="n">
        <v>185661.1814148391</v>
      </c>
      <c r="BS24" s="3" t="n">
        <v>190302.7109502101</v>
      </c>
      <c r="BT24" s="3" t="n">
        <v>195060.2787239653</v>
      </c>
      <c r="BU24" s="3" t="n">
        <v>199936.7856920644</v>
      </c>
      <c r="BV24" s="3" t="n">
        <v>204935.205334366</v>
      </c>
      <c r="BW24" s="3" t="n">
        <v>210058.5854677251</v>
      </c>
      <c r="BX24" s="3" t="n">
        <v>215310.0501044182</v>
      </c>
      <c r="BY24" s="3" t="n">
        <v>220692.8013570287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  <c r="BP25" s="3" t="n">
        <v>307555.1844992467</v>
      </c>
      <c r="BQ25" s="3" t="n">
        <v>315244.0641117278</v>
      </c>
      <c r="BR25" s="3" t="n">
        <v>323125.165714521</v>
      </c>
      <c r="BS25" s="3" t="n">
        <v>331203.2948573839</v>
      </c>
      <c r="BT25" s="3" t="n">
        <v>339483.3772288185</v>
      </c>
      <c r="BU25" s="3" t="n">
        <v>347970.4616595389</v>
      </c>
      <c r="BV25" s="3" t="n">
        <v>356669.7232010273</v>
      </c>
      <c r="BW25" s="3" t="n">
        <v>365586.466281053</v>
      </c>
      <c r="BX25" s="3" t="n">
        <v>374726.1279380793</v>
      </c>
      <c r="BY25" s="3" t="n">
        <v>384094.2811365313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  <c r="BP27" s="4" t="n">
        <v>-0.004775</v>
      </c>
      <c r="BQ27" s="4" t="n">
        <v>-0.004775</v>
      </c>
      <c r="BR27" s="4" t="n">
        <v>-0.004775</v>
      </c>
      <c r="BS27" s="4" t="n">
        <v>-0.004775</v>
      </c>
      <c r="BT27" s="4" t="n">
        <v>-0.004775</v>
      </c>
      <c r="BU27" s="4" t="n">
        <v>-0.004775</v>
      </c>
      <c r="BV27" s="4" t="n">
        <v>-0.004775</v>
      </c>
      <c r="BW27" s="4" t="n">
        <v>-0.004775</v>
      </c>
      <c r="BX27" s="4" t="n">
        <v>-0.004775</v>
      </c>
      <c r="BY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  <c r="BP28" s="4" t="n">
        <v>0.20765</v>
      </c>
      <c r="BQ28" s="4" t="n">
        <v>0.20765</v>
      </c>
      <c r="BR28" s="4" t="n">
        <v>0.20765</v>
      </c>
      <c r="BS28" s="4" t="n">
        <v>0.20765</v>
      </c>
      <c r="BT28" s="4" t="n">
        <v>0.20765</v>
      </c>
      <c r="BU28" s="4" t="n">
        <v>0.20765</v>
      </c>
      <c r="BV28" s="4" t="n">
        <v>0.20765</v>
      </c>
      <c r="BW28" s="4" t="n">
        <v>0.20765</v>
      </c>
      <c r="BX28" s="4" t="n">
        <v>0.20765</v>
      </c>
      <c r="BY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  <c r="BP31" s="13" t="n">
        <v>0</v>
      </c>
      <c r="BQ31" s="13" t="n">
        <v>0</v>
      </c>
      <c r="BR31" s="13" t="n">
        <v>0</v>
      </c>
      <c r="BS31" s="13" t="n">
        <v>0</v>
      </c>
      <c r="BT31" s="13" t="n">
        <v>0</v>
      </c>
      <c r="BU31" s="13" t="n">
        <v>0</v>
      </c>
      <c r="BV31" s="13" t="n">
        <v>0</v>
      </c>
      <c r="BW31" s="13" t="n">
        <v>0</v>
      </c>
      <c r="BX31" s="13" t="n">
        <v>0</v>
      </c>
      <c r="BY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</v>
      </c>
      <c r="BX32" s="13" t="n">
        <v>0</v>
      </c>
      <c r="BY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  <c r="BP33" s="4" t="n">
        <v>0.015502</v>
      </c>
      <c r="BQ33" s="4" t="n">
        <v>0.015502</v>
      </c>
      <c r="BR33" s="4" t="n">
        <v>0.015502</v>
      </c>
      <c r="BS33" s="4" t="n">
        <v>0.015502</v>
      </c>
      <c r="BT33" s="4" t="n">
        <v>0.015502</v>
      </c>
      <c r="BU33" s="4" t="n">
        <v>0.015502</v>
      </c>
      <c r="BV33" s="4" t="n">
        <v>0.015502</v>
      </c>
      <c r="BW33" s="4" t="n">
        <v>0.015502</v>
      </c>
      <c r="BX33" s="4" t="n">
        <v>0.015502</v>
      </c>
      <c r="BY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  <c r="BP34" s="4" t="n">
        <v>0.6</v>
      </c>
      <c r="BQ34" s="4" t="n">
        <v>0.6</v>
      </c>
      <c r="BR34" s="4" t="n">
        <v>0.6</v>
      </c>
      <c r="BS34" s="4" t="n">
        <v>0.6</v>
      </c>
      <c r="BT34" s="4" t="n">
        <v>0.6</v>
      </c>
      <c r="BU34" s="4" t="n">
        <v>0.6</v>
      </c>
      <c r="BV34" s="4" t="n">
        <v>0.6</v>
      </c>
      <c r="BW34" s="4" t="n">
        <v>0.6</v>
      </c>
      <c r="BX34" s="4" t="n">
        <v>0.6</v>
      </c>
      <c r="BY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  <c r="BP35" s="4" t="n">
        <v>0</v>
      </c>
      <c r="BQ35" s="4" t="n">
        <v>0</v>
      </c>
      <c r="BR35" s="4" t="n">
        <v>0</v>
      </c>
      <c r="BS35" s="4" t="n">
        <v>0</v>
      </c>
      <c r="BT35" s="4" t="n">
        <v>0</v>
      </c>
      <c r="BU35" s="4" t="n">
        <v>0</v>
      </c>
      <c r="BV35" s="4" t="n">
        <v>0</v>
      </c>
      <c r="BW35" s="4" t="n">
        <v>0</v>
      </c>
      <c r="BX35" s="4" t="n">
        <v>0</v>
      </c>
      <c r="BY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  <c r="BP37" s="4" t="n">
        <v>0.0644497</v>
      </c>
      <c r="BQ37" s="4" t="n">
        <v>0.0644497</v>
      </c>
      <c r="BR37" s="4" t="n">
        <v>0.0644497</v>
      </c>
      <c r="BS37" s="4" t="n">
        <v>0.0644497</v>
      </c>
      <c r="BT37" s="4" t="n">
        <v>0.0644497</v>
      </c>
      <c r="BU37" s="4" t="n">
        <v>0.0644497</v>
      </c>
      <c r="BV37" s="4" t="n">
        <v>0.0644497</v>
      </c>
      <c r="BW37" s="4" t="n">
        <v>0.0644497</v>
      </c>
      <c r="BX37" s="4" t="n">
        <v>0.0644497</v>
      </c>
      <c r="BY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  <c r="BP40" s="15">
        <f>MAX((BO40-BP41),0)</f>
        <v/>
      </c>
      <c r="BQ40" s="15">
        <f>MAX((BP40-BQ41),0)</f>
        <v/>
      </c>
      <c r="BR40" s="15">
        <f>MAX((BQ40-BR41),0)</f>
        <v/>
      </c>
      <c r="BS40" s="15">
        <f>MAX((BR40-BS41),0)</f>
        <v/>
      </c>
      <c r="BT40" s="15">
        <f>MAX((BS40-BT41),0)</f>
        <v/>
      </c>
      <c r="BU40" s="15">
        <f>MAX((BT40-BU41),0)</f>
        <v/>
      </c>
      <c r="BV40" s="15">
        <f>MAX((BU40-BV41),0)</f>
        <v/>
      </c>
      <c r="BW40" s="15">
        <f>MAX((BV40-BW41),0)</f>
        <v/>
      </c>
      <c r="BX40" s="15">
        <f>MAX((BW40-BX41),0)</f>
        <v/>
      </c>
      <c r="BY40" s="15">
        <f>MAX((BX40-BY41),0)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  <c r="BP41" s="15">
        <f>IF(($C$9&gt;0),MIN(BP14,MAX(BO40,0)),BP14)</f>
        <v/>
      </c>
      <c r="BQ41" s="15">
        <f>IF(($C$9&gt;0),MIN(BQ14,MAX(BP40,0)),BQ14)</f>
        <v/>
      </c>
      <c r="BR41" s="15">
        <f>IF(($C$9&gt;0),MIN(BR14,MAX(BQ40,0)),BR14)</f>
        <v/>
      </c>
      <c r="BS41" s="15">
        <f>IF(($C$9&gt;0),MIN(BS14,MAX(BR40,0)),BS14)</f>
        <v/>
      </c>
      <c r="BT41" s="15">
        <f>IF(($C$9&gt;0),MIN(BT14,MAX(BS40,0)),BT14)</f>
        <v/>
      </c>
      <c r="BU41" s="15">
        <f>IF(($C$9&gt;0),MIN(BU14,MAX(BT40,0)),BU14)</f>
        <v/>
      </c>
      <c r="BV41" s="15">
        <f>IF(($C$9&gt;0),MIN(BV14,MAX(BU40,0)),BV14)</f>
        <v/>
      </c>
      <c r="BW41" s="15">
        <f>IF(($C$9&gt;0),MIN(BW14,MAX(BV40,0)),BW14)</f>
        <v/>
      </c>
      <c r="BX41" s="15">
        <f>IF(($C$9&gt;0),MIN(BX14,MAX(BW40,0)),BX14)</f>
        <v/>
      </c>
      <c r="BY41" s="15">
        <f>IF(($C$9&gt;0),MIN(BY14,MAX(BX40,0)),BY14)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  <c r="BP42" s="16">
        <f>Drivers!$BT$6</f>
        <v/>
      </c>
      <c r="BQ42" s="16">
        <f>Drivers!$BU$6</f>
        <v/>
      </c>
      <c r="BR42" s="16">
        <f>Drivers!$BV$6</f>
        <v/>
      </c>
      <c r="BS42" s="16">
        <f>Drivers!$BW$6</f>
        <v/>
      </c>
      <c r="BT42" s="16">
        <f>Drivers!$BX$6</f>
        <v/>
      </c>
      <c r="BU42" s="16">
        <f>Drivers!$BY$6</f>
        <v/>
      </c>
      <c r="BV42" s="16">
        <f>Drivers!$BZ$6</f>
        <v/>
      </c>
      <c r="BW42" s="16">
        <f>Drivers!$CA$6</f>
        <v/>
      </c>
      <c r="BX42" s="16">
        <f>Drivers!$CB$6</f>
        <v/>
      </c>
      <c r="BY42" s="16">
        <f>Drivers!$CC$6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  <c r="BP43" s="16">
        <f>(((BP15*BP42)*(1-BP16))+(MIN(Drivers!$BT$4,(BP15*BP42))*BP16))</f>
        <v/>
      </c>
      <c r="BQ43" s="16">
        <f>(((BQ15*BQ42)*(1-BQ16))+(MIN(Drivers!$BU$4,(BQ15*BQ42))*BQ16))</f>
        <v/>
      </c>
      <c r="BR43" s="16">
        <f>(((BR15*BR42)*(1-BR16))+(MIN(Drivers!$BV$4,(BR15*BR42))*BR16))</f>
        <v/>
      </c>
      <c r="BS43" s="16">
        <f>(((BS15*BS42)*(1-BS16))+(MIN(Drivers!$BW$4,(BS15*BS42))*BS16))</f>
        <v/>
      </c>
      <c r="BT43" s="16">
        <f>(((BT15*BT42)*(1-BT16))+(MIN(Drivers!$BX$4,(BT15*BT42))*BT16))</f>
        <v/>
      </c>
      <c r="BU43" s="16">
        <f>(((BU15*BU42)*(1-BU16))+(MIN(Drivers!$BY$4,(BU15*BU42))*BU16))</f>
        <v/>
      </c>
      <c r="BV43" s="16">
        <f>(((BV15*BV42)*(1-BV16))+(MIN(Drivers!$BZ$4,(BV15*BV42))*BV16))</f>
        <v/>
      </c>
      <c r="BW43" s="16">
        <f>(((BW15*BW42)*(1-BW16))+(MIN(Drivers!$CA$4,(BW15*BW42))*BW16))</f>
        <v/>
      </c>
      <c r="BX43" s="16">
        <f>(((BX15*BX42)*(1-BX16))+(MIN(Drivers!$CB$4,(BX15*BX42))*BX16))</f>
        <v/>
      </c>
      <c r="BY43" s="16">
        <f>(((BY15*BY42)*(1-BY16))+(MIN(Drivers!$CC$4,(BY15*BY42))*BY16))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  <c r="BP44" s="17">
        <f>IF(BP42=0,0,BP43/BP42)</f>
        <v/>
      </c>
      <c r="BQ44" s="17">
        <f>IF(BQ42=0,0,BQ43/BQ42)</f>
        <v/>
      </c>
      <c r="BR44" s="17">
        <f>IF(BR42=0,0,BR43/BR42)</f>
        <v/>
      </c>
      <c r="BS44" s="17">
        <f>IF(BS42=0,0,BS43/BS42)</f>
        <v/>
      </c>
      <c r="BT44" s="17">
        <f>IF(BT42=0,0,BT43/BT42)</f>
        <v/>
      </c>
      <c r="BU44" s="17">
        <f>IF(BU42=0,0,BU43/BU42)</f>
        <v/>
      </c>
      <c r="BV44" s="17">
        <f>IF(BV42=0,0,BV43/BV42)</f>
        <v/>
      </c>
      <c r="BW44" s="17">
        <f>IF(BW42=0,0,BW43/BW42)</f>
        <v/>
      </c>
      <c r="BX44" s="17">
        <f>IF(BX42=0,0,BX43/BX42)</f>
        <v/>
      </c>
      <c r="BY44" s="17">
        <f>IF(BY42=0,0,BY43/BY42)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  <c r="BP45" s="16">
        <f>(((BP17*BP18)*(1+($C$19*(IF(Drivers!$J$8=0,0,Drivers!$BT$8/Drivers!$J$8)-1))))+BP20)</f>
        <v/>
      </c>
      <c r="BQ45" s="16">
        <f>(((BQ17*BQ18)*(1+($C$19*(IF(Drivers!$J$8=0,0,Drivers!$BU$8/Drivers!$J$8)-1))))+BQ20)</f>
        <v/>
      </c>
      <c r="BR45" s="16">
        <f>(((BR17*BR18)*(1+($C$19*(IF(Drivers!$J$8=0,0,Drivers!$BV$8/Drivers!$J$8)-1))))+BR20)</f>
        <v/>
      </c>
      <c r="BS45" s="16">
        <f>(((BS17*BS18)*(1+($C$19*(IF(Drivers!$J$8=0,0,Drivers!$BW$8/Drivers!$J$8)-1))))+BS20)</f>
        <v/>
      </c>
      <c r="BT45" s="16">
        <f>(((BT17*BT18)*(1+($C$19*(IF(Drivers!$J$8=0,0,Drivers!$BX$8/Drivers!$J$8)-1))))+BT20)</f>
        <v/>
      </c>
      <c r="BU45" s="16">
        <f>(((BU17*BU18)*(1+($C$19*(IF(Drivers!$J$8=0,0,Drivers!$BY$8/Drivers!$J$8)-1))))+BU20)</f>
        <v/>
      </c>
      <c r="BV45" s="16">
        <f>(((BV17*BV18)*(1+($C$19*(IF(Drivers!$J$8=0,0,Drivers!$BZ$8/Drivers!$J$8)-1))))+BV20)</f>
        <v/>
      </c>
      <c r="BW45" s="16">
        <f>(((BW17*BW18)*(1+($C$19*(IF(Drivers!$J$8=0,0,Drivers!$CA$8/Drivers!$J$8)-1))))+BW20)</f>
        <v/>
      </c>
      <c r="BX45" s="16">
        <f>(((BX17*BX18)*(1+($C$19*(IF(Drivers!$J$8=0,0,Drivers!$CB$8/Drivers!$J$8)-1))))+BX20)</f>
        <v/>
      </c>
      <c r="BY45" s="16">
        <f>(((BY17*BY18)*(1+($C$19*(IF(Drivers!$J$8=0,0,Drivers!$CC$8/Drivers!$J$8)-1))))+BY20)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  <c r="BP46" s="18">
        <f>BP17</f>
        <v/>
      </c>
      <c r="BQ46" s="18">
        <f>BQ17</f>
        <v/>
      </c>
      <c r="BR46" s="18">
        <f>BR17</f>
        <v/>
      </c>
      <c r="BS46" s="18">
        <f>BS17</f>
        <v/>
      </c>
      <c r="BT46" s="18">
        <f>BT17</f>
        <v/>
      </c>
      <c r="BU46" s="18">
        <f>BU17</f>
        <v/>
      </c>
      <c r="BV46" s="18">
        <f>BV17</f>
        <v/>
      </c>
      <c r="BW46" s="18">
        <f>BW17</f>
        <v/>
      </c>
      <c r="BX46" s="18">
        <f>BX17</f>
        <v/>
      </c>
      <c r="BY46" s="18">
        <f>BY17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  <c r="BP47" s="17">
        <f>BP21</f>
        <v/>
      </c>
      <c r="BQ47" s="17">
        <f>BQ21</f>
        <v/>
      </c>
      <c r="BR47" s="17">
        <f>BR21</f>
        <v/>
      </c>
      <c r="BS47" s="17">
        <f>BS21</f>
        <v/>
      </c>
      <c r="BT47" s="17">
        <f>BT21</f>
        <v/>
      </c>
      <c r="BU47" s="17">
        <f>BU21</f>
        <v/>
      </c>
      <c r="BV47" s="17">
        <f>BV21</f>
        <v/>
      </c>
      <c r="BW47" s="17">
        <f>BW21</f>
        <v/>
      </c>
      <c r="BX47" s="17">
        <f>BX21</f>
        <v/>
      </c>
      <c r="BY47" s="17">
        <f>BY21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  <c r="BP48" s="16">
        <f>IF(IF(1000=0,0,((BP41*$C$10)*Drivers!$BT$7)/1000)=0,0,BP61/IF(1000=0,0,((BP41*$C$10)*Drivers!$BT$7)/1000))</f>
        <v/>
      </c>
      <c r="BQ48" s="16">
        <f>IF(IF(1000=0,0,((BQ41*$C$10)*Drivers!$BU$7)/1000)=0,0,BQ61/IF(1000=0,0,((BQ41*$C$10)*Drivers!$BU$7)/1000))</f>
        <v/>
      </c>
      <c r="BR48" s="16">
        <f>IF(IF(1000=0,0,((BR41*$C$10)*Drivers!$BV$7)/1000)=0,0,BR61/IF(1000=0,0,((BR41*$C$10)*Drivers!$BV$7)/1000))</f>
        <v/>
      </c>
      <c r="BS48" s="16">
        <f>IF(IF(1000=0,0,((BS41*$C$10)*Drivers!$BW$7)/1000)=0,0,BS61/IF(1000=0,0,((BS41*$C$10)*Drivers!$BW$7)/1000))</f>
        <v/>
      </c>
      <c r="BT48" s="16">
        <f>IF(IF(1000=0,0,((BT41*$C$10)*Drivers!$BX$7)/1000)=0,0,BT61/IF(1000=0,0,((BT41*$C$10)*Drivers!$BX$7)/1000))</f>
        <v/>
      </c>
      <c r="BU48" s="16">
        <f>IF(IF(1000=0,0,((BU41*$C$10)*Drivers!$BY$7)/1000)=0,0,BU61/IF(1000=0,0,((BU41*$C$10)*Drivers!$BY$7)/1000))</f>
        <v/>
      </c>
      <c r="BV48" s="16">
        <f>IF(IF(1000=0,0,((BV41*$C$10)*Drivers!$BZ$7)/1000)=0,0,BV61/IF(1000=0,0,((BV41*$C$10)*Drivers!$BZ$7)/1000))</f>
        <v/>
      </c>
      <c r="BW48" s="16">
        <f>IF(IF(1000=0,0,((BW41*$C$10)*Drivers!$CA$7)/1000)=0,0,BW61/IF(1000=0,0,((BW41*$C$10)*Drivers!$CA$7)/1000))</f>
        <v/>
      </c>
      <c r="BX48" s="16">
        <f>IF(IF(1000=0,0,((BX41*$C$10)*Drivers!$CB$7)/1000)=0,0,BX61/IF(1000=0,0,((BX41*$C$10)*Drivers!$CB$7)/1000))</f>
        <v/>
      </c>
      <c r="BY48" s="16">
        <f>IF(IF(1000=0,0,((BY41*$C$10)*Drivers!$CC$7)/1000)=0,0,BY61/IF(1000=0,0,((BY41*$C$10)*Drivers!$CC$7)/1000))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  <c r="BP49" s="16">
        <f>IF(IF(1000=0,0,((BP41*$C$10)*Drivers!$BT$7)/1000)=0,0,(BP53+BP52)/IF(1000=0,0,((BP41*$C$10)*Drivers!$BT$7)/1000))</f>
        <v/>
      </c>
      <c r="BQ49" s="16">
        <f>IF(IF(1000=0,0,((BQ41*$C$10)*Drivers!$BU$7)/1000)=0,0,(BQ53+BQ52)/IF(1000=0,0,((BQ41*$C$10)*Drivers!$BU$7)/1000))</f>
        <v/>
      </c>
      <c r="BR49" s="16">
        <f>IF(IF(1000=0,0,((BR41*$C$10)*Drivers!$BV$7)/1000)=0,0,(BR53+BR52)/IF(1000=0,0,((BR41*$C$10)*Drivers!$BV$7)/1000))</f>
        <v/>
      </c>
      <c r="BS49" s="16">
        <f>IF(IF(1000=0,0,((BS41*$C$10)*Drivers!$BW$7)/1000)=0,0,(BS53+BS52)/IF(1000=0,0,((BS41*$C$10)*Drivers!$BW$7)/1000))</f>
        <v/>
      </c>
      <c r="BT49" s="16">
        <f>IF(IF(1000=0,0,((BT41*$C$10)*Drivers!$BX$7)/1000)=0,0,(BT53+BT52)/IF(1000=0,0,((BT41*$C$10)*Drivers!$BX$7)/1000))</f>
        <v/>
      </c>
      <c r="BU49" s="16">
        <f>IF(IF(1000=0,0,((BU41*$C$10)*Drivers!$BY$7)/1000)=0,0,(BU53+BU52)/IF(1000=0,0,((BU41*$C$10)*Drivers!$BY$7)/1000))</f>
        <v/>
      </c>
      <c r="BV49" s="16">
        <f>IF(IF(1000=0,0,((BV41*$C$10)*Drivers!$BZ$7)/1000)=0,0,(BV53+BV52)/IF(1000=0,0,((BV41*$C$10)*Drivers!$BZ$7)/1000))</f>
        <v/>
      </c>
      <c r="BW49" s="16">
        <f>IF(IF(1000=0,0,((BW41*$C$10)*Drivers!$CA$7)/1000)=0,0,(BW53+BW52)/IF(1000=0,0,((BW41*$C$10)*Drivers!$CA$7)/1000))</f>
        <v/>
      </c>
      <c r="BX49" s="16">
        <f>IF(IF(1000=0,0,((BX41*$C$10)*Drivers!$CB$7)/1000)=0,0,(BX53+BX52)/IF(1000=0,0,((BX41*$C$10)*Drivers!$CB$7)/1000))</f>
        <v/>
      </c>
      <c r="BY49" s="16">
        <f>IF(IF(1000=0,0,((BY41*$C$10)*Drivers!$CC$7)/1000)=0,0,(BY53+BY52)/IF(1000=0,0,((BY41*$C$10)*Drivers!$CC$7)/1000))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  <c r="BP50" s="31">
        <f>IF(1000=0,0,(((BP41*BP43)*$C$10)*Drivers!$BT$7)/1000)</f>
        <v/>
      </c>
      <c r="BQ50" s="31">
        <f>IF(1000=0,0,(((BQ41*BQ43)*$C$10)*Drivers!$BU$7)/1000)</f>
        <v/>
      </c>
      <c r="BR50" s="31">
        <f>IF(1000=0,0,(((BR41*BR43)*$C$10)*Drivers!$BV$7)/1000)</f>
        <v/>
      </c>
      <c r="BS50" s="31">
        <f>IF(1000=0,0,(((BS41*BS43)*$C$10)*Drivers!$BW$7)/1000)</f>
        <v/>
      </c>
      <c r="BT50" s="31">
        <f>IF(1000=0,0,(((BT41*BT43)*$C$10)*Drivers!$BX$7)/1000)</f>
        <v/>
      </c>
      <c r="BU50" s="31">
        <f>IF(1000=0,0,(((BU41*BU43)*$C$10)*Drivers!$BY$7)/1000)</f>
        <v/>
      </c>
      <c r="BV50" s="31">
        <f>IF(1000=0,0,(((BV41*BV43)*$C$10)*Drivers!$BZ$7)/1000)</f>
        <v/>
      </c>
      <c r="BW50" s="31">
        <f>IF(1000=0,0,(((BW41*BW43)*$C$10)*Drivers!$CA$7)/1000)</f>
        <v/>
      </c>
      <c r="BX50" s="31">
        <f>IF(1000=0,0,(((BX41*BX43)*$C$10)*Drivers!$CB$7)/1000)</f>
        <v/>
      </c>
      <c r="BY50" s="31">
        <f>IF(1000=0,0,(((BY41*BY43)*$C$10)*Drivers!$CC$7)/1000)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  <c r="BP51" s="15">
        <f>BP22</f>
        <v/>
      </c>
      <c r="BQ51" s="15">
        <f>BQ22</f>
        <v/>
      </c>
      <c r="BR51" s="15">
        <f>BR22</f>
        <v/>
      </c>
      <c r="BS51" s="15">
        <f>BS22</f>
        <v/>
      </c>
      <c r="BT51" s="15">
        <f>BT22</f>
        <v/>
      </c>
      <c r="BU51" s="15">
        <f>BU22</f>
        <v/>
      </c>
      <c r="BV51" s="15">
        <f>BV22</f>
        <v/>
      </c>
      <c r="BW51" s="15">
        <f>BW22</f>
        <v/>
      </c>
      <c r="BX51" s="15">
        <f>BX22</f>
        <v/>
      </c>
      <c r="BY51" s="15">
        <f>BY22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  <c r="BP52" s="15">
        <f>(BP50*BP47)</f>
        <v/>
      </c>
      <c r="BQ52" s="15">
        <f>(BQ50*BQ47)</f>
        <v/>
      </c>
      <c r="BR52" s="15">
        <f>(BR50*BR47)</f>
        <v/>
      </c>
      <c r="BS52" s="15">
        <f>(BS50*BS47)</f>
        <v/>
      </c>
      <c r="BT52" s="15">
        <f>(BT50*BT47)</f>
        <v/>
      </c>
      <c r="BU52" s="15">
        <f>(BU50*BU47)</f>
        <v/>
      </c>
      <c r="BV52" s="15">
        <f>(BV50*BV47)</f>
        <v/>
      </c>
      <c r="BW52" s="15">
        <f>(BW50*BW47)</f>
        <v/>
      </c>
      <c r="BX52" s="15">
        <f>(BX50*BX47)</f>
        <v/>
      </c>
      <c r="BY52" s="15">
        <f>(BY50*BY47)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  <c r="BP53" s="15">
        <f>IF(1000=0,0,((BP41*BP45)*$C$10)/1000)</f>
        <v/>
      </c>
      <c r="BQ53" s="15">
        <f>IF(1000=0,0,((BQ41*BQ45)*$C$10)/1000)</f>
        <v/>
      </c>
      <c r="BR53" s="15">
        <f>IF(1000=0,0,((BR41*BR45)*$C$10)/1000)</f>
        <v/>
      </c>
      <c r="BS53" s="15">
        <f>IF(1000=0,0,((BS41*BS45)*$C$10)/1000)</f>
        <v/>
      </c>
      <c r="BT53" s="15">
        <f>IF(1000=0,0,((BT41*BT45)*$C$10)/1000)</f>
        <v/>
      </c>
      <c r="BU53" s="15">
        <f>IF(1000=0,0,((BU41*BU45)*$C$10)/1000)</f>
        <v/>
      </c>
      <c r="BV53" s="15">
        <f>IF(1000=0,0,((BV41*BV45)*$C$10)/1000)</f>
        <v/>
      </c>
      <c r="BW53" s="15">
        <f>IF(1000=0,0,((BW41*BW45)*$C$10)/1000)</f>
        <v/>
      </c>
      <c r="BX53" s="15">
        <f>IF(1000=0,0,((BX41*BX45)*$C$10)/1000)</f>
        <v/>
      </c>
      <c r="BY53" s="15">
        <f>IF(1000=0,0,((BY41*BY45)*$C$10)/1000)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  <c r="BP54" s="15">
        <f>(BP51*(1-$C$23))</f>
        <v/>
      </c>
      <c r="BQ54" s="15">
        <f>(BQ51*(1-$C$23))</f>
        <v/>
      </c>
      <c r="BR54" s="15">
        <f>(BR51*(1-$C$23))</f>
        <v/>
      </c>
      <c r="BS54" s="15">
        <f>(BS51*(1-$C$23))</f>
        <v/>
      </c>
      <c r="BT54" s="15">
        <f>(BT51*(1-$C$23))</f>
        <v/>
      </c>
      <c r="BU54" s="15">
        <f>(BU51*(1-$C$23))</f>
        <v/>
      </c>
      <c r="BV54" s="15">
        <f>(BV51*(1-$C$23))</f>
        <v/>
      </c>
      <c r="BW54" s="15">
        <f>(BW51*(1-$C$23))</f>
        <v/>
      </c>
      <c r="BX54" s="15">
        <f>(BX51*(1-$C$23))</f>
        <v/>
      </c>
      <c r="BY54" s="15">
        <f>(BY51*(1-$C$23))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  <c r="BP55" s="15">
        <f>(BP50+BP51)</f>
        <v/>
      </c>
      <c r="BQ55" s="15">
        <f>(BQ50+BQ51)</f>
        <v/>
      </c>
      <c r="BR55" s="15">
        <f>(BR50+BR51)</f>
        <v/>
      </c>
      <c r="BS55" s="15">
        <f>(BS50+BS51)</f>
        <v/>
      </c>
      <c r="BT55" s="15">
        <f>(BT50+BT51)</f>
        <v/>
      </c>
      <c r="BU55" s="15">
        <f>(BU50+BU51)</f>
        <v/>
      </c>
      <c r="BV55" s="15">
        <f>(BV50+BV51)</f>
        <v/>
      </c>
      <c r="BW55" s="15">
        <f>(BW50+BW51)</f>
        <v/>
      </c>
      <c r="BX55" s="15">
        <f>(BX50+BX51)</f>
        <v/>
      </c>
      <c r="BY55" s="15">
        <f>(BY50+BY51)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  <c r="BP56" s="15">
        <f>(((BP53+BP52)+BP54)+BP60)</f>
        <v/>
      </c>
      <c r="BQ56" s="15">
        <f>(((BQ53+BQ52)+BQ54)+BQ60)</f>
        <v/>
      </c>
      <c r="BR56" s="15">
        <f>(((BR53+BR52)+BR54)+BR60)</f>
        <v/>
      </c>
      <c r="BS56" s="15">
        <f>(((BS53+BS52)+BS54)+BS60)</f>
        <v/>
      </c>
      <c r="BT56" s="15">
        <f>(((BT53+BT52)+BT54)+BT60)</f>
        <v/>
      </c>
      <c r="BU56" s="15">
        <f>(((BU53+BU52)+BU54)+BU60)</f>
        <v/>
      </c>
      <c r="BV56" s="15">
        <f>(((BV53+BV52)+BV54)+BV60)</f>
        <v/>
      </c>
      <c r="BW56" s="15">
        <f>(((BW53+BW52)+BW54)+BW60)</f>
        <v/>
      </c>
      <c r="BX56" s="15">
        <f>(((BX53+BX52)+BX54)+BX60)</f>
        <v/>
      </c>
      <c r="BY56" s="15">
        <f>(((BY53+BY52)+BY54)+BY60)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  <c r="BP57" s="15">
        <f>(BP55-BP56)</f>
        <v/>
      </c>
      <c r="BQ57" s="15">
        <f>(BQ55-BQ56)</f>
        <v/>
      </c>
      <c r="BR57" s="15">
        <f>(BR55-BR56)</f>
        <v/>
      </c>
      <c r="BS57" s="15">
        <f>(BS55-BS56)</f>
        <v/>
      </c>
      <c r="BT57" s="15">
        <f>(BT55-BT56)</f>
        <v/>
      </c>
      <c r="BU57" s="15">
        <f>(BU55-BU56)</f>
        <v/>
      </c>
      <c r="BV57" s="15">
        <f>(BV55-BV56)</f>
        <v/>
      </c>
      <c r="BW57" s="15">
        <f>(BW55-BW56)</f>
        <v/>
      </c>
      <c r="BX57" s="15">
        <f>(BX55-BX56)</f>
        <v/>
      </c>
      <c r="BY57" s="15">
        <f>(BY55-BY56)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  <c r="BP58" s="15">
        <f>(BP55*BP37)</f>
        <v/>
      </c>
      <c r="BQ58" s="15">
        <f>(BQ55*BQ37)</f>
        <v/>
      </c>
      <c r="BR58" s="15">
        <f>(BR55*BR37)</f>
        <v/>
      </c>
      <c r="BS58" s="15">
        <f>(BS55*BS37)</f>
        <v/>
      </c>
      <c r="BT58" s="15">
        <f>(BT55*BT37)</f>
        <v/>
      </c>
      <c r="BU58" s="15">
        <f>(BU55*BU37)</f>
        <v/>
      </c>
      <c r="BV58" s="15">
        <f>(BV55*BV37)</f>
        <v/>
      </c>
      <c r="BW58" s="15">
        <f>(BW55*BW37)</f>
        <v/>
      </c>
      <c r="BX58" s="15">
        <f>(BX55*BX37)</f>
        <v/>
      </c>
      <c r="BY58" s="15">
        <f>(BY55*BY37)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  <c r="BP59" s="15">
        <f>(BP57-BP58)</f>
        <v/>
      </c>
      <c r="BQ59" s="15">
        <f>(BQ57-BQ58)</f>
        <v/>
      </c>
      <c r="BR59" s="15">
        <f>(BR57-BR58)</f>
        <v/>
      </c>
      <c r="BS59" s="15">
        <f>(BS57-BS58)</f>
        <v/>
      </c>
      <c r="BT59" s="15">
        <f>(BT57-BT58)</f>
        <v/>
      </c>
      <c r="BU59" s="15">
        <f>(BU57-BU58)</f>
        <v/>
      </c>
      <c r="BV59" s="15">
        <f>(BV57-BV58)</f>
        <v/>
      </c>
      <c r="BW59" s="15">
        <f>(BW57-BW58)</f>
        <v/>
      </c>
      <c r="BX59" s="15">
        <f>(BX57-BX58)</f>
        <v/>
      </c>
      <c r="BY59" s="15">
        <f>(BY57-BY58)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  <c r="BP60" s="15">
        <f>IF(1000=0,0,((BP41*BP24)*$C$10)/1000)</f>
        <v/>
      </c>
      <c r="BQ60" s="15">
        <f>IF(1000=0,0,((BQ41*BQ24)*$C$10)/1000)</f>
        <v/>
      </c>
      <c r="BR60" s="15">
        <f>IF(1000=0,0,((BR41*BR24)*$C$10)/1000)</f>
        <v/>
      </c>
      <c r="BS60" s="15">
        <f>IF(1000=0,0,((BS41*BS24)*$C$10)/1000)</f>
        <v/>
      </c>
      <c r="BT60" s="15">
        <f>IF(1000=0,0,((BT41*BT24)*$C$10)/1000)</f>
        <v/>
      </c>
      <c r="BU60" s="15">
        <f>IF(1000=0,0,((BU41*BU24)*$C$10)/1000)</f>
        <v/>
      </c>
      <c r="BV60" s="15">
        <f>IF(1000=0,0,((BV41*BV24)*$C$10)/1000)</f>
        <v/>
      </c>
      <c r="BW60" s="15">
        <f>IF(1000=0,0,((BW41*BW24)*$C$10)/1000)</f>
        <v/>
      </c>
      <c r="BX60" s="15">
        <f>IF(1000=0,0,((BX41*BX24)*$C$10)/1000)</f>
        <v/>
      </c>
      <c r="BY60" s="15">
        <f>IF(1000=0,0,((BY41*BY24)*$C$10)/1000)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  <c r="BP61" s="15">
        <f>(BP59+BP60)</f>
        <v/>
      </c>
      <c r="BQ61" s="15">
        <f>(BQ59+BQ60)</f>
        <v/>
      </c>
      <c r="BR61" s="15">
        <f>(BR59+BR60)</f>
        <v/>
      </c>
      <c r="BS61" s="15">
        <f>(BS59+BS60)</f>
        <v/>
      </c>
      <c r="BT61" s="15">
        <f>(BT59+BT60)</f>
        <v/>
      </c>
      <c r="BU61" s="15">
        <f>(BU59+BU60)</f>
        <v/>
      </c>
      <c r="BV61" s="15">
        <f>(BV59+BV60)</f>
        <v/>
      </c>
      <c r="BW61" s="15">
        <f>(BW59+BW60)</f>
        <v/>
      </c>
      <c r="BX61" s="15">
        <f>(BX59+BX60)</f>
        <v/>
      </c>
      <c r="BY61" s="15">
        <f>(BY59+BY60)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  <c r="BP62" s="15">
        <f>(BO82*$C$29)</f>
        <v/>
      </c>
      <c r="BQ62" s="15">
        <f>(BP82*$C$29)</f>
        <v/>
      </c>
      <c r="BR62" s="15">
        <f>(BQ82*$C$29)</f>
        <v/>
      </c>
      <c r="BS62" s="15">
        <f>(BR82*$C$29)</f>
        <v/>
      </c>
      <c r="BT62" s="15">
        <f>(BS82*$C$29)</f>
        <v/>
      </c>
      <c r="BU62" s="15">
        <f>(BT82*$C$29)</f>
        <v/>
      </c>
      <c r="BV62" s="15">
        <f>(BU82*$C$29)</f>
        <v/>
      </c>
      <c r="BW62" s="15">
        <f>(BV82*$C$29)</f>
        <v/>
      </c>
      <c r="BX62" s="15">
        <f>(BW82*$C$29)</f>
        <v/>
      </c>
      <c r="BY62" s="15">
        <f>(BX82*$C$29)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  <c r="BP63" s="15">
        <f>(BO81*$C$30)</f>
        <v/>
      </c>
      <c r="BQ63" s="15">
        <f>(BP81*$C$30)</f>
        <v/>
      </c>
      <c r="BR63" s="15">
        <f>(BQ81*$C$30)</f>
        <v/>
      </c>
      <c r="BS63" s="15">
        <f>(BR81*$C$30)</f>
        <v/>
      </c>
      <c r="BT63" s="15">
        <f>(BS81*$C$30)</f>
        <v/>
      </c>
      <c r="BU63" s="15">
        <f>(BT81*$C$30)</f>
        <v/>
      </c>
      <c r="BV63" s="15">
        <f>(BU81*$C$30)</f>
        <v/>
      </c>
      <c r="BW63" s="15">
        <f>(BV81*$C$30)</f>
        <v/>
      </c>
      <c r="BX63" s="15">
        <f>(BW81*$C$30)</f>
        <v/>
      </c>
      <c r="BY63" s="15">
        <f>(BX81*$C$30)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  <c r="BP64" s="15">
        <f>BP32</f>
        <v/>
      </c>
      <c r="BQ64" s="15">
        <f>BQ32</f>
        <v/>
      </c>
      <c r="BR64" s="15">
        <f>BR32</f>
        <v/>
      </c>
      <c r="BS64" s="15">
        <f>BS32</f>
        <v/>
      </c>
      <c r="BT64" s="15">
        <f>BT32</f>
        <v/>
      </c>
      <c r="BU64" s="15">
        <f>BU32</f>
        <v/>
      </c>
      <c r="BV64" s="15">
        <f>BV32</f>
        <v/>
      </c>
      <c r="BW64" s="15">
        <f>BW32</f>
        <v/>
      </c>
      <c r="BX64" s="15">
        <f>BX32</f>
        <v/>
      </c>
      <c r="BY64" s="15">
        <f>BY32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  <c r="BP65" s="15">
        <f>(((BP59-BP62)+BP63)+BP64)</f>
        <v/>
      </c>
      <c r="BQ65" s="15">
        <f>(((BQ59-BQ62)+BQ63)+BQ64)</f>
        <v/>
      </c>
      <c r="BR65" s="15">
        <f>(((BR59-BR62)+BR63)+BR64)</f>
        <v/>
      </c>
      <c r="BS65" s="15">
        <f>(((BS59-BS62)+BS63)+BS64)</f>
        <v/>
      </c>
      <c r="BT65" s="15">
        <f>(((BT59-BT62)+BT63)+BT64)</f>
        <v/>
      </c>
      <c r="BU65" s="15">
        <f>(((BU59-BU62)+BU63)+BU64)</f>
        <v/>
      </c>
      <c r="BV65" s="15">
        <f>(((BV59-BV62)+BV63)+BV64)</f>
        <v/>
      </c>
      <c r="BW65" s="15">
        <f>(((BW59-BW62)+BW63)+BW64)</f>
        <v/>
      </c>
      <c r="BX65" s="15">
        <f>(((BX59-BX62)+BX63)+BX64)</f>
        <v/>
      </c>
      <c r="BY65" s="15">
        <f>(((BY59-BY62)+BY63)+BY64)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  <c r="BP66" s="15">
        <f>(MAX(BP65,0)*BP28)</f>
        <v/>
      </c>
      <c r="BQ66" s="15">
        <f>(MAX(BQ65,0)*BQ28)</f>
        <v/>
      </c>
      <c r="BR66" s="15">
        <f>(MAX(BR65,0)*BR28)</f>
        <v/>
      </c>
      <c r="BS66" s="15">
        <f>(MAX(BS65,0)*BS28)</f>
        <v/>
      </c>
      <c r="BT66" s="15">
        <f>(MAX(BT65,0)*BT28)</f>
        <v/>
      </c>
      <c r="BU66" s="15">
        <f>(MAX(BU65,0)*BU28)</f>
        <v/>
      </c>
      <c r="BV66" s="15">
        <f>(MAX(BV65,0)*BV28)</f>
        <v/>
      </c>
      <c r="BW66" s="15">
        <f>(MAX(BW65,0)*BW28)</f>
        <v/>
      </c>
      <c r="BX66" s="15">
        <f>(MAX(BX65,0)*BX28)</f>
        <v/>
      </c>
      <c r="BY66" s="15">
        <f>(MAX(BY65,0)*BY28)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  <c r="BP67" s="15">
        <f>(BP65-BP66)</f>
        <v/>
      </c>
      <c r="BQ67" s="15">
        <f>(BQ65-BQ66)</f>
        <v/>
      </c>
      <c r="BR67" s="15">
        <f>(BR65-BR66)</f>
        <v/>
      </c>
      <c r="BS67" s="15">
        <f>(BS65-BS66)</f>
        <v/>
      </c>
      <c r="BT67" s="15">
        <f>(BT65-BT66)</f>
        <v/>
      </c>
      <c r="BU67" s="15">
        <f>(BU65-BU66)</f>
        <v/>
      </c>
      <c r="BV67" s="15">
        <f>(BV65-BV66)</f>
        <v/>
      </c>
      <c r="BW67" s="15">
        <f>(BW65-BW66)</f>
        <v/>
      </c>
      <c r="BX67" s="15">
        <f>(BX65-BX66)</f>
        <v/>
      </c>
      <c r="BY67" s="15">
        <f>(BY65-BY66)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  <c r="BP68" s="15">
        <f>(BP67*BP33)</f>
        <v/>
      </c>
      <c r="BQ68" s="15">
        <f>(BQ67*BQ33)</f>
        <v/>
      </c>
      <c r="BR68" s="15">
        <f>(BR67*BR33)</f>
        <v/>
      </c>
      <c r="BS68" s="15">
        <f>(BS67*BS33)</f>
        <v/>
      </c>
      <c r="BT68" s="15">
        <f>(BT67*BT33)</f>
        <v/>
      </c>
      <c r="BU68" s="15">
        <f>(BU67*BU33)</f>
        <v/>
      </c>
      <c r="BV68" s="15">
        <f>(BV67*BV33)</f>
        <v/>
      </c>
      <c r="BW68" s="15">
        <f>(BW67*BW33)</f>
        <v/>
      </c>
      <c r="BX68" s="15">
        <f>(BX67*BX33)</f>
        <v/>
      </c>
      <c r="BY68" s="15">
        <f>(BY67*BY33)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  <c r="BP69" s="15">
        <f>(BP67-BP68)</f>
        <v/>
      </c>
      <c r="BQ69" s="15">
        <f>(BQ67-BQ68)</f>
        <v/>
      </c>
      <c r="BR69" s="15">
        <f>(BR67-BR68)</f>
        <v/>
      </c>
      <c r="BS69" s="15">
        <f>(BS67-BS68)</f>
        <v/>
      </c>
      <c r="BT69" s="15">
        <f>(BT67-BT68)</f>
        <v/>
      </c>
      <c r="BU69" s="15">
        <f>(BU67-BU68)</f>
        <v/>
      </c>
      <c r="BV69" s="15">
        <f>(BV67-BV68)</f>
        <v/>
      </c>
      <c r="BW69" s="15">
        <f>(BW67-BW68)</f>
        <v/>
      </c>
      <c r="BX69" s="15">
        <f>(BX67-BX68)</f>
        <v/>
      </c>
      <c r="BY69" s="15">
        <f>(BY67-BY68)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  <c r="BP70" s="15">
        <f>(BO70*(1+BP35))</f>
        <v/>
      </c>
      <c r="BQ70" s="15">
        <f>(BP70*(1+BQ35))</f>
        <v/>
      </c>
      <c r="BR70" s="15">
        <f>(BQ70*(1+BR35))</f>
        <v/>
      </c>
      <c r="BS70" s="15">
        <f>(BR70*(1+BS35))</f>
        <v/>
      </c>
      <c r="BT70" s="15">
        <f>(BS70*(1+BT35))</f>
        <v/>
      </c>
      <c r="BU70" s="15">
        <f>(BT70*(1+BU35))</f>
        <v/>
      </c>
      <c r="BV70" s="15">
        <f>(BU70*(1+BV35))</f>
        <v/>
      </c>
      <c r="BW70" s="15">
        <f>(BV70*(1+BW35))</f>
        <v/>
      </c>
      <c r="BX70" s="15">
        <f>(BW70*(1+BX35))</f>
        <v/>
      </c>
      <c r="BY70" s="15">
        <f>(BX70*(1+BY35))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  <c r="BP71" s="21">
        <f>(IF(BP70=0,0,BP69/BP70)*$C$8)</f>
        <v/>
      </c>
      <c r="BQ71" s="21">
        <f>(IF(BQ70=0,0,BQ69/BQ70)*$C$8)</f>
        <v/>
      </c>
      <c r="BR71" s="21">
        <f>(IF(BR70=0,0,BR69/BR70)*$C$8)</f>
        <v/>
      </c>
      <c r="BS71" s="21">
        <f>(IF(BS70=0,0,BS69/BS70)*$C$8)</f>
        <v/>
      </c>
      <c r="BT71" s="21">
        <f>(IF(BT70=0,0,BT69/BT70)*$C$8)</f>
        <v/>
      </c>
      <c r="BU71" s="21">
        <f>(IF(BU70=0,0,BU69/BU70)*$C$8)</f>
        <v/>
      </c>
      <c r="BV71" s="21">
        <f>(IF(BV70=0,0,BV69/BV70)*$C$8)</f>
        <v/>
      </c>
      <c r="BW71" s="21">
        <f>(IF(BW70=0,0,BW69/BW70)*$C$8)</f>
        <v/>
      </c>
      <c r="BX71" s="21">
        <f>(IF(BX70=0,0,BX69/BX70)*$C$8)</f>
        <v/>
      </c>
      <c r="BY71" s="21">
        <f>(IF(BY70=0,0,BY69/BY70)*$C$8)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  <c r="BP72" s="21">
        <f>(MAX(BP71,0)*BP34)</f>
        <v/>
      </c>
      <c r="BQ72" s="21">
        <f>(MAX(BQ71,0)*BQ34)</f>
        <v/>
      </c>
      <c r="BR72" s="21">
        <f>(MAX(BR71,0)*BR34)</f>
        <v/>
      </c>
      <c r="BS72" s="21">
        <f>(MAX(BS71,0)*BS34)</f>
        <v/>
      </c>
      <c r="BT72" s="21">
        <f>(MAX(BT71,0)*BT34)</f>
        <v/>
      </c>
      <c r="BU72" s="21">
        <f>(MAX(BU71,0)*BU34)</f>
        <v/>
      </c>
      <c r="BV72" s="21">
        <f>(MAX(BV71,0)*BV34)</f>
        <v/>
      </c>
      <c r="BW72" s="21">
        <f>(MAX(BW71,0)*BW34)</f>
        <v/>
      </c>
      <c r="BX72" s="21">
        <f>(MAX(BX71,0)*BX34)</f>
        <v/>
      </c>
      <c r="BY72" s="21">
        <f>(MAX(BY71,0)*BY34)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  <c r="BP73" s="15">
        <f>IF($C$8=0,0,(BO72*BO70)/$C$8)</f>
        <v/>
      </c>
      <c r="BQ73" s="15">
        <f>IF($C$8=0,0,(BP72*BP70)/$C$8)</f>
        <v/>
      </c>
      <c r="BR73" s="15">
        <f>IF($C$8=0,0,(BQ72*BQ70)/$C$8)</f>
        <v/>
      </c>
      <c r="BS73" s="15">
        <f>IF($C$8=0,0,(BR72*BR70)/$C$8)</f>
        <v/>
      </c>
      <c r="BT73" s="15">
        <f>IF($C$8=0,0,(BS72*BS70)/$C$8)</f>
        <v/>
      </c>
      <c r="BU73" s="15">
        <f>IF($C$8=0,0,(BT72*BT70)/$C$8)</f>
        <v/>
      </c>
      <c r="BV73" s="15">
        <f>IF($C$8=0,0,(BU72*BU70)/$C$8)</f>
        <v/>
      </c>
      <c r="BW73" s="15">
        <f>IF($C$8=0,0,(BV72*BV70)/$C$8)</f>
        <v/>
      </c>
      <c r="BX73" s="15">
        <f>IF($C$8=0,0,(BW72*BW70)/$C$8)</f>
        <v/>
      </c>
      <c r="BY73" s="15">
        <f>IF($C$8=0,0,(BX72*BX70)/$C$8)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  <c r="BP74" s="15">
        <f>(IF(1000=0,0,((BP41*BP25)*$C$10)/1000)+BP26)</f>
        <v/>
      </c>
      <c r="BQ74" s="15">
        <f>(IF(1000=0,0,((BQ41*BQ25)*$C$10)/1000)+BQ26)</f>
        <v/>
      </c>
      <c r="BR74" s="15">
        <f>(IF(1000=0,0,((BR41*BR25)*$C$10)/1000)+BR26)</f>
        <v/>
      </c>
      <c r="BS74" s="15">
        <f>(IF(1000=0,0,((BS41*BS25)*$C$10)/1000)+BS26)</f>
        <v/>
      </c>
      <c r="BT74" s="15">
        <f>(IF(1000=0,0,((BT41*BT25)*$C$10)/1000)+BT26)</f>
        <v/>
      </c>
      <c r="BU74" s="15">
        <f>(IF(1000=0,0,((BU41*BU25)*$C$10)/1000)+BU26)</f>
        <v/>
      </c>
      <c r="BV74" s="15">
        <f>(IF(1000=0,0,((BV41*BV25)*$C$10)/1000)+BV26)</f>
        <v/>
      </c>
      <c r="BW74" s="15">
        <f>(IF(1000=0,0,((BW41*BW25)*$C$10)/1000)+BW26)</f>
        <v/>
      </c>
      <c r="BX74" s="15">
        <f>(IF(1000=0,0,((BX41*BX25)*$C$10)/1000)+BX26)</f>
        <v/>
      </c>
      <c r="BY74" s="15">
        <f>(IF(1000=0,0,((BY41*BY25)*$C$10)/1000)+BY26)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  <c r="BP75" s="15">
        <f>(BP80-BO80)</f>
        <v/>
      </c>
      <c r="BQ75" s="15">
        <f>(BQ80-BP80)</f>
        <v/>
      </c>
      <c r="BR75" s="15">
        <f>(BR80-BQ80)</f>
        <v/>
      </c>
      <c r="BS75" s="15">
        <f>(BS80-BR80)</f>
        <v/>
      </c>
      <c r="BT75" s="15">
        <f>(BT80-BS80)</f>
        <v/>
      </c>
      <c r="BU75" s="15">
        <f>(BU80-BT80)</f>
        <v/>
      </c>
      <c r="BV75" s="15">
        <f>(BV80-BU80)</f>
        <v/>
      </c>
      <c r="BW75" s="15">
        <f>(BW80-BV80)</f>
        <v/>
      </c>
      <c r="BX75" s="15">
        <f>(BX80-BW80)</f>
        <v/>
      </c>
      <c r="BY75" s="15">
        <f>(BY80-BX80)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  <c r="BP76" s="15">
        <f>((((BP59*(1-BP28))+BP60)-BP74)-BP75)</f>
        <v/>
      </c>
      <c r="BQ76" s="15">
        <f>((((BQ59*(1-BQ28))+BQ60)-BQ74)-BQ75)</f>
        <v/>
      </c>
      <c r="BR76" s="15">
        <f>((((BR59*(1-BR28))+BR60)-BR74)-BR75)</f>
        <v/>
      </c>
      <c r="BS76" s="15">
        <f>((((BS59*(1-BS28))+BS60)-BS74)-BS75)</f>
        <v/>
      </c>
      <c r="BT76" s="15">
        <f>((((BT59*(1-BT28))+BT60)-BT74)-BT75)</f>
        <v/>
      </c>
      <c r="BU76" s="15">
        <f>((((BU59*(1-BU28))+BU60)-BU74)-BU75)</f>
        <v/>
      </c>
      <c r="BV76" s="15">
        <f>((((BV59*(1-BV28))+BV60)-BV74)-BV75)</f>
        <v/>
      </c>
      <c r="BW76" s="15">
        <f>((((BW59*(1-BW28))+BW60)-BW74)-BW75)</f>
        <v/>
      </c>
      <c r="BX76" s="15">
        <f>((((BX59*(1-BX28))+BX60)-BX74)-BX75)</f>
        <v/>
      </c>
      <c r="BY76" s="15">
        <f>((((BY59*(1-BY28))+BY60)-BY74)-BY75)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  <c r="BP77" s="15">
        <f>BP31</f>
        <v/>
      </c>
      <c r="BQ77" s="15">
        <f>BQ31</f>
        <v/>
      </c>
      <c r="BR77" s="15">
        <f>BR31</f>
        <v/>
      </c>
      <c r="BS77" s="15">
        <f>BS31</f>
        <v/>
      </c>
      <c r="BT77" s="15">
        <f>BT31</f>
        <v/>
      </c>
      <c r="BU77" s="15">
        <f>BU31</f>
        <v/>
      </c>
      <c r="BV77" s="15">
        <f>BV31</f>
        <v/>
      </c>
      <c r="BW77" s="15">
        <f>BW31</f>
        <v/>
      </c>
      <c r="BX77" s="15">
        <f>BX31</f>
        <v/>
      </c>
      <c r="BY77" s="15">
        <f>BY31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  <c r="BP78" s="15">
        <f>(MAX(BO68,0)*BP34)</f>
        <v/>
      </c>
      <c r="BQ78" s="15">
        <f>(MAX(BP68,0)*BQ34)</f>
        <v/>
      </c>
      <c r="BR78" s="15">
        <f>(MAX(BQ68,0)*BR34)</f>
        <v/>
      </c>
      <c r="BS78" s="15">
        <f>(MAX(BR68,0)*BS34)</f>
        <v/>
      </c>
      <c r="BT78" s="15">
        <f>(MAX(BS68,0)*BT34)</f>
        <v/>
      </c>
      <c r="BU78" s="15">
        <f>(MAX(BT68,0)*BU34)</f>
        <v/>
      </c>
      <c r="BV78" s="15">
        <f>(MAX(BU68,0)*BV34)</f>
        <v/>
      </c>
      <c r="BW78" s="15">
        <f>(MAX(BV68,0)*BW34)</f>
        <v/>
      </c>
      <c r="BX78" s="15">
        <f>(MAX(BW68,0)*BX34)</f>
        <v/>
      </c>
      <c r="BY78" s="15">
        <f>(MAX(BX68,0)*BY34)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  <c r="BP79" s="15">
        <f>(((((BP67+BP60)-BP74)-BP75)+BP77)-BP78)</f>
        <v/>
      </c>
      <c r="BQ79" s="15">
        <f>(((((BQ67+BQ60)-BQ74)-BQ75)+BQ77)-BQ78)</f>
        <v/>
      </c>
      <c r="BR79" s="15">
        <f>(((((BR67+BR60)-BR74)-BR75)+BR77)-BR78)</f>
        <v/>
      </c>
      <c r="BS79" s="15">
        <f>(((((BS67+BS60)-BS74)-BS75)+BS77)-BS78)</f>
        <v/>
      </c>
      <c r="BT79" s="15">
        <f>(((((BT67+BT60)-BT74)-BT75)+BT77)-BT78)</f>
        <v/>
      </c>
      <c r="BU79" s="15">
        <f>(((((BU67+BU60)-BU74)-BU75)+BU77)-BU78)</f>
        <v/>
      </c>
      <c r="BV79" s="15">
        <f>(((((BV67+BV60)-BV74)-BV75)+BV77)-BV78)</f>
        <v/>
      </c>
      <c r="BW79" s="15">
        <f>(((((BW67+BW60)-BW74)-BW75)+BW77)-BW78)</f>
        <v/>
      </c>
      <c r="BX79" s="15">
        <f>(((((BX67+BX60)-BX74)-BX75)+BX77)-BX78)</f>
        <v/>
      </c>
      <c r="BY79" s="15">
        <f>(((((BY67+BY60)-BY74)-BY75)+BY77)-BY78)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  <c r="BP80" s="15">
        <f>(BP55*BP27)</f>
        <v/>
      </c>
      <c r="BQ80" s="15">
        <f>(BQ55*BQ27)</f>
        <v/>
      </c>
      <c r="BR80" s="15">
        <f>(BR55*BR27)</f>
        <v/>
      </c>
      <c r="BS80" s="15">
        <f>(BS55*BS27)</f>
        <v/>
      </c>
      <c r="BT80" s="15">
        <f>(BT55*BT27)</f>
        <v/>
      </c>
      <c r="BU80" s="15">
        <f>(BU55*BU27)</f>
        <v/>
      </c>
      <c r="BV80" s="15">
        <f>(BV55*BV27)</f>
        <v/>
      </c>
      <c r="BW80" s="15">
        <f>(BW55*BW27)</f>
        <v/>
      </c>
      <c r="BX80" s="15">
        <f>(BX55*BX27)</f>
        <v/>
      </c>
      <c r="BY80" s="15">
        <f>(BY55*BY27)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  <c r="BP81" s="15">
        <f>(((((((BO81+BP67)+BP60)-BP74)-BP75)+BP77)-BP73)-BP78)</f>
        <v/>
      </c>
      <c r="BQ81" s="15">
        <f>(((((((BP81+BQ67)+BQ60)-BQ74)-BQ75)+BQ77)-BQ73)-BQ78)</f>
        <v/>
      </c>
      <c r="BR81" s="15">
        <f>(((((((BQ81+BR67)+BR60)-BR74)-BR75)+BR77)-BR73)-BR78)</f>
        <v/>
      </c>
      <c r="BS81" s="15">
        <f>(((((((BR81+BS67)+BS60)-BS74)-BS75)+BS77)-BS73)-BS78)</f>
        <v/>
      </c>
      <c r="BT81" s="15">
        <f>(((((((BS81+BT67)+BT60)-BT74)-BT75)+BT77)-BT73)-BT78)</f>
        <v/>
      </c>
      <c r="BU81" s="15">
        <f>(((((((BT81+BU67)+BU60)-BU74)-BU75)+BU77)-BU73)-BU78)</f>
        <v/>
      </c>
      <c r="BV81" s="15">
        <f>(((((((BU81+BV67)+BV60)-BV74)-BV75)+BV77)-BV73)-BV78)</f>
        <v/>
      </c>
      <c r="BW81" s="15">
        <f>(((((((BV81+BW67)+BW60)-BW74)-BW75)+BW77)-BW73)-BW78)</f>
        <v/>
      </c>
      <c r="BX81" s="15">
        <f>(((((((BW81+BX67)+BX60)-BX74)-BX75)+BX77)-BX73)-BX78)</f>
        <v/>
      </c>
      <c r="BY81" s="15">
        <f>(((((((BX81+BY67)+BY60)-BY74)-BY75)+BY77)-BY73)-BY78)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  <c r="BP82" s="15">
        <f>(BO82+BP77)</f>
        <v/>
      </c>
      <c r="BQ82" s="15">
        <f>(BP82+BQ77)</f>
        <v/>
      </c>
      <c r="BR82" s="15">
        <f>(BQ82+BR77)</f>
        <v/>
      </c>
      <c r="BS82" s="15">
        <f>(BR82+BS77)</f>
        <v/>
      </c>
      <c r="BT82" s="15">
        <f>(BS82+BT77)</f>
        <v/>
      </c>
      <c r="BU82" s="15">
        <f>(BT82+BU77)</f>
        <v/>
      </c>
      <c r="BV82" s="15">
        <f>(BU82+BV77)</f>
        <v/>
      </c>
      <c r="BW82" s="15">
        <f>(BV82+BW77)</f>
        <v/>
      </c>
      <c r="BX82" s="15">
        <f>(BW82+BX77)</f>
        <v/>
      </c>
      <c r="BY82" s="15">
        <f>(BX82+BY77)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  <c r="BP83" s="15">
        <f>((BO83+BP74)-BP60)</f>
        <v/>
      </c>
      <c r="BQ83" s="15">
        <f>((BP83+BQ74)-BQ60)</f>
        <v/>
      </c>
      <c r="BR83" s="15">
        <f>((BQ83+BR74)-BR60)</f>
        <v/>
      </c>
      <c r="BS83" s="15">
        <f>((BR83+BS74)-BS60)</f>
        <v/>
      </c>
      <c r="BT83" s="15">
        <f>((BS83+BT74)-BT60)</f>
        <v/>
      </c>
      <c r="BU83" s="15">
        <f>((BT83+BU74)-BU60)</f>
        <v/>
      </c>
      <c r="BV83" s="15">
        <f>((BU83+BV74)-BV60)</f>
        <v/>
      </c>
      <c r="BW83" s="15">
        <f>((BV83+BW74)-BW60)</f>
        <v/>
      </c>
      <c r="BX83" s="15">
        <f>((BW83+BX74)-BX60)</f>
        <v/>
      </c>
      <c r="BY83" s="15">
        <f>((BX83+BY74)-BY60)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  <c r="BP84" s="15">
        <f>((BO84+BP69)-BP73)</f>
        <v/>
      </c>
      <c r="BQ84" s="15">
        <f>((BP84+BQ69)-BQ73)</f>
        <v/>
      </c>
      <c r="BR84" s="15">
        <f>((BQ84+BR69)-BR73)</f>
        <v/>
      </c>
      <c r="BS84" s="15">
        <f>((BR84+BS69)-BS73)</f>
        <v/>
      </c>
      <c r="BT84" s="15">
        <f>((BS84+BT69)-BT73)</f>
        <v/>
      </c>
      <c r="BU84" s="15">
        <f>((BT84+BU69)-BU73)</f>
        <v/>
      </c>
      <c r="BV84" s="15">
        <f>((BU84+BV69)-BV73)</f>
        <v/>
      </c>
      <c r="BW84" s="15">
        <f>((BV84+BW69)-BW73)</f>
        <v/>
      </c>
      <c r="BX84" s="15">
        <f>((BW84+BX69)-BX73)</f>
        <v/>
      </c>
      <c r="BY84" s="15">
        <f>((BX84+BY69)-BY73)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  <c r="BP85" s="15">
        <f>((BO85+BP68)-BP78)</f>
        <v/>
      </c>
      <c r="BQ85" s="15">
        <f>((BP85+BQ68)-BQ78)</f>
        <v/>
      </c>
      <c r="BR85" s="15">
        <f>((BQ85+BR68)-BR78)</f>
        <v/>
      </c>
      <c r="BS85" s="15">
        <f>((BR85+BS68)-BS78)</f>
        <v/>
      </c>
      <c r="BT85" s="15">
        <f>((BS85+BT68)-BT78)</f>
        <v/>
      </c>
      <c r="BU85" s="15">
        <f>((BT85+BU68)-BU78)</f>
        <v/>
      </c>
      <c r="BV85" s="15">
        <f>((BU85+BV68)-BV78)</f>
        <v/>
      </c>
      <c r="BW85" s="15">
        <f>((BV85+BW68)-BW78)</f>
        <v/>
      </c>
      <c r="BX85" s="15">
        <f>((BW85+BX68)-BX78)</f>
        <v/>
      </c>
      <c r="BY85" s="15">
        <f>((BX85+BY68)-BY78)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  <c r="BP86" s="15">
        <f>BO86</f>
        <v/>
      </c>
      <c r="BQ86" s="15">
        <f>BP86</f>
        <v/>
      </c>
      <c r="BR86" s="15">
        <f>BQ86</f>
        <v/>
      </c>
      <c r="BS86" s="15">
        <f>BR86</f>
        <v/>
      </c>
      <c r="BT86" s="15">
        <f>BS86</f>
        <v/>
      </c>
      <c r="BU86" s="15">
        <f>BT86</f>
        <v/>
      </c>
      <c r="BV86" s="15">
        <f>BU86</f>
        <v/>
      </c>
      <c r="BW86" s="15">
        <f>BV86</f>
        <v/>
      </c>
      <c r="BX86" s="15">
        <f>BW86</f>
        <v/>
      </c>
      <c r="BY86" s="15">
        <f>BX86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  <c r="BP87" s="15">
        <f>((((((BP81+BP80)+BP83)+BP86)-BP82)-BP84)-BP85)</f>
        <v/>
      </c>
      <c r="BQ87" s="15">
        <f>((((((BQ81+BQ80)+BQ83)+BQ86)-BQ82)-BQ84)-BQ85)</f>
        <v/>
      </c>
      <c r="BR87" s="15">
        <f>((((((BR81+BR80)+BR83)+BR86)-BR82)-BR84)-BR85)</f>
        <v/>
      </c>
      <c r="BS87" s="15">
        <f>((((((BS81+BS80)+BS83)+BS86)-BS82)-BS84)-BS85)</f>
        <v/>
      </c>
      <c r="BT87" s="15">
        <f>((((((BT81+BT80)+BT83)+BT86)-BT82)-BT84)-BT85)</f>
        <v/>
      </c>
      <c r="BU87" s="15">
        <f>((((((BU81+BU80)+BU83)+BU86)-BU82)-BU84)-BU85)</f>
        <v/>
      </c>
      <c r="BV87" s="15">
        <f>((((((BV81+BV80)+BV83)+BV86)-BV82)-BV84)-BV85)</f>
        <v/>
      </c>
      <c r="BW87" s="15">
        <f>((((((BW81+BW80)+BW83)+BW86)-BW82)-BW84)-BW85)</f>
        <v/>
      </c>
      <c r="BX87" s="15">
        <f>((((((BX81+BX80)+BX83)+BX86)-BX82)-BX84)-BX85)</f>
        <v/>
      </c>
      <c r="BY87" s="15">
        <f>((((((BY81+BY80)+BY83)+BY86)-BY82)-BY84)-BY85)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  <c r="BP88" s="15">
        <f>(BP82-BP81)</f>
        <v/>
      </c>
      <c r="BQ88" s="15">
        <f>(BQ82-BQ81)</f>
        <v/>
      </c>
      <c r="BR88" s="15">
        <f>(BR82-BR81)</f>
        <v/>
      </c>
      <c r="BS88" s="15">
        <f>(BS82-BS81)</f>
        <v/>
      </c>
      <c r="BT88" s="15">
        <f>(BT82-BT81)</f>
        <v/>
      </c>
      <c r="BU88" s="15">
        <f>(BU82-BU81)</f>
        <v/>
      </c>
      <c r="BV88" s="15">
        <f>(BV82-BV81)</f>
        <v/>
      </c>
      <c r="BW88" s="15">
        <f>(BW82-BW81)</f>
        <v/>
      </c>
      <c r="BX88" s="15">
        <f>(BX82-BX81)</f>
        <v/>
      </c>
      <c r="BY88" s="15">
        <f>(BY82-BY81)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  <c r="BP89" s="21">
        <f>(IF(BP70=0,0,BP84/BP70)*$C$8)</f>
        <v/>
      </c>
      <c r="BQ89" s="21">
        <f>(IF(BQ70=0,0,BQ84/BQ70)*$C$8)</f>
        <v/>
      </c>
      <c r="BR89" s="21">
        <f>(IF(BR70=0,0,BR84/BR70)*$C$8)</f>
        <v/>
      </c>
      <c r="BS89" s="21">
        <f>(IF(BS70=0,0,BS84/BS70)*$C$8)</f>
        <v/>
      </c>
      <c r="BT89" s="21">
        <f>(IF(BT70=0,0,BT84/BT70)*$C$8)</f>
        <v/>
      </c>
      <c r="BU89" s="21">
        <f>(IF(BU70=0,0,BU84/BU70)*$C$8)</f>
        <v/>
      </c>
      <c r="BV89" s="21">
        <f>(IF(BV70=0,0,BV84/BV70)*$C$8)</f>
        <v/>
      </c>
      <c r="BW89" s="21">
        <f>(IF(BW70=0,0,BW84/BW70)*$C$8)</f>
        <v/>
      </c>
      <c r="BX89" s="21">
        <f>(IF(BX70=0,0,BX84/BX70)*$C$8)</f>
        <v/>
      </c>
      <c r="BY89" s="21">
        <f>(IF(BY70=0,0,BY84/BY70)*$C$8)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  <c r="BP90" s="17">
        <f>(IF(BO55=0,0,BP55/BO55)-1)</f>
        <v/>
      </c>
      <c r="BQ90" s="17">
        <f>(IF(BP55=0,0,BQ55/BP55)-1)</f>
        <v/>
      </c>
      <c r="BR90" s="17">
        <f>(IF(BQ55=0,0,BR55/BQ55)-1)</f>
        <v/>
      </c>
      <c r="BS90" s="17">
        <f>(IF(BR55=0,0,BS55/BR55)-1)</f>
        <v/>
      </c>
      <c r="BT90" s="17">
        <f>(IF(BS55=0,0,BT55/BS55)-1)</f>
        <v/>
      </c>
      <c r="BU90" s="17">
        <f>(IF(BT55=0,0,BU55/BT55)-1)</f>
        <v/>
      </c>
      <c r="BV90" s="17">
        <f>(IF(BU55=0,0,BV55/BU55)-1)</f>
        <v/>
      </c>
      <c r="BW90" s="17">
        <f>(IF(BV55=0,0,BW55/BV55)-1)</f>
        <v/>
      </c>
      <c r="BX90" s="17">
        <f>(IF(BW55=0,0,BX55/BW55)-1)</f>
        <v/>
      </c>
      <c r="BY90" s="17">
        <f>(IF(BX55=0,0,BY55/BX55)-1)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  <c r="BP91" s="17">
        <f>IF(BP55=0,0,BP57/BP55)</f>
        <v/>
      </c>
      <c r="BQ91" s="17">
        <f>IF(BQ55=0,0,BQ57/BQ55)</f>
        <v/>
      </c>
      <c r="BR91" s="17">
        <f>IF(BR55=0,0,BR57/BR55)</f>
        <v/>
      </c>
      <c r="BS91" s="17">
        <f>IF(BS55=0,0,BS57/BS55)</f>
        <v/>
      </c>
      <c r="BT91" s="17">
        <f>IF(BT55=0,0,BT57/BT55)</f>
        <v/>
      </c>
      <c r="BU91" s="17">
        <f>IF(BU55=0,0,BU57/BU55)</f>
        <v/>
      </c>
      <c r="BV91" s="17">
        <f>IF(BV55=0,0,BV57/BV55)</f>
        <v/>
      </c>
      <c r="BW91" s="17">
        <f>IF(BW55=0,0,BW57/BW55)</f>
        <v/>
      </c>
      <c r="BX91" s="17">
        <f>IF(BX55=0,0,BX57/BX55)</f>
        <v/>
      </c>
      <c r="BY91" s="17">
        <f>IF(BY55=0,0,BY57/BY55)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  <c r="BP92" s="17">
        <f>IF(BP55=0,0,BP61/BP55)</f>
        <v/>
      </c>
      <c r="BQ92" s="17">
        <f>IF(BQ55=0,0,BQ61/BQ55)</f>
        <v/>
      </c>
      <c r="BR92" s="17">
        <f>IF(BR55=0,0,BR61/BR55)</f>
        <v/>
      </c>
      <c r="BS92" s="17">
        <f>IF(BS55=0,0,BS61/BS55)</f>
        <v/>
      </c>
      <c r="BT92" s="17">
        <f>IF(BT55=0,0,BT61/BT55)</f>
        <v/>
      </c>
      <c r="BU92" s="17">
        <f>IF(BU55=0,0,BU61/BU55)</f>
        <v/>
      </c>
      <c r="BV92" s="17">
        <f>IF(BV55=0,0,BV61/BV55)</f>
        <v/>
      </c>
      <c r="BW92" s="17">
        <f>IF(BW55=0,0,BW61/BW55)</f>
        <v/>
      </c>
      <c r="BX92" s="17">
        <f>IF(BX55=0,0,BX61/BX55)</f>
        <v/>
      </c>
      <c r="BY92" s="17">
        <f>IF(BY55=0,0,BY61/BY55)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  <c r="BP93" s="17">
        <f>IF(BP55=0,0,BP59/BP55)</f>
        <v/>
      </c>
      <c r="BQ93" s="17">
        <f>IF(BQ55=0,0,BQ59/BQ55)</f>
        <v/>
      </c>
      <c r="BR93" s="17">
        <f>IF(BR55=0,0,BR59/BR55)</f>
        <v/>
      </c>
      <c r="BS93" s="17">
        <f>IF(BS55=0,0,BS59/BS55)</f>
        <v/>
      </c>
      <c r="BT93" s="17">
        <f>IF(BT55=0,0,BT59/BT55)</f>
        <v/>
      </c>
      <c r="BU93" s="17">
        <f>IF(BU55=0,0,BU59/BU55)</f>
        <v/>
      </c>
      <c r="BV93" s="17">
        <f>IF(BV55=0,0,BV59/BV55)</f>
        <v/>
      </c>
      <c r="BW93" s="17">
        <f>IF(BW55=0,0,BW59/BW55)</f>
        <v/>
      </c>
      <c r="BX93" s="17">
        <f>IF(BX55=0,0,BX59/BX55)</f>
        <v/>
      </c>
      <c r="BY93" s="17">
        <f>IF(BY55=0,0,BY59/BY55)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  <c r="BP94" s="17">
        <f>IF(BP55=0,0,BP69/BP55)</f>
        <v/>
      </c>
      <c r="BQ94" s="17">
        <f>IF(BQ55=0,0,BQ69/BQ55)</f>
        <v/>
      </c>
      <c r="BR94" s="17">
        <f>IF(BR55=0,0,BR69/BR55)</f>
        <v/>
      </c>
      <c r="BS94" s="17">
        <f>IF(BS55=0,0,BS69/BS55)</f>
        <v/>
      </c>
      <c r="BT94" s="17">
        <f>IF(BT55=0,0,BT69/BT55)</f>
        <v/>
      </c>
      <c r="BU94" s="17">
        <f>IF(BU55=0,0,BU69/BU55)</f>
        <v/>
      </c>
      <c r="BV94" s="17">
        <f>IF(BV55=0,0,BV69/BV55)</f>
        <v/>
      </c>
      <c r="BW94" s="17">
        <f>IF(BW55=0,0,BW69/BW55)</f>
        <v/>
      </c>
      <c r="BX94" s="17">
        <f>IF(BX55=0,0,BX69/BX55)</f>
        <v/>
      </c>
      <c r="BY94" s="17">
        <f>IF(BY55=0,0,BY69/BY55)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  <c r="BP95" s="17">
        <f>(IF(BO71=0,0,BP71/BO71)-1)</f>
        <v/>
      </c>
      <c r="BQ95" s="17">
        <f>(IF(BP71=0,0,BQ71/BP71)-1)</f>
        <v/>
      </c>
      <c r="BR95" s="17">
        <f>(IF(BQ71=0,0,BR71/BQ71)-1)</f>
        <v/>
      </c>
      <c r="BS95" s="17">
        <f>(IF(BR71=0,0,BS71/BR71)-1)</f>
        <v/>
      </c>
      <c r="BT95" s="17">
        <f>(IF(BS71=0,0,BT71/BS71)-1)</f>
        <v/>
      </c>
      <c r="BU95" s="17">
        <f>(IF(BT71=0,0,BU71/BT71)-1)</f>
        <v/>
      </c>
      <c r="BV95" s="17">
        <f>(IF(BU71=0,0,BV71/BU71)-1)</f>
        <v/>
      </c>
      <c r="BW95" s="17">
        <f>(IF(BV71=0,0,BW71/BV71)-1)</f>
        <v/>
      </c>
      <c r="BX95" s="17">
        <f>(IF(BW71=0,0,BX71/BW71)-1)</f>
        <v/>
      </c>
      <c r="BY95" s="17">
        <f>(IF(BX71=0,0,BY71/BX71)-1)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  <c r="BP96" s="17">
        <f>IF(IF(2=0,0,(BP84+BO84)/2)=0,0,BP69/IF(2=0,0,(BP84+BO84)/2))</f>
        <v/>
      </c>
      <c r="BQ96" s="17">
        <f>IF(IF(2=0,0,(BQ84+BP84)/2)=0,0,BQ69/IF(2=0,0,(BQ84+BP84)/2))</f>
        <v/>
      </c>
      <c r="BR96" s="17">
        <f>IF(IF(2=0,0,(BR84+BQ84)/2)=0,0,BR69/IF(2=0,0,(BR84+BQ84)/2))</f>
        <v/>
      </c>
      <c r="BS96" s="17">
        <f>IF(IF(2=0,0,(BS84+BR84)/2)=0,0,BS69/IF(2=0,0,(BS84+BR84)/2))</f>
        <v/>
      </c>
      <c r="BT96" s="17">
        <f>IF(IF(2=0,0,(BT84+BS84)/2)=0,0,BT69/IF(2=0,0,(BT84+BS84)/2))</f>
        <v/>
      </c>
      <c r="BU96" s="17">
        <f>IF(IF(2=0,0,(BU84+BT84)/2)=0,0,BU69/IF(2=0,0,(BU84+BT84)/2))</f>
        <v/>
      </c>
      <c r="BV96" s="17">
        <f>IF(IF(2=0,0,(BV84+BU84)/2)=0,0,BV69/IF(2=0,0,(BV84+BU84)/2))</f>
        <v/>
      </c>
      <c r="BW96" s="17">
        <f>IF(IF(2=0,0,(BW84+BV84)/2)=0,0,BW69/IF(2=0,0,(BW84+BV84)/2))</f>
        <v/>
      </c>
      <c r="BX96" s="17">
        <f>IF(IF(2=0,0,(BX84+BW84)/2)=0,0,BX69/IF(2=0,0,(BX84+BW84)/2))</f>
        <v/>
      </c>
      <c r="BY96" s="17">
        <f>IF(IF(2=0,0,(BY84+BX84)/2)=0,0,BY69/IF(2=0,0,(BY84+BX84)/2))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  <c r="BP97" s="23">
        <f>IF(BP61=0,0,BP88/BP61)</f>
        <v/>
      </c>
      <c r="BQ97" s="23">
        <f>IF(BQ61=0,0,BQ88/BQ61)</f>
        <v/>
      </c>
      <c r="BR97" s="23">
        <f>IF(BR61=0,0,BR88/BR61)</f>
        <v/>
      </c>
      <c r="BS97" s="23">
        <f>IF(BS61=0,0,BS88/BS61)</f>
        <v/>
      </c>
      <c r="BT97" s="23">
        <f>IF(BT61=0,0,BT88/BT61)</f>
        <v/>
      </c>
      <c r="BU97" s="23">
        <f>IF(BU61=0,0,BU88/BU61)</f>
        <v/>
      </c>
      <c r="BV97" s="23">
        <f>IF(BV61=0,0,BV88/BV61)</f>
        <v/>
      </c>
      <c r="BW97" s="23">
        <f>IF(BW61=0,0,BW88/BW61)</f>
        <v/>
      </c>
      <c r="BX97" s="23">
        <f>IF(BX61=0,0,BX88/BX61)</f>
        <v/>
      </c>
      <c r="BY97" s="23">
        <f>IF(BY61=0,0,BY88/BY61)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  <c r="BP98" s="17">
        <f>IF(BP71=0,0,BP72/BP71)</f>
        <v/>
      </c>
      <c r="BQ98" s="17">
        <f>IF(BQ71=0,0,BQ72/BQ71)</f>
        <v/>
      </c>
      <c r="BR98" s="17">
        <f>IF(BR71=0,0,BR72/BR71)</f>
        <v/>
      </c>
      <c r="BS98" s="17">
        <f>IF(BS71=0,0,BS72/BS71)</f>
        <v/>
      </c>
      <c r="BT98" s="17">
        <f>IF(BT71=0,0,BT72/BT71)</f>
        <v/>
      </c>
      <c r="BU98" s="17">
        <f>IF(BU71=0,0,BU72/BU71)</f>
        <v/>
      </c>
      <c r="BV98" s="17">
        <f>IF(BV71=0,0,BV72/BV71)</f>
        <v/>
      </c>
      <c r="BW98" s="17">
        <f>IF(BW71=0,0,BW72/BW71)</f>
        <v/>
      </c>
      <c r="BX98" s="17">
        <f>IF(BX71=0,0,BX72/BX71)</f>
        <v/>
      </c>
      <c r="BY98" s="17">
        <f>IF(BY71=0,0,BY72/BY71)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  <c r="BP99" s="17">
        <f>IF(BP55=0,0,BP74/BP55)</f>
        <v/>
      </c>
      <c r="BQ99" s="17">
        <f>IF(BQ55=0,0,BQ74/BQ55)</f>
        <v/>
      </c>
      <c r="BR99" s="17">
        <f>IF(BR55=0,0,BR74/BR55)</f>
        <v/>
      </c>
      <c r="BS99" s="17">
        <f>IF(BS55=0,0,BS74/BS55)</f>
        <v/>
      </c>
      <c r="BT99" s="17">
        <f>IF(BT55=0,0,BT74/BT55)</f>
        <v/>
      </c>
      <c r="BU99" s="17">
        <f>IF(BU55=0,0,BU74/BU55)</f>
        <v/>
      </c>
      <c r="BV99" s="17">
        <f>IF(BV55=0,0,BV74/BV55)</f>
        <v/>
      </c>
      <c r="BW99" s="17">
        <f>IF(BW55=0,0,BW74/BW55)</f>
        <v/>
      </c>
      <c r="BX99" s="17">
        <f>IF(BX55=0,0,BX74/BX55)</f>
        <v/>
      </c>
      <c r="BY99" s="17">
        <f>IF(BY55=0,0,BY74/BY55)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  <c r="BP126" s="6" t="n">
        <v>0.996578</v>
      </c>
      <c r="BQ126" s="6" t="n">
        <v>0.996578</v>
      </c>
      <c r="BR126" s="6" t="n">
        <v>0.999316</v>
      </c>
      <c r="BS126" s="6" t="n">
        <v>0.996578</v>
      </c>
      <c r="BT126" s="6" t="n">
        <v>0.996578</v>
      </c>
      <c r="BU126" s="6" t="n">
        <v>0.996578</v>
      </c>
      <c r="BV126" s="6" t="n">
        <v>0.999316</v>
      </c>
      <c r="BW126" s="6" t="n">
        <v>0.996578</v>
      </c>
      <c r="BX126" s="6" t="n">
        <v>0.996578</v>
      </c>
      <c r="BY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  <c r="AK127" s="6" t="n">
        <v>28.673511</v>
      </c>
      <c r="AL127" s="6" t="n">
        <v>29.672827</v>
      </c>
      <c r="AM127" s="6" t="n">
        <v>30.67488</v>
      </c>
      <c r="AN127" s="6" t="n">
        <v>31.674196</v>
      </c>
      <c r="AO127" s="6" t="n">
        <v>32.673511</v>
      </c>
      <c r="AP127" s="6" t="n">
        <v>33.672827</v>
      </c>
      <c r="AQ127" s="6" t="n">
        <v>34.67488</v>
      </c>
      <c r="AR127" s="6" t="n">
        <v>35.674196</v>
      </c>
      <c r="AS127" s="6" t="n">
        <v>36.673511</v>
      </c>
      <c r="AT127" s="6" t="n">
        <v>37.672827</v>
      </c>
      <c r="AU127" s="6" t="n">
        <v>38.67488</v>
      </c>
      <c r="AV127" s="6" t="n">
        <v>39.674196</v>
      </c>
      <c r="AW127" s="6" t="n">
        <v>40.673511</v>
      </c>
      <c r="AX127" s="6" t="n">
        <v>41.672827</v>
      </c>
      <c r="AY127" s="6" t="n">
        <v>42.67488</v>
      </c>
      <c r="AZ127" s="6" t="n">
        <v>43.674196</v>
      </c>
      <c r="BA127" s="6" t="n">
        <v>44.673511</v>
      </c>
      <c r="BB127" s="6" t="n">
        <v>45.672827</v>
      </c>
      <c r="BC127" s="6" t="n">
        <v>46.67488</v>
      </c>
      <c r="BD127" s="6" t="n">
        <v>47.674196</v>
      </c>
      <c r="BE127" s="6" t="n">
        <v>48.673511</v>
      </c>
      <c r="BF127" s="6" t="n">
        <v>49.672827</v>
      </c>
      <c r="BG127" s="6" t="n">
        <v>50.67488</v>
      </c>
      <c r="BH127" s="6" t="n">
        <v>51.674196</v>
      </c>
      <c r="BI127" s="6" t="n">
        <v>52.673511</v>
      </c>
      <c r="BJ127" s="6" t="n">
        <v>53.672827</v>
      </c>
      <c r="BK127" s="6" t="n">
        <v>54.67488</v>
      </c>
      <c r="BL127" s="6" t="n">
        <v>55.674196</v>
      </c>
      <c r="BM127" s="6" t="n">
        <v>56.673511</v>
      </c>
      <c r="BN127" s="6" t="n">
        <v>57.672827</v>
      </c>
      <c r="BO127" s="6" t="n">
        <v>58.67488</v>
      </c>
      <c r="BP127" s="6" t="n">
        <v>59.674196</v>
      </c>
      <c r="BQ127" s="6" t="n">
        <v>60.673511</v>
      </c>
      <c r="BR127" s="6" t="n">
        <v>61.672827</v>
      </c>
      <c r="BS127" s="6" t="n">
        <v>62.67488</v>
      </c>
      <c r="BT127" s="6" t="n">
        <v>63.674196</v>
      </c>
      <c r="BU127" s="6" t="n">
        <v>64.673511</v>
      </c>
      <c r="BV127" s="6" t="n">
        <v>65.672827</v>
      </c>
      <c r="BW127" s="6" t="n">
        <v>66.67488</v>
      </c>
      <c r="BX127" s="6" t="n">
        <v>67.67419599999999</v>
      </c>
      <c r="BY127" s="6" t="n">
        <v>68.673511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  <c r="BP128">
        <f>1/(1+$C$122)^BP127</f>
        <v/>
      </c>
      <c r="BQ128">
        <f>1/(1+$C$122)^BQ127</f>
        <v/>
      </c>
      <c r="BR128">
        <f>1/(1+$C$122)^BR127</f>
        <v/>
      </c>
      <c r="BS128">
        <f>1/(1+$C$122)^BS127</f>
        <v/>
      </c>
      <c r="BT128">
        <f>1/(1+$C$122)^BT127</f>
        <v/>
      </c>
      <c r="BU128">
        <f>1/(1+$C$122)^BU127</f>
        <v/>
      </c>
      <c r="BV128">
        <f>1/(1+$C$122)^BV127</f>
        <v/>
      </c>
      <c r="BW128">
        <f>1/(1+$C$122)^BW127</f>
        <v/>
      </c>
      <c r="BX128">
        <f>1/(1+$C$122)^BX127</f>
        <v/>
      </c>
      <c r="BY128">
        <f>1/(1+$C$122)^BY127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  <c r="BP129" s="26">
        <f>BP76*BP126*BP128</f>
        <v/>
      </c>
      <c r="BQ129" s="26">
        <f>BQ76*BQ126*BQ128</f>
        <v/>
      </c>
      <c r="BR129" s="26">
        <f>BR76*BR126*BR128</f>
        <v/>
      </c>
      <c r="BS129" s="26">
        <f>BS76*BS126*BS128</f>
        <v/>
      </c>
      <c r="BT129" s="26">
        <f>BT76*BT126*BT128</f>
        <v/>
      </c>
      <c r="BU129" s="26">
        <f>BU76*BU126*BU128</f>
        <v/>
      </c>
      <c r="BV129" s="26">
        <f>BV76*BV126*BV128</f>
        <v/>
      </c>
      <c r="BW129" s="26">
        <f>BW76*BW126*BW128</f>
        <v/>
      </c>
      <c r="BX129" s="26">
        <f>BX76*BX126*BX128</f>
        <v/>
      </c>
      <c r="BY129" s="26">
        <f>BY76*BY126*BY128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  <c r="BP130" s="26">
        <f>BO130+BP129</f>
        <v/>
      </c>
      <c r="BQ130" s="26">
        <f>BP130+BQ129</f>
        <v/>
      </c>
      <c r="BR130" s="26">
        <f>BQ130+BR129</f>
        <v/>
      </c>
      <c r="BS130" s="26">
        <f>BR130+BS129</f>
        <v/>
      </c>
      <c r="BT130" s="26">
        <f>BS130+BT129</f>
        <v/>
      </c>
      <c r="BU130" s="26">
        <f>BT130+BU129</f>
        <v/>
      </c>
      <c r="BV130" s="26">
        <f>BU130+BV129</f>
        <v/>
      </c>
      <c r="BW130" s="26">
        <f>BV130+BW129</f>
        <v/>
      </c>
      <c r="BX130" s="26">
        <f>BW130+BX129</f>
        <v/>
      </c>
      <c r="BY130" s="26">
        <f>BX130+BY129</f>
        <v/>
      </c>
    </row>
    <row r="131">
      <c r="A131" t="inlineStr">
        <is>
          <t>Best cumulative PV (never below zero)</t>
        </is>
      </c>
      <c r="C131" s="26">
        <f>MAX(0,MAX(H130:BY130))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5.504593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339.185428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339.1854281857021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2263.666352924232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9221.552100420722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2263.666353</v>
      </c>
      <c r="E167" s="27" t="n">
        <v>1933.970552</v>
      </c>
      <c r="F167" s="27" t="n">
        <v>2320.665335</v>
      </c>
      <c r="G167" s="27" t="n">
        <v>3357.83376</v>
      </c>
      <c r="H167" s="27" t="n">
        <v>4539.45868</v>
      </c>
    </row>
    <row r="168">
      <c r="C168" s="1" t="n">
        <v>0.95</v>
      </c>
      <c r="D168" s="27" t="n">
        <v>2263.666353</v>
      </c>
      <c r="E168" s="27" t="n">
        <v>1968.136759</v>
      </c>
      <c r="F168" s="27" t="n">
        <v>2860.518862</v>
      </c>
      <c r="G168" s="27" t="n">
        <v>4109.439371</v>
      </c>
      <c r="H168" s="27" t="n">
        <v>5465.16363</v>
      </c>
    </row>
    <row r="169">
      <c r="C169" s="1" t="n">
        <v>1</v>
      </c>
      <c r="D169" s="27" t="n">
        <v>1927.027546</v>
      </c>
      <c r="E169" s="27" t="n">
        <v>2320.665335</v>
      </c>
      <c r="F169" s="27" t="n">
        <v>3487.663007</v>
      </c>
      <c r="G169" s="27" t="n">
        <v>4925.977925</v>
      </c>
      <c r="H169" s="27" t="n">
        <v>6441.512496</v>
      </c>
    </row>
    <row r="170">
      <c r="C170" s="1" t="n">
        <v>1.05</v>
      </c>
      <c r="D170" s="27" t="n">
        <v>1954.79957</v>
      </c>
      <c r="E170" s="27" t="n">
        <v>2804.094158</v>
      </c>
      <c r="F170" s="27" t="n">
        <v>4181.228107</v>
      </c>
      <c r="G170" s="27" t="n">
        <v>5792.507277</v>
      </c>
      <c r="H170" s="27" t="n">
        <v>7456.754043</v>
      </c>
    </row>
    <row r="171">
      <c r="C171" s="1" t="n">
        <v>1.1</v>
      </c>
      <c r="D171" s="27" t="n">
        <v>2136.422629</v>
      </c>
      <c r="E171" s="27" t="n">
        <v>3357.83376</v>
      </c>
      <c r="F171" s="27" t="n">
        <v>4925.977925</v>
      </c>
      <c r="G171" s="27" t="n">
        <v>6701.48521</v>
      </c>
      <c r="H171" s="27" t="n">
        <v>8504.231505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5435.017581</v>
      </c>
      <c r="E175" s="27" t="n">
        <v>4883.558128</v>
      </c>
      <c r="F175" s="27" t="n">
        <v>4347.366407</v>
      </c>
      <c r="G175" s="27" t="n">
        <v>3829.225124</v>
      </c>
      <c r="H175" s="27" t="n">
        <v>3330.39106</v>
      </c>
    </row>
    <row r="176">
      <c r="C176" s="1" t="n">
        <v>0.95</v>
      </c>
      <c r="D176" s="27" t="n">
        <v>5631.37679</v>
      </c>
      <c r="E176" s="27" t="n">
        <v>5049.298599</v>
      </c>
      <c r="F176" s="27" t="n">
        <v>4483.341314</v>
      </c>
      <c r="G176" s="27" t="n">
        <v>3936.433051</v>
      </c>
      <c r="H176" s="27" t="n">
        <v>3409.907969</v>
      </c>
    </row>
    <row r="177">
      <c r="C177" s="1" t="n">
        <v>1</v>
      </c>
      <c r="D177" s="27" t="n">
        <v>5827.735999</v>
      </c>
      <c r="E177" s="27" t="n">
        <v>5215.039071</v>
      </c>
      <c r="F177" s="27" t="n">
        <v>4619.31622</v>
      </c>
      <c r="G177" s="27" t="n">
        <v>4043.640978</v>
      </c>
      <c r="H177" s="27" t="n">
        <v>3489.424877</v>
      </c>
    </row>
    <row r="178">
      <c r="C178" s="1" t="n">
        <v>1.05</v>
      </c>
      <c r="D178" s="27" t="n">
        <v>6024.095208</v>
      </c>
      <c r="E178" s="27" t="n">
        <v>5380.779542</v>
      </c>
      <c r="F178" s="27" t="n">
        <v>4755.291127</v>
      </c>
      <c r="G178" s="27" t="n">
        <v>4150.848905</v>
      </c>
      <c r="H178" s="27" t="n">
        <v>3568.941785</v>
      </c>
    </row>
    <row r="179">
      <c r="C179" s="1" t="n">
        <v>1.1</v>
      </c>
      <c r="D179" s="27" t="n">
        <v>6220.454417</v>
      </c>
      <c r="E179" s="27" t="n">
        <v>5546.520014</v>
      </c>
      <c r="F179" s="27" t="n">
        <v>4891.266034</v>
      </c>
      <c r="G179" s="27" t="n">
        <v>4258.056832</v>
      </c>
      <c r="H179" s="27" t="n">
        <v>3648.458693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6.472319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828.0538553379291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3166.411897758314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5.430495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766.727988</v>
      </c>
      <c r="E170" s="27" t="n">
        <v>849.231414</v>
      </c>
      <c r="F170" s="27" t="n">
        <v>1022.410461</v>
      </c>
      <c r="G170" s="27" t="n">
        <v>1467.085246</v>
      </c>
      <c r="H170" s="27" t="n">
        <v>2027.007408</v>
      </c>
    </row>
    <row r="171">
      <c r="C171" s="1" t="n">
        <v>0.95</v>
      </c>
      <c r="D171" s="27" t="n">
        <v>787.177953</v>
      </c>
      <c r="E171" s="27" t="n">
        <v>905.079528</v>
      </c>
      <c r="F171" s="27" t="n">
        <v>1250.862724</v>
      </c>
      <c r="G171" s="27" t="n">
        <v>1798.96928</v>
      </c>
      <c r="H171" s="27" t="n">
        <v>2443.868007</v>
      </c>
    </row>
    <row r="172">
      <c r="C172" s="1" t="n">
        <v>1</v>
      </c>
      <c r="D172" s="27" t="n">
        <v>836.820721</v>
      </c>
      <c r="E172" s="27" t="n">
        <v>1022.410461</v>
      </c>
      <c r="F172" s="27" t="n">
        <v>1523.696641</v>
      </c>
      <c r="G172" s="27" t="n">
        <v>2163.225353</v>
      </c>
      <c r="H172" s="27" t="n">
        <v>2884.732388</v>
      </c>
    </row>
    <row r="173">
      <c r="C173" s="1" t="n">
        <v>1.05</v>
      </c>
      <c r="D173" s="27" t="n">
        <v>886.46349</v>
      </c>
      <c r="E173" s="27" t="n">
        <v>1226.487764</v>
      </c>
      <c r="F173" s="27" t="n">
        <v>1830.456359</v>
      </c>
      <c r="G173" s="27" t="n">
        <v>2552.265336</v>
      </c>
      <c r="H173" s="27" t="n">
        <v>3344.042229</v>
      </c>
    </row>
    <row r="174">
      <c r="C174" s="1" t="n">
        <v>1.1</v>
      </c>
      <c r="D174" s="27" t="n">
        <v>945.720328</v>
      </c>
      <c r="E174" s="27" t="n">
        <v>1467.085246</v>
      </c>
      <c r="F174" s="27" t="n">
        <v>2163.225353</v>
      </c>
      <c r="G174" s="27" t="n">
        <v>2960.35114</v>
      </c>
      <c r="H174" s="27" t="n">
        <v>3817.722033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2444.142232</v>
      </c>
      <c r="E178" s="27" t="n">
        <v>2270.044616</v>
      </c>
      <c r="F178" s="27" t="n">
        <v>2095.947</v>
      </c>
      <c r="G178" s="27" t="n">
        <v>1921.849384</v>
      </c>
      <c r="H178" s="27" t="n">
        <v>1747.751767</v>
      </c>
    </row>
    <row r="179">
      <c r="C179" s="1" t="n">
        <v>0.95</v>
      </c>
      <c r="D179" s="27" t="n">
        <v>2543.178834</v>
      </c>
      <c r="E179" s="27" t="n">
        <v>2359.409128</v>
      </c>
      <c r="F179" s="27" t="n">
        <v>2175.639422</v>
      </c>
      <c r="G179" s="27" t="n">
        <v>1991.869716</v>
      </c>
      <c r="H179" s="27" t="n">
        <v>1808.10001</v>
      </c>
    </row>
    <row r="180">
      <c r="C180" s="1" t="n">
        <v>1</v>
      </c>
      <c r="D180" s="27" t="n">
        <v>2642.215436</v>
      </c>
      <c r="E180" s="27" t="n">
        <v>2448.77364</v>
      </c>
      <c r="F180" s="27" t="n">
        <v>2255.331844</v>
      </c>
      <c r="G180" s="27" t="n">
        <v>2061.890049</v>
      </c>
      <c r="H180" s="27" t="n">
        <v>1868.448253</v>
      </c>
    </row>
    <row r="181">
      <c r="C181" s="1" t="n">
        <v>1.05</v>
      </c>
      <c r="D181" s="27" t="n">
        <v>2724.75927</v>
      </c>
      <c r="E181" s="27" t="n">
        <v>2523.617026</v>
      </c>
      <c r="F181" s="27" t="n">
        <v>2322.474782</v>
      </c>
      <c r="G181" s="27" t="n">
        <v>2121.332538</v>
      </c>
      <c r="H181" s="27" t="n">
        <v>1920.190294</v>
      </c>
    </row>
    <row r="182">
      <c r="C182" s="1" t="n">
        <v>1.1</v>
      </c>
      <c r="D182" s="27" t="n">
        <v>2797.790562</v>
      </c>
      <c r="E182" s="27" t="n">
        <v>2589.612763</v>
      </c>
      <c r="F182" s="27" t="n">
        <v>2381.434964</v>
      </c>
      <c r="G182" s="27" t="n">
        <v>2173.257165</v>
      </c>
      <c r="H182" s="27" t="n">
        <v>1965.079366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18100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0.05499875802213328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30.51633389509012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846.3438266663703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9.763479999999999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27.004407</v>
      </c>
      <c r="E170" s="27" t="n">
        <v>78.71556200000001</v>
      </c>
      <c r="F170" s="27" t="n">
        <v>190.014873</v>
      </c>
      <c r="G170" s="27" t="n">
        <v>357.155237</v>
      </c>
      <c r="H170" s="27" t="n">
        <v>524.295602</v>
      </c>
    </row>
    <row r="171">
      <c r="C171" s="1" t="n">
        <v>0.95</v>
      </c>
      <c r="D171" s="27" t="n">
        <v>28.508083</v>
      </c>
      <c r="E171" s="27" t="n">
        <v>83.09907699999999</v>
      </c>
      <c r="F171" s="27" t="n">
        <v>200.596761</v>
      </c>
      <c r="G171" s="27" t="n">
        <v>377.046538</v>
      </c>
      <c r="H171" s="27" t="n">
        <v>553.496316</v>
      </c>
    </row>
    <row r="172">
      <c r="C172" s="1" t="n">
        <v>1</v>
      </c>
      <c r="D172" s="27" t="n">
        <v>30.012122</v>
      </c>
      <c r="E172" s="27" t="n">
        <v>87.48369</v>
      </c>
      <c r="F172" s="27" t="n">
        <v>211.181325</v>
      </c>
      <c r="G172" s="27" t="n">
        <v>396.943003</v>
      </c>
      <c r="H172" s="27" t="n">
        <v>582.7046810000001</v>
      </c>
    </row>
    <row r="173">
      <c r="C173" s="1" t="n">
        <v>1.05</v>
      </c>
      <c r="D173" s="27" t="n">
        <v>31.516521</v>
      </c>
      <c r="E173" s="27" t="n">
        <v>91.8694</v>
      </c>
      <c r="F173" s="27" t="n">
        <v>221.768565</v>
      </c>
      <c r="G173" s="27" t="n">
        <v>416.844627</v>
      </c>
      <c r="H173" s="27" t="n">
        <v>611.920688</v>
      </c>
    </row>
    <row r="174">
      <c r="C174" s="1" t="n">
        <v>1.1</v>
      </c>
      <c r="D174" s="27" t="n">
        <v>33.021282</v>
      </c>
      <c r="E174" s="27" t="n">
        <v>96.256208</v>
      </c>
      <c r="F174" s="27" t="n">
        <v>232.358478</v>
      </c>
      <c r="G174" s="27" t="n">
        <v>436.751405</v>
      </c>
      <c r="H174" s="27" t="n">
        <v>641.144332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210.674734</v>
      </c>
      <c r="E178" s="27" t="n">
        <v>199.924765</v>
      </c>
      <c r="F178" s="27" t="n">
        <v>189.174797</v>
      </c>
      <c r="G178" s="27" t="n">
        <v>178.424828</v>
      </c>
      <c r="H178" s="27" t="n">
        <v>167.67486</v>
      </c>
    </row>
    <row r="179">
      <c r="C179" s="1" t="n">
        <v>0.95</v>
      </c>
      <c r="D179" s="27" t="n">
        <v>222.872439</v>
      </c>
      <c r="E179" s="27" t="n">
        <v>211.52525</v>
      </c>
      <c r="F179" s="27" t="n">
        <v>200.178061</v>
      </c>
      <c r="G179" s="27" t="n">
        <v>188.830872</v>
      </c>
      <c r="H179" s="27" t="n">
        <v>177.483683</v>
      </c>
    </row>
    <row r="180">
      <c r="C180" s="1" t="n">
        <v>1</v>
      </c>
      <c r="D180" s="27" t="n">
        <v>235.070144</v>
      </c>
      <c r="E180" s="27" t="n">
        <v>223.125735</v>
      </c>
      <c r="F180" s="27" t="n">
        <v>211.181325</v>
      </c>
      <c r="G180" s="27" t="n">
        <v>199.236916</v>
      </c>
      <c r="H180" s="27" t="n">
        <v>187.292506</v>
      </c>
    </row>
    <row r="181">
      <c r="C181" s="1" t="n">
        <v>1.05</v>
      </c>
      <c r="D181" s="27" t="n">
        <v>247.26785</v>
      </c>
      <c r="E181" s="27" t="n">
        <v>234.72622</v>
      </c>
      <c r="F181" s="27" t="n">
        <v>222.18459</v>
      </c>
      <c r="G181" s="27" t="n">
        <v>209.64296</v>
      </c>
      <c r="H181" s="27" t="n">
        <v>197.10133</v>
      </c>
    </row>
    <row r="182">
      <c r="C182" s="1" t="n">
        <v>1.1</v>
      </c>
      <c r="D182" s="27" t="n">
        <v>259.465555</v>
      </c>
      <c r="E182" s="27" t="n">
        <v>246.326704</v>
      </c>
      <c r="F182" s="27" t="n">
        <v>233.187854</v>
      </c>
      <c r="G182" s="27" t="n">
        <v>220.049003</v>
      </c>
      <c r="H182" s="27" t="n">
        <v>206.910153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2026-10-29T11:55:57Z</dcterms:created>
  <dcterms:modified xsi:type="dcterms:W3CDTF">2026-10-29T11:55:58Z</dcterms:modified>
</cp:coreProperties>
</file>