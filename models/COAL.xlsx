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BSSR" sheetId="6" state="visible" r:id="rId6"/>
    <sheet name="BUMI" sheetId="7" state="visible" r:id="rId7"/>
    <sheet name="BYAN" sheetId="8" state="visible" r:id="rId8"/>
    <sheet name="GEMS" sheetId="9" state="visible" r:id="rId9"/>
    <sheet name="INDY" sheetId="10" state="visible" r:id="rId10"/>
    <sheet name="ITMG" sheetId="11" state="visible" r:id="rId11"/>
    <sheet name="MCOL" sheetId="12" state="visible" r:id="rId12"/>
    <sheet name="PTBA" sheetId="13" state="visible" r:id="rId13"/>
    <sheet name="SINI" sheetId="14" state="visible" r:id="rId14"/>
    <sheet name="SMM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70" fontId="0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2026-10-27T19:10:50+07:00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BSSR.JK — PT Baramulti Suksessarana Tbk</t>
        </is>
      </c>
    </row>
    <row r="12">
      <c r="A12" t="inlineStr">
        <is>
          <t>BUMI.JK — PT Bumi Resources Tbk</t>
        </is>
      </c>
    </row>
    <row r="13">
      <c r="A13" t="inlineStr">
        <is>
          <t>BYAN.JK — PT Bayan Resources Tbk.</t>
        </is>
      </c>
    </row>
    <row r="14">
      <c r="A14" t="inlineStr">
        <is>
          <t>GEMS.JK — PT Golden Energy Mines Tbk</t>
        </is>
      </c>
    </row>
    <row r="15">
      <c r="A15" t="inlineStr">
        <is>
          <t>INDY.JK — PT. Indika Energy Tbk</t>
        </is>
      </c>
    </row>
    <row r="16">
      <c r="A16" t="inlineStr">
        <is>
          <t>ITMG.JK — PT Indo Tambangraya Megah Tbk</t>
        </is>
      </c>
    </row>
    <row r="17">
      <c r="A17" t="inlineStr">
        <is>
          <t>MCOL.JK — PT Prima Andalan Mandiri Tbk</t>
        </is>
      </c>
    </row>
    <row r="18">
      <c r="A18" t="inlineStr">
        <is>
          <t>PTBA.JK — PT Bukit Asam (Persero) Tbk</t>
        </is>
      </c>
    </row>
    <row r="19">
      <c r="A19" t="inlineStr">
        <is>
          <t>SINI.JK — PT Singaraja Putra Tbk</t>
        </is>
      </c>
    </row>
    <row r="20">
      <c r="A20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2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  <c r="R3" s="1" t="inlineStr">
        <is>
          <t>FY2036E</t>
        </is>
      </c>
      <c r="S3" s="1" t="inlineStr">
        <is>
          <t>FY2037E</t>
        </is>
      </c>
      <c r="T3" s="1" t="inlineStr">
        <is>
          <t>FY2038E</t>
        </is>
      </c>
      <c r="U3" s="1" t="inlineStr">
        <is>
          <t>FY2039E</t>
        </is>
      </c>
      <c r="V3" s="1" t="inlineStr">
        <is>
          <t>FY2040E</t>
        </is>
      </c>
      <c r="W3" s="1" t="inlineStr">
        <is>
          <t>FY2041E</t>
        </is>
      </c>
      <c r="X3" s="1" t="inlineStr">
        <is>
          <t>FY2042E</t>
        </is>
      </c>
      <c r="Y3" s="1" t="inlineStr">
        <is>
          <t>FY2043E</t>
        </is>
      </c>
      <c r="Z3" s="1" t="inlineStr">
        <is>
          <t>FY2044E</t>
        </is>
      </c>
      <c r="AA3" s="1" t="inlineStr">
        <is>
          <t>FY2045E</t>
        </is>
      </c>
      <c r="AB3" s="1" t="inlineStr">
        <is>
          <t>FY2046E</t>
        </is>
      </c>
      <c r="AC3" s="1" t="inlineStr">
        <is>
          <t>FY2047E</t>
        </is>
      </c>
      <c r="AD3" s="1" t="inlineStr">
        <is>
          <t>FY2048E</t>
        </is>
      </c>
      <c r="AE3" s="1" t="inlineStr">
        <is>
          <t>FY2049E</t>
        </is>
      </c>
      <c r="AF3" s="1" t="inlineStr">
        <is>
          <t>FY2050E</t>
        </is>
      </c>
      <c r="AG3" s="1" t="inlineStr">
        <is>
          <t>FY2051E</t>
        </is>
      </c>
      <c r="AH3" s="1" t="inlineStr">
        <is>
          <t>FY2052E</t>
        </is>
      </c>
      <c r="AI3" s="1" t="inlineStr">
        <is>
          <t>FY2053E</t>
        </is>
      </c>
      <c r="AJ3" s="1" t="inlineStr">
        <is>
          <t>FY2054E</t>
        </is>
      </c>
      <c r="AK3" s="1" t="inlineStr">
        <is>
          <t>FY2055E</t>
        </is>
      </c>
      <c r="AL3" s="1" t="inlineStr">
        <is>
          <t>FY2056E</t>
        </is>
      </c>
      <c r="AM3" s="1" t="inlineStr">
        <is>
          <t>FY2057E</t>
        </is>
      </c>
      <c r="AN3" s="1" t="inlineStr">
        <is>
          <t>FY2058E</t>
        </is>
      </c>
      <c r="AO3" s="1" t="inlineStr">
        <is>
          <t>FY2059E</t>
        </is>
      </c>
      <c r="AP3" s="1" t="inlineStr">
        <is>
          <t>FY2060E</t>
        </is>
      </c>
      <c r="AQ3" s="1" t="inlineStr">
        <is>
          <t>FY2061E</t>
        </is>
      </c>
      <c r="AR3" s="1" t="inlineStr">
        <is>
          <t>FY2062E</t>
        </is>
      </c>
      <c r="AS3" s="1" t="inlineStr">
        <is>
          <t>FY2063E</t>
        </is>
      </c>
      <c r="AT3" s="1" t="inlineStr">
        <is>
          <t>FY2064E</t>
        </is>
      </c>
      <c r="AU3" s="1" t="inlineStr">
        <is>
          <t>FY2065E</t>
        </is>
      </c>
      <c r="AV3" s="1" t="inlineStr">
        <is>
          <t>FY2066E</t>
        </is>
      </c>
      <c r="AW3" s="1" t="inlineStr">
        <is>
          <t>FY2067E</t>
        </is>
      </c>
      <c r="AX3" s="1" t="inlineStr">
        <is>
          <t>FY2068E</t>
        </is>
      </c>
      <c r="AY3" s="1" t="inlineStr">
        <is>
          <t>FY2069E</t>
        </is>
      </c>
      <c r="AZ3" s="1" t="inlineStr">
        <is>
          <t>FY2070E</t>
        </is>
      </c>
      <c r="BA3" s="1" t="inlineStr">
        <is>
          <t>FY2071E</t>
        </is>
      </c>
      <c r="BB3" s="1" t="inlineStr">
        <is>
          <t>FY2072E</t>
        </is>
      </c>
      <c r="BC3" s="1" t="inlineStr">
        <is>
          <t>FY2073E</t>
        </is>
      </c>
      <c r="BD3" s="1" t="inlineStr">
        <is>
          <t>FY2074E</t>
        </is>
      </c>
      <c r="BE3" s="1" t="inlineStr">
        <is>
          <t>FY2075E</t>
        </is>
      </c>
      <c r="BF3" s="1" t="inlineStr">
        <is>
          <t>FY2076E</t>
        </is>
      </c>
      <c r="BG3" s="1" t="inlineStr">
        <is>
          <t>FY2077E</t>
        </is>
      </c>
      <c r="BH3" s="1" t="inlineStr">
        <is>
          <t>FY2078E</t>
        </is>
      </c>
      <c r="BI3" s="1" t="inlineStr">
        <is>
          <t>FY2079E</t>
        </is>
      </c>
      <c r="BJ3" s="1" t="inlineStr">
        <is>
          <t>FY2080E</t>
        </is>
      </c>
      <c r="BK3" s="1" t="inlineStr">
        <is>
          <t>FY2081E</t>
        </is>
      </c>
      <c r="BL3" s="1" t="inlineStr">
        <is>
          <t>FY2082E</t>
        </is>
      </c>
      <c r="BM3" s="1" t="inlineStr">
        <is>
          <t>FY2083E</t>
        </is>
      </c>
      <c r="BN3" s="1" t="inlineStr">
        <is>
          <t>FY2084E</t>
        </is>
      </c>
      <c r="BO3" s="1" t="inlineStr">
        <is>
          <t>FY2085E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/>
      <c r="H4" s="3" t="n">
        <v>70</v>
      </c>
      <c r="I4" s="3" t="n">
        <v>70</v>
      </c>
      <c r="J4" s="3" t="n">
        <v>70</v>
      </c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/>
      <c r="H5" s="3" t="n">
        <v>118</v>
      </c>
      <c r="I5" s="3" t="n">
        <v>112</v>
      </c>
      <c r="J5" s="3" t="n">
        <v>108</v>
      </c>
      <c r="K5" s="3" t="n">
        <v>105</v>
      </c>
      <c r="L5" s="3" t="n">
        <v>107.1</v>
      </c>
      <c r="M5" s="3" t="n">
        <v>109.242</v>
      </c>
      <c r="N5" s="3" t="n">
        <v>111.42684</v>
      </c>
      <c r="O5" s="3" t="n">
        <v>113.6553768</v>
      </c>
      <c r="P5" s="3" t="n">
        <v>115.928484336</v>
      </c>
      <c r="Q5" s="3" t="n">
        <v>118.24705402272</v>
      </c>
      <c r="R5" s="3" t="n">
        <v>120.6119951031744</v>
      </c>
      <c r="S5" s="3" t="n">
        <v>123.0242350052379</v>
      </c>
      <c r="T5" s="3" t="n">
        <v>125.4847197053427</v>
      </c>
      <c r="U5" s="3" t="n">
        <v>127.9944140994495</v>
      </c>
      <c r="V5" s="3" t="n">
        <v>130.5543023814385</v>
      </c>
      <c r="W5" s="3" t="n">
        <v>133.1653884290673</v>
      </c>
      <c r="X5" s="3" t="n">
        <v>135.8286961976486</v>
      </c>
      <c r="Y5" s="3" t="n">
        <v>138.5452701216016</v>
      </c>
      <c r="Z5" s="3" t="n">
        <v>141.3161755240336</v>
      </c>
      <c r="AA5" s="3" t="n">
        <v>144.1424990345143</v>
      </c>
      <c r="AB5" s="3" t="n">
        <v>147.0253490152046</v>
      </c>
      <c r="AC5" s="3" t="n">
        <v>149.9658559955087</v>
      </c>
      <c r="AD5" s="3" t="n">
        <v>152.9651731154189</v>
      </c>
      <c r="AE5" s="3" t="n">
        <v>156.0244765777273</v>
      </c>
      <c r="AF5" s="3" t="n">
        <v>159.1449661092818</v>
      </c>
      <c r="AG5" s="3" t="n">
        <v>162.3278654314674</v>
      </c>
      <c r="AH5" s="3" t="n">
        <v>165.5744227400968</v>
      </c>
      <c r="AI5" s="3" t="n">
        <v>168.8859111948987</v>
      </c>
      <c r="AJ5" s="3" t="n">
        <v>172.2636294187967</v>
      </c>
      <c r="AK5" s="3" t="n">
        <v>175.7089020071726</v>
      </c>
      <c r="AL5" s="3" t="n">
        <v>179.2230800473161</v>
      </c>
      <c r="AM5" s="3" t="n">
        <v>182.8075416482625</v>
      </c>
      <c r="AN5" s="3" t="n">
        <v>186.4636924812277</v>
      </c>
      <c r="AO5" s="3" t="n">
        <v>190.1929663308522</v>
      </c>
      <c r="AP5" s="3" t="n">
        <v>193.9968256574693</v>
      </c>
      <c r="AQ5" s="3" t="n">
        <v>197.8767621706187</v>
      </c>
      <c r="AR5" s="3" t="n">
        <v>201.8342974140311</v>
      </c>
      <c r="AS5" s="3" t="n">
        <v>205.8709833623117</v>
      </c>
      <c r="AT5" s="3" t="n">
        <v>209.9884030295579</v>
      </c>
      <c r="AU5" s="3" t="n">
        <v>214.1881710901491</v>
      </c>
      <c r="AV5" s="3" t="n">
        <v>218.4719345119521</v>
      </c>
      <c r="AW5" s="3" t="n">
        <v>222.8413732021911</v>
      </c>
      <c r="AX5" s="3" t="n">
        <v>227.2982006662349</v>
      </c>
      <c r="AY5" s="3" t="n">
        <v>231.8441646795596</v>
      </c>
      <c r="AZ5" s="3" t="n">
        <v>236.4810479731509</v>
      </c>
      <c r="BA5" s="3" t="n">
        <v>241.2106689326139</v>
      </c>
      <c r="BB5" s="3" t="n">
        <v>246.0348823112662</v>
      </c>
      <c r="BC5" s="3" t="n">
        <v>250.9555799574915</v>
      </c>
      <c r="BD5" s="3" t="n">
        <v>255.9746915566413</v>
      </c>
      <c r="BE5" s="3" t="n">
        <v>261.0941853877741</v>
      </c>
      <c r="BF5" s="3" t="n">
        <v>266.3160690955296</v>
      </c>
      <c r="BG5" s="3" t="n">
        <v>271.6423904774402</v>
      </c>
      <c r="BH5" s="3" t="n">
        <v>277.075238286989</v>
      </c>
      <c r="BI5" s="3" t="n">
        <v>282.6167430527289</v>
      </c>
      <c r="BJ5" s="3" t="n">
        <v>288.2690779137834</v>
      </c>
      <c r="BK5" s="3" t="n">
        <v>294.0344594720591</v>
      </c>
      <c r="BL5" s="3" t="n">
        <v>299.9151486615002</v>
      </c>
      <c r="BM5" s="3" t="n">
        <v>305.9134516347303</v>
      </c>
      <c r="BN5" s="3" t="n">
        <v>312.0317206674249</v>
      </c>
      <c r="BO5" s="3" t="n">
        <v>318.2723550807734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>
        <v>136.1</v>
      </c>
      <c r="G6" s="3" t="n">
        <v>108.4</v>
      </c>
      <c r="H6" s="3" t="n">
        <v>137</v>
      </c>
      <c r="I6" s="3" t="n">
        <v>118</v>
      </c>
      <c r="J6" s="3" t="n">
        <v>110</v>
      </c>
      <c r="K6" s="3" t="n">
        <v>105</v>
      </c>
      <c r="L6" s="3" t="n">
        <v>107.1</v>
      </c>
      <c r="M6" s="3" t="n">
        <v>109.242</v>
      </c>
      <c r="N6" s="3" t="n">
        <v>111.42684</v>
      </c>
      <c r="O6" s="3" t="n">
        <v>113.6553768</v>
      </c>
      <c r="P6" s="3" t="n">
        <v>115.928484336</v>
      </c>
      <c r="Q6" s="3" t="n">
        <v>118.24705402272</v>
      </c>
      <c r="R6" s="3" t="n">
        <v>120.6119951031744</v>
      </c>
      <c r="S6" s="3" t="n">
        <v>123.0242350052379</v>
      </c>
      <c r="T6" s="3" t="n">
        <v>125.4847197053427</v>
      </c>
      <c r="U6" s="3" t="n">
        <v>127.9944140994495</v>
      </c>
      <c r="V6" s="3" t="n">
        <v>130.5543023814385</v>
      </c>
      <c r="W6" s="3" t="n">
        <v>133.1653884290673</v>
      </c>
      <c r="X6" s="3" t="n">
        <v>135.8286961976486</v>
      </c>
      <c r="Y6" s="3" t="n">
        <v>138.5452701216016</v>
      </c>
      <c r="Z6" s="3" t="n">
        <v>141.3161755240336</v>
      </c>
      <c r="AA6" s="3" t="n">
        <v>144.1424990345143</v>
      </c>
      <c r="AB6" s="3" t="n">
        <v>147.0253490152046</v>
      </c>
      <c r="AC6" s="3" t="n">
        <v>149.9658559955087</v>
      </c>
      <c r="AD6" s="3" t="n">
        <v>152.9651731154189</v>
      </c>
      <c r="AE6" s="3" t="n">
        <v>156.0244765777273</v>
      </c>
      <c r="AF6" s="3" t="n">
        <v>159.1449661092818</v>
      </c>
      <c r="AG6" s="3" t="n">
        <v>162.3278654314674</v>
      </c>
      <c r="AH6" s="3" t="n">
        <v>165.5744227400968</v>
      </c>
      <c r="AI6" s="3" t="n">
        <v>168.8859111948987</v>
      </c>
      <c r="AJ6" s="3" t="n">
        <v>172.2636294187967</v>
      </c>
      <c r="AK6" s="3" t="n">
        <v>175.7089020071726</v>
      </c>
      <c r="AL6" s="3" t="n">
        <v>179.2230800473161</v>
      </c>
      <c r="AM6" s="3" t="n">
        <v>182.8075416482625</v>
      </c>
      <c r="AN6" s="3" t="n">
        <v>186.4636924812277</v>
      </c>
      <c r="AO6" s="3" t="n">
        <v>190.1929663308522</v>
      </c>
      <c r="AP6" s="3" t="n">
        <v>193.9968256574693</v>
      </c>
      <c r="AQ6" s="3" t="n">
        <v>197.8767621706187</v>
      </c>
      <c r="AR6" s="3" t="n">
        <v>201.8342974140311</v>
      </c>
      <c r="AS6" s="3" t="n">
        <v>205.8709833623117</v>
      </c>
      <c r="AT6" s="3" t="n">
        <v>209.9884030295579</v>
      </c>
      <c r="AU6" s="3" t="n">
        <v>214.1881710901491</v>
      </c>
      <c r="AV6" s="3" t="n">
        <v>218.4719345119521</v>
      </c>
      <c r="AW6" s="3" t="n">
        <v>222.8413732021911</v>
      </c>
      <c r="AX6" s="3" t="n">
        <v>227.2982006662349</v>
      </c>
      <c r="AY6" s="3" t="n">
        <v>231.8441646795596</v>
      </c>
      <c r="AZ6" s="3" t="n">
        <v>236.4810479731509</v>
      </c>
      <c r="BA6" s="3" t="n">
        <v>241.2106689326139</v>
      </c>
      <c r="BB6" s="3" t="n">
        <v>246.0348823112662</v>
      </c>
      <c r="BC6" s="3" t="n">
        <v>250.9555799574915</v>
      </c>
      <c r="BD6" s="3" t="n">
        <v>255.9746915566413</v>
      </c>
      <c r="BE6" s="3" t="n">
        <v>261.0941853877741</v>
      </c>
      <c r="BF6" s="3" t="n">
        <v>266.3160690955296</v>
      </c>
      <c r="BG6" s="3" t="n">
        <v>271.6423904774402</v>
      </c>
      <c r="BH6" s="3" t="n">
        <v>277.075238286989</v>
      </c>
      <c r="BI6" s="3" t="n">
        <v>282.6167430527289</v>
      </c>
      <c r="BJ6" s="3" t="n">
        <v>288.2690779137834</v>
      </c>
      <c r="BK6" s="3" t="n">
        <v>294.0344594720591</v>
      </c>
      <c r="BL6" s="3" t="n">
        <v>299.9151486615002</v>
      </c>
      <c r="BM6" s="3" t="n">
        <v>305.9134516347303</v>
      </c>
      <c r="BN6" s="3" t="n">
        <v>312.0317206674249</v>
      </c>
      <c r="BO6" s="3" t="n">
        <v>318.2723550807734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14843.1773</v>
      </c>
      <c r="E7" s="3" t="n">
        <v>15228.8</v>
      </c>
      <c r="F7" s="3" t="n">
        <v>15846.2378</v>
      </c>
      <c r="G7" s="3" t="n">
        <v>16448.0929</v>
      </c>
      <c r="H7" s="3" t="n">
        <v>17570</v>
      </c>
      <c r="I7" s="3" t="n">
        <v>18350</v>
      </c>
      <c r="J7" s="3" t="n">
        <v>18600</v>
      </c>
      <c r="K7" s="3" t="n">
        <v>18850</v>
      </c>
      <c r="L7" s="3" t="n">
        <v>19093.13725490196</v>
      </c>
      <c r="M7" s="3" t="n">
        <v>19186.73106497501</v>
      </c>
      <c r="N7" s="3" t="n">
        <v>19280.78366823469</v>
      </c>
      <c r="O7" s="3" t="n">
        <v>19375.29731366722</v>
      </c>
      <c r="P7" s="3" t="n">
        <v>19470.27426128323</v>
      </c>
      <c r="Q7" s="3" t="n">
        <v>19565.71678217187</v>
      </c>
      <c r="R7" s="3" t="n">
        <v>19661.62715855507</v>
      </c>
      <c r="S7" s="3" t="n">
        <v>19758.0076838421</v>
      </c>
      <c r="T7" s="3" t="n">
        <v>19854.86066268446</v>
      </c>
      <c r="U7" s="3" t="n">
        <v>19952.18841103096</v>
      </c>
      <c r="V7" s="3" t="n">
        <v>20049.99325618306</v>
      </c>
      <c r="W7" s="3" t="n">
        <v>20148.27753685063</v>
      </c>
      <c r="X7" s="3" t="n">
        <v>20247.04360320774</v>
      </c>
      <c r="Y7" s="3" t="n">
        <v>20346.29381694896</v>
      </c>
      <c r="Z7" s="3" t="n">
        <v>20446.03055134577</v>
      </c>
      <c r="AA7" s="3" t="n">
        <v>20546.25619130334</v>
      </c>
      <c r="AB7" s="3" t="n">
        <v>20646.97313341757</v>
      </c>
      <c r="AC7" s="3" t="n">
        <v>20748.18378603236</v>
      </c>
      <c r="AD7" s="3" t="n">
        <v>20849.89056929723</v>
      </c>
      <c r="AE7" s="3" t="n">
        <v>20952.09591522516</v>
      </c>
      <c r="AF7" s="3" t="n">
        <v>21054.80226775077</v>
      </c>
      <c r="AG7" s="3" t="n">
        <v>21158.01208278876</v>
      </c>
      <c r="AH7" s="3" t="n">
        <v>21261.72782829263</v>
      </c>
      <c r="AI7" s="3" t="n">
        <v>21365.95198431367</v>
      </c>
      <c r="AJ7" s="3" t="n">
        <v>21470.6870430603</v>
      </c>
      <c r="AK7" s="3" t="n">
        <v>21575.93550895766</v>
      </c>
      <c r="AL7" s="3" t="n">
        <v>21681.69989870745</v>
      </c>
      <c r="AM7" s="3" t="n">
        <v>21787.98274134817</v>
      </c>
      <c r="AN7" s="3" t="n">
        <v>21894.78657831556</v>
      </c>
      <c r="AO7" s="3" t="n">
        <v>22002.11396350339</v>
      </c>
      <c r="AP7" s="3" t="n">
        <v>22109.96746332448</v>
      </c>
      <c r="AQ7" s="3" t="n">
        <v>22218.34965677215</v>
      </c>
      <c r="AR7" s="3" t="n">
        <v>22327.26313548182</v>
      </c>
      <c r="AS7" s="3" t="n">
        <v>22436.710503793</v>
      </c>
      <c r="AT7" s="3" t="n">
        <v>22546.6943788116</v>
      </c>
      <c r="AU7" s="3" t="n">
        <v>22657.21739047244</v>
      </c>
      <c r="AV7" s="3" t="n">
        <v>22768.2821816022</v>
      </c>
      <c r="AW7" s="3" t="n">
        <v>22879.89140798261</v>
      </c>
      <c r="AX7" s="3" t="n">
        <v>22992.04773841389</v>
      </c>
      <c r="AY7" s="3" t="n">
        <v>23104.75385477867</v>
      </c>
      <c r="AZ7" s="3" t="n">
        <v>23218.01245210601</v>
      </c>
      <c r="BA7" s="3" t="n">
        <v>23331.82623863595</v>
      </c>
      <c r="BB7" s="3" t="n">
        <v>23446.19793588416</v>
      </c>
      <c r="BC7" s="3" t="n">
        <v>23561.13027870712</v>
      </c>
      <c r="BD7" s="3" t="n">
        <v>23676.62601536745</v>
      </c>
      <c r="BE7" s="3" t="n">
        <v>23792.68790759964</v>
      </c>
      <c r="BF7" s="3" t="n">
        <v>23909.31873067611</v>
      </c>
      <c r="BG7" s="3" t="n">
        <v>24026.52127347354</v>
      </c>
      <c r="BH7" s="3" t="n">
        <v>24144.29833853959</v>
      </c>
      <c r="BI7" s="3" t="n">
        <v>24262.65274215988</v>
      </c>
      <c r="BJ7" s="3" t="n">
        <v>24381.58731442537</v>
      </c>
      <c r="BK7" s="3" t="n">
        <v>24501.1048993</v>
      </c>
      <c r="BL7" s="3" t="n">
        <v>24621.20835468873</v>
      </c>
      <c r="BM7" s="3" t="n">
        <v>24741.90055250583</v>
      </c>
      <c r="BN7" s="3" t="n">
        <v>24863.1843787436</v>
      </c>
      <c r="BO7" s="3" t="n">
        <v>24985.06273354136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98.9663</v>
      </c>
      <c r="E8" s="3" t="n">
        <v>82.1904</v>
      </c>
      <c r="F8" s="3" t="n">
        <v>79.82129999999999</v>
      </c>
      <c r="G8" s="3" t="n">
        <v>68.1015</v>
      </c>
      <c r="H8" s="3" t="n">
        <v>96</v>
      </c>
      <c r="I8" s="3" t="n">
        <v>84</v>
      </c>
      <c r="J8" s="3" t="n">
        <v>80</v>
      </c>
      <c r="K8" s="3" t="n">
        <v>78</v>
      </c>
      <c r="L8" s="3" t="n">
        <v>76.5</v>
      </c>
      <c r="M8" s="3" t="n">
        <v>78.03</v>
      </c>
      <c r="N8" s="3" t="n">
        <v>79.59060000000001</v>
      </c>
      <c r="O8" s="3" t="n">
        <v>81.182412</v>
      </c>
      <c r="P8" s="3" t="n">
        <v>82.80606024000001</v>
      </c>
      <c r="Q8" s="3" t="n">
        <v>84.46218144480001</v>
      </c>
      <c r="R8" s="3" t="n">
        <v>86.151425073696</v>
      </c>
      <c r="S8" s="3" t="n">
        <v>87.87445357516994</v>
      </c>
      <c r="T8" s="3" t="n">
        <v>89.63194264667332</v>
      </c>
      <c r="U8" s="3" t="n">
        <v>91.4245814996068</v>
      </c>
      <c r="V8" s="3" t="n">
        <v>93.25307312959893</v>
      </c>
      <c r="W8" s="3" t="n">
        <v>95.11813459219091</v>
      </c>
      <c r="X8" s="3" t="n">
        <v>97.02049728403475</v>
      </c>
      <c r="Y8" s="3" t="n">
        <v>98.96090722971543</v>
      </c>
      <c r="Z8" s="3" t="n">
        <v>100.9401253743097</v>
      </c>
      <c r="AA8" s="3" t="n">
        <v>102.9589278817959</v>
      </c>
      <c r="AB8" s="3" t="n">
        <v>105.0181064394319</v>
      </c>
      <c r="AC8" s="3" t="n">
        <v>107.1184685682205</v>
      </c>
      <c r="AD8" s="3" t="n">
        <v>109.2608379395849</v>
      </c>
      <c r="AE8" s="3" t="n">
        <v>111.4460546983766</v>
      </c>
      <c r="AF8" s="3" t="n">
        <v>113.6749757923441</v>
      </c>
      <c r="AG8" s="3" t="n">
        <v>115.948475308191</v>
      </c>
      <c r="AH8" s="3" t="n">
        <v>118.2674448143549</v>
      </c>
      <c r="AI8" s="3" t="n">
        <v>120.632793710642</v>
      </c>
      <c r="AJ8" s="3" t="n">
        <v>123.0454495848548</v>
      </c>
      <c r="AK8" s="3" t="n">
        <v>125.5063585765519</v>
      </c>
      <c r="AL8" s="3" t="n">
        <v>128.0164857480829</v>
      </c>
      <c r="AM8" s="3" t="n">
        <v>130.5768154630446</v>
      </c>
      <c r="AN8" s="3" t="n">
        <v>133.1883517723055</v>
      </c>
      <c r="AO8" s="3" t="n">
        <v>135.8521188077516</v>
      </c>
      <c r="AP8" s="3" t="n">
        <v>138.5691611839066</v>
      </c>
      <c r="AQ8" s="3" t="n">
        <v>141.3405444075848</v>
      </c>
      <c r="AR8" s="3" t="n">
        <v>144.1673552957365</v>
      </c>
      <c r="AS8" s="3" t="n">
        <v>147.0507024016512</v>
      </c>
      <c r="AT8" s="3" t="n">
        <v>149.9917164496842</v>
      </c>
      <c r="AU8" s="3" t="n">
        <v>152.9915507786779</v>
      </c>
      <c r="AV8" s="3" t="n">
        <v>156.0513817942515</v>
      </c>
      <c r="AW8" s="3" t="n">
        <v>159.1724094301365</v>
      </c>
      <c r="AX8" s="3" t="n">
        <v>162.3558576187392</v>
      </c>
      <c r="AY8" s="3" t="n">
        <v>165.602974771114</v>
      </c>
      <c r="AZ8" s="3" t="n">
        <v>168.9150342665363</v>
      </c>
      <c r="BA8" s="3" t="n">
        <v>172.2933349518671</v>
      </c>
      <c r="BB8" s="3" t="n">
        <v>175.7392016509044</v>
      </c>
      <c r="BC8" s="3" t="n">
        <v>179.2539856839225</v>
      </c>
      <c r="BD8" s="3" t="n">
        <v>182.8390653976009</v>
      </c>
      <c r="BE8" s="3" t="n">
        <v>186.4958467055529</v>
      </c>
      <c r="BF8" s="3" t="n">
        <v>190.225763639664</v>
      </c>
      <c r="BG8" s="3" t="n">
        <v>194.0302789124573</v>
      </c>
      <c r="BH8" s="3" t="n">
        <v>197.9108844907065</v>
      </c>
      <c r="BI8" s="3" t="n">
        <v>201.8691021805206</v>
      </c>
      <c r="BJ8" s="3" t="n">
        <v>205.906484224131</v>
      </c>
      <c r="BK8" s="3" t="n">
        <v>210.0246139086136</v>
      </c>
      <c r="BL8" s="3" t="n">
        <v>214.2251061867859</v>
      </c>
      <c r="BM8" s="3" t="n">
        <v>218.5096083105216</v>
      </c>
      <c r="BN8" s="3" t="n">
        <v>222.8798004767321</v>
      </c>
      <c r="BO8" s="3" t="n">
        <v>227.3373964862667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0.04986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2026-10-27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2026-10-27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2026-10-27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coal.royalty_iupk: IUPK (ex-PKP2B) coal royalty rate by HBA band</t>
        </is>
      </c>
    </row>
    <row r="20">
      <c r="B20" s="6" t="n">
        <v>0</v>
      </c>
      <c r="C20" s="4" t="n">
        <v>0.15</v>
      </c>
    </row>
    <row r="21">
      <c r="B21" s="6" t="n">
        <v>70</v>
      </c>
      <c r="C21" s="4" t="n">
        <v>0.18</v>
      </c>
    </row>
    <row r="22">
      <c r="B22" s="6" t="n">
        <v>120</v>
      </c>
      <c r="C22" s="4" t="n">
        <v>0.19</v>
      </c>
    </row>
    <row r="23">
      <c r="B23" s="6" t="n">
        <v>140</v>
      </c>
      <c r="C23" s="4" t="n">
        <v>0.22</v>
      </c>
    </row>
    <row r="24">
      <c r="B24" s="6" t="n">
        <v>160</v>
      </c>
      <c r="C24" s="4" t="n">
        <v>0.25</v>
      </c>
    </row>
    <row r="25">
      <c r="B25" s="6" t="n">
        <v>180</v>
      </c>
      <c r="C25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3.906412</v>
      </c>
      <c r="I2" s="10" t="n">
        <v>2.23553</v>
      </c>
      <c r="J2" s="11" t="n">
        <v>0.217591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7.979202</v>
      </c>
      <c r="I3" s="10" t="n">
        <v>6.06217</v>
      </c>
      <c r="J3" s="11" t="n">
        <v>0.043864</v>
      </c>
    </row>
    <row r="4">
      <c r="A4" t="inlineStr">
        <is>
          <t>BSSR.JK</t>
        </is>
      </c>
      <c r="B4" t="inlineStr">
        <is>
          <t>PT Baramulti Suksessarana Tbk</t>
        </is>
      </c>
      <c r="C4" s="7">
        <f>'BSSR'!$C$163</f>
        <v/>
      </c>
      <c r="D4" s="8">
        <f>'BSSR'!$C$161</f>
        <v/>
      </c>
      <c r="E4" s="8">
        <f>'BSSR'!$C$102</f>
        <v/>
      </c>
      <c r="F4" s="9">
        <f>'BSSR'!$C$162</f>
        <v/>
      </c>
      <c r="G4" s="8">
        <f>'BSSR'!$C$151</f>
        <v/>
      </c>
      <c r="H4" s="10" t="n">
        <v>5.84343</v>
      </c>
      <c r="I4" s="10" t="n">
        <v>3.923129</v>
      </c>
      <c r="J4" s="11" t="n">
        <v>0.119793</v>
      </c>
    </row>
    <row r="5">
      <c r="A5" t="inlineStr">
        <is>
          <t>BUMI.JK</t>
        </is>
      </c>
      <c r="B5" t="inlineStr">
        <is>
          <t>PT Bumi Resources Tbk</t>
        </is>
      </c>
      <c r="C5" s="7">
        <f>'BUMI'!$C$166</f>
        <v/>
      </c>
      <c r="D5" s="8">
        <f>'BUMI'!$C$164</f>
        <v/>
      </c>
      <c r="E5" s="8">
        <f>'BUMI'!$C$102</f>
        <v/>
      </c>
      <c r="F5" s="9">
        <f>'BUMI'!$C$165</f>
        <v/>
      </c>
      <c r="G5" s="8">
        <f>'BUMI'!$C$145</f>
        <v/>
      </c>
      <c r="H5" s="10" t="n">
        <v>11.196148</v>
      </c>
      <c r="I5" s="10" t="n">
        <v>3.743749</v>
      </c>
      <c r="J5" s="11" t="n">
        <v>0</v>
      </c>
    </row>
    <row r="6">
      <c r="A6" t="inlineStr">
        <is>
          <t>BYAN.JK</t>
        </is>
      </c>
      <c r="B6" t="inlineStr">
        <is>
          <t>PT Bayan Resources Tbk.</t>
        </is>
      </c>
      <c r="C6" s="7">
        <f>'BYAN'!$C$172</f>
        <v/>
      </c>
      <c r="D6" s="8">
        <f>'BYAN'!$C$170</f>
        <v/>
      </c>
      <c r="E6" s="8">
        <f>'BYAN'!$C$102</f>
        <v/>
      </c>
      <c r="F6" s="9">
        <f>'BYAN'!$C$171</f>
        <v/>
      </c>
      <c r="G6" s="8">
        <f>'BYAN'!$C$151</f>
        <v/>
      </c>
      <c r="H6" s="10" t="n">
        <v>13.979826</v>
      </c>
      <c r="I6" s="10" t="n">
        <v>9.349405000000001</v>
      </c>
      <c r="J6" s="11" t="n">
        <v>0.052218</v>
      </c>
    </row>
    <row r="7">
      <c r="A7" t="inlineStr">
        <is>
          <t>GEMS.JK</t>
        </is>
      </c>
      <c r="B7" t="inlineStr">
        <is>
          <t>PT Golden Energy Mines Tbk</t>
        </is>
      </c>
      <c r="C7" s="7">
        <f>'GEMS'!$C$166</f>
        <v/>
      </c>
      <c r="D7" s="8">
        <f>'GEMS'!$C$164</f>
        <v/>
      </c>
      <c r="E7" s="8">
        <f>'GEMS'!$C$102</f>
        <v/>
      </c>
      <c r="F7" s="9">
        <f>'GEMS'!$C$165</f>
        <v/>
      </c>
      <c r="G7" s="8">
        <f>'GEMS'!$C$145</f>
        <v/>
      </c>
      <c r="H7" s="10" t="n">
        <v>4.15225</v>
      </c>
      <c r="I7" s="10" t="n">
        <v>2.606887</v>
      </c>
      <c r="J7" s="11" t="n">
        <v>0.192667</v>
      </c>
    </row>
    <row r="8">
      <c r="A8" t="inlineStr">
        <is>
          <t>INDY.JK</t>
        </is>
      </c>
      <c r="B8" t="inlineStr">
        <is>
          <t>PT. Indika Energy Tbk</t>
        </is>
      </c>
      <c r="C8" s="7">
        <f>'INDY'!$C$163</f>
        <v/>
      </c>
      <c r="D8" s="8">
        <f>'INDY'!$C$161</f>
        <v/>
      </c>
      <c r="E8" s="8">
        <f>'INDY'!$C$102</f>
        <v/>
      </c>
      <c r="F8" s="9">
        <f>'INDY'!$C$162</f>
        <v/>
      </c>
      <c r="G8" s="8">
        <f>'INDY'!$C$151</f>
        <v/>
      </c>
      <c r="H8" s="10" t="n">
        <v>5.992299</v>
      </c>
      <c r="I8" s="10" t="n">
        <v>2.649977</v>
      </c>
      <c r="J8" s="11" t="n">
        <v>0.050064</v>
      </c>
    </row>
    <row r="9">
      <c r="A9" t="inlineStr">
        <is>
          <t>ITMG.JK</t>
        </is>
      </c>
      <c r="B9" t="inlineStr">
        <is>
          <t>PT Indo Tambangraya Megah Tbk</t>
        </is>
      </c>
      <c r="C9" s="7">
        <f>'ITMG'!$C$163</f>
        <v/>
      </c>
      <c r="D9" s="8">
        <f>'ITMG'!$C$161</f>
        <v/>
      </c>
      <c r="E9" s="8">
        <f>'ITMG'!$C$102</f>
        <v/>
      </c>
      <c r="F9" s="9">
        <f>'ITMG'!$C$162</f>
        <v/>
      </c>
      <c r="G9" s="8">
        <f>'ITMG'!$C$151</f>
        <v/>
      </c>
      <c r="H9" s="10" t="n">
        <v>3.886332</v>
      </c>
      <c r="I9" s="10" t="n">
        <v>1.107237</v>
      </c>
      <c r="J9" s="11" t="n">
        <v>0.154387</v>
      </c>
    </row>
    <row r="10">
      <c r="A10" t="inlineStr">
        <is>
          <t>MCOL.JK</t>
        </is>
      </c>
      <c r="B10" t="inlineStr">
        <is>
          <t>PT Prima Andalan Mandiri Tbk</t>
        </is>
      </c>
      <c r="C10" s="7">
        <f>'MCOL'!$C$172</f>
        <v/>
      </c>
      <c r="D10" s="8">
        <f>'MCOL'!$C$170</f>
        <v/>
      </c>
      <c r="E10" s="8">
        <f>'MCOL'!$C$102</f>
        <v/>
      </c>
      <c r="F10" s="9">
        <f>'MCOL'!$C$171</f>
        <v/>
      </c>
      <c r="G10" s="8">
        <f>'MCOL'!$C$151</f>
        <v/>
      </c>
      <c r="H10" s="10" t="n">
        <v>6.340609</v>
      </c>
      <c r="I10" s="10" t="n">
        <v>2.51632</v>
      </c>
      <c r="J10" s="11" t="n">
        <v>0.089129</v>
      </c>
    </row>
    <row r="11">
      <c r="A11" t="inlineStr">
        <is>
          <t>PTBA.JK</t>
        </is>
      </c>
      <c r="B11" t="inlineStr">
        <is>
          <t>PT Bukit Asam (Persero) Tbk</t>
        </is>
      </c>
      <c r="C11" s="7">
        <f>'PTBA'!$C$163</f>
        <v/>
      </c>
      <c r="D11" s="8">
        <f>'PTBA'!$C$161</f>
        <v/>
      </c>
      <c r="E11" s="8">
        <f>'PTBA'!$C$102</f>
        <v/>
      </c>
      <c r="F11" s="9">
        <f>'PTBA'!$C$162</f>
        <v/>
      </c>
      <c r="G11" s="8">
        <f>'PTBA'!$C$151</f>
        <v/>
      </c>
      <c r="H11" s="10" t="n">
        <v>5.145578</v>
      </c>
      <c r="I11" s="10" t="n">
        <v>2.807394</v>
      </c>
      <c r="J11" s="11" t="n">
        <v>0.116605</v>
      </c>
    </row>
    <row r="12">
      <c r="A12" t="inlineStr">
        <is>
          <t>SINI.JK</t>
        </is>
      </c>
      <c r="B12" t="inlineStr">
        <is>
          <t>PT Singaraja Putra Tbk</t>
        </is>
      </c>
      <c r="C12" s="7">
        <f>'SINI'!$C$166</f>
        <v/>
      </c>
      <c r="D12" s="8">
        <f>'SINI'!$C$164</f>
        <v/>
      </c>
      <c r="E12" s="8">
        <f>'SINI'!$C$102</f>
        <v/>
      </c>
      <c r="F12" s="9">
        <f>'SINI'!$C$165</f>
        <v/>
      </c>
      <c r="G12" s="8">
        <f>'SINI'!$C$145</f>
        <v/>
      </c>
      <c r="H12" s="10" t="n"/>
      <c r="I12" s="10" t="n">
        <v>122.147268</v>
      </c>
      <c r="J12" s="11" t="n">
        <v>0</v>
      </c>
    </row>
    <row r="13">
      <c r="A13" t="inlineStr">
        <is>
          <t>SMMT.JK</t>
        </is>
      </c>
      <c r="B13" t="inlineStr">
        <is>
          <t>PT Golden Eagle Energy Tbk</t>
        </is>
      </c>
      <c r="C13" s="7">
        <f>'SMMT'!$C$166</f>
        <v/>
      </c>
      <c r="D13" s="8">
        <f>'SMMT'!$C$164</f>
        <v/>
      </c>
      <c r="E13" s="8">
        <f>'SMMT'!$C$102</f>
        <v/>
      </c>
      <c r="F13" s="9">
        <f>'SMMT'!$C$165</f>
        <v/>
      </c>
      <c r="G13" s="8">
        <f>'SMMT'!$C$145</f>
        <v/>
      </c>
      <c r="H13" s="10" t="n">
        <v>25.361206</v>
      </c>
      <c r="I13" s="10" t="n">
        <v>16.464464</v>
      </c>
      <c r="J13" s="11" t="n">
        <v>0.009858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0.2066732532503126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6.749183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2475.097346138362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4217.695880447138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21470.48538129588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3795.726215</v>
      </c>
      <c r="E161" s="27" t="n">
        <v>5467.244479</v>
      </c>
      <c r="F161" s="27" t="n">
        <v>9059.988175</v>
      </c>
      <c r="G161" s="27" t="n">
        <v>12449.87843</v>
      </c>
      <c r="H161" s="27" t="n">
        <v>15508.165807</v>
      </c>
    </row>
    <row r="162">
      <c r="C162" s="1" t="n">
        <v>0.95</v>
      </c>
      <c r="D162" s="27" t="n">
        <v>4008.659442</v>
      </c>
      <c r="E162" s="27" t="n">
        <v>5774.145416</v>
      </c>
      <c r="F162" s="27" t="n">
        <v>9568.945865</v>
      </c>
      <c r="G162" s="27" t="n">
        <v>13149.603651</v>
      </c>
      <c r="H162" s="27" t="n">
        <v>16380.007827</v>
      </c>
    </row>
    <row r="163">
      <c r="C163" s="1" t="n">
        <v>1</v>
      </c>
      <c r="D163" s="27" t="n">
        <v>4221.809367</v>
      </c>
      <c r="E163" s="27" t="n">
        <v>6081.375895</v>
      </c>
      <c r="F163" s="27" t="n">
        <v>10078.478837</v>
      </c>
      <c r="G163" s="27" t="n">
        <v>13850.146792</v>
      </c>
      <c r="H163" s="27" t="n">
        <v>17252.887922</v>
      </c>
    </row>
    <row r="164">
      <c r="C164" s="1" t="n">
        <v>1.05</v>
      </c>
      <c r="D164" s="27" t="n">
        <v>4435.175979</v>
      </c>
      <c r="E164" s="27" t="n">
        <v>6388.935468</v>
      </c>
      <c r="F164" s="27" t="n">
        <v>10588.585008</v>
      </c>
      <c r="G164" s="27" t="n">
        <v>14551.504007</v>
      </c>
      <c r="H164" s="27" t="n">
        <v>18126.800676</v>
      </c>
    </row>
    <row r="165">
      <c r="C165" s="1" t="n">
        <v>1.1</v>
      </c>
      <c r="D165" s="27" t="n">
        <v>4648.759266</v>
      </c>
      <c r="E165" s="27" t="n">
        <v>6696.823701</v>
      </c>
      <c r="F165" s="27" t="n">
        <v>11099.262366</v>
      </c>
      <c r="G165" s="27" t="n">
        <v>15253.67158</v>
      </c>
      <c r="H165" s="27" t="n">
        <v>19001.740857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12559.511636</v>
      </c>
      <c r="E169" s="27" t="n">
        <v>11758.215625</v>
      </c>
      <c r="F169" s="27" t="n">
        <v>10956.919614</v>
      </c>
      <c r="G169" s="27" t="n">
        <v>10155.623604</v>
      </c>
      <c r="H169" s="27" t="n">
        <v>9354.327593</v>
      </c>
    </row>
    <row r="170">
      <c r="C170" s="1" t="n">
        <v>0.95</v>
      </c>
      <c r="D170" s="27" t="n">
        <v>13000.440987</v>
      </c>
      <c r="E170" s="27" t="n">
        <v>12154.628532</v>
      </c>
      <c r="F170" s="27" t="n">
        <v>11308.816076</v>
      </c>
      <c r="G170" s="27" t="n">
        <v>10463.00362</v>
      </c>
      <c r="H170" s="27" t="n">
        <v>9617.191164</v>
      </c>
    </row>
    <row r="171">
      <c r="C171" s="1" t="n">
        <v>1</v>
      </c>
      <c r="D171" s="27" t="n">
        <v>13441.370339</v>
      </c>
      <c r="E171" s="27" t="n">
        <v>12551.041438</v>
      </c>
      <c r="F171" s="27" t="n">
        <v>11660.712537</v>
      </c>
      <c r="G171" s="27" t="n">
        <v>10770.383636</v>
      </c>
      <c r="H171" s="27" t="n">
        <v>9880.054735</v>
      </c>
    </row>
    <row r="172">
      <c r="C172" s="1" t="n">
        <v>1.05</v>
      </c>
      <c r="D172" s="27" t="n">
        <v>13882.29969</v>
      </c>
      <c r="E172" s="27" t="n">
        <v>12947.454345</v>
      </c>
      <c r="F172" s="27" t="n">
        <v>12012.608999</v>
      </c>
      <c r="G172" s="27" t="n">
        <v>11077.763653</v>
      </c>
      <c r="H172" s="27" t="n">
        <v>10142.918307</v>
      </c>
    </row>
    <row r="173">
      <c r="C173" s="1" t="n">
        <v>1.1</v>
      </c>
      <c r="D173" s="27" t="n">
        <v>14323.229042</v>
      </c>
      <c r="E173" s="27" t="n">
        <v>13343.867251</v>
      </c>
      <c r="F173" s="27" t="n">
        <v>12364.50546</v>
      </c>
      <c r="G173" s="27" t="n">
        <v>11385.143669</v>
      </c>
      <c r="H173" s="27" t="n">
        <v>10405.781878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0.6282848618846506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7.51848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57.24256652440419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483.6999892909792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1405.74753550158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449.428561</v>
      </c>
      <c r="E167" s="27" t="n">
        <v>631.416499</v>
      </c>
      <c r="F167" s="27" t="n">
        <v>824.188097</v>
      </c>
      <c r="G167" s="27" t="n">
        <v>1018.362215</v>
      </c>
      <c r="H167" s="27" t="n">
        <v>1213.109373</v>
      </c>
    </row>
    <row r="168">
      <c r="C168" s="1" t="n">
        <v>0.95</v>
      </c>
      <c r="D168" s="27" t="n">
        <v>475.073375</v>
      </c>
      <c r="E168" s="27" t="n">
        <v>667.50131</v>
      </c>
      <c r="F168" s="27" t="n">
        <v>871.344062</v>
      </c>
      <c r="G168" s="27" t="n">
        <v>1076.671739</v>
      </c>
      <c r="H168" s="27" t="n">
        <v>1282.606168</v>
      </c>
    </row>
    <row r="169">
      <c r="C169" s="1" t="n">
        <v>1</v>
      </c>
      <c r="D169" s="27" t="n">
        <v>500.786116</v>
      </c>
      <c r="E169" s="27" t="n">
        <v>703.685293</v>
      </c>
      <c r="F169" s="27" t="n">
        <v>918.633136</v>
      </c>
      <c r="G169" s="27" t="n">
        <v>1135.148679</v>
      </c>
      <c r="H169" s="27" t="n">
        <v>1352.304841</v>
      </c>
    </row>
    <row r="170">
      <c r="C170" s="1" t="n">
        <v>1.05</v>
      </c>
      <c r="D170" s="27" t="n">
        <v>526.566482</v>
      </c>
      <c r="E170" s="27" t="n">
        <v>739.967832</v>
      </c>
      <c r="F170" s="27" t="n">
        <v>966.054322</v>
      </c>
      <c r="G170" s="27" t="n">
        <v>1193.791649</v>
      </c>
      <c r="H170" s="27" t="n">
        <v>1422.203614</v>
      </c>
    </row>
    <row r="171">
      <c r="C171" s="1" t="n">
        <v>1.1</v>
      </c>
      <c r="D171" s="27" t="n">
        <v>552.4141949999999</v>
      </c>
      <c r="E171" s="27" t="n">
        <v>776.348356</v>
      </c>
      <c r="F171" s="27" t="n">
        <v>1013.606697</v>
      </c>
      <c r="G171" s="27" t="n">
        <v>1252.599366</v>
      </c>
      <c r="H171" s="27" t="n">
        <v>1492.30084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1106.460963</v>
      </c>
      <c r="E175" s="27" t="n">
        <v>1066.807884</v>
      </c>
      <c r="F175" s="27" t="n">
        <v>1027.154806</v>
      </c>
      <c r="G175" s="27" t="n">
        <v>987.501727</v>
      </c>
      <c r="H175" s="27" t="n">
        <v>947.848649</v>
      </c>
    </row>
    <row r="176">
      <c r="C176" s="1" t="n">
        <v>0.95</v>
      </c>
      <c r="D176" s="27" t="n">
        <v>1159.144374</v>
      </c>
      <c r="E176" s="27" t="n">
        <v>1117.288347</v>
      </c>
      <c r="F176" s="27" t="n">
        <v>1075.43232</v>
      </c>
      <c r="G176" s="27" t="n">
        <v>1033.576293</v>
      </c>
      <c r="H176" s="27" t="n">
        <v>991.720265</v>
      </c>
    </row>
    <row r="177">
      <c r="C177" s="1" t="n">
        <v>1</v>
      </c>
      <c r="D177" s="27" t="n">
        <v>1205.597983</v>
      </c>
      <c r="E177" s="27" t="n">
        <v>1161.849715</v>
      </c>
      <c r="F177" s="27" t="n">
        <v>1118.101446</v>
      </c>
      <c r="G177" s="27" t="n">
        <v>1074.353177</v>
      </c>
      <c r="H177" s="27" t="n">
        <v>1030.604909</v>
      </c>
    </row>
    <row r="178">
      <c r="C178" s="1" t="n">
        <v>1.05</v>
      </c>
      <c r="D178" s="27" t="n">
        <v>1242.606067</v>
      </c>
      <c r="E178" s="27" t="n">
        <v>1197.51502</v>
      </c>
      <c r="F178" s="27" t="n">
        <v>1152.423972</v>
      </c>
      <c r="G178" s="27" t="n">
        <v>1107.332925</v>
      </c>
      <c r="H178" s="27" t="n">
        <v>1062.241878</v>
      </c>
    </row>
    <row r="179">
      <c r="C179" s="1" t="n">
        <v>1.1</v>
      </c>
      <c r="D179" s="27" t="n">
        <v>1277.299962</v>
      </c>
      <c r="E179" s="27" t="n">
        <v>1230.930628</v>
      </c>
      <c r="F179" s="27" t="n">
        <v>1184.561295</v>
      </c>
      <c r="G179" s="27" t="n">
        <v>1138.191961</v>
      </c>
      <c r="H179" s="27" t="n">
        <v>1091.822627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6.749183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625.916602560691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2125.616277053221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7032.812309101148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2001.315231</v>
      </c>
      <c r="E167" s="27" t="n">
        <v>2336.744557</v>
      </c>
      <c r="F167" s="27" t="n">
        <v>3159.449639</v>
      </c>
      <c r="G167" s="27" t="n">
        <v>4230.598705</v>
      </c>
      <c r="H167" s="27" t="n">
        <v>5316.003284</v>
      </c>
    </row>
    <row r="168">
      <c r="C168" s="1" t="n">
        <v>0.95</v>
      </c>
      <c r="D168" s="27" t="n">
        <v>2112.499411</v>
      </c>
      <c r="E168" s="27" t="n">
        <v>2466.5637</v>
      </c>
      <c r="F168" s="27" t="n">
        <v>3334.974619</v>
      </c>
      <c r="G168" s="27" t="n">
        <v>4465.631966</v>
      </c>
      <c r="H168" s="27" t="n">
        <v>5611.3368</v>
      </c>
    </row>
    <row r="169">
      <c r="C169" s="1" t="n">
        <v>1</v>
      </c>
      <c r="D169" s="27" t="n">
        <v>2223.68359</v>
      </c>
      <c r="E169" s="27" t="n">
        <v>2596.382842</v>
      </c>
      <c r="F169" s="27" t="n">
        <v>3510.499599</v>
      </c>
      <c r="G169" s="27" t="n">
        <v>4700.665227</v>
      </c>
      <c r="H169" s="27" t="n">
        <v>5906.670316</v>
      </c>
    </row>
    <row r="170">
      <c r="C170" s="1" t="n">
        <v>1.05</v>
      </c>
      <c r="D170" s="27" t="n">
        <v>2334.86777</v>
      </c>
      <c r="E170" s="27" t="n">
        <v>2726.201984</v>
      </c>
      <c r="F170" s="27" t="n">
        <v>3686.024579</v>
      </c>
      <c r="G170" s="27" t="n">
        <v>4935.698489</v>
      </c>
      <c r="H170" s="27" t="n">
        <v>6202.003831</v>
      </c>
    </row>
    <row r="171">
      <c r="C171" s="1" t="n">
        <v>1.1</v>
      </c>
      <c r="D171" s="27" t="n">
        <v>2446.051949</v>
      </c>
      <c r="E171" s="27" t="n">
        <v>2856.021126</v>
      </c>
      <c r="F171" s="27" t="n">
        <v>3861.549559</v>
      </c>
      <c r="G171" s="27" t="n">
        <v>5170.73175</v>
      </c>
      <c r="H171" s="27" t="n">
        <v>6497.337347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4930.223018</v>
      </c>
      <c r="E175" s="27" t="n">
        <v>4254.356988</v>
      </c>
      <c r="F175" s="27" t="n">
        <v>3578.490957</v>
      </c>
      <c r="G175" s="27" t="n">
        <v>2902.624927</v>
      </c>
      <c r="H175" s="27" t="n">
        <v>2482.738149</v>
      </c>
    </row>
    <row r="176">
      <c r="C176" s="1" t="n">
        <v>0.95</v>
      </c>
      <c r="D176" s="27" t="n">
        <v>5083.287821</v>
      </c>
      <c r="E176" s="27" t="n">
        <v>4369.873678</v>
      </c>
      <c r="F176" s="27" t="n">
        <v>3656.459535</v>
      </c>
      <c r="G176" s="27" t="n">
        <v>2943.045392</v>
      </c>
      <c r="H176" s="27" t="n">
        <v>2499.831571</v>
      </c>
    </row>
    <row r="177">
      <c r="C177" s="1" t="n">
        <v>1</v>
      </c>
      <c r="D177" s="27" t="n">
        <v>5236.352624</v>
      </c>
      <c r="E177" s="27" t="n">
        <v>4485.390368</v>
      </c>
      <c r="F177" s="27" t="n">
        <v>3734.428113</v>
      </c>
      <c r="G177" s="27" t="n">
        <v>2983.465857</v>
      </c>
      <c r="H177" s="27" t="n">
        <v>2516.924992</v>
      </c>
    </row>
    <row r="178">
      <c r="C178" s="1" t="n">
        <v>1.05</v>
      </c>
      <c r="D178" s="27" t="n">
        <v>5389.417427</v>
      </c>
      <c r="E178" s="27" t="n">
        <v>4600.907059</v>
      </c>
      <c r="F178" s="27" t="n">
        <v>3812.39669</v>
      </c>
      <c r="G178" s="27" t="n">
        <v>3023.886322</v>
      </c>
      <c r="H178" s="27" t="n">
        <v>2534.018414</v>
      </c>
    </row>
    <row r="179">
      <c r="C179" s="1" t="n">
        <v>1.1</v>
      </c>
      <c r="D179" s="27" t="n">
        <v>5542.482231</v>
      </c>
      <c r="E179" s="27" t="n">
        <v>4716.423749</v>
      </c>
      <c r="F179" s="27" t="n">
        <v>3890.365268</v>
      </c>
      <c r="G179" s="27" t="n">
        <v>3064.306786</v>
      </c>
      <c r="H179" s="27" t="n">
        <v>2551.111835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0.047533</v>
      </c>
      <c r="I27" s="4" t="n">
        <v>0.047533</v>
      </c>
      <c r="J27" s="4" t="n">
        <v>0.047533</v>
      </c>
      <c r="K27" s="4" t="n">
        <v>0.047533</v>
      </c>
      <c r="L27" s="4" t="n">
        <v>0.047533</v>
      </c>
      <c r="M27" s="4" t="n">
        <v>0.047533</v>
      </c>
      <c r="N27" s="4" t="n">
        <v>0.047533</v>
      </c>
      <c r="O27" s="4" t="n">
        <v>0.047533</v>
      </c>
      <c r="P27" s="4" t="n">
        <v>0.047533</v>
      </c>
      <c r="Q27" s="4" t="n">
        <v>0.047533</v>
      </c>
      <c r="R27" s="4" t="n">
        <v>0.047533</v>
      </c>
      <c r="S27" s="4" t="n">
        <v>0.047533</v>
      </c>
      <c r="T27" s="4" t="n">
        <v>0.047533</v>
      </c>
      <c r="U27" s="4" t="n">
        <v>0.047533</v>
      </c>
      <c r="V27" s="4" t="n">
        <v>0.047533</v>
      </c>
      <c r="W27" s="4" t="n">
        <v>0.047533</v>
      </c>
      <c r="X27" s="4" t="n">
        <v>0.047533</v>
      </c>
      <c r="Y27" s="4" t="n">
        <v>0.047533</v>
      </c>
      <c r="Z27" s="4" t="n">
        <v>0.047533</v>
      </c>
      <c r="AA27" s="4" t="n">
        <v>0.047533</v>
      </c>
      <c r="AB27" s="4" t="n">
        <v>0.047533</v>
      </c>
      <c r="AC27" s="4" t="n">
        <v>0.047533</v>
      </c>
      <c r="AD27" s="4" t="n">
        <v>0.047533</v>
      </c>
      <c r="AE27" s="4" t="n">
        <v>0.047533</v>
      </c>
      <c r="AF27" s="4" t="n">
        <v>0.047533</v>
      </c>
      <c r="AG27" s="4" t="n">
        <v>0.047533</v>
      </c>
      <c r="AH27" s="4" t="n">
        <v>0.047533</v>
      </c>
      <c r="AI27" s="4" t="n">
        <v>0.047533</v>
      </c>
      <c r="AJ27" s="4" t="n">
        <v>0.047533</v>
      </c>
      <c r="AK27" s="4" t="n">
        <v>0.047533</v>
      </c>
      <c r="AL27" s="4" t="n">
        <v>0.047533</v>
      </c>
      <c r="AM27" s="4" t="n">
        <v>0.047533</v>
      </c>
      <c r="AN27" s="4" t="n">
        <v>0.047533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  <c r="AL42" s="16">
        <f>Drivers!$AL$6</f>
        <v/>
      </c>
      <c r="AM42" s="16">
        <f>Drivers!$AM$6</f>
        <v/>
      </c>
      <c r="AN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  <c r="AL43" s="16">
        <f>(((AL15*AL42)*(1-AL16))+(MIN(Drivers!$AL$4,(AL15*AL42))*AL16))</f>
        <v/>
      </c>
      <c r="AM43" s="16">
        <f>(((AM15*AM42)*(1-AM16))+(MIN(Drivers!$AM$4,(AM15*AM42))*AM16))</f>
        <v/>
      </c>
      <c r="AN43" s="16">
        <f>(((AN15*AN42)*(1-AN16))+(MIN(Drivers!$AN$4,(AN15*AN42))*AN16))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  <c r="AL45" s="16">
        <f>(((AL17*AL18)*(1+($C$19*(IF(Drivers!$G$8=0,0,Drivers!$AL$8/Drivers!$G$8)-1))))+AL20)</f>
        <v/>
      </c>
      <c r="AM45" s="16">
        <f>(((AM17*AM18)*(1+($C$19*(IF(Drivers!$G$8=0,0,Drivers!$AM$8/Drivers!$G$8)-1))))+AM20)</f>
        <v/>
      </c>
      <c r="AN45" s="16">
        <f>(((AN17*AN18)*(1+($C$19*(IF(Drivers!$G$8=0,0,Drivers!$AN$8/Drivers!$G$8)-1))))+AN20)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VLOOKUP(Drivers!$H$5,Drivers!$B$20:$C$25,2,TRUE)</f>
        <v/>
      </c>
      <c r="I47" s="9">
        <f>VLOOKUP(Drivers!$I$5,Drivers!$B$20:$C$25,2,TRUE)</f>
        <v/>
      </c>
      <c r="J47" s="9">
        <f>VLOOKUP(Drivers!$J$5,Drivers!$B$20:$C$25,2,TRUE)</f>
        <v/>
      </c>
      <c r="K47" s="9">
        <f>VLOOKUP(Drivers!$K$5,Drivers!$B$20:$C$25,2,TRUE)</f>
        <v/>
      </c>
      <c r="L47" s="9">
        <f>VLOOKUP(Drivers!$L$5,Drivers!$B$20:$C$25,2,TRUE)</f>
        <v/>
      </c>
      <c r="M47" s="9">
        <f>VLOOKUP(Drivers!$M$5,Drivers!$B$20:$C$25,2,TRUE)</f>
        <v/>
      </c>
      <c r="N47" s="9">
        <f>VLOOKUP(Drivers!$N$5,Drivers!$B$20:$C$25,2,TRUE)</f>
        <v/>
      </c>
      <c r="O47" s="9">
        <f>VLOOKUP(Drivers!$O$5,Drivers!$B$20:$C$25,2,TRUE)</f>
        <v/>
      </c>
      <c r="P47" s="9">
        <f>VLOOKUP(Drivers!$P$5,Drivers!$B$20:$C$25,2,TRUE)</f>
        <v/>
      </c>
      <c r="Q47" s="9">
        <f>VLOOKUP(Drivers!$Q$5,Drivers!$B$20:$C$25,2,TRUE)</f>
        <v/>
      </c>
      <c r="R47" s="9">
        <f>VLOOKUP(Drivers!$R$5,Drivers!$B$20:$C$25,2,TRUE)</f>
        <v/>
      </c>
      <c r="S47" s="9">
        <f>VLOOKUP(Drivers!$S$5,Drivers!$B$20:$C$25,2,TRUE)</f>
        <v/>
      </c>
      <c r="T47" s="9">
        <f>VLOOKUP(Drivers!$T$5,Drivers!$B$20:$C$25,2,TRUE)</f>
        <v/>
      </c>
      <c r="U47" s="9">
        <f>VLOOKUP(Drivers!$U$5,Drivers!$B$20:$C$25,2,TRUE)</f>
        <v/>
      </c>
      <c r="V47" s="9">
        <f>VLOOKUP(Drivers!$V$5,Drivers!$B$20:$C$25,2,TRUE)</f>
        <v/>
      </c>
      <c r="W47" s="9">
        <f>VLOOKUP(Drivers!$W$5,Drivers!$B$20:$C$25,2,TRUE)</f>
        <v/>
      </c>
      <c r="X47" s="9">
        <f>VLOOKUP(Drivers!$X$5,Drivers!$B$20:$C$25,2,TRUE)</f>
        <v/>
      </c>
      <c r="Y47" s="9">
        <f>VLOOKUP(Drivers!$Y$5,Drivers!$B$20:$C$25,2,TRUE)</f>
        <v/>
      </c>
      <c r="Z47" s="9">
        <f>VLOOKUP(Drivers!$Z$5,Drivers!$B$20:$C$25,2,TRUE)</f>
        <v/>
      </c>
      <c r="AA47" s="9">
        <f>VLOOKUP(Drivers!$AA$5,Drivers!$B$20:$C$25,2,TRUE)</f>
        <v/>
      </c>
      <c r="AB47" s="9">
        <f>VLOOKUP(Drivers!$AB$5,Drivers!$B$20:$C$25,2,TRUE)</f>
        <v/>
      </c>
      <c r="AC47" s="9">
        <f>VLOOKUP(Drivers!$AC$5,Drivers!$B$20:$C$25,2,TRUE)</f>
        <v/>
      </c>
      <c r="AD47" s="9">
        <f>VLOOKUP(Drivers!$AD$5,Drivers!$B$20:$C$25,2,TRUE)</f>
        <v/>
      </c>
      <c r="AE47" s="9">
        <f>VLOOKUP(Drivers!$AE$5,Drivers!$B$20:$C$25,2,TRUE)</f>
        <v/>
      </c>
      <c r="AF47" s="9">
        <f>VLOOKUP(Drivers!$AF$5,Drivers!$B$20:$C$25,2,TRUE)</f>
        <v/>
      </c>
      <c r="AG47" s="9">
        <f>VLOOKUP(Drivers!$AG$5,Drivers!$B$20:$C$25,2,TRUE)</f>
        <v/>
      </c>
      <c r="AH47" s="9">
        <f>VLOOKUP(Drivers!$AH$5,Drivers!$B$20:$C$25,2,TRUE)</f>
        <v/>
      </c>
      <c r="AI47" s="9">
        <f>VLOOKUP(Drivers!$AI$5,Drivers!$B$20:$C$25,2,TRUE)</f>
        <v/>
      </c>
      <c r="AJ47" s="9">
        <f>VLOOKUP(Drivers!$AJ$5,Drivers!$B$20:$C$25,2,TRUE)</f>
        <v/>
      </c>
      <c r="AK47" s="9">
        <f>VLOOKUP(Drivers!$AK$5,Drivers!$B$20:$C$25,2,TRUE)</f>
        <v/>
      </c>
      <c r="AL47" s="9">
        <f>VLOOKUP(Drivers!$AL$5,Drivers!$B$20:$C$25,2,TRUE)</f>
        <v/>
      </c>
      <c r="AM47" s="9">
        <f>VLOOKUP(Drivers!$AM$5,Drivers!$B$20:$C$25,2,TRUE)</f>
        <v/>
      </c>
      <c r="AN47" s="9">
        <f>VLOOKUP(Drivers!$AN$5,Drivers!$B$20:$C$25,2,TRUE)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0.2555544536385841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  <c r="AK127" s="6" t="n">
        <v>28.678987</v>
      </c>
      <c r="AL127" s="6" t="n">
        <v>29.678303</v>
      </c>
      <c r="AM127" s="6" t="n">
        <v>30.680356</v>
      </c>
      <c r="AN127" s="6" t="n">
        <v>31.679671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6.39749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17.8494201944605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238.9097983749705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1.960973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16.04908</v>
      </c>
      <c r="E170" s="27" t="n">
        <v>16.04908</v>
      </c>
      <c r="F170" s="27" t="n">
        <v>17.480336</v>
      </c>
      <c r="G170" s="27" t="n">
        <v>59.741659</v>
      </c>
      <c r="H170" s="27" t="n">
        <v>98.492092</v>
      </c>
    </row>
    <row r="171">
      <c r="C171" s="1" t="n">
        <v>0.95</v>
      </c>
      <c r="D171" s="27" t="n">
        <v>16.948822</v>
      </c>
      <c r="E171" s="27" t="n">
        <v>16.948822</v>
      </c>
      <c r="F171" s="27" t="n">
        <v>18.463356</v>
      </c>
      <c r="G171" s="27" t="n">
        <v>63.102958</v>
      </c>
      <c r="H171" s="27" t="n">
        <v>104.035564</v>
      </c>
    </row>
    <row r="172">
      <c r="C172" s="1" t="n">
        <v>1</v>
      </c>
      <c r="D172" s="27" t="n">
        <v>17.84942</v>
      </c>
      <c r="E172" s="27" t="n">
        <v>17.84942</v>
      </c>
      <c r="F172" s="27" t="n">
        <v>19.447566</v>
      </c>
      <c r="G172" s="27" t="n">
        <v>66.468469</v>
      </c>
      <c r="H172" s="27" t="n">
        <v>109.586146</v>
      </c>
    </row>
    <row r="173">
      <c r="C173" s="1" t="n">
        <v>1.05</v>
      </c>
      <c r="D173" s="27" t="n">
        <v>18.750873</v>
      </c>
      <c r="E173" s="27" t="n">
        <v>18.750873</v>
      </c>
      <c r="F173" s="27" t="n">
        <v>20.432959</v>
      </c>
      <c r="G173" s="27" t="n">
        <v>69.83816299999999</v>
      </c>
      <c r="H173" s="27" t="n">
        <v>115.143784</v>
      </c>
    </row>
    <row r="174">
      <c r="C174" s="1" t="n">
        <v>1.1</v>
      </c>
      <c r="D174" s="27" t="n">
        <v>19.653182</v>
      </c>
      <c r="E174" s="27" t="n">
        <v>19.653182</v>
      </c>
      <c r="F174" s="27" t="n">
        <v>21.419528</v>
      </c>
      <c r="G174" s="27" t="n">
        <v>73.212013</v>
      </c>
      <c r="H174" s="27" t="n">
        <v>120.708429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70.91805600000001</v>
      </c>
      <c r="E178" s="27" t="n">
        <v>47.646224</v>
      </c>
      <c r="F178" s="27" t="n">
        <v>26.100875</v>
      </c>
      <c r="G178" s="27" t="n">
        <v>17.84942</v>
      </c>
      <c r="H178" s="27" t="n">
        <v>17.84942</v>
      </c>
    </row>
    <row r="179">
      <c r="C179" s="1" t="n">
        <v>0.95</v>
      </c>
      <c r="D179" s="27" t="n">
        <v>75.707651</v>
      </c>
      <c r="E179" s="27" t="n">
        <v>51.14294</v>
      </c>
      <c r="F179" s="27" t="n">
        <v>28.400626</v>
      </c>
      <c r="G179" s="27" t="n">
        <v>17.84942</v>
      </c>
      <c r="H179" s="27" t="n">
        <v>17.84942</v>
      </c>
    </row>
    <row r="180">
      <c r="C180" s="1" t="n">
        <v>1</v>
      </c>
      <c r="D180" s="27" t="n">
        <v>80.497246</v>
      </c>
      <c r="E180" s="27" t="n">
        <v>54.639655</v>
      </c>
      <c r="F180" s="27" t="n">
        <v>30.700378</v>
      </c>
      <c r="G180" s="27" t="n">
        <v>17.84942</v>
      </c>
      <c r="H180" s="27" t="n">
        <v>17.84942</v>
      </c>
    </row>
    <row r="181">
      <c r="C181" s="1" t="n">
        <v>1.05</v>
      </c>
      <c r="D181" s="27" t="n">
        <v>85.286841</v>
      </c>
      <c r="E181" s="27" t="n">
        <v>58.136371</v>
      </c>
      <c r="F181" s="27" t="n">
        <v>33.000129</v>
      </c>
      <c r="G181" s="27" t="n">
        <v>17.84942</v>
      </c>
      <c r="H181" s="27" t="n">
        <v>17.84942</v>
      </c>
    </row>
    <row r="182">
      <c r="C182" s="1" t="n">
        <v>1.1</v>
      </c>
      <c r="D182" s="27" t="n">
        <v>90.076436</v>
      </c>
      <c r="E182" s="27" t="n">
        <v>61.633086</v>
      </c>
      <c r="F182" s="27" t="n">
        <v>35.299881</v>
      </c>
      <c r="G182" s="27" t="n">
        <v>17.84942</v>
      </c>
      <c r="H182" s="27" t="n">
        <v>17.84942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73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  <c r="AE14" s="13" t="n">
        <v>80</v>
      </c>
      <c r="AF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0.4465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6.39749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0.030178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546.9846213450508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1950.590039735184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6198.694575804235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2.408937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1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1903.303585</v>
      </c>
      <c r="E176" s="27" t="n">
        <v>2561.569247</v>
      </c>
      <c r="F176" s="27" t="n">
        <v>3345.970295</v>
      </c>
      <c r="G176" s="27" t="n">
        <v>4197.217837</v>
      </c>
      <c r="H176" s="27" t="n">
        <v>5062.084015</v>
      </c>
    </row>
    <row r="177">
      <c r="C177" s="1" t="n">
        <v>0.95</v>
      </c>
      <c r="D177" s="27" t="n">
        <v>2009.042673</v>
      </c>
      <c r="E177" s="27" t="n">
        <v>2703.87865</v>
      </c>
      <c r="F177" s="27" t="n">
        <v>3531.857533</v>
      </c>
      <c r="G177" s="27" t="n">
        <v>4430.396606</v>
      </c>
      <c r="H177" s="27" t="n">
        <v>5343.310905</v>
      </c>
    </row>
    <row r="178">
      <c r="C178" s="1" t="n">
        <v>1</v>
      </c>
      <c r="D178" s="27" t="n">
        <v>2114.781761</v>
      </c>
      <c r="E178" s="27" t="n">
        <v>2846.188052</v>
      </c>
      <c r="F178" s="27" t="n">
        <v>3717.744772</v>
      </c>
      <c r="G178" s="27" t="n">
        <v>4663.575374</v>
      </c>
      <c r="H178" s="27" t="n">
        <v>5624.537795</v>
      </c>
    </row>
    <row r="179">
      <c r="C179" s="1" t="n">
        <v>1.05</v>
      </c>
      <c r="D179" s="27" t="n">
        <v>2220.520849</v>
      </c>
      <c r="E179" s="27" t="n">
        <v>2988.497455</v>
      </c>
      <c r="F179" s="27" t="n">
        <v>3903.63201</v>
      </c>
      <c r="G179" s="27" t="n">
        <v>4896.754143</v>
      </c>
      <c r="H179" s="27" t="n">
        <v>5905.764684</v>
      </c>
    </row>
    <row r="180">
      <c r="C180" s="1" t="n">
        <v>1.1</v>
      </c>
      <c r="D180" s="27" t="n">
        <v>2326.259937</v>
      </c>
      <c r="E180" s="27" t="n">
        <v>3130.806858</v>
      </c>
      <c r="F180" s="27" t="n">
        <v>4089.519249</v>
      </c>
      <c r="G180" s="27" t="n">
        <v>5129.932912</v>
      </c>
      <c r="H180" s="27" t="n">
        <v>6186.991574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4905.919126</v>
      </c>
      <c r="E184" s="27" t="n">
        <v>4527.426269</v>
      </c>
      <c r="F184" s="27" t="n">
        <v>4148.933412</v>
      </c>
      <c r="G184" s="27" t="n">
        <v>3770.440555</v>
      </c>
      <c r="H184" s="27" t="n">
        <v>3391.947698</v>
      </c>
    </row>
    <row r="185">
      <c r="C185" s="1" t="n">
        <v>0.95</v>
      </c>
      <c r="D185" s="27" t="n">
        <v>5100.913267</v>
      </c>
      <c r="E185" s="27" t="n">
        <v>4701.393029</v>
      </c>
      <c r="F185" s="27" t="n">
        <v>4301.872791</v>
      </c>
      <c r="G185" s="27" t="n">
        <v>3902.352553</v>
      </c>
      <c r="H185" s="27" t="n">
        <v>3502.832315</v>
      </c>
    </row>
    <row r="186">
      <c r="C186" s="1" t="n">
        <v>1</v>
      </c>
      <c r="D186" s="27" t="n">
        <v>5295.907408</v>
      </c>
      <c r="E186" s="27" t="n">
        <v>4875.359789</v>
      </c>
      <c r="F186" s="27" t="n">
        <v>4454.81217</v>
      </c>
      <c r="G186" s="27" t="n">
        <v>4034.264551</v>
      </c>
      <c r="H186" s="27" t="n">
        <v>3613.716932</v>
      </c>
    </row>
    <row r="187">
      <c r="C187" s="1" t="n">
        <v>1.05</v>
      </c>
      <c r="D187" s="27" t="n">
        <v>5470.970473</v>
      </c>
      <c r="E187" s="27" t="n">
        <v>5032.938132</v>
      </c>
      <c r="F187" s="27" t="n">
        <v>4594.90579</v>
      </c>
      <c r="G187" s="27" t="n">
        <v>4156.873449</v>
      </c>
      <c r="H187" s="27" t="n">
        <v>3718.841107</v>
      </c>
    </row>
    <row r="188">
      <c r="C188" s="1" t="n">
        <v>1.1</v>
      </c>
      <c r="D188" s="27" t="n">
        <v>5623.297982</v>
      </c>
      <c r="E188" s="27" t="n">
        <v>5170.535276</v>
      </c>
      <c r="F188" s="27" t="n">
        <v>4717.77257</v>
      </c>
      <c r="G188" s="27" t="n">
        <v>4265.009864</v>
      </c>
      <c r="H188" s="27" t="n">
        <v>3812.247158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  <c r="T14" s="13" t="n">
        <v>58</v>
      </c>
      <c r="U14" s="13" t="n">
        <v>58</v>
      </c>
      <c r="V14" s="13" t="n">
        <v>58</v>
      </c>
      <c r="W14" s="13" t="n">
        <v>58</v>
      </c>
      <c r="X14" s="13" t="n">
        <v>58</v>
      </c>
      <c r="Y14" s="13" t="n">
        <v>58</v>
      </c>
      <c r="Z14" s="13" t="n">
        <v>58</v>
      </c>
      <c r="AA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  <c r="T15" s="14" t="n">
        <v>0.405</v>
      </c>
      <c r="U15" s="14" t="n">
        <v>0.405</v>
      </c>
      <c r="V15" s="14" t="n">
        <v>0.405</v>
      </c>
      <c r="W15" s="14" t="n">
        <v>0.405</v>
      </c>
      <c r="X15" s="14" t="n">
        <v>0.405</v>
      </c>
      <c r="Y15" s="14" t="n">
        <v>0.405</v>
      </c>
      <c r="Z15" s="14" t="n">
        <v>0.405</v>
      </c>
      <c r="AA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  <c r="T18" s="3" t="n">
        <v>3.514978143006797</v>
      </c>
      <c r="U18" s="3" t="n">
        <v>3.585277705866933</v>
      </c>
      <c r="V18" s="3" t="n">
        <v>3.656983259984272</v>
      </c>
      <c r="W18" s="3" t="n">
        <v>3.730122925183958</v>
      </c>
      <c r="X18" s="3" t="n">
        <v>3.804725383687637</v>
      </c>
      <c r="Y18" s="3" t="n">
        <v>3.88081989136139</v>
      </c>
      <c r="Z18" s="3" t="n">
        <v>3.958436289188617</v>
      </c>
      <c r="AA18" s="3" t="n">
        <v>4.03760501497239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  <c r="T20" s="3" t="n">
        <v>13.59124881962628</v>
      </c>
      <c r="U20" s="3" t="n">
        <v>13.86307379601881</v>
      </c>
      <c r="V20" s="3" t="n">
        <v>14.14033527193918</v>
      </c>
      <c r="W20" s="3" t="n">
        <v>14.42314197737797</v>
      </c>
      <c r="X20" s="3" t="n">
        <v>14.71160481692553</v>
      </c>
      <c r="Y20" s="3" t="n">
        <v>15.00583691326404</v>
      </c>
      <c r="Z20" s="3" t="n">
        <v>15.30595365152932</v>
      </c>
      <c r="AA20" s="3" t="n">
        <v>15.61207272455991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  <c r="T21" s="4" t="n">
        <v>0.129</v>
      </c>
      <c r="U21" s="4" t="n">
        <v>0.129</v>
      </c>
      <c r="V21" s="4" t="n">
        <v>0.129</v>
      </c>
      <c r="W21" s="4" t="n">
        <v>0.129</v>
      </c>
      <c r="X21" s="4" t="n">
        <v>0.129</v>
      </c>
      <c r="Y21" s="4" t="n">
        <v>0.129</v>
      </c>
      <c r="Z21" s="4" t="n">
        <v>0.129</v>
      </c>
      <c r="AA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  <c r="T24" s="3" t="n">
        <v>0.7920417415575317</v>
      </c>
      <c r="U24" s="3" t="n">
        <v>0.8078825763886823</v>
      </c>
      <c r="V24" s="3" t="n">
        <v>0.824040227916456</v>
      </c>
      <c r="W24" s="3" t="n">
        <v>0.8405210324747852</v>
      </c>
      <c r="X24" s="3" t="n">
        <v>0.8573314531242808</v>
      </c>
      <c r="Y24" s="3" t="n">
        <v>0.8744780821867665</v>
      </c>
      <c r="Z24" s="3" t="n">
        <v>0.8919676438305018</v>
      </c>
      <c r="AA24" s="3" t="n">
        <v>0.9098069967071118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  <c r="T25" s="3" t="n">
        <v>0.410080783350793</v>
      </c>
      <c r="U25" s="3" t="n">
        <v>0.4182823990178088</v>
      </c>
      <c r="V25" s="3" t="n">
        <v>0.4266480469981651</v>
      </c>
      <c r="W25" s="3" t="n">
        <v>0.4351810079381284</v>
      </c>
      <c r="X25" s="3" t="n">
        <v>0.4438846280968909</v>
      </c>
      <c r="Y25" s="3" t="n">
        <v>0.4527623206588288</v>
      </c>
      <c r="Z25" s="3" t="n">
        <v>0.4618175670720053</v>
      </c>
      <c r="AA25" s="3" t="n">
        <v>0.4710539184134454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  <c r="T27" s="4" t="n">
        <v>0.051938</v>
      </c>
      <c r="U27" s="4" t="n">
        <v>0.051938</v>
      </c>
      <c r="V27" s="4" t="n">
        <v>0.051938</v>
      </c>
      <c r="W27" s="4" t="n">
        <v>0.051938</v>
      </c>
      <c r="X27" s="4" t="n">
        <v>0.051938</v>
      </c>
      <c r="Y27" s="4" t="n">
        <v>0.051938</v>
      </c>
      <c r="Z27" s="4" t="n">
        <v>0.051938</v>
      </c>
      <c r="AA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  <c r="T28" s="4" t="n">
        <v>0.244131</v>
      </c>
      <c r="U28" s="4" t="n">
        <v>0.244131</v>
      </c>
      <c r="V28" s="4" t="n">
        <v>0.244131</v>
      </c>
      <c r="W28" s="4" t="n">
        <v>0.244131</v>
      </c>
      <c r="X28" s="4" t="n">
        <v>0.244131</v>
      </c>
      <c r="Y28" s="4" t="n">
        <v>0.244131</v>
      </c>
      <c r="Z28" s="4" t="n">
        <v>0.244131</v>
      </c>
      <c r="AA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  <c r="T33" s="4" t="n">
        <v>0.014964</v>
      </c>
      <c r="U33" s="4" t="n">
        <v>0.014964</v>
      </c>
      <c r="V33" s="4" t="n">
        <v>0.014964</v>
      </c>
      <c r="W33" s="4" t="n">
        <v>0.014964</v>
      </c>
      <c r="X33" s="4" t="n">
        <v>0.014964</v>
      </c>
      <c r="Y33" s="4" t="n">
        <v>0.014964</v>
      </c>
      <c r="Z33" s="4" t="n">
        <v>0.014964</v>
      </c>
      <c r="AA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  <c r="T34" s="4" t="n">
        <v>0.8</v>
      </c>
      <c r="U34" s="4" t="n">
        <v>0.8</v>
      </c>
      <c r="V34" s="4" t="n">
        <v>0.8</v>
      </c>
      <c r="W34" s="4" t="n">
        <v>0.8</v>
      </c>
      <c r="X34" s="4" t="n">
        <v>0.8</v>
      </c>
      <c r="Y34" s="4" t="n">
        <v>0.8</v>
      </c>
      <c r="Z34" s="4" t="n">
        <v>0.8</v>
      </c>
      <c r="AA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  <c r="T37" s="4" t="n">
        <v>0.166</v>
      </c>
      <c r="U37" s="4" t="n">
        <v>0.166</v>
      </c>
      <c r="V37" s="4" t="n">
        <v>0.166</v>
      </c>
      <c r="W37" s="4" t="n">
        <v>0.166</v>
      </c>
      <c r="X37" s="4" t="n">
        <v>0.166</v>
      </c>
      <c r="Y37" s="4" t="n">
        <v>0.166</v>
      </c>
      <c r="Z37" s="4" t="n">
        <v>0.166</v>
      </c>
      <c r="AA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49.08851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0.05601324478054552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5.789589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1420.91626903194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2876.699221370987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11675.51476380866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1.013222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2615.94123</v>
      </c>
      <c r="E170" s="27" t="n">
        <v>3769.215125</v>
      </c>
      <c r="F170" s="27" t="n">
        <v>5586.251804</v>
      </c>
      <c r="G170" s="27" t="n">
        <v>7553.85412</v>
      </c>
      <c r="H170" s="27" t="n">
        <v>9521.456436</v>
      </c>
    </row>
    <row r="171">
      <c r="C171" s="1" t="n">
        <v>0.95</v>
      </c>
      <c r="D171" s="27" t="n">
        <v>2761.627497</v>
      </c>
      <c r="E171" s="27" t="n">
        <v>3979.215588</v>
      </c>
      <c r="F171" s="27" t="n">
        <v>5897.619885</v>
      </c>
      <c r="G171" s="27" t="n">
        <v>7975.000671</v>
      </c>
      <c r="H171" s="27" t="n">
        <v>10052.381457</v>
      </c>
    </row>
    <row r="172">
      <c r="C172" s="1" t="n">
        <v>1</v>
      </c>
      <c r="D172" s="27" t="n">
        <v>2907.351233</v>
      </c>
      <c r="E172" s="27" t="n">
        <v>4189.278762</v>
      </c>
      <c r="F172" s="27" t="n">
        <v>6209.094088</v>
      </c>
      <c r="G172" s="27" t="n">
        <v>8396.301455999999</v>
      </c>
      <c r="H172" s="27" t="n">
        <v>10583.508825</v>
      </c>
    </row>
    <row r="173">
      <c r="C173" s="1" t="n">
        <v>1.05</v>
      </c>
      <c r="D173" s="27" t="n">
        <v>3053.112435</v>
      </c>
      <c r="E173" s="27" t="n">
        <v>4399.404587</v>
      </c>
      <c r="F173" s="27" t="n">
        <v>6520.674224</v>
      </c>
      <c r="G173" s="27" t="n">
        <v>8817.756135</v>
      </c>
      <c r="H173" s="27" t="n">
        <v>11114.838047</v>
      </c>
    </row>
    <row r="174">
      <c r="C174" s="1" t="n">
        <v>1.1</v>
      </c>
      <c r="D174" s="27" t="n">
        <v>3198.911099</v>
      </c>
      <c r="E174" s="27" t="n">
        <v>4609.593008</v>
      </c>
      <c r="F174" s="27" t="n">
        <v>6832.360107</v>
      </c>
      <c r="G174" s="27" t="n">
        <v>9239.364372</v>
      </c>
      <c r="H174" s="27" t="n">
        <v>11646.368637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8650.161004</v>
      </c>
      <c r="E178" s="27" t="n">
        <v>7950.558706</v>
      </c>
      <c r="F178" s="27" t="n">
        <v>7250.956407</v>
      </c>
      <c r="G178" s="27" t="n">
        <v>6551.354109</v>
      </c>
      <c r="H178" s="27" t="n">
        <v>5851.751811</v>
      </c>
    </row>
    <row r="179">
      <c r="C179" s="1" t="n">
        <v>0.95</v>
      </c>
      <c r="D179" s="27" t="n">
        <v>8790.686755999999</v>
      </c>
      <c r="E179" s="27" t="n">
        <v>8077.078641</v>
      </c>
      <c r="F179" s="27" t="n">
        <v>7363.470527</v>
      </c>
      <c r="G179" s="27" t="n">
        <v>6649.862412</v>
      </c>
      <c r="H179" s="27" t="n">
        <v>5936.254298</v>
      </c>
    </row>
    <row r="180">
      <c r="C180" s="1" t="n">
        <v>1</v>
      </c>
      <c r="D180" s="27" t="n">
        <v>8918.957925000001</v>
      </c>
      <c r="E180" s="27" t="n">
        <v>8192.736653</v>
      </c>
      <c r="F180" s="27" t="n">
        <v>7466.51538</v>
      </c>
      <c r="G180" s="27" t="n">
        <v>6740.294108</v>
      </c>
      <c r="H180" s="27" t="n">
        <v>6014.072836</v>
      </c>
    </row>
    <row r="181">
      <c r="C181" s="1" t="n">
        <v>1.05</v>
      </c>
      <c r="D181" s="27" t="n">
        <v>9037.601917</v>
      </c>
      <c r="E181" s="27" t="n">
        <v>8299.839970999999</v>
      </c>
      <c r="F181" s="27" t="n">
        <v>7562.078025</v>
      </c>
      <c r="G181" s="27" t="n">
        <v>6824.316079</v>
      </c>
      <c r="H181" s="27" t="n">
        <v>6086.554133</v>
      </c>
    </row>
    <row r="182">
      <c r="C182" s="1" t="n">
        <v>1.1</v>
      </c>
      <c r="D182" s="27" t="n">
        <v>9143.802518</v>
      </c>
      <c r="E182" s="27" t="n">
        <v>8395.823235</v>
      </c>
      <c r="F182" s="27" t="n">
        <v>7647.843952</v>
      </c>
      <c r="G182" s="27" t="n">
        <v>6899.864669</v>
      </c>
      <c r="H182" s="27" t="n">
        <v>6151.885385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VLOOKUP(Drivers!$H$5,Drivers!$B$20:$C$25,2,TRUE)</f>
        <v/>
      </c>
      <c r="I47" s="9">
        <f>VLOOKUP(Drivers!$I$5,Drivers!$B$20:$C$25,2,TRUE)</f>
        <v/>
      </c>
      <c r="J47" s="9">
        <f>VLOOKUP(Drivers!$J$5,Drivers!$B$20:$C$25,2,TRUE)</f>
        <v/>
      </c>
      <c r="K47" s="9">
        <f>VLOOKUP(Drivers!$K$5,Drivers!$B$20:$C$25,2,TRUE)</f>
        <v/>
      </c>
      <c r="L47" s="9">
        <f>VLOOKUP(Drivers!$L$5,Drivers!$B$20:$C$25,2,TRUE)</f>
        <v/>
      </c>
      <c r="M47" s="9">
        <f>VLOOKUP(Drivers!$M$5,Drivers!$B$20:$C$25,2,TRUE)</f>
        <v/>
      </c>
      <c r="N47" s="9">
        <f>VLOOKUP(Drivers!$N$5,Drivers!$B$20:$C$25,2,TRUE)</f>
        <v/>
      </c>
      <c r="O47" s="9">
        <f>VLOOKUP(Drivers!$O$5,Drivers!$B$20:$C$25,2,TRUE)</f>
        <v/>
      </c>
      <c r="P47" s="9">
        <f>VLOOKUP(Drivers!$P$5,Drivers!$B$20:$C$25,2,TRUE)</f>
        <v/>
      </c>
      <c r="Q47" s="9">
        <f>VLOOKUP(Drivers!$Q$5,Drivers!$B$20:$C$25,2,TRUE)</f>
        <v/>
      </c>
      <c r="R47" s="9">
        <f>VLOOKUP(Drivers!$R$5,Drivers!$B$20:$C$25,2,TRUE)</f>
        <v/>
      </c>
      <c r="S47" s="9">
        <f>VLOOKUP(Drivers!$S$5,Drivers!$B$20:$C$25,2,TRUE)</f>
        <v/>
      </c>
      <c r="T47" s="9">
        <f>VLOOKUP(Drivers!$T$5,Drivers!$B$20:$C$25,2,TRUE)</f>
        <v/>
      </c>
      <c r="U47" s="9">
        <f>VLOOKUP(Drivers!$U$5,Drivers!$B$20:$C$25,2,TRUE)</f>
        <v/>
      </c>
      <c r="V47" s="9">
        <f>VLOOKUP(Drivers!$V$5,Drivers!$B$20:$C$25,2,TRUE)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1.993879844847848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5.979341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109.6407269133002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451.4733535589906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3190.35338696944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405.996362</v>
      </c>
      <c r="E167" s="27" t="n">
        <v>466.472195</v>
      </c>
      <c r="F167" s="27" t="n">
        <v>526.948027</v>
      </c>
      <c r="G167" s="27" t="n">
        <v>1329.089663</v>
      </c>
      <c r="H167" s="27" t="n">
        <v>2709.671499</v>
      </c>
    </row>
    <row r="168">
      <c r="C168" s="1" t="n">
        <v>0.95</v>
      </c>
      <c r="D168" s="27" t="n">
        <v>430.133269</v>
      </c>
      <c r="E168" s="27" t="n">
        <v>494.345383</v>
      </c>
      <c r="F168" s="27" t="n">
        <v>558.557496</v>
      </c>
      <c r="G168" s="27" t="n">
        <v>1408.819576</v>
      </c>
      <c r="H168" s="27" t="n">
        <v>2871.946579</v>
      </c>
    </row>
    <row r="169">
      <c r="C169" s="1" t="n">
        <v>1</v>
      </c>
      <c r="D169" s="27" t="n">
        <v>454.436656</v>
      </c>
      <c r="E169" s="27" t="n">
        <v>522.424683</v>
      </c>
      <c r="F169" s="27" t="n">
        <v>590.4127099999999</v>
      </c>
      <c r="G169" s="27" t="n">
        <v>1489.143857</v>
      </c>
      <c r="H169" s="27" t="n">
        <v>3035.397565</v>
      </c>
    </row>
    <row r="170">
      <c r="C170" s="1" t="n">
        <v>1.05</v>
      </c>
      <c r="D170" s="27" t="n">
        <v>477.265799</v>
      </c>
      <c r="E170" s="27" t="n">
        <v>548.678774</v>
      </c>
      <c r="F170" s="27" t="n">
        <v>620.091749</v>
      </c>
      <c r="G170" s="27" t="n">
        <v>1563.998318</v>
      </c>
      <c r="H170" s="27" t="n">
        <v>3187.958122</v>
      </c>
    </row>
    <row r="171">
      <c r="C171" s="1" t="n">
        <v>1.1</v>
      </c>
      <c r="D171" s="27" t="n">
        <v>499.992742</v>
      </c>
      <c r="E171" s="27" t="n">
        <v>574.806335</v>
      </c>
      <c r="F171" s="27" t="n">
        <v>649.619928</v>
      </c>
      <c r="G171" s="27" t="n">
        <v>1638.474428</v>
      </c>
      <c r="H171" s="27" t="n">
        <v>3339.765651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2107.027974</v>
      </c>
      <c r="E175" s="27" t="n">
        <v>1268.483051</v>
      </c>
      <c r="F175" s="27" t="n">
        <v>570.888499</v>
      </c>
      <c r="G175" s="27" t="n">
        <v>544.041881</v>
      </c>
      <c r="H175" s="27" t="n">
        <v>517.195262</v>
      </c>
    </row>
    <row r="176">
      <c r="C176" s="1" t="n">
        <v>0.95</v>
      </c>
      <c r="D176" s="27" t="n">
        <v>2270.862828</v>
      </c>
      <c r="E176" s="27" t="n">
        <v>1385.732077</v>
      </c>
      <c r="F176" s="27" t="n">
        <v>580.650604</v>
      </c>
      <c r="G176" s="27" t="n">
        <v>552.312507</v>
      </c>
      <c r="H176" s="27" t="n">
        <v>523.974409</v>
      </c>
    </row>
    <row r="177">
      <c r="C177" s="1" t="n">
        <v>1</v>
      </c>
      <c r="D177" s="27" t="n">
        <v>2434.697683</v>
      </c>
      <c r="E177" s="27" t="n">
        <v>1502.981102</v>
      </c>
      <c r="F177" s="27" t="n">
        <v>590.4127099999999</v>
      </c>
      <c r="G177" s="27" t="n">
        <v>560.583133</v>
      </c>
      <c r="H177" s="27" t="n">
        <v>530.753556</v>
      </c>
    </row>
    <row r="178">
      <c r="C178" s="1" t="n">
        <v>1.05</v>
      </c>
      <c r="D178" s="27" t="n">
        <v>2605.155098</v>
      </c>
      <c r="E178" s="27" t="n">
        <v>1637.397303</v>
      </c>
      <c r="F178" s="27" t="n">
        <v>669.639509</v>
      </c>
      <c r="G178" s="27" t="n">
        <v>568.853759</v>
      </c>
      <c r="H178" s="27" t="n">
        <v>537.532704</v>
      </c>
    </row>
    <row r="179">
      <c r="C179" s="1" t="n">
        <v>1.1</v>
      </c>
      <c r="D179" s="27" t="n">
        <v>2785.665597</v>
      </c>
      <c r="E179" s="27" t="n">
        <v>1797.873373</v>
      </c>
      <c r="F179" s="27" t="n">
        <v>810.08115</v>
      </c>
      <c r="G179" s="27" t="n">
        <v>577.124385</v>
      </c>
      <c r="H179" s="27" t="n">
        <v>544.311851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0.0640324510124614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4.270397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3936.874160137984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18000.18908543655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41640.99046785737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16295.515825</v>
      </c>
      <c r="E167" s="27" t="n">
        <v>17470.194364</v>
      </c>
      <c r="F167" s="27" t="n">
        <v>20195.969777</v>
      </c>
      <c r="G167" s="27" t="n">
        <v>25643.66291</v>
      </c>
      <c r="H167" s="27" t="n">
        <v>32750.999279</v>
      </c>
    </row>
    <row r="168">
      <c r="C168" s="1" t="n">
        <v>0.95</v>
      </c>
      <c r="D168" s="27" t="n">
        <v>17203.095189</v>
      </c>
      <c r="E168" s="27" t="n">
        <v>18443.316554</v>
      </c>
      <c r="F168" s="27" t="n">
        <v>21321.05647</v>
      </c>
      <c r="G168" s="27" t="n">
        <v>27072.499124</v>
      </c>
      <c r="H168" s="27" t="n">
        <v>34576.305475</v>
      </c>
    </row>
    <row r="169">
      <c r="C169" s="1" t="n">
        <v>1</v>
      </c>
      <c r="D169" s="27" t="n">
        <v>18110.913809</v>
      </c>
      <c r="E169" s="27" t="n">
        <v>19416.707763</v>
      </c>
      <c r="F169" s="27" t="n">
        <v>22446.467913</v>
      </c>
      <c r="G169" s="27" t="n">
        <v>28501.774229</v>
      </c>
      <c r="H169" s="27" t="n">
        <v>36402.217442</v>
      </c>
    </row>
    <row r="170">
      <c r="C170" s="1" t="n">
        <v>1.05</v>
      </c>
      <c r="D170" s="27" t="n">
        <v>19018.971684</v>
      </c>
      <c r="E170" s="27" t="n">
        <v>20390.36799</v>
      </c>
      <c r="F170" s="27" t="n">
        <v>23572.204058</v>
      </c>
      <c r="G170" s="27" t="n">
        <v>29931.487948</v>
      </c>
      <c r="H170" s="27" t="n">
        <v>38228.734418</v>
      </c>
    </row>
    <row r="171">
      <c r="C171" s="1" t="n">
        <v>1.1</v>
      </c>
      <c r="D171" s="27" t="n">
        <v>19927.268815</v>
      </c>
      <c r="E171" s="27" t="n">
        <v>21364.297231</v>
      </c>
      <c r="F171" s="27" t="n">
        <v>24698.264858</v>
      </c>
      <c r="G171" s="27" t="n">
        <v>31361.640006</v>
      </c>
      <c r="H171" s="27" t="n">
        <v>40055.855651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30007.044226</v>
      </c>
      <c r="E175" s="27" t="n">
        <v>26055.312137</v>
      </c>
      <c r="F175" s="27" t="n">
        <v>22176.410415</v>
      </c>
      <c r="G175" s="27" t="n">
        <v>20339.523003</v>
      </c>
      <c r="H175" s="27" t="n">
        <v>19522.949582</v>
      </c>
    </row>
    <row r="176">
      <c r="C176" s="1" t="n">
        <v>0.95</v>
      </c>
      <c r="D176" s="27" t="n">
        <v>30676.882077</v>
      </c>
      <c r="E176" s="27" t="n">
        <v>26622.270584</v>
      </c>
      <c r="F176" s="27" t="n">
        <v>22567.659092</v>
      </c>
      <c r="G176" s="27" t="n">
        <v>20498.954228</v>
      </c>
      <c r="H176" s="27" t="n">
        <v>19637.015617</v>
      </c>
    </row>
    <row r="177">
      <c r="C177" s="1" t="n">
        <v>1</v>
      </c>
      <c r="D177" s="27" t="n">
        <v>31287.619836</v>
      </c>
      <c r="E177" s="27" t="n">
        <v>27137.110496</v>
      </c>
      <c r="F177" s="27" t="n">
        <v>22986.601157</v>
      </c>
      <c r="G177" s="27" t="n">
        <v>20658.385453</v>
      </c>
      <c r="H177" s="27" t="n">
        <v>19751.081652</v>
      </c>
    </row>
    <row r="178">
      <c r="C178" s="1" t="n">
        <v>1.05</v>
      </c>
      <c r="D178" s="27" t="n">
        <v>31909.253542</v>
      </c>
      <c r="E178" s="27" t="n">
        <v>27670.038781</v>
      </c>
      <c r="F178" s="27" t="n">
        <v>23430.82402</v>
      </c>
      <c r="G178" s="27" t="n">
        <v>20830.45432</v>
      </c>
      <c r="H178" s="27" t="n">
        <v>19865.147687</v>
      </c>
    </row>
    <row r="179">
      <c r="C179" s="1" t="n">
        <v>1.1</v>
      </c>
      <c r="D179" s="27" t="n">
        <v>32527.556045</v>
      </c>
      <c r="E179" s="27" t="n">
        <v>28203.518728</v>
      </c>
      <c r="F179" s="27" t="n">
        <v>23879.481411</v>
      </c>
      <c r="G179" s="27" t="n">
        <v>21003.697796</v>
      </c>
      <c r="H179" s="27" t="n">
        <v>19979.213722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0.08206857773478511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6.098281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321.7555984757956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2721.755954830312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6700.629653599377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0.998846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-0.25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0.2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0.6</v>
      </c>
    </row>
    <row r="169">
      <c r="A169" t="inlineStr">
        <is>
          <t>Share of today's premium kept (probability-weighted)</t>
        </is>
      </c>
      <c r="C169" s="31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2625.918223</v>
      </c>
      <c r="E176" s="27" t="n">
        <v>3344.062578</v>
      </c>
      <c r="F176" s="27" t="n">
        <v>4054.944876</v>
      </c>
      <c r="G176" s="27" t="n">
        <v>4760.041817</v>
      </c>
      <c r="H176" s="27" t="n">
        <v>5455.875505</v>
      </c>
    </row>
    <row r="177">
      <c r="C177" s="1" t="n">
        <v>0.95</v>
      </c>
      <c r="D177" s="27" t="n">
        <v>2772.284614</v>
      </c>
      <c r="E177" s="27" t="n">
        <v>3530.510831</v>
      </c>
      <c r="F177" s="27" t="n">
        <v>4281.069566</v>
      </c>
      <c r="G177" s="27" t="n">
        <v>5025.520004</v>
      </c>
      <c r="H177" s="27" t="n">
        <v>5760.190821</v>
      </c>
    </row>
    <row r="178">
      <c r="C178" s="1" t="n">
        <v>1</v>
      </c>
      <c r="D178" s="27" t="n">
        <v>2918.701449</v>
      </c>
      <c r="E178" s="27" t="n">
        <v>3717.028622</v>
      </c>
      <c r="F178" s="27" t="n">
        <v>4507.282679</v>
      </c>
      <c r="G178" s="27" t="n">
        <v>5291.105338</v>
      </c>
      <c r="H178" s="27" t="n">
        <v>6064.631828</v>
      </c>
    </row>
    <row r="179">
      <c r="C179" s="1" t="n">
        <v>1.05</v>
      </c>
      <c r="D179" s="27" t="n">
        <v>3065.168687</v>
      </c>
      <c r="E179" s="27" t="n">
        <v>3903.615857</v>
      </c>
      <c r="F179" s="27" t="n">
        <v>4733.584071</v>
      </c>
      <c r="G179" s="27" t="n">
        <v>5556.797623</v>
      </c>
      <c r="H179" s="27" t="n">
        <v>6369.198276</v>
      </c>
    </row>
    <row r="180">
      <c r="C180" s="1" t="n">
        <v>1.1</v>
      </c>
      <c r="D180" s="27" t="n">
        <v>3211.686288</v>
      </c>
      <c r="E180" s="27" t="n">
        <v>4090.272445</v>
      </c>
      <c r="F180" s="27" t="n">
        <v>4959.973598</v>
      </c>
      <c r="G180" s="27" t="n">
        <v>5822.596665</v>
      </c>
      <c r="H180" s="27" t="n">
        <v>6673.889923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5382.214761</v>
      </c>
      <c r="E184" s="27" t="n">
        <v>4976.966785</v>
      </c>
      <c r="F184" s="27" t="n">
        <v>4571.718809</v>
      </c>
      <c r="G184" s="27" t="n">
        <v>4166.470833</v>
      </c>
      <c r="H184" s="27" t="n">
        <v>3761.222857</v>
      </c>
    </row>
    <row r="185">
      <c r="C185" s="1" t="n">
        <v>0.95</v>
      </c>
      <c r="D185" s="27" t="n">
        <v>5451.827372</v>
      </c>
      <c r="E185" s="27" t="n">
        <v>5024.065619</v>
      </c>
      <c r="F185" s="27" t="n">
        <v>4596.303867</v>
      </c>
      <c r="G185" s="27" t="n">
        <v>4168.542115</v>
      </c>
      <c r="H185" s="27" t="n">
        <v>3740.780363</v>
      </c>
    </row>
    <row r="186">
      <c r="C186" s="1" t="n">
        <v>1</v>
      </c>
      <c r="D186" s="27" t="n">
        <v>5521.439983</v>
      </c>
      <c r="E186" s="27" t="n">
        <v>5071.164454</v>
      </c>
      <c r="F186" s="27" t="n">
        <v>4620.888925</v>
      </c>
      <c r="G186" s="27" t="n">
        <v>4170.613397</v>
      </c>
      <c r="H186" s="27" t="n">
        <v>3720.337868</v>
      </c>
    </row>
    <row r="187">
      <c r="C187" s="1" t="n">
        <v>1.05</v>
      </c>
      <c r="D187" s="27" t="n">
        <v>5591.052594</v>
      </c>
      <c r="E187" s="27" t="n">
        <v>5118.263288</v>
      </c>
      <c r="F187" s="27" t="n">
        <v>4645.473983</v>
      </c>
      <c r="G187" s="27" t="n">
        <v>4172.684678</v>
      </c>
      <c r="H187" s="27" t="n">
        <v>3699.895373</v>
      </c>
    </row>
    <row r="188">
      <c r="C188" s="1" t="n">
        <v>1.1</v>
      </c>
      <c r="D188" s="27" t="n">
        <v>5660.665205</v>
      </c>
      <c r="E188" s="27" t="n">
        <v>5165.362123</v>
      </c>
      <c r="F188" s="27" t="n">
        <v>4670.059041</v>
      </c>
      <c r="G188" s="27" t="n">
        <v>4174.75596</v>
      </c>
      <c r="H188" s="27" t="n">
        <v>3679.452878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O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60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49.5</v>
      </c>
      <c r="I14" s="13" t="n">
        <v>50</v>
      </c>
      <c r="J14" s="13" t="n">
        <v>50</v>
      </c>
      <c r="K14" s="13" t="n">
        <v>50</v>
      </c>
      <c r="L14" s="13" t="n">
        <v>50</v>
      </c>
      <c r="M14" s="13" t="n">
        <v>50</v>
      </c>
      <c r="N14" s="13" t="n">
        <v>50</v>
      </c>
      <c r="O14" s="13" t="n">
        <v>50</v>
      </c>
      <c r="P14" s="13" t="n">
        <v>50</v>
      </c>
      <c r="Q14" s="13" t="n">
        <v>50</v>
      </c>
      <c r="R14" s="13" t="n">
        <v>50</v>
      </c>
      <c r="S14" s="13" t="n">
        <v>50</v>
      </c>
      <c r="T14" s="13" t="n">
        <v>50</v>
      </c>
      <c r="U14" s="13" t="n">
        <v>50</v>
      </c>
      <c r="V14" s="13" t="n">
        <v>50</v>
      </c>
      <c r="W14" s="13" t="n">
        <v>50</v>
      </c>
      <c r="X14" s="13" t="n">
        <v>50</v>
      </c>
      <c r="Y14" s="13" t="n">
        <v>50</v>
      </c>
      <c r="Z14" s="13" t="n">
        <v>50</v>
      </c>
      <c r="AA14" s="13" t="n">
        <v>50</v>
      </c>
      <c r="AB14" s="13" t="n">
        <v>50</v>
      </c>
      <c r="AC14" s="13" t="n">
        <v>50</v>
      </c>
      <c r="AD14" s="13" t="n">
        <v>50</v>
      </c>
      <c r="AE14" s="13" t="n">
        <v>50</v>
      </c>
      <c r="AF14" s="13" t="n">
        <v>50</v>
      </c>
      <c r="AG14" s="13" t="n">
        <v>50</v>
      </c>
      <c r="AH14" s="13" t="n">
        <v>50</v>
      </c>
      <c r="AI14" s="13" t="n">
        <v>50</v>
      </c>
      <c r="AJ14" s="13" t="n">
        <v>50</v>
      </c>
      <c r="AK14" s="13" t="n">
        <v>50</v>
      </c>
      <c r="AL14" s="13" t="n">
        <v>50</v>
      </c>
      <c r="AM14" s="13" t="n">
        <v>50</v>
      </c>
      <c r="AN14" s="13" t="n">
        <v>50</v>
      </c>
      <c r="AO14" s="13" t="n">
        <v>50</v>
      </c>
      <c r="AP14" s="13" t="n">
        <v>50</v>
      </c>
      <c r="AQ14" s="13" t="n">
        <v>50</v>
      </c>
      <c r="AR14" s="13" t="n">
        <v>50</v>
      </c>
      <c r="AS14" s="13" t="n">
        <v>50</v>
      </c>
      <c r="AT14" s="13" t="n">
        <v>50</v>
      </c>
      <c r="AU14" s="13" t="n">
        <v>50</v>
      </c>
      <c r="AV14" s="13" t="n">
        <v>50</v>
      </c>
      <c r="AW14" s="13" t="n">
        <v>50</v>
      </c>
      <c r="AX14" s="13" t="n">
        <v>50</v>
      </c>
      <c r="AY14" s="13" t="n">
        <v>50</v>
      </c>
      <c r="AZ14" s="13" t="n">
        <v>50</v>
      </c>
      <c r="BA14" s="13" t="n">
        <v>50</v>
      </c>
      <c r="BB14" s="13" t="n">
        <v>50</v>
      </c>
      <c r="BC14" s="13" t="n">
        <v>50</v>
      </c>
      <c r="BD14" s="13" t="n">
        <v>50</v>
      </c>
      <c r="BE14" s="13" t="n">
        <v>50</v>
      </c>
      <c r="BF14" s="13" t="n">
        <v>50</v>
      </c>
      <c r="BG14" s="13" t="n">
        <v>50</v>
      </c>
      <c r="BH14" s="13" t="n">
        <v>50</v>
      </c>
      <c r="BI14" s="13" t="n">
        <v>50</v>
      </c>
      <c r="BJ14" s="13" t="n">
        <v>50</v>
      </c>
      <c r="BK14" s="13" t="n">
        <v>50</v>
      </c>
      <c r="BL14" s="13" t="n">
        <v>50</v>
      </c>
      <c r="BM14" s="13" t="n">
        <v>50</v>
      </c>
      <c r="BN14" s="13" t="n">
        <v>50</v>
      </c>
      <c r="BO14" s="13" t="n">
        <v>50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0.4635</v>
      </c>
      <c r="I15" s="14" t="n">
        <v>0.5175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0.54</v>
      </c>
      <c r="I16" s="4" t="n">
        <v>0.54</v>
      </c>
      <c r="J16" s="4" t="n">
        <v>0.54</v>
      </c>
      <c r="K16" s="4" t="n">
        <v>0.54</v>
      </c>
      <c r="L16" s="4" t="n">
        <v>0.54</v>
      </c>
      <c r="M16" s="4" t="n">
        <v>0.54</v>
      </c>
      <c r="N16" s="4" t="n">
        <v>0.54</v>
      </c>
      <c r="O16" s="4" t="n">
        <v>0.54</v>
      </c>
      <c r="P16" s="4" t="n">
        <v>0.54</v>
      </c>
      <c r="Q16" s="4" t="n">
        <v>0.54</v>
      </c>
      <c r="R16" s="4" t="n">
        <v>0.54</v>
      </c>
      <c r="S16" s="4" t="n">
        <v>0.54</v>
      </c>
      <c r="T16" s="4" t="n">
        <v>0.54</v>
      </c>
      <c r="U16" s="4" t="n">
        <v>0.54</v>
      </c>
      <c r="V16" s="4" t="n">
        <v>0.54</v>
      </c>
      <c r="W16" s="4" t="n">
        <v>0.54</v>
      </c>
      <c r="X16" s="4" t="n">
        <v>0.54</v>
      </c>
      <c r="Y16" s="4" t="n">
        <v>0.54</v>
      </c>
      <c r="Z16" s="4" t="n">
        <v>0.54</v>
      </c>
      <c r="AA16" s="4" t="n">
        <v>0.54</v>
      </c>
      <c r="AB16" s="4" t="n">
        <v>0.54</v>
      </c>
      <c r="AC16" s="4" t="n">
        <v>0.54</v>
      </c>
      <c r="AD16" s="4" t="n">
        <v>0.54</v>
      </c>
      <c r="AE16" s="4" t="n">
        <v>0.54</v>
      </c>
      <c r="AF16" s="4" t="n">
        <v>0.54</v>
      </c>
      <c r="AG16" s="4" t="n">
        <v>0.54</v>
      </c>
      <c r="AH16" s="4" t="n">
        <v>0.54</v>
      </c>
      <c r="AI16" s="4" t="n">
        <v>0.54</v>
      </c>
      <c r="AJ16" s="4" t="n">
        <v>0.54</v>
      </c>
      <c r="AK16" s="4" t="n">
        <v>0.54</v>
      </c>
      <c r="AL16" s="4" t="n">
        <v>0.54</v>
      </c>
      <c r="AM16" s="4" t="n">
        <v>0.54</v>
      </c>
      <c r="AN16" s="4" t="n">
        <v>0.54</v>
      </c>
      <c r="AO16" s="4" t="n">
        <v>0.54</v>
      </c>
      <c r="AP16" s="4" t="n">
        <v>0.54</v>
      </c>
      <c r="AQ16" s="4" t="n">
        <v>0.54</v>
      </c>
      <c r="AR16" s="4" t="n">
        <v>0.54</v>
      </c>
      <c r="AS16" s="4" t="n">
        <v>0.54</v>
      </c>
      <c r="AT16" s="4" t="n">
        <v>0.54</v>
      </c>
      <c r="AU16" s="4" t="n">
        <v>0.54</v>
      </c>
      <c r="AV16" s="4" t="n">
        <v>0.54</v>
      </c>
      <c r="AW16" s="4" t="n">
        <v>0.54</v>
      </c>
      <c r="AX16" s="4" t="n">
        <v>0.54</v>
      </c>
      <c r="AY16" s="4" t="n">
        <v>0.54</v>
      </c>
      <c r="AZ16" s="4" t="n">
        <v>0.54</v>
      </c>
      <c r="BA16" s="4" t="n">
        <v>0.54</v>
      </c>
      <c r="BB16" s="4" t="n">
        <v>0.54</v>
      </c>
      <c r="BC16" s="4" t="n">
        <v>0.54</v>
      </c>
      <c r="BD16" s="4" t="n">
        <v>0.54</v>
      </c>
      <c r="BE16" s="4" t="n">
        <v>0.54</v>
      </c>
      <c r="BF16" s="4" t="n">
        <v>0.54</v>
      </c>
      <c r="BG16" s="4" t="n">
        <v>0.54</v>
      </c>
      <c r="BH16" s="4" t="n">
        <v>0.54</v>
      </c>
      <c r="BI16" s="4" t="n">
        <v>0.54</v>
      </c>
      <c r="BJ16" s="4" t="n">
        <v>0.54</v>
      </c>
      <c r="BK16" s="4" t="n">
        <v>0.54</v>
      </c>
      <c r="BL16" s="4" t="n">
        <v>0.54</v>
      </c>
      <c r="BM16" s="4" t="n">
        <v>0.54</v>
      </c>
      <c r="BN16" s="4" t="n">
        <v>0.54</v>
      </c>
      <c r="BO16" s="4" t="n">
        <v>0.54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6.06</v>
      </c>
      <c r="I17" s="14" t="n">
        <v>6.06</v>
      </c>
      <c r="J17" s="14" t="n">
        <v>6.06</v>
      </c>
      <c r="K17" s="14" t="n">
        <v>6.06</v>
      </c>
      <c r="L17" s="14" t="n">
        <v>6.06</v>
      </c>
      <c r="M17" s="14" t="n">
        <v>6.06</v>
      </c>
      <c r="N17" s="14" t="n">
        <v>6.06</v>
      </c>
      <c r="O17" s="14" t="n">
        <v>6.06</v>
      </c>
      <c r="P17" s="14" t="n">
        <v>6.06</v>
      </c>
      <c r="Q17" s="14" t="n">
        <v>6.06</v>
      </c>
      <c r="R17" s="14" t="n">
        <v>6.06</v>
      </c>
      <c r="S17" s="14" t="n">
        <v>6.06</v>
      </c>
      <c r="T17" s="14" t="n">
        <v>6.06</v>
      </c>
      <c r="U17" s="14" t="n">
        <v>6.06</v>
      </c>
      <c r="V17" s="14" t="n">
        <v>6.06</v>
      </c>
      <c r="W17" s="14" t="n">
        <v>6.06</v>
      </c>
      <c r="X17" s="14" t="n">
        <v>6.06</v>
      </c>
      <c r="Y17" s="14" t="n">
        <v>6.06</v>
      </c>
      <c r="Z17" s="14" t="n">
        <v>6.06</v>
      </c>
      <c r="AA17" s="14" t="n">
        <v>6.06</v>
      </c>
      <c r="AB17" s="14" t="n">
        <v>6.06</v>
      </c>
      <c r="AC17" s="14" t="n">
        <v>6.06</v>
      </c>
      <c r="AD17" s="14" t="n">
        <v>6.06</v>
      </c>
      <c r="AE17" s="14" t="n">
        <v>6.06</v>
      </c>
      <c r="AF17" s="14" t="n">
        <v>6.06</v>
      </c>
      <c r="AG17" s="14" t="n">
        <v>6.06</v>
      </c>
      <c r="AH17" s="14" t="n">
        <v>6.06</v>
      </c>
      <c r="AI17" s="14" t="n">
        <v>6.06</v>
      </c>
      <c r="AJ17" s="14" t="n">
        <v>6.06</v>
      </c>
      <c r="AK17" s="14" t="n">
        <v>6.06</v>
      </c>
      <c r="AL17" s="14" t="n">
        <v>6.06</v>
      </c>
      <c r="AM17" s="14" t="n">
        <v>6.06</v>
      </c>
      <c r="AN17" s="14" t="n">
        <v>6.06</v>
      </c>
      <c r="AO17" s="14" t="n">
        <v>6.06</v>
      </c>
      <c r="AP17" s="14" t="n">
        <v>6.06</v>
      </c>
      <c r="AQ17" s="14" t="n">
        <v>6.06</v>
      </c>
      <c r="AR17" s="14" t="n">
        <v>6.06</v>
      </c>
      <c r="AS17" s="14" t="n">
        <v>6.06</v>
      </c>
      <c r="AT17" s="14" t="n">
        <v>6.06</v>
      </c>
      <c r="AU17" s="14" t="n">
        <v>6.06</v>
      </c>
      <c r="AV17" s="14" t="n">
        <v>6.06</v>
      </c>
      <c r="AW17" s="14" t="n">
        <v>6.06</v>
      </c>
      <c r="AX17" s="14" t="n">
        <v>6.06</v>
      </c>
      <c r="AY17" s="14" t="n">
        <v>6.06</v>
      </c>
      <c r="AZ17" s="14" t="n">
        <v>6.06</v>
      </c>
      <c r="BA17" s="14" t="n">
        <v>6.06</v>
      </c>
      <c r="BB17" s="14" t="n">
        <v>6.06</v>
      </c>
      <c r="BC17" s="14" t="n">
        <v>6.06</v>
      </c>
      <c r="BD17" s="14" t="n">
        <v>6.06</v>
      </c>
      <c r="BE17" s="14" t="n">
        <v>6.06</v>
      </c>
      <c r="BF17" s="14" t="n">
        <v>6.06</v>
      </c>
      <c r="BG17" s="14" t="n">
        <v>6.06</v>
      </c>
      <c r="BH17" s="14" t="n">
        <v>6.06</v>
      </c>
      <c r="BI17" s="14" t="n">
        <v>6.06</v>
      </c>
      <c r="BJ17" s="14" t="n">
        <v>6.06</v>
      </c>
      <c r="BK17" s="14" t="n">
        <v>6.06</v>
      </c>
      <c r="BL17" s="14" t="n">
        <v>6.06</v>
      </c>
      <c r="BM17" s="14" t="n">
        <v>6.06</v>
      </c>
      <c r="BN17" s="14" t="n">
        <v>6.06</v>
      </c>
      <c r="BO17" s="14" t="n">
        <v>6.06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350597</v>
      </c>
      <c r="I20" s="3" t="n">
        <v>350597</v>
      </c>
      <c r="J20" s="3" t="n">
        <v>350597</v>
      </c>
      <c r="K20" s="3" t="n">
        <v>350597</v>
      </c>
      <c r="L20" s="3" t="n">
        <v>350597</v>
      </c>
      <c r="M20" s="3" t="n">
        <v>359361.925</v>
      </c>
      <c r="N20" s="3" t="n">
        <v>368345.973125</v>
      </c>
      <c r="O20" s="3" t="n">
        <v>377554.6224531249</v>
      </c>
      <c r="P20" s="3" t="n">
        <v>386993.488014453</v>
      </c>
      <c r="Q20" s="3" t="n">
        <v>396668.3252148143</v>
      </c>
      <c r="R20" s="3" t="n">
        <v>406585.0333451846</v>
      </c>
      <c r="S20" s="3" t="n">
        <v>416749.6591788142</v>
      </c>
      <c r="T20" s="3" t="n">
        <v>427168.4006582845</v>
      </c>
      <c r="U20" s="3" t="n">
        <v>437847.6106747416</v>
      </c>
      <c r="V20" s="3" t="n">
        <v>448793.8009416101</v>
      </c>
      <c r="W20" s="3" t="n">
        <v>460013.6459651503</v>
      </c>
      <c r="X20" s="3" t="n">
        <v>471513.987114279</v>
      </c>
      <c r="Y20" s="3" t="n">
        <v>483301.8367921359</v>
      </c>
      <c r="Z20" s="3" t="n">
        <v>495384.3827119393</v>
      </c>
      <c r="AA20" s="3" t="n">
        <v>507768.9922797377</v>
      </c>
      <c r="AB20" s="3" t="n">
        <v>520463.2170867312</v>
      </c>
      <c r="AC20" s="3" t="n">
        <v>533474.7975138994</v>
      </c>
      <c r="AD20" s="3" t="n">
        <v>546811.6674517468</v>
      </c>
      <c r="AE20" s="3" t="n">
        <v>560481.9591380404</v>
      </c>
      <c r="AF20" s="3" t="n">
        <v>574494.0081164914</v>
      </c>
      <c r="AG20" s="3" t="n">
        <v>588856.3583194036</v>
      </c>
      <c r="AH20" s="3" t="n">
        <v>603577.7672773886</v>
      </c>
      <c r="AI20" s="3" t="n">
        <v>618667.2114593233</v>
      </c>
      <c r="AJ20" s="3" t="n">
        <v>634133.8917458063</v>
      </c>
      <c r="AK20" s="3" t="n">
        <v>649987.2390394515</v>
      </c>
      <c r="AL20" s="3" t="n">
        <v>666236.9200154376</v>
      </c>
      <c r="AM20" s="3" t="n">
        <v>682892.8430158235</v>
      </c>
      <c r="AN20" s="3" t="n">
        <v>699965.1640912191</v>
      </c>
      <c r="AO20" s="3" t="n">
        <v>717464.2931934996</v>
      </c>
      <c r="AP20" s="3" t="n">
        <v>735400.9005233368</v>
      </c>
      <c r="AQ20" s="3" t="n">
        <v>753785.9230364204</v>
      </c>
      <c r="AR20" s="3" t="n">
        <v>772630.5711123308</v>
      </c>
      <c r="AS20" s="3" t="n">
        <v>791946.3353901389</v>
      </c>
      <c r="AT20" s="3" t="n">
        <v>811744.9937748923</v>
      </c>
      <c r="AU20" s="3" t="n">
        <v>832038.6186192646</v>
      </c>
      <c r="AV20" s="3" t="n">
        <v>852839.5840847461</v>
      </c>
      <c r="AW20" s="3" t="n">
        <v>874160.5736868647</v>
      </c>
      <c r="AX20" s="3" t="n">
        <v>896014.5880290363</v>
      </c>
      <c r="AY20" s="3" t="n">
        <v>918414.9527297619</v>
      </c>
      <c r="AZ20" s="3" t="n">
        <v>941375.3265480059</v>
      </c>
      <c r="BA20" s="3" t="n">
        <v>964909.7097117061</v>
      </c>
      <c r="BB20" s="3" t="n">
        <v>989032.4524544986</v>
      </c>
      <c r="BC20" s="3" t="n">
        <v>1013758.263765861</v>
      </c>
      <c r="BD20" s="3" t="n">
        <v>1039102.220360007</v>
      </c>
      <c r="BE20" s="3" t="n">
        <v>1065079.775869008</v>
      </c>
      <c r="BF20" s="3" t="n">
        <v>1091706.770265733</v>
      </c>
      <c r="BG20" s="3" t="n">
        <v>1118999.439522376</v>
      </c>
      <c r="BH20" s="3" t="n">
        <v>1146974.425510435</v>
      </c>
      <c r="BI20" s="3" t="n">
        <v>1175648.786148196</v>
      </c>
      <c r="BJ20" s="3" t="n">
        <v>1205040.005801901</v>
      </c>
      <c r="BK20" s="3" t="n">
        <v>1235166.005946948</v>
      </c>
      <c r="BL20" s="3" t="n">
        <v>1266045.156095622</v>
      </c>
      <c r="BM20" s="3" t="n">
        <v>1297696.284998012</v>
      </c>
      <c r="BN20" s="3" t="n">
        <v>1330138.692122962</v>
      </c>
      <c r="BO20" s="3" t="n">
        <v>1363392.159426036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  <c r="AL42" s="16">
        <f>Drivers!$AL$6</f>
        <v/>
      </c>
      <c r="AM42" s="16">
        <f>Drivers!$AM$6</f>
        <v/>
      </c>
      <c r="AN42" s="16">
        <f>Drivers!$AN$6</f>
        <v/>
      </c>
      <c r="AO42" s="16">
        <f>Drivers!$AO$6</f>
        <v/>
      </c>
      <c r="AP42" s="16">
        <f>Drivers!$AP$6</f>
        <v/>
      </c>
      <c r="AQ42" s="16">
        <f>Drivers!$AQ$6</f>
        <v/>
      </c>
      <c r="AR42" s="16">
        <f>Drivers!$AR$6</f>
        <v/>
      </c>
      <c r="AS42" s="16">
        <f>Drivers!$AS$6</f>
        <v/>
      </c>
      <c r="AT42" s="16">
        <f>Drivers!$AT$6</f>
        <v/>
      </c>
      <c r="AU42" s="16">
        <f>Drivers!$AU$6</f>
        <v/>
      </c>
      <c r="AV42" s="16">
        <f>Drivers!$AV$6</f>
        <v/>
      </c>
      <c r="AW42" s="16">
        <f>Drivers!$AW$6</f>
        <v/>
      </c>
      <c r="AX42" s="16">
        <f>Drivers!$AX$6</f>
        <v/>
      </c>
      <c r="AY42" s="16">
        <f>Drivers!$AY$6</f>
        <v/>
      </c>
      <c r="AZ42" s="16">
        <f>Drivers!$AZ$6</f>
        <v/>
      </c>
      <c r="BA42" s="16">
        <f>Drivers!$BA$6</f>
        <v/>
      </c>
      <c r="BB42" s="16">
        <f>Drivers!$BB$6</f>
        <v/>
      </c>
      <c r="BC42" s="16">
        <f>Drivers!$BC$6</f>
        <v/>
      </c>
      <c r="BD42" s="16">
        <f>Drivers!$BD$6</f>
        <v/>
      </c>
      <c r="BE42" s="16">
        <f>Drivers!$BE$6</f>
        <v/>
      </c>
      <c r="BF42" s="16">
        <f>Drivers!$BF$6</f>
        <v/>
      </c>
      <c r="BG42" s="16">
        <f>Drivers!$BG$6</f>
        <v/>
      </c>
      <c r="BH42" s="16">
        <f>Drivers!$BH$6</f>
        <v/>
      </c>
      <c r="BI42" s="16">
        <f>Drivers!$BI$6</f>
        <v/>
      </c>
      <c r="BJ42" s="16">
        <f>Drivers!$BJ$6</f>
        <v/>
      </c>
      <c r="BK42" s="16">
        <f>Drivers!$BK$6</f>
        <v/>
      </c>
      <c r="BL42" s="16">
        <f>Drivers!$BL$6</f>
        <v/>
      </c>
      <c r="BM42" s="16">
        <f>Drivers!$BM$6</f>
        <v/>
      </c>
      <c r="BN42" s="16">
        <f>Drivers!$BN$6</f>
        <v/>
      </c>
      <c r="BO42" s="16">
        <f>Drivers!$BO$6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  <c r="AL43" s="16">
        <f>(((AL15*AL42)*(1-AL16))+(MIN(Drivers!$AL$4,(AL15*AL42))*AL16))</f>
        <v/>
      </c>
      <c r="AM43" s="16">
        <f>(((AM15*AM42)*(1-AM16))+(MIN(Drivers!$AM$4,(AM15*AM42))*AM16))</f>
        <v/>
      </c>
      <c r="AN43" s="16">
        <f>(((AN15*AN42)*(1-AN16))+(MIN(Drivers!$AN$4,(AN15*AN42))*AN16))</f>
        <v/>
      </c>
      <c r="AO43" s="16">
        <f>(((AO15*AO42)*(1-AO16))+(MIN(Drivers!$AO$4,(AO15*AO42))*AO16))</f>
        <v/>
      </c>
      <c r="AP43" s="16">
        <f>(((AP15*AP42)*(1-AP16))+(MIN(Drivers!$AP$4,(AP15*AP42))*AP16))</f>
        <v/>
      </c>
      <c r="AQ43" s="16">
        <f>(((AQ15*AQ42)*(1-AQ16))+(MIN(Drivers!$AQ$4,(AQ15*AQ42))*AQ16))</f>
        <v/>
      </c>
      <c r="AR43" s="16">
        <f>(((AR15*AR42)*(1-AR16))+(MIN(Drivers!$AR$4,(AR15*AR42))*AR16))</f>
        <v/>
      </c>
      <c r="AS43" s="16">
        <f>(((AS15*AS42)*(1-AS16))+(MIN(Drivers!$AS$4,(AS15*AS42))*AS16))</f>
        <v/>
      </c>
      <c r="AT43" s="16">
        <f>(((AT15*AT42)*(1-AT16))+(MIN(Drivers!$AT$4,(AT15*AT42))*AT16))</f>
        <v/>
      </c>
      <c r="AU43" s="16">
        <f>(((AU15*AU42)*(1-AU16))+(MIN(Drivers!$AU$4,(AU15*AU42))*AU16))</f>
        <v/>
      </c>
      <c r="AV43" s="16">
        <f>(((AV15*AV42)*(1-AV16))+(MIN(Drivers!$AV$4,(AV15*AV42))*AV16))</f>
        <v/>
      </c>
      <c r="AW43" s="16">
        <f>(((AW15*AW42)*(1-AW16))+(MIN(Drivers!$AW$4,(AW15*AW42))*AW16))</f>
        <v/>
      </c>
      <c r="AX43" s="16">
        <f>(((AX15*AX42)*(1-AX16))+(MIN(Drivers!$AX$4,(AX15*AX42))*AX16))</f>
        <v/>
      </c>
      <c r="AY43" s="16">
        <f>(((AY15*AY42)*(1-AY16))+(MIN(Drivers!$AY$4,(AY15*AY42))*AY16))</f>
        <v/>
      </c>
      <c r="AZ43" s="16">
        <f>(((AZ15*AZ42)*(1-AZ16))+(MIN(Drivers!$AZ$4,(AZ15*AZ42))*AZ16))</f>
        <v/>
      </c>
      <c r="BA43" s="16">
        <f>(((BA15*BA42)*(1-BA16))+(MIN(Drivers!$BA$4,(BA15*BA42))*BA16))</f>
        <v/>
      </c>
      <c r="BB43" s="16">
        <f>(((BB15*BB42)*(1-BB16))+(MIN(Drivers!$BB$4,(BB15*BB42))*BB16))</f>
        <v/>
      </c>
      <c r="BC43" s="16">
        <f>(((BC15*BC42)*(1-BC16))+(MIN(Drivers!$BC$4,(BC15*BC42))*BC16))</f>
        <v/>
      </c>
      <c r="BD43" s="16">
        <f>(((BD15*BD42)*(1-BD16))+(MIN(Drivers!$BD$4,(BD15*BD42))*BD16))</f>
        <v/>
      </c>
      <c r="BE43" s="16">
        <f>(((BE15*BE42)*(1-BE16))+(MIN(Drivers!$BE$4,(BE15*BE42))*BE16))</f>
        <v/>
      </c>
      <c r="BF43" s="16">
        <f>(((BF15*BF42)*(1-BF16))+(MIN(Drivers!$BF$4,(BF15*BF42))*BF16))</f>
        <v/>
      </c>
      <c r="BG43" s="16">
        <f>(((BG15*BG42)*(1-BG16))+(MIN(Drivers!$BG$4,(BG15*BG42))*BG16))</f>
        <v/>
      </c>
      <c r="BH43" s="16">
        <f>(((BH15*BH42)*(1-BH16))+(MIN(Drivers!$BH$4,(BH15*BH42))*BH16))</f>
        <v/>
      </c>
      <c r="BI43" s="16">
        <f>(((BI15*BI42)*(1-BI16))+(MIN(Drivers!$BI$4,(BI15*BI42))*BI16))</f>
        <v/>
      </c>
      <c r="BJ43" s="16">
        <f>(((BJ15*BJ42)*(1-BJ16))+(MIN(Drivers!$BJ$4,(BJ15*BJ42))*BJ16))</f>
        <v/>
      </c>
      <c r="BK43" s="16">
        <f>(((BK15*BK42)*(1-BK16))+(MIN(Drivers!$BK$4,(BK15*BK42))*BK16))</f>
        <v/>
      </c>
      <c r="BL43" s="16">
        <f>(((BL15*BL42)*(1-BL16))+(MIN(Drivers!$BL$4,(BL15*BL42))*BL16))</f>
        <v/>
      </c>
      <c r="BM43" s="16">
        <f>(((BM15*BM42)*(1-BM16))+(MIN(Drivers!$BM$4,(BM15*BM42))*BM16))</f>
        <v/>
      </c>
      <c r="BN43" s="16">
        <f>(((BN15*BN42)*(1-BN16))+(MIN(Drivers!$BN$4,(BN15*BN42))*BN16))</f>
        <v/>
      </c>
      <c r="BO43" s="16">
        <f>(((BO15*BO42)*(1-BO16))+(MIN(Drivers!$BO$4,(BO15*BO42))*BO16))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  <c r="AL45" s="16">
        <f>(((AL17*AL18)*(1+($C$19*(IF(Drivers!$G$8=0,0,Drivers!$AL$8/Drivers!$G$8)-1))))+AL20)</f>
        <v/>
      </c>
      <c r="AM45" s="16">
        <f>(((AM17*AM18)*(1+($C$19*(IF(Drivers!$G$8=0,0,Drivers!$AM$8/Drivers!$G$8)-1))))+AM20)</f>
        <v/>
      </c>
      <c r="AN45" s="16">
        <f>(((AN17*AN18)*(1+($C$19*(IF(Drivers!$G$8=0,0,Drivers!$AN$8/Drivers!$G$8)-1))))+AN20)</f>
        <v/>
      </c>
      <c r="AO45" s="16">
        <f>(((AO17*AO18)*(1+($C$19*(IF(Drivers!$G$8=0,0,Drivers!$AO$8/Drivers!$G$8)-1))))+AO20)</f>
        <v/>
      </c>
      <c r="AP45" s="16">
        <f>(((AP17*AP18)*(1+($C$19*(IF(Drivers!$G$8=0,0,Drivers!$AP$8/Drivers!$G$8)-1))))+AP20)</f>
        <v/>
      </c>
      <c r="AQ45" s="16">
        <f>(((AQ17*AQ18)*(1+($C$19*(IF(Drivers!$G$8=0,0,Drivers!$AQ$8/Drivers!$G$8)-1))))+AQ20)</f>
        <v/>
      </c>
      <c r="AR45" s="16">
        <f>(((AR17*AR18)*(1+($C$19*(IF(Drivers!$G$8=0,0,Drivers!$AR$8/Drivers!$G$8)-1))))+AR20)</f>
        <v/>
      </c>
      <c r="AS45" s="16">
        <f>(((AS17*AS18)*(1+($C$19*(IF(Drivers!$G$8=0,0,Drivers!$AS$8/Drivers!$G$8)-1))))+AS20)</f>
        <v/>
      </c>
      <c r="AT45" s="16">
        <f>(((AT17*AT18)*(1+($C$19*(IF(Drivers!$G$8=0,0,Drivers!$AT$8/Drivers!$G$8)-1))))+AT20)</f>
        <v/>
      </c>
      <c r="AU45" s="16">
        <f>(((AU17*AU18)*(1+($C$19*(IF(Drivers!$G$8=0,0,Drivers!$AU$8/Drivers!$G$8)-1))))+AU20)</f>
        <v/>
      </c>
      <c r="AV45" s="16">
        <f>(((AV17*AV18)*(1+($C$19*(IF(Drivers!$G$8=0,0,Drivers!$AV$8/Drivers!$G$8)-1))))+AV20)</f>
        <v/>
      </c>
      <c r="AW45" s="16">
        <f>(((AW17*AW18)*(1+($C$19*(IF(Drivers!$G$8=0,0,Drivers!$AW$8/Drivers!$G$8)-1))))+AW20)</f>
        <v/>
      </c>
      <c r="AX45" s="16">
        <f>(((AX17*AX18)*(1+($C$19*(IF(Drivers!$G$8=0,0,Drivers!$AX$8/Drivers!$G$8)-1))))+AX20)</f>
        <v/>
      </c>
      <c r="AY45" s="16">
        <f>(((AY17*AY18)*(1+($C$19*(IF(Drivers!$G$8=0,0,Drivers!$AY$8/Drivers!$G$8)-1))))+AY20)</f>
        <v/>
      </c>
      <c r="AZ45" s="16">
        <f>(((AZ17*AZ18)*(1+($C$19*(IF(Drivers!$G$8=0,0,Drivers!$AZ$8/Drivers!$G$8)-1))))+AZ20)</f>
        <v/>
      </c>
      <c r="BA45" s="16">
        <f>(((BA17*BA18)*(1+($C$19*(IF(Drivers!$G$8=0,0,Drivers!$BA$8/Drivers!$G$8)-1))))+BA20)</f>
        <v/>
      </c>
      <c r="BB45" s="16">
        <f>(((BB17*BB18)*(1+($C$19*(IF(Drivers!$G$8=0,0,Drivers!$BB$8/Drivers!$G$8)-1))))+BB20)</f>
        <v/>
      </c>
      <c r="BC45" s="16">
        <f>(((BC17*BC18)*(1+($C$19*(IF(Drivers!$G$8=0,0,Drivers!$BC$8/Drivers!$G$8)-1))))+BC20)</f>
        <v/>
      </c>
      <c r="BD45" s="16">
        <f>(((BD17*BD18)*(1+($C$19*(IF(Drivers!$G$8=0,0,Drivers!$BD$8/Drivers!$G$8)-1))))+BD20)</f>
        <v/>
      </c>
      <c r="BE45" s="16">
        <f>(((BE17*BE18)*(1+($C$19*(IF(Drivers!$G$8=0,0,Drivers!$BE$8/Drivers!$G$8)-1))))+BE20)</f>
        <v/>
      </c>
      <c r="BF45" s="16">
        <f>(((BF17*BF18)*(1+($C$19*(IF(Drivers!$G$8=0,0,Drivers!$BF$8/Drivers!$G$8)-1))))+BF20)</f>
        <v/>
      </c>
      <c r="BG45" s="16">
        <f>(((BG17*BG18)*(1+($C$19*(IF(Drivers!$G$8=0,0,Drivers!$BG$8/Drivers!$G$8)-1))))+BG20)</f>
        <v/>
      </c>
      <c r="BH45" s="16">
        <f>(((BH17*BH18)*(1+($C$19*(IF(Drivers!$G$8=0,0,Drivers!$BH$8/Drivers!$G$8)-1))))+BH20)</f>
        <v/>
      </c>
      <c r="BI45" s="16">
        <f>(((BI17*BI18)*(1+($C$19*(IF(Drivers!$G$8=0,0,Drivers!$BI$8/Drivers!$G$8)-1))))+BI20)</f>
        <v/>
      </c>
      <c r="BJ45" s="16">
        <f>(((BJ17*BJ18)*(1+($C$19*(IF(Drivers!$G$8=0,0,Drivers!$BJ$8/Drivers!$G$8)-1))))+BJ20)</f>
        <v/>
      </c>
      <c r="BK45" s="16">
        <f>(((BK17*BK18)*(1+($C$19*(IF(Drivers!$G$8=0,0,Drivers!$BK$8/Drivers!$G$8)-1))))+BK20)</f>
        <v/>
      </c>
      <c r="BL45" s="16">
        <f>(((BL17*BL18)*(1+($C$19*(IF(Drivers!$G$8=0,0,Drivers!$BL$8/Drivers!$G$8)-1))))+BL20)</f>
        <v/>
      </c>
      <c r="BM45" s="16">
        <f>(((BM17*BM18)*(1+($C$19*(IF(Drivers!$G$8=0,0,Drivers!$BM$8/Drivers!$G$8)-1))))+BM20)</f>
        <v/>
      </c>
      <c r="BN45" s="16">
        <f>(((BN17*BN18)*(1+($C$19*(IF(Drivers!$G$8=0,0,Drivers!$BN$8/Drivers!$G$8)-1))))+BN20)</f>
        <v/>
      </c>
      <c r="BO45" s="16">
        <f>(((BO17*BO18)*(1+($C$19*(IF(Drivers!$G$8=0,0,Drivers!$BO$8/Drivers!$G$8)-1))))+BO20)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IF(IF(1000=0,0,((H41*$C$10)*Drivers!$H$7)/1000)=0,0,H61/IF(1000=0,0,((H41*$C$10)*Drivers!$H$7)/1000))</f>
        <v/>
      </c>
      <c r="I48" s="16">
        <f>IF(IF(1000=0,0,((I41*$C$10)*Drivers!$I$7)/1000)=0,0,I61/IF(1000=0,0,((I41*$C$10)*Drivers!$I$7)/1000))</f>
        <v/>
      </c>
      <c r="J48" s="16">
        <f>IF(IF(1000=0,0,((J41*$C$10)*Drivers!$J$7)/1000)=0,0,J61/IF(1000=0,0,((J41*$C$10)*Drivers!$J$7)/1000))</f>
        <v/>
      </c>
      <c r="K48" s="16">
        <f>IF(IF(1000=0,0,((K41*$C$10)*Drivers!$K$7)/1000)=0,0,K61/IF(1000=0,0,((K41*$C$10)*Drivers!$K$7)/1000))</f>
        <v/>
      </c>
      <c r="L48" s="16">
        <f>IF(IF(1000=0,0,((L41*$C$10)*Drivers!$L$7)/1000)=0,0,L61/IF(1000=0,0,((L41*$C$10)*Drivers!$L$7)/1000))</f>
        <v/>
      </c>
      <c r="M48" s="16">
        <f>IF(IF(1000=0,0,((M41*$C$10)*Drivers!$M$7)/1000)=0,0,M61/IF(1000=0,0,((M41*$C$10)*Drivers!$M$7)/1000))</f>
        <v/>
      </c>
      <c r="N48" s="16">
        <f>IF(IF(1000=0,0,((N41*$C$10)*Drivers!$N$7)/1000)=0,0,N61/IF(1000=0,0,((N41*$C$10)*Drivers!$N$7)/1000))</f>
        <v/>
      </c>
      <c r="O48" s="16">
        <f>IF(IF(1000=0,0,((O41*$C$10)*Drivers!$O$7)/1000)=0,0,O61/IF(1000=0,0,((O41*$C$10)*Drivers!$O$7)/1000))</f>
        <v/>
      </c>
      <c r="P48" s="16">
        <f>IF(IF(1000=0,0,((P41*$C$10)*Drivers!$P$7)/1000)=0,0,P61/IF(1000=0,0,((P41*$C$10)*Drivers!$P$7)/1000))</f>
        <v/>
      </c>
      <c r="Q48" s="16">
        <f>IF(IF(1000=0,0,((Q41*$C$10)*Drivers!$Q$7)/1000)=0,0,Q61/IF(1000=0,0,((Q41*$C$10)*Drivers!$Q$7)/1000))</f>
        <v/>
      </c>
      <c r="R48" s="16">
        <f>IF(IF(1000=0,0,((R41*$C$10)*Drivers!$R$7)/1000)=0,0,R61/IF(1000=0,0,((R41*$C$10)*Drivers!$R$7)/1000))</f>
        <v/>
      </c>
      <c r="S48" s="16">
        <f>IF(IF(1000=0,0,((S41*$C$10)*Drivers!$S$7)/1000)=0,0,S61/IF(1000=0,0,((S41*$C$10)*Drivers!$S$7)/1000))</f>
        <v/>
      </c>
      <c r="T48" s="16">
        <f>IF(IF(1000=0,0,((T41*$C$10)*Drivers!$T$7)/1000)=0,0,T61/IF(1000=0,0,((T41*$C$10)*Drivers!$T$7)/1000))</f>
        <v/>
      </c>
      <c r="U48" s="16">
        <f>IF(IF(1000=0,0,((U41*$C$10)*Drivers!$U$7)/1000)=0,0,U61/IF(1000=0,0,((U41*$C$10)*Drivers!$U$7)/1000))</f>
        <v/>
      </c>
      <c r="V48" s="16">
        <f>IF(IF(1000=0,0,((V41*$C$10)*Drivers!$V$7)/1000)=0,0,V61/IF(1000=0,0,((V41*$C$10)*Drivers!$V$7)/1000))</f>
        <v/>
      </c>
      <c r="W48" s="16">
        <f>IF(IF(1000=0,0,((W41*$C$10)*Drivers!$W$7)/1000)=0,0,W61/IF(1000=0,0,((W41*$C$10)*Drivers!$W$7)/1000))</f>
        <v/>
      </c>
      <c r="X48" s="16">
        <f>IF(IF(1000=0,0,((X41*$C$10)*Drivers!$X$7)/1000)=0,0,X61/IF(1000=0,0,((X41*$C$10)*Drivers!$X$7)/1000))</f>
        <v/>
      </c>
      <c r="Y48" s="16">
        <f>IF(IF(1000=0,0,((Y41*$C$10)*Drivers!$Y$7)/1000)=0,0,Y61/IF(1000=0,0,((Y41*$C$10)*Drivers!$Y$7)/1000))</f>
        <v/>
      </c>
      <c r="Z48" s="16">
        <f>IF(IF(1000=0,0,((Z41*$C$10)*Drivers!$Z$7)/1000)=0,0,Z61/IF(1000=0,0,((Z41*$C$10)*Drivers!$Z$7)/1000))</f>
        <v/>
      </c>
      <c r="AA48" s="16">
        <f>IF(IF(1000=0,0,((AA41*$C$10)*Drivers!$AA$7)/1000)=0,0,AA61/IF(1000=0,0,((AA41*$C$10)*Drivers!$AA$7)/1000))</f>
        <v/>
      </c>
      <c r="AB48" s="16">
        <f>IF(IF(1000=0,0,((AB41*$C$10)*Drivers!$AB$7)/1000)=0,0,AB61/IF(1000=0,0,((AB41*$C$10)*Drivers!$AB$7)/1000))</f>
        <v/>
      </c>
      <c r="AC48" s="16">
        <f>IF(IF(1000=0,0,((AC41*$C$10)*Drivers!$AC$7)/1000)=0,0,AC61/IF(1000=0,0,((AC41*$C$10)*Drivers!$AC$7)/1000))</f>
        <v/>
      </c>
      <c r="AD48" s="16">
        <f>IF(IF(1000=0,0,((AD41*$C$10)*Drivers!$AD$7)/1000)=0,0,AD61/IF(1000=0,0,((AD41*$C$10)*Drivers!$AD$7)/1000))</f>
        <v/>
      </c>
      <c r="AE48" s="16">
        <f>IF(IF(1000=0,0,((AE41*$C$10)*Drivers!$AE$7)/1000)=0,0,AE61/IF(1000=0,0,((AE41*$C$10)*Drivers!$AE$7)/1000))</f>
        <v/>
      </c>
      <c r="AF48" s="16">
        <f>IF(IF(1000=0,0,((AF41*$C$10)*Drivers!$AF$7)/1000)=0,0,AF61/IF(1000=0,0,((AF41*$C$10)*Drivers!$AF$7)/1000))</f>
        <v/>
      </c>
      <c r="AG48" s="16">
        <f>IF(IF(1000=0,0,((AG41*$C$10)*Drivers!$AG$7)/1000)=0,0,AG61/IF(1000=0,0,((AG41*$C$10)*Drivers!$AG$7)/1000))</f>
        <v/>
      </c>
      <c r="AH48" s="16">
        <f>IF(IF(1000=0,0,((AH41*$C$10)*Drivers!$AH$7)/1000)=0,0,AH61/IF(1000=0,0,((AH41*$C$10)*Drivers!$AH$7)/1000))</f>
        <v/>
      </c>
      <c r="AI48" s="16">
        <f>IF(IF(1000=0,0,((AI41*$C$10)*Drivers!$AI$7)/1000)=0,0,AI61/IF(1000=0,0,((AI41*$C$10)*Drivers!$AI$7)/1000))</f>
        <v/>
      </c>
      <c r="AJ48" s="16">
        <f>IF(IF(1000=0,0,((AJ41*$C$10)*Drivers!$AJ$7)/1000)=0,0,AJ61/IF(1000=0,0,((AJ41*$C$10)*Drivers!$AJ$7)/1000))</f>
        <v/>
      </c>
      <c r="AK48" s="16">
        <f>IF(IF(1000=0,0,((AK41*$C$10)*Drivers!$AK$7)/1000)=0,0,AK61/IF(1000=0,0,((AK41*$C$10)*Drivers!$AK$7)/1000))</f>
        <v/>
      </c>
      <c r="AL48" s="16">
        <f>IF(IF(1000=0,0,((AL41*$C$10)*Drivers!$AL$7)/1000)=0,0,AL61/IF(1000=0,0,((AL41*$C$10)*Drivers!$AL$7)/1000))</f>
        <v/>
      </c>
      <c r="AM48" s="16">
        <f>IF(IF(1000=0,0,((AM41*$C$10)*Drivers!$AM$7)/1000)=0,0,AM61/IF(1000=0,0,((AM41*$C$10)*Drivers!$AM$7)/1000))</f>
        <v/>
      </c>
      <c r="AN48" s="16">
        <f>IF(IF(1000=0,0,((AN41*$C$10)*Drivers!$AN$7)/1000)=0,0,AN61/IF(1000=0,0,((AN41*$C$10)*Drivers!$AN$7)/1000))</f>
        <v/>
      </c>
      <c r="AO48" s="16">
        <f>IF(IF(1000=0,0,((AO41*$C$10)*Drivers!$AO$7)/1000)=0,0,AO61/IF(1000=0,0,((AO41*$C$10)*Drivers!$AO$7)/1000))</f>
        <v/>
      </c>
      <c r="AP48" s="16">
        <f>IF(IF(1000=0,0,((AP41*$C$10)*Drivers!$AP$7)/1000)=0,0,AP61/IF(1000=0,0,((AP41*$C$10)*Drivers!$AP$7)/1000))</f>
        <v/>
      </c>
      <c r="AQ48" s="16">
        <f>IF(IF(1000=0,0,((AQ41*$C$10)*Drivers!$AQ$7)/1000)=0,0,AQ61/IF(1000=0,0,((AQ41*$C$10)*Drivers!$AQ$7)/1000))</f>
        <v/>
      </c>
      <c r="AR48" s="16">
        <f>IF(IF(1000=0,0,((AR41*$C$10)*Drivers!$AR$7)/1000)=0,0,AR61/IF(1000=0,0,((AR41*$C$10)*Drivers!$AR$7)/1000))</f>
        <v/>
      </c>
      <c r="AS48" s="16">
        <f>IF(IF(1000=0,0,((AS41*$C$10)*Drivers!$AS$7)/1000)=0,0,AS61/IF(1000=0,0,((AS41*$C$10)*Drivers!$AS$7)/1000))</f>
        <v/>
      </c>
      <c r="AT48" s="16">
        <f>IF(IF(1000=0,0,((AT41*$C$10)*Drivers!$AT$7)/1000)=0,0,AT61/IF(1000=0,0,((AT41*$C$10)*Drivers!$AT$7)/1000))</f>
        <v/>
      </c>
      <c r="AU48" s="16">
        <f>IF(IF(1000=0,0,((AU41*$C$10)*Drivers!$AU$7)/1000)=0,0,AU61/IF(1000=0,0,((AU41*$C$10)*Drivers!$AU$7)/1000))</f>
        <v/>
      </c>
      <c r="AV48" s="16">
        <f>IF(IF(1000=0,0,((AV41*$C$10)*Drivers!$AV$7)/1000)=0,0,AV61/IF(1000=0,0,((AV41*$C$10)*Drivers!$AV$7)/1000))</f>
        <v/>
      </c>
      <c r="AW48" s="16">
        <f>IF(IF(1000=0,0,((AW41*$C$10)*Drivers!$AW$7)/1000)=0,0,AW61/IF(1000=0,0,((AW41*$C$10)*Drivers!$AW$7)/1000))</f>
        <v/>
      </c>
      <c r="AX48" s="16">
        <f>IF(IF(1000=0,0,((AX41*$C$10)*Drivers!$AX$7)/1000)=0,0,AX61/IF(1000=0,0,((AX41*$C$10)*Drivers!$AX$7)/1000))</f>
        <v/>
      </c>
      <c r="AY48" s="16">
        <f>IF(IF(1000=0,0,((AY41*$C$10)*Drivers!$AY$7)/1000)=0,0,AY61/IF(1000=0,0,((AY41*$C$10)*Drivers!$AY$7)/1000))</f>
        <v/>
      </c>
      <c r="AZ48" s="16">
        <f>IF(IF(1000=0,0,((AZ41*$C$10)*Drivers!$AZ$7)/1000)=0,0,AZ61/IF(1000=0,0,((AZ41*$C$10)*Drivers!$AZ$7)/1000))</f>
        <v/>
      </c>
      <c r="BA48" s="16">
        <f>IF(IF(1000=0,0,((BA41*$C$10)*Drivers!$BA$7)/1000)=0,0,BA61/IF(1000=0,0,((BA41*$C$10)*Drivers!$BA$7)/1000))</f>
        <v/>
      </c>
      <c r="BB48" s="16">
        <f>IF(IF(1000=0,0,((BB41*$C$10)*Drivers!$BB$7)/1000)=0,0,BB61/IF(1000=0,0,((BB41*$C$10)*Drivers!$BB$7)/1000))</f>
        <v/>
      </c>
      <c r="BC48" s="16">
        <f>IF(IF(1000=0,0,((BC41*$C$10)*Drivers!$BC$7)/1000)=0,0,BC61/IF(1000=0,0,((BC41*$C$10)*Drivers!$BC$7)/1000))</f>
        <v/>
      </c>
      <c r="BD48" s="16">
        <f>IF(IF(1000=0,0,((BD41*$C$10)*Drivers!$BD$7)/1000)=0,0,BD61/IF(1000=0,0,((BD41*$C$10)*Drivers!$BD$7)/1000))</f>
        <v/>
      </c>
      <c r="BE48" s="16">
        <f>IF(IF(1000=0,0,((BE41*$C$10)*Drivers!$BE$7)/1000)=0,0,BE61/IF(1000=0,0,((BE41*$C$10)*Drivers!$BE$7)/1000))</f>
        <v/>
      </c>
      <c r="BF48" s="16">
        <f>IF(IF(1000=0,0,((BF41*$C$10)*Drivers!$BF$7)/1000)=0,0,BF61/IF(1000=0,0,((BF41*$C$10)*Drivers!$BF$7)/1000))</f>
        <v/>
      </c>
      <c r="BG48" s="16">
        <f>IF(IF(1000=0,0,((BG41*$C$10)*Drivers!$BG$7)/1000)=0,0,BG61/IF(1000=0,0,((BG41*$C$10)*Drivers!$BG$7)/1000))</f>
        <v/>
      </c>
      <c r="BH48" s="16">
        <f>IF(IF(1000=0,0,((BH41*$C$10)*Drivers!$BH$7)/1000)=0,0,BH61/IF(1000=0,0,((BH41*$C$10)*Drivers!$BH$7)/1000))</f>
        <v/>
      </c>
      <c r="BI48" s="16">
        <f>IF(IF(1000=0,0,((BI41*$C$10)*Drivers!$BI$7)/1000)=0,0,BI61/IF(1000=0,0,((BI41*$C$10)*Drivers!$BI$7)/1000))</f>
        <v/>
      </c>
      <c r="BJ48" s="16">
        <f>IF(IF(1000=0,0,((BJ41*$C$10)*Drivers!$BJ$7)/1000)=0,0,BJ61/IF(1000=0,0,((BJ41*$C$10)*Drivers!$BJ$7)/1000))</f>
        <v/>
      </c>
      <c r="BK48" s="16">
        <f>IF(IF(1000=0,0,((BK41*$C$10)*Drivers!$BK$7)/1000)=0,0,BK61/IF(1000=0,0,((BK41*$C$10)*Drivers!$BK$7)/1000))</f>
        <v/>
      </c>
      <c r="BL48" s="16">
        <f>IF(IF(1000=0,0,((BL41*$C$10)*Drivers!$BL$7)/1000)=0,0,BL61/IF(1000=0,0,((BL41*$C$10)*Drivers!$BL$7)/1000))</f>
        <v/>
      </c>
      <c r="BM48" s="16">
        <f>IF(IF(1000=0,0,((BM41*$C$10)*Drivers!$BM$7)/1000)=0,0,BM61/IF(1000=0,0,((BM41*$C$10)*Drivers!$BM$7)/1000))</f>
        <v/>
      </c>
      <c r="BN48" s="16">
        <f>IF(IF(1000=0,0,((BN41*$C$10)*Drivers!$BN$7)/1000)=0,0,BN61/IF(1000=0,0,((BN41*$C$10)*Drivers!$BN$7)/1000))</f>
        <v/>
      </c>
      <c r="BO48" s="16">
        <f>IF(IF(1000=0,0,((BO41*$C$10)*Drivers!$BO$7)/1000)=0,0,BO61/IF(1000=0,0,((BO41*$C$10)*Drivers!$BO$7)/1000))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IF(IF(1000=0,0,((H41*$C$10)*Drivers!$H$7)/1000)=0,0,(H53+H52)/IF(1000=0,0,((H41*$C$10)*Drivers!$H$7)/1000))</f>
        <v/>
      </c>
      <c r="I49" s="16">
        <f>IF(IF(1000=0,0,((I41*$C$10)*Drivers!$I$7)/1000)=0,0,(I53+I52)/IF(1000=0,0,((I41*$C$10)*Drivers!$I$7)/1000))</f>
        <v/>
      </c>
      <c r="J49" s="16">
        <f>IF(IF(1000=0,0,((J41*$C$10)*Drivers!$J$7)/1000)=0,0,(J53+J52)/IF(1000=0,0,((J41*$C$10)*Drivers!$J$7)/1000))</f>
        <v/>
      </c>
      <c r="K49" s="16">
        <f>IF(IF(1000=0,0,((K41*$C$10)*Drivers!$K$7)/1000)=0,0,(K53+K52)/IF(1000=0,0,((K41*$C$10)*Drivers!$K$7)/1000))</f>
        <v/>
      </c>
      <c r="L49" s="16">
        <f>IF(IF(1000=0,0,((L41*$C$10)*Drivers!$L$7)/1000)=0,0,(L53+L52)/IF(1000=0,0,((L41*$C$10)*Drivers!$L$7)/1000))</f>
        <v/>
      </c>
      <c r="M49" s="16">
        <f>IF(IF(1000=0,0,((M41*$C$10)*Drivers!$M$7)/1000)=0,0,(M53+M52)/IF(1000=0,0,((M41*$C$10)*Drivers!$M$7)/1000))</f>
        <v/>
      </c>
      <c r="N49" s="16">
        <f>IF(IF(1000=0,0,((N41*$C$10)*Drivers!$N$7)/1000)=0,0,(N53+N52)/IF(1000=0,0,((N41*$C$10)*Drivers!$N$7)/1000))</f>
        <v/>
      </c>
      <c r="O49" s="16">
        <f>IF(IF(1000=0,0,((O41*$C$10)*Drivers!$O$7)/1000)=0,0,(O53+O52)/IF(1000=0,0,((O41*$C$10)*Drivers!$O$7)/1000))</f>
        <v/>
      </c>
      <c r="P49" s="16">
        <f>IF(IF(1000=0,0,((P41*$C$10)*Drivers!$P$7)/1000)=0,0,(P53+P52)/IF(1000=0,0,((P41*$C$10)*Drivers!$P$7)/1000))</f>
        <v/>
      </c>
      <c r="Q49" s="16">
        <f>IF(IF(1000=0,0,((Q41*$C$10)*Drivers!$Q$7)/1000)=0,0,(Q53+Q52)/IF(1000=0,0,((Q41*$C$10)*Drivers!$Q$7)/1000))</f>
        <v/>
      </c>
      <c r="R49" s="16">
        <f>IF(IF(1000=0,0,((R41*$C$10)*Drivers!$R$7)/1000)=0,0,(R53+R52)/IF(1000=0,0,((R41*$C$10)*Drivers!$R$7)/1000))</f>
        <v/>
      </c>
      <c r="S49" s="16">
        <f>IF(IF(1000=0,0,((S41*$C$10)*Drivers!$S$7)/1000)=0,0,(S53+S52)/IF(1000=0,0,((S41*$C$10)*Drivers!$S$7)/1000))</f>
        <v/>
      </c>
      <c r="T49" s="16">
        <f>IF(IF(1000=0,0,((T41*$C$10)*Drivers!$T$7)/1000)=0,0,(T53+T52)/IF(1000=0,0,((T41*$C$10)*Drivers!$T$7)/1000))</f>
        <v/>
      </c>
      <c r="U49" s="16">
        <f>IF(IF(1000=0,0,((U41*$C$10)*Drivers!$U$7)/1000)=0,0,(U53+U52)/IF(1000=0,0,((U41*$C$10)*Drivers!$U$7)/1000))</f>
        <v/>
      </c>
      <c r="V49" s="16">
        <f>IF(IF(1000=0,0,((V41*$C$10)*Drivers!$V$7)/1000)=0,0,(V53+V52)/IF(1000=0,0,((V41*$C$10)*Drivers!$V$7)/1000))</f>
        <v/>
      </c>
      <c r="W49" s="16">
        <f>IF(IF(1000=0,0,((W41*$C$10)*Drivers!$W$7)/1000)=0,0,(W53+W52)/IF(1000=0,0,((W41*$C$10)*Drivers!$W$7)/1000))</f>
        <v/>
      </c>
      <c r="X49" s="16">
        <f>IF(IF(1000=0,0,((X41*$C$10)*Drivers!$X$7)/1000)=0,0,(X53+X52)/IF(1000=0,0,((X41*$C$10)*Drivers!$X$7)/1000))</f>
        <v/>
      </c>
      <c r="Y49" s="16">
        <f>IF(IF(1000=0,0,((Y41*$C$10)*Drivers!$Y$7)/1000)=0,0,(Y53+Y52)/IF(1000=0,0,((Y41*$C$10)*Drivers!$Y$7)/1000))</f>
        <v/>
      </c>
      <c r="Z49" s="16">
        <f>IF(IF(1000=0,0,((Z41*$C$10)*Drivers!$Z$7)/1000)=0,0,(Z53+Z52)/IF(1000=0,0,((Z41*$C$10)*Drivers!$Z$7)/1000))</f>
        <v/>
      </c>
      <c r="AA49" s="16">
        <f>IF(IF(1000=0,0,((AA41*$C$10)*Drivers!$AA$7)/1000)=0,0,(AA53+AA52)/IF(1000=0,0,((AA41*$C$10)*Drivers!$AA$7)/1000))</f>
        <v/>
      </c>
      <c r="AB49" s="16">
        <f>IF(IF(1000=0,0,((AB41*$C$10)*Drivers!$AB$7)/1000)=0,0,(AB53+AB52)/IF(1000=0,0,((AB41*$C$10)*Drivers!$AB$7)/1000))</f>
        <v/>
      </c>
      <c r="AC49" s="16">
        <f>IF(IF(1000=0,0,((AC41*$C$10)*Drivers!$AC$7)/1000)=0,0,(AC53+AC52)/IF(1000=0,0,((AC41*$C$10)*Drivers!$AC$7)/1000))</f>
        <v/>
      </c>
      <c r="AD49" s="16">
        <f>IF(IF(1000=0,0,((AD41*$C$10)*Drivers!$AD$7)/1000)=0,0,(AD53+AD52)/IF(1000=0,0,((AD41*$C$10)*Drivers!$AD$7)/1000))</f>
        <v/>
      </c>
      <c r="AE49" s="16">
        <f>IF(IF(1000=0,0,((AE41*$C$10)*Drivers!$AE$7)/1000)=0,0,(AE53+AE52)/IF(1000=0,0,((AE41*$C$10)*Drivers!$AE$7)/1000))</f>
        <v/>
      </c>
      <c r="AF49" s="16">
        <f>IF(IF(1000=0,0,((AF41*$C$10)*Drivers!$AF$7)/1000)=0,0,(AF53+AF52)/IF(1000=0,0,((AF41*$C$10)*Drivers!$AF$7)/1000))</f>
        <v/>
      </c>
      <c r="AG49" s="16">
        <f>IF(IF(1000=0,0,((AG41*$C$10)*Drivers!$AG$7)/1000)=0,0,(AG53+AG52)/IF(1000=0,0,((AG41*$C$10)*Drivers!$AG$7)/1000))</f>
        <v/>
      </c>
      <c r="AH49" s="16">
        <f>IF(IF(1000=0,0,((AH41*$C$10)*Drivers!$AH$7)/1000)=0,0,(AH53+AH52)/IF(1000=0,0,((AH41*$C$10)*Drivers!$AH$7)/1000))</f>
        <v/>
      </c>
      <c r="AI49" s="16">
        <f>IF(IF(1000=0,0,((AI41*$C$10)*Drivers!$AI$7)/1000)=0,0,(AI53+AI52)/IF(1000=0,0,((AI41*$C$10)*Drivers!$AI$7)/1000))</f>
        <v/>
      </c>
      <c r="AJ49" s="16">
        <f>IF(IF(1000=0,0,((AJ41*$C$10)*Drivers!$AJ$7)/1000)=0,0,(AJ53+AJ52)/IF(1000=0,0,((AJ41*$C$10)*Drivers!$AJ$7)/1000))</f>
        <v/>
      </c>
      <c r="AK49" s="16">
        <f>IF(IF(1000=0,0,((AK41*$C$10)*Drivers!$AK$7)/1000)=0,0,(AK53+AK52)/IF(1000=0,0,((AK41*$C$10)*Drivers!$AK$7)/1000))</f>
        <v/>
      </c>
      <c r="AL49" s="16">
        <f>IF(IF(1000=0,0,((AL41*$C$10)*Drivers!$AL$7)/1000)=0,0,(AL53+AL52)/IF(1000=0,0,((AL41*$C$10)*Drivers!$AL$7)/1000))</f>
        <v/>
      </c>
      <c r="AM49" s="16">
        <f>IF(IF(1000=0,0,((AM41*$C$10)*Drivers!$AM$7)/1000)=0,0,(AM53+AM52)/IF(1000=0,0,((AM41*$C$10)*Drivers!$AM$7)/1000))</f>
        <v/>
      </c>
      <c r="AN49" s="16">
        <f>IF(IF(1000=0,0,((AN41*$C$10)*Drivers!$AN$7)/1000)=0,0,(AN53+AN52)/IF(1000=0,0,((AN41*$C$10)*Drivers!$AN$7)/1000))</f>
        <v/>
      </c>
      <c r="AO49" s="16">
        <f>IF(IF(1000=0,0,((AO41*$C$10)*Drivers!$AO$7)/1000)=0,0,(AO53+AO52)/IF(1000=0,0,((AO41*$C$10)*Drivers!$AO$7)/1000))</f>
        <v/>
      </c>
      <c r="AP49" s="16">
        <f>IF(IF(1000=0,0,((AP41*$C$10)*Drivers!$AP$7)/1000)=0,0,(AP53+AP52)/IF(1000=0,0,((AP41*$C$10)*Drivers!$AP$7)/1000))</f>
        <v/>
      </c>
      <c r="AQ49" s="16">
        <f>IF(IF(1000=0,0,((AQ41*$C$10)*Drivers!$AQ$7)/1000)=0,0,(AQ53+AQ52)/IF(1000=0,0,((AQ41*$C$10)*Drivers!$AQ$7)/1000))</f>
        <v/>
      </c>
      <c r="AR49" s="16">
        <f>IF(IF(1000=0,0,((AR41*$C$10)*Drivers!$AR$7)/1000)=0,0,(AR53+AR52)/IF(1000=0,0,((AR41*$C$10)*Drivers!$AR$7)/1000))</f>
        <v/>
      </c>
      <c r="AS49" s="16">
        <f>IF(IF(1000=0,0,((AS41*$C$10)*Drivers!$AS$7)/1000)=0,0,(AS53+AS52)/IF(1000=0,0,((AS41*$C$10)*Drivers!$AS$7)/1000))</f>
        <v/>
      </c>
      <c r="AT49" s="16">
        <f>IF(IF(1000=0,0,((AT41*$C$10)*Drivers!$AT$7)/1000)=0,0,(AT53+AT52)/IF(1000=0,0,((AT41*$C$10)*Drivers!$AT$7)/1000))</f>
        <v/>
      </c>
      <c r="AU49" s="16">
        <f>IF(IF(1000=0,0,((AU41*$C$10)*Drivers!$AU$7)/1000)=0,0,(AU53+AU52)/IF(1000=0,0,((AU41*$C$10)*Drivers!$AU$7)/1000))</f>
        <v/>
      </c>
      <c r="AV49" s="16">
        <f>IF(IF(1000=0,0,((AV41*$C$10)*Drivers!$AV$7)/1000)=0,0,(AV53+AV52)/IF(1000=0,0,((AV41*$C$10)*Drivers!$AV$7)/1000))</f>
        <v/>
      </c>
      <c r="AW49" s="16">
        <f>IF(IF(1000=0,0,((AW41*$C$10)*Drivers!$AW$7)/1000)=0,0,(AW53+AW52)/IF(1000=0,0,((AW41*$C$10)*Drivers!$AW$7)/1000))</f>
        <v/>
      </c>
      <c r="AX49" s="16">
        <f>IF(IF(1000=0,0,((AX41*$C$10)*Drivers!$AX$7)/1000)=0,0,(AX53+AX52)/IF(1000=0,0,((AX41*$C$10)*Drivers!$AX$7)/1000))</f>
        <v/>
      </c>
      <c r="AY49" s="16">
        <f>IF(IF(1000=0,0,((AY41*$C$10)*Drivers!$AY$7)/1000)=0,0,(AY53+AY52)/IF(1000=0,0,((AY41*$C$10)*Drivers!$AY$7)/1000))</f>
        <v/>
      </c>
      <c r="AZ49" s="16">
        <f>IF(IF(1000=0,0,((AZ41*$C$10)*Drivers!$AZ$7)/1000)=0,0,(AZ53+AZ52)/IF(1000=0,0,((AZ41*$C$10)*Drivers!$AZ$7)/1000))</f>
        <v/>
      </c>
      <c r="BA49" s="16">
        <f>IF(IF(1000=0,0,((BA41*$C$10)*Drivers!$BA$7)/1000)=0,0,(BA53+BA52)/IF(1000=0,0,((BA41*$C$10)*Drivers!$BA$7)/1000))</f>
        <v/>
      </c>
      <c r="BB49" s="16">
        <f>IF(IF(1000=0,0,((BB41*$C$10)*Drivers!$BB$7)/1000)=0,0,(BB53+BB52)/IF(1000=0,0,((BB41*$C$10)*Drivers!$BB$7)/1000))</f>
        <v/>
      </c>
      <c r="BC49" s="16">
        <f>IF(IF(1000=0,0,((BC41*$C$10)*Drivers!$BC$7)/1000)=0,0,(BC53+BC52)/IF(1000=0,0,((BC41*$C$10)*Drivers!$BC$7)/1000))</f>
        <v/>
      </c>
      <c r="BD49" s="16">
        <f>IF(IF(1000=0,0,((BD41*$C$10)*Drivers!$BD$7)/1000)=0,0,(BD53+BD52)/IF(1000=0,0,((BD41*$C$10)*Drivers!$BD$7)/1000))</f>
        <v/>
      </c>
      <c r="BE49" s="16">
        <f>IF(IF(1000=0,0,((BE41*$C$10)*Drivers!$BE$7)/1000)=0,0,(BE53+BE52)/IF(1000=0,0,((BE41*$C$10)*Drivers!$BE$7)/1000))</f>
        <v/>
      </c>
      <c r="BF49" s="16">
        <f>IF(IF(1000=0,0,((BF41*$C$10)*Drivers!$BF$7)/1000)=0,0,(BF53+BF52)/IF(1000=0,0,((BF41*$C$10)*Drivers!$BF$7)/1000))</f>
        <v/>
      </c>
      <c r="BG49" s="16">
        <f>IF(IF(1000=0,0,((BG41*$C$10)*Drivers!$BG$7)/1000)=0,0,(BG53+BG52)/IF(1000=0,0,((BG41*$C$10)*Drivers!$BG$7)/1000))</f>
        <v/>
      </c>
      <c r="BH49" s="16">
        <f>IF(IF(1000=0,0,((BH41*$C$10)*Drivers!$BH$7)/1000)=0,0,(BH53+BH52)/IF(1000=0,0,((BH41*$C$10)*Drivers!$BH$7)/1000))</f>
        <v/>
      </c>
      <c r="BI49" s="16">
        <f>IF(IF(1000=0,0,((BI41*$C$10)*Drivers!$BI$7)/1000)=0,0,(BI53+BI52)/IF(1000=0,0,((BI41*$C$10)*Drivers!$BI$7)/1000))</f>
        <v/>
      </c>
      <c r="BJ49" s="16">
        <f>IF(IF(1000=0,0,((BJ41*$C$10)*Drivers!$BJ$7)/1000)=0,0,(BJ53+BJ52)/IF(1000=0,0,((BJ41*$C$10)*Drivers!$BJ$7)/1000))</f>
        <v/>
      </c>
      <c r="BK49" s="16">
        <f>IF(IF(1000=0,0,((BK41*$C$10)*Drivers!$BK$7)/1000)=0,0,(BK53+BK52)/IF(1000=0,0,((BK41*$C$10)*Drivers!$BK$7)/1000))</f>
        <v/>
      </c>
      <c r="BL49" s="16">
        <f>IF(IF(1000=0,0,((BL41*$C$10)*Drivers!$BL$7)/1000)=0,0,(BL53+BL52)/IF(1000=0,0,((BL41*$C$10)*Drivers!$BL$7)/1000))</f>
        <v/>
      </c>
      <c r="BM49" s="16">
        <f>IF(IF(1000=0,0,((BM41*$C$10)*Drivers!$BM$7)/1000)=0,0,(BM53+BM52)/IF(1000=0,0,((BM41*$C$10)*Drivers!$BM$7)/1000))</f>
        <v/>
      </c>
      <c r="BN49" s="16">
        <f>IF(IF(1000=0,0,((BN41*$C$10)*Drivers!$BN$7)/1000)=0,0,(BN53+BN52)/IF(1000=0,0,((BN41*$C$10)*Drivers!$BN$7)/1000))</f>
        <v/>
      </c>
      <c r="BO49" s="16">
        <f>IF(IF(1000=0,0,((BO41*$C$10)*Drivers!$BO$7)/1000)=0,0,(BO53+BO52)/IF(1000=0,0,((BO41*$C$10)*Drivers!$BO$7)/1000))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2">
        <f>IF(1000=0,0,(((H41*H43)*$C$10)*Drivers!$H$7)/1000)</f>
        <v/>
      </c>
      <c r="I50" s="32">
        <f>IF(1000=0,0,(((I41*I43)*$C$10)*Drivers!$I$7)/1000)</f>
        <v/>
      </c>
      <c r="J50" s="32">
        <f>IF(1000=0,0,(((J41*J43)*$C$10)*Drivers!$J$7)/1000)</f>
        <v/>
      </c>
      <c r="K50" s="32">
        <f>IF(1000=0,0,(((K41*K43)*$C$10)*Drivers!$K$7)/1000)</f>
        <v/>
      </c>
      <c r="L50" s="32">
        <f>IF(1000=0,0,(((L41*L43)*$C$10)*Drivers!$L$7)/1000)</f>
        <v/>
      </c>
      <c r="M50" s="32">
        <f>IF(1000=0,0,(((M41*M43)*$C$10)*Drivers!$M$7)/1000)</f>
        <v/>
      </c>
      <c r="N50" s="32">
        <f>IF(1000=0,0,(((N41*N43)*$C$10)*Drivers!$N$7)/1000)</f>
        <v/>
      </c>
      <c r="O50" s="32">
        <f>IF(1000=0,0,(((O41*O43)*$C$10)*Drivers!$O$7)/1000)</f>
        <v/>
      </c>
      <c r="P50" s="32">
        <f>IF(1000=0,0,(((P41*P43)*$C$10)*Drivers!$P$7)/1000)</f>
        <v/>
      </c>
      <c r="Q50" s="32">
        <f>IF(1000=0,0,(((Q41*Q43)*$C$10)*Drivers!$Q$7)/1000)</f>
        <v/>
      </c>
      <c r="R50" s="32">
        <f>IF(1000=0,0,(((R41*R43)*$C$10)*Drivers!$R$7)/1000)</f>
        <v/>
      </c>
      <c r="S50" s="32">
        <f>IF(1000=0,0,(((S41*S43)*$C$10)*Drivers!$S$7)/1000)</f>
        <v/>
      </c>
      <c r="T50" s="32">
        <f>IF(1000=0,0,(((T41*T43)*$C$10)*Drivers!$T$7)/1000)</f>
        <v/>
      </c>
      <c r="U50" s="32">
        <f>IF(1000=0,0,(((U41*U43)*$C$10)*Drivers!$U$7)/1000)</f>
        <v/>
      </c>
      <c r="V50" s="32">
        <f>IF(1000=0,0,(((V41*V43)*$C$10)*Drivers!$V$7)/1000)</f>
        <v/>
      </c>
      <c r="W50" s="32">
        <f>IF(1000=0,0,(((W41*W43)*$C$10)*Drivers!$W$7)/1000)</f>
        <v/>
      </c>
      <c r="X50" s="32">
        <f>IF(1000=0,0,(((X41*X43)*$C$10)*Drivers!$X$7)/1000)</f>
        <v/>
      </c>
      <c r="Y50" s="32">
        <f>IF(1000=0,0,(((Y41*Y43)*$C$10)*Drivers!$Y$7)/1000)</f>
        <v/>
      </c>
      <c r="Z50" s="32">
        <f>IF(1000=0,0,(((Z41*Z43)*$C$10)*Drivers!$Z$7)/1000)</f>
        <v/>
      </c>
      <c r="AA50" s="32">
        <f>IF(1000=0,0,(((AA41*AA43)*$C$10)*Drivers!$AA$7)/1000)</f>
        <v/>
      </c>
      <c r="AB50" s="32">
        <f>IF(1000=0,0,(((AB41*AB43)*$C$10)*Drivers!$AB$7)/1000)</f>
        <v/>
      </c>
      <c r="AC50" s="32">
        <f>IF(1000=0,0,(((AC41*AC43)*$C$10)*Drivers!$AC$7)/1000)</f>
        <v/>
      </c>
      <c r="AD50" s="32">
        <f>IF(1000=0,0,(((AD41*AD43)*$C$10)*Drivers!$AD$7)/1000)</f>
        <v/>
      </c>
      <c r="AE50" s="32">
        <f>IF(1000=0,0,(((AE41*AE43)*$C$10)*Drivers!$AE$7)/1000)</f>
        <v/>
      </c>
      <c r="AF50" s="32">
        <f>IF(1000=0,0,(((AF41*AF43)*$C$10)*Drivers!$AF$7)/1000)</f>
        <v/>
      </c>
      <c r="AG50" s="32">
        <f>IF(1000=0,0,(((AG41*AG43)*$C$10)*Drivers!$AG$7)/1000)</f>
        <v/>
      </c>
      <c r="AH50" s="32">
        <f>IF(1000=0,0,(((AH41*AH43)*$C$10)*Drivers!$AH$7)/1000)</f>
        <v/>
      </c>
      <c r="AI50" s="32">
        <f>IF(1000=0,0,(((AI41*AI43)*$C$10)*Drivers!$AI$7)/1000)</f>
        <v/>
      </c>
      <c r="AJ50" s="32">
        <f>IF(1000=0,0,(((AJ41*AJ43)*$C$10)*Drivers!$AJ$7)/1000)</f>
        <v/>
      </c>
      <c r="AK50" s="32">
        <f>IF(1000=0,0,(((AK41*AK43)*$C$10)*Drivers!$AK$7)/1000)</f>
        <v/>
      </c>
      <c r="AL50" s="32">
        <f>IF(1000=0,0,(((AL41*AL43)*$C$10)*Drivers!$AL$7)/1000)</f>
        <v/>
      </c>
      <c r="AM50" s="32">
        <f>IF(1000=0,0,(((AM41*AM43)*$C$10)*Drivers!$AM$7)/1000)</f>
        <v/>
      </c>
      <c r="AN50" s="32">
        <f>IF(1000=0,0,(((AN41*AN43)*$C$10)*Drivers!$AN$7)/1000)</f>
        <v/>
      </c>
      <c r="AO50" s="32">
        <f>IF(1000=0,0,(((AO41*AO43)*$C$10)*Drivers!$AO$7)/1000)</f>
        <v/>
      </c>
      <c r="AP50" s="32">
        <f>IF(1000=0,0,(((AP41*AP43)*$C$10)*Drivers!$AP$7)/1000)</f>
        <v/>
      </c>
      <c r="AQ50" s="32">
        <f>IF(1000=0,0,(((AQ41*AQ43)*$C$10)*Drivers!$AQ$7)/1000)</f>
        <v/>
      </c>
      <c r="AR50" s="32">
        <f>IF(1000=0,0,(((AR41*AR43)*$C$10)*Drivers!$AR$7)/1000)</f>
        <v/>
      </c>
      <c r="AS50" s="32">
        <f>IF(1000=0,0,(((AS41*AS43)*$C$10)*Drivers!$AS$7)/1000)</f>
        <v/>
      </c>
      <c r="AT50" s="32">
        <f>IF(1000=0,0,(((AT41*AT43)*$C$10)*Drivers!$AT$7)/1000)</f>
        <v/>
      </c>
      <c r="AU50" s="32">
        <f>IF(1000=0,0,(((AU41*AU43)*$C$10)*Drivers!$AU$7)/1000)</f>
        <v/>
      </c>
      <c r="AV50" s="32">
        <f>IF(1000=0,0,(((AV41*AV43)*$C$10)*Drivers!$AV$7)/1000)</f>
        <v/>
      </c>
      <c r="AW50" s="32">
        <f>IF(1000=0,0,(((AW41*AW43)*$C$10)*Drivers!$AW$7)/1000)</f>
        <v/>
      </c>
      <c r="AX50" s="32">
        <f>IF(1000=0,0,(((AX41*AX43)*$C$10)*Drivers!$AX$7)/1000)</f>
        <v/>
      </c>
      <c r="AY50" s="32">
        <f>IF(1000=0,0,(((AY41*AY43)*$C$10)*Drivers!$AY$7)/1000)</f>
        <v/>
      </c>
      <c r="AZ50" s="32">
        <f>IF(1000=0,0,(((AZ41*AZ43)*$C$10)*Drivers!$AZ$7)/1000)</f>
        <v/>
      </c>
      <c r="BA50" s="32">
        <f>IF(1000=0,0,(((BA41*BA43)*$C$10)*Drivers!$BA$7)/1000)</f>
        <v/>
      </c>
      <c r="BB50" s="32">
        <f>IF(1000=0,0,(((BB41*BB43)*$C$10)*Drivers!$BB$7)/1000)</f>
        <v/>
      </c>
      <c r="BC50" s="32">
        <f>IF(1000=0,0,(((BC41*BC43)*$C$10)*Drivers!$BC$7)/1000)</f>
        <v/>
      </c>
      <c r="BD50" s="32">
        <f>IF(1000=0,0,(((BD41*BD43)*$C$10)*Drivers!$BD$7)/1000)</f>
        <v/>
      </c>
      <c r="BE50" s="32">
        <f>IF(1000=0,0,(((BE41*BE43)*$C$10)*Drivers!$BE$7)/1000)</f>
        <v/>
      </c>
      <c r="BF50" s="32">
        <f>IF(1000=0,0,(((BF41*BF43)*$C$10)*Drivers!$BF$7)/1000)</f>
        <v/>
      </c>
      <c r="BG50" s="32">
        <f>IF(1000=0,0,(((BG41*BG43)*$C$10)*Drivers!$BG$7)/1000)</f>
        <v/>
      </c>
      <c r="BH50" s="32">
        <f>IF(1000=0,0,(((BH41*BH43)*$C$10)*Drivers!$BH$7)/1000)</f>
        <v/>
      </c>
      <c r="BI50" s="32">
        <f>IF(1000=0,0,(((BI41*BI43)*$C$10)*Drivers!$BI$7)/1000)</f>
        <v/>
      </c>
      <c r="BJ50" s="32">
        <f>IF(1000=0,0,(((BJ41*BJ43)*$C$10)*Drivers!$BJ$7)/1000)</f>
        <v/>
      </c>
      <c r="BK50" s="32">
        <f>IF(1000=0,0,(((BK41*BK43)*$C$10)*Drivers!$BK$7)/1000)</f>
        <v/>
      </c>
      <c r="BL50" s="32">
        <f>IF(1000=0,0,(((BL41*BL43)*$C$10)*Drivers!$BL$7)/1000)</f>
        <v/>
      </c>
      <c r="BM50" s="32">
        <f>IF(1000=0,0,(((BM41*BM43)*$C$10)*Drivers!$BM$7)/1000)</f>
        <v/>
      </c>
      <c r="BN50" s="32">
        <f>IF(1000=0,0,(((BN41*BN43)*$C$10)*Drivers!$BN$7)/1000)</f>
        <v/>
      </c>
      <c r="BO50" s="32">
        <f>IF(1000=0,0,(((BO41*BO43)*$C$10)*Drivers!$BO$7)/1000)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3280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0.07904418527615843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  <c r="AK127" s="6" t="n">
        <v>28.678987</v>
      </c>
      <c r="AL127" s="6" t="n">
        <v>29.678303</v>
      </c>
      <c r="AM127" s="6" t="n">
        <v>30.680356</v>
      </c>
      <c r="AN127" s="6" t="n">
        <v>31.679671</v>
      </c>
      <c r="AO127" s="6" t="n">
        <v>32.678987</v>
      </c>
      <c r="AP127" s="6" t="n">
        <v>33.678303</v>
      </c>
      <c r="AQ127" s="6" t="n">
        <v>34.680356</v>
      </c>
      <c r="AR127" s="6" t="n">
        <v>35.679671</v>
      </c>
      <c r="AS127" s="6" t="n">
        <v>36.678987</v>
      </c>
      <c r="AT127" s="6" t="n">
        <v>37.678303</v>
      </c>
      <c r="AU127" s="6" t="n">
        <v>38.680356</v>
      </c>
      <c r="AV127" s="6" t="n">
        <v>39.679671</v>
      </c>
      <c r="AW127" s="6" t="n">
        <v>40.678987</v>
      </c>
      <c r="AX127" s="6" t="n">
        <v>41.678303</v>
      </c>
      <c r="AY127" s="6" t="n">
        <v>42.680356</v>
      </c>
      <c r="AZ127" s="6" t="n">
        <v>43.679671</v>
      </c>
      <c r="BA127" s="6" t="n">
        <v>44.678987</v>
      </c>
      <c r="BB127" s="6" t="n">
        <v>45.678303</v>
      </c>
      <c r="BC127" s="6" t="n">
        <v>46.680356</v>
      </c>
      <c r="BD127" s="6" t="n">
        <v>47.679671</v>
      </c>
      <c r="BE127" s="6" t="n">
        <v>48.678987</v>
      </c>
      <c r="BF127" s="6" t="n">
        <v>49.678303</v>
      </c>
      <c r="BG127" s="6" t="n">
        <v>50.680356</v>
      </c>
      <c r="BH127" s="6" t="n">
        <v>51.679671</v>
      </c>
      <c r="BI127" s="6" t="n">
        <v>52.678987</v>
      </c>
      <c r="BJ127" s="6" t="n">
        <v>53.678303</v>
      </c>
      <c r="BK127" s="6" t="n">
        <v>54.680356</v>
      </c>
      <c r="BL127" s="6" t="n">
        <v>55.679671</v>
      </c>
      <c r="BM127" s="6" t="n">
        <v>56.678987</v>
      </c>
      <c r="BN127" s="6" t="n">
        <v>57.678303</v>
      </c>
      <c r="BO127" s="6" t="n">
        <v>58.680356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</row>
    <row r="131">
      <c r="A131" t="inlineStr">
        <is>
          <t>Best cumulative PV (never below zero)</t>
        </is>
      </c>
      <c r="C131" s="26">
        <f>MAX(0,MAX(H130:BO130))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5.499566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382.464307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382.4643067129094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2262.918591246717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9425.135876095363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2262.918591</v>
      </c>
      <c r="E167" s="27" t="n">
        <v>1934.934835</v>
      </c>
      <c r="F167" s="27" t="n">
        <v>2414.634459</v>
      </c>
      <c r="G167" s="27" t="n">
        <v>3490.188738</v>
      </c>
      <c r="H167" s="27" t="n">
        <v>4653.974496</v>
      </c>
    </row>
    <row r="168">
      <c r="C168" s="1" t="n">
        <v>0.95</v>
      </c>
      <c r="D168" s="27" t="n">
        <v>2262.918591</v>
      </c>
      <c r="E168" s="27" t="n">
        <v>2043.938359</v>
      </c>
      <c r="F168" s="27" t="n">
        <v>2975.834609</v>
      </c>
      <c r="G168" s="27" t="n">
        <v>4265.183845</v>
      </c>
      <c r="H168" s="27" t="n">
        <v>5602.014777</v>
      </c>
    </row>
    <row r="169">
      <c r="C169" s="1" t="n">
        <v>1</v>
      </c>
      <c r="D169" s="27" t="n">
        <v>1927.123953</v>
      </c>
      <c r="E169" s="27" t="n">
        <v>2414.634459</v>
      </c>
      <c r="F169" s="27" t="n">
        <v>3624.274592</v>
      </c>
      <c r="G169" s="27" t="n">
        <v>5105.074114</v>
      </c>
      <c r="H169" s="27" t="n">
        <v>6600.669508</v>
      </c>
    </row>
    <row r="170">
      <c r="C170" s="1" t="n">
        <v>1.05</v>
      </c>
      <c r="D170" s="27" t="n">
        <v>1986.240801</v>
      </c>
      <c r="E170" s="27" t="n">
        <v>2917.276662</v>
      </c>
      <c r="F170" s="27" t="n">
        <v>4339.096884</v>
      </c>
      <c r="G170" s="27" t="n">
        <v>5994.926097</v>
      </c>
      <c r="H170" s="27" t="n">
        <v>7638.194292</v>
      </c>
    </row>
    <row r="171">
      <c r="C171" s="1" t="n">
        <v>1.1</v>
      </c>
      <c r="D171" s="27" t="n">
        <v>2221.83466</v>
      </c>
      <c r="E171" s="27" t="n">
        <v>3490.188738</v>
      </c>
      <c r="F171" s="27" t="n">
        <v>5105.074114</v>
      </c>
      <c r="G171" s="27" t="n">
        <v>6927.201963</v>
      </c>
      <c r="H171" s="27" t="n">
        <v>8707.936236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5574.140513</v>
      </c>
      <c r="E175" s="27" t="n">
        <v>5014.270842</v>
      </c>
      <c r="F175" s="27" t="n">
        <v>4469.660021</v>
      </c>
      <c r="G175" s="27" t="n">
        <v>3943.089136</v>
      </c>
      <c r="H175" s="27" t="n">
        <v>3435.814237</v>
      </c>
    </row>
    <row r="176">
      <c r="C176" s="1" t="n">
        <v>0.95</v>
      </c>
      <c r="D176" s="27" t="n">
        <v>5778.264486</v>
      </c>
      <c r="E176" s="27" t="n">
        <v>5187.308833</v>
      </c>
      <c r="F176" s="27" t="n">
        <v>4612.464706</v>
      </c>
      <c r="G176" s="27" t="n">
        <v>4056.658519</v>
      </c>
      <c r="H176" s="27" t="n">
        <v>3521.223653</v>
      </c>
    </row>
    <row r="177">
      <c r="C177" s="1" t="n">
        <v>1</v>
      </c>
      <c r="D177" s="27" t="n">
        <v>5982.388458</v>
      </c>
      <c r="E177" s="27" t="n">
        <v>5360.346823</v>
      </c>
      <c r="F177" s="27" t="n">
        <v>4755.269391</v>
      </c>
      <c r="G177" s="27" t="n">
        <v>4170.227902</v>
      </c>
      <c r="H177" s="27" t="n">
        <v>3606.633069</v>
      </c>
    </row>
    <row r="178">
      <c r="C178" s="1" t="n">
        <v>1.05</v>
      </c>
      <c r="D178" s="27" t="n">
        <v>6186.512431</v>
      </c>
      <c r="E178" s="27" t="n">
        <v>5533.384814</v>
      </c>
      <c r="F178" s="27" t="n">
        <v>4898.074075</v>
      </c>
      <c r="G178" s="27" t="n">
        <v>4283.797285</v>
      </c>
      <c r="H178" s="27" t="n">
        <v>3692.042485</v>
      </c>
    </row>
    <row r="179">
      <c r="C179" s="1" t="n">
        <v>1.1</v>
      </c>
      <c r="D179" s="27" t="n">
        <v>6390.636403</v>
      </c>
      <c r="E179" s="27" t="n">
        <v>5706.422804</v>
      </c>
      <c r="F179" s="27" t="n">
        <v>5040.87876</v>
      </c>
      <c r="G179" s="27" t="n">
        <v>4397.366668</v>
      </c>
      <c r="H179" s="27" t="n">
        <v>3777.451901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1.3</v>
      </c>
      <c r="J14" s="13" t="n">
        <v>1.9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IF(IF(1000=0,0,((H41*$C$10)*Drivers!$H$7)/1000)=0,0,H61/IF(1000=0,0,((H41*$C$10)*Drivers!$H$7)/1000))</f>
        <v/>
      </c>
      <c r="I48" s="16">
        <f>IF(IF(1000=0,0,((I41*$C$10)*Drivers!$I$7)/1000)=0,0,I61/IF(1000=0,0,((I41*$C$10)*Drivers!$I$7)/1000))</f>
        <v/>
      </c>
      <c r="J48" s="16">
        <f>IF(IF(1000=0,0,((J41*$C$10)*Drivers!$J$7)/1000)=0,0,J61/IF(1000=0,0,((J41*$C$10)*Drivers!$J$7)/1000))</f>
        <v/>
      </c>
      <c r="K48" s="16">
        <f>IF(IF(1000=0,0,((K41*$C$10)*Drivers!$K$7)/1000)=0,0,K61/IF(1000=0,0,((K41*$C$10)*Drivers!$K$7)/1000))</f>
        <v/>
      </c>
      <c r="L48" s="16">
        <f>IF(IF(1000=0,0,((L41*$C$10)*Drivers!$L$7)/1000)=0,0,L61/IF(1000=0,0,((L41*$C$10)*Drivers!$L$7)/1000))</f>
        <v/>
      </c>
      <c r="M48" s="16">
        <f>IF(IF(1000=0,0,((M41*$C$10)*Drivers!$M$7)/1000)=0,0,M61/IF(1000=0,0,((M41*$C$10)*Drivers!$M$7)/1000))</f>
        <v/>
      </c>
      <c r="N48" s="16">
        <f>IF(IF(1000=0,0,((N41*$C$10)*Drivers!$N$7)/1000)=0,0,N61/IF(1000=0,0,((N41*$C$10)*Drivers!$N$7)/1000))</f>
        <v/>
      </c>
      <c r="O48" s="16">
        <f>IF(IF(1000=0,0,((O41*$C$10)*Drivers!$O$7)/1000)=0,0,O61/IF(1000=0,0,((O41*$C$10)*Drivers!$O$7)/1000))</f>
        <v/>
      </c>
      <c r="P48" s="16">
        <f>IF(IF(1000=0,0,((P41*$C$10)*Drivers!$P$7)/1000)=0,0,P61/IF(1000=0,0,((P41*$C$10)*Drivers!$P$7)/1000))</f>
        <v/>
      </c>
      <c r="Q48" s="16">
        <f>IF(IF(1000=0,0,((Q41*$C$10)*Drivers!$Q$7)/1000)=0,0,Q61/IF(1000=0,0,((Q41*$C$10)*Drivers!$Q$7)/1000))</f>
        <v/>
      </c>
      <c r="R48" s="16">
        <f>IF(IF(1000=0,0,((R41*$C$10)*Drivers!$R$7)/1000)=0,0,R61/IF(1000=0,0,((R41*$C$10)*Drivers!$R$7)/1000))</f>
        <v/>
      </c>
      <c r="S48" s="16">
        <f>IF(IF(1000=0,0,((S41*$C$10)*Drivers!$S$7)/1000)=0,0,S61/IF(1000=0,0,((S41*$C$10)*Drivers!$S$7)/1000))</f>
        <v/>
      </c>
      <c r="T48" s="16">
        <f>IF(IF(1000=0,0,((T41*$C$10)*Drivers!$T$7)/1000)=0,0,T61/IF(1000=0,0,((T41*$C$10)*Drivers!$T$7)/1000))</f>
        <v/>
      </c>
      <c r="U48" s="16">
        <f>IF(IF(1000=0,0,((U41*$C$10)*Drivers!$U$7)/1000)=0,0,U61/IF(1000=0,0,((U41*$C$10)*Drivers!$U$7)/1000))</f>
        <v/>
      </c>
      <c r="V48" s="16">
        <f>IF(IF(1000=0,0,((V41*$C$10)*Drivers!$V$7)/1000)=0,0,V61/IF(1000=0,0,((V41*$C$10)*Drivers!$V$7)/1000))</f>
        <v/>
      </c>
      <c r="W48" s="16">
        <f>IF(IF(1000=0,0,((W41*$C$10)*Drivers!$W$7)/1000)=0,0,W61/IF(1000=0,0,((W41*$C$10)*Drivers!$W$7)/1000))</f>
        <v/>
      </c>
      <c r="X48" s="16">
        <f>IF(IF(1000=0,0,((X41*$C$10)*Drivers!$X$7)/1000)=0,0,X61/IF(1000=0,0,((X41*$C$10)*Drivers!$X$7)/1000))</f>
        <v/>
      </c>
      <c r="Y48" s="16">
        <f>IF(IF(1000=0,0,((Y41*$C$10)*Drivers!$Y$7)/1000)=0,0,Y61/IF(1000=0,0,((Y41*$C$10)*Drivers!$Y$7)/1000))</f>
        <v/>
      </c>
      <c r="Z48" s="16">
        <f>IF(IF(1000=0,0,((Z41*$C$10)*Drivers!$Z$7)/1000)=0,0,Z61/IF(1000=0,0,((Z41*$C$10)*Drivers!$Z$7)/1000))</f>
        <v/>
      </c>
      <c r="AA48" s="16">
        <f>IF(IF(1000=0,0,((AA41*$C$10)*Drivers!$AA$7)/1000)=0,0,AA61/IF(1000=0,0,((AA41*$C$10)*Drivers!$AA$7)/1000))</f>
        <v/>
      </c>
      <c r="AB48" s="16">
        <f>IF(IF(1000=0,0,((AB41*$C$10)*Drivers!$AB$7)/1000)=0,0,AB61/IF(1000=0,0,((AB41*$C$10)*Drivers!$AB$7)/1000))</f>
        <v/>
      </c>
      <c r="AC48" s="16">
        <f>IF(IF(1000=0,0,((AC41*$C$10)*Drivers!$AC$7)/1000)=0,0,AC61/IF(1000=0,0,((AC41*$C$10)*Drivers!$AC$7)/1000))</f>
        <v/>
      </c>
      <c r="AD48" s="16">
        <f>IF(IF(1000=0,0,((AD41*$C$10)*Drivers!$AD$7)/1000)=0,0,AD61/IF(1000=0,0,((AD41*$C$10)*Drivers!$AD$7)/1000))</f>
        <v/>
      </c>
      <c r="AE48" s="16">
        <f>IF(IF(1000=0,0,((AE41*$C$10)*Drivers!$AE$7)/1000)=0,0,AE61/IF(1000=0,0,((AE41*$C$10)*Drivers!$AE$7)/1000))</f>
        <v/>
      </c>
      <c r="AF48" s="16">
        <f>IF(IF(1000=0,0,((AF41*$C$10)*Drivers!$AF$7)/1000)=0,0,AF61/IF(1000=0,0,((AF41*$C$10)*Drivers!$AF$7)/1000))</f>
        <v/>
      </c>
      <c r="AG48" s="16">
        <f>IF(IF(1000=0,0,((AG41*$C$10)*Drivers!$AG$7)/1000)=0,0,AG61/IF(1000=0,0,((AG41*$C$10)*Drivers!$AG$7)/1000))</f>
        <v/>
      </c>
      <c r="AH48" s="16">
        <f>IF(IF(1000=0,0,((AH41*$C$10)*Drivers!$AH$7)/1000)=0,0,AH61/IF(1000=0,0,((AH41*$C$10)*Drivers!$AH$7)/1000))</f>
        <v/>
      </c>
      <c r="AI48" s="16">
        <f>IF(IF(1000=0,0,((AI41*$C$10)*Drivers!$AI$7)/1000)=0,0,AI61/IF(1000=0,0,((AI41*$C$10)*Drivers!$AI$7)/1000))</f>
        <v/>
      </c>
      <c r="AJ48" s="16">
        <f>IF(IF(1000=0,0,((AJ41*$C$10)*Drivers!$AJ$7)/1000)=0,0,AJ61/IF(1000=0,0,((AJ41*$C$10)*Drivers!$AJ$7)/1000))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IF(IF(1000=0,0,((H41*$C$10)*Drivers!$H$7)/1000)=0,0,(H53+H52)/IF(1000=0,0,((H41*$C$10)*Drivers!$H$7)/1000))</f>
        <v/>
      </c>
      <c r="I49" s="16">
        <f>IF(IF(1000=0,0,((I41*$C$10)*Drivers!$I$7)/1000)=0,0,(I53+I52)/IF(1000=0,0,((I41*$C$10)*Drivers!$I$7)/1000))</f>
        <v/>
      </c>
      <c r="J49" s="16">
        <f>IF(IF(1000=0,0,((J41*$C$10)*Drivers!$J$7)/1000)=0,0,(J53+J52)/IF(1000=0,0,((J41*$C$10)*Drivers!$J$7)/1000))</f>
        <v/>
      </c>
      <c r="K49" s="16">
        <f>IF(IF(1000=0,0,((K41*$C$10)*Drivers!$K$7)/1000)=0,0,(K53+K52)/IF(1000=0,0,((K41*$C$10)*Drivers!$K$7)/1000))</f>
        <v/>
      </c>
      <c r="L49" s="16">
        <f>IF(IF(1000=0,0,((L41*$C$10)*Drivers!$L$7)/1000)=0,0,(L53+L52)/IF(1000=0,0,((L41*$C$10)*Drivers!$L$7)/1000))</f>
        <v/>
      </c>
      <c r="M49" s="16">
        <f>IF(IF(1000=0,0,((M41*$C$10)*Drivers!$M$7)/1000)=0,0,(M53+M52)/IF(1000=0,0,((M41*$C$10)*Drivers!$M$7)/1000))</f>
        <v/>
      </c>
      <c r="N49" s="16">
        <f>IF(IF(1000=0,0,((N41*$C$10)*Drivers!$N$7)/1000)=0,0,(N53+N52)/IF(1000=0,0,((N41*$C$10)*Drivers!$N$7)/1000))</f>
        <v/>
      </c>
      <c r="O49" s="16">
        <f>IF(IF(1000=0,0,((O41*$C$10)*Drivers!$O$7)/1000)=0,0,(O53+O52)/IF(1000=0,0,((O41*$C$10)*Drivers!$O$7)/1000))</f>
        <v/>
      </c>
      <c r="P49" s="16">
        <f>IF(IF(1000=0,0,((P41*$C$10)*Drivers!$P$7)/1000)=0,0,(P53+P52)/IF(1000=0,0,((P41*$C$10)*Drivers!$P$7)/1000))</f>
        <v/>
      </c>
      <c r="Q49" s="16">
        <f>IF(IF(1000=0,0,((Q41*$C$10)*Drivers!$Q$7)/1000)=0,0,(Q53+Q52)/IF(1000=0,0,((Q41*$C$10)*Drivers!$Q$7)/1000))</f>
        <v/>
      </c>
      <c r="R49" s="16">
        <f>IF(IF(1000=0,0,((R41*$C$10)*Drivers!$R$7)/1000)=0,0,(R53+R52)/IF(1000=0,0,((R41*$C$10)*Drivers!$R$7)/1000))</f>
        <v/>
      </c>
      <c r="S49" s="16">
        <f>IF(IF(1000=0,0,((S41*$C$10)*Drivers!$S$7)/1000)=0,0,(S53+S52)/IF(1000=0,0,((S41*$C$10)*Drivers!$S$7)/1000))</f>
        <v/>
      </c>
      <c r="T49" s="16">
        <f>IF(IF(1000=0,0,((T41*$C$10)*Drivers!$T$7)/1000)=0,0,(T53+T52)/IF(1000=0,0,((T41*$C$10)*Drivers!$T$7)/1000))</f>
        <v/>
      </c>
      <c r="U49" s="16">
        <f>IF(IF(1000=0,0,((U41*$C$10)*Drivers!$U$7)/1000)=0,0,(U53+U52)/IF(1000=0,0,((U41*$C$10)*Drivers!$U$7)/1000))</f>
        <v/>
      </c>
      <c r="V49" s="16">
        <f>IF(IF(1000=0,0,((V41*$C$10)*Drivers!$V$7)/1000)=0,0,(V53+V52)/IF(1000=0,0,((V41*$C$10)*Drivers!$V$7)/1000))</f>
        <v/>
      </c>
      <c r="W49" s="16">
        <f>IF(IF(1000=0,0,((W41*$C$10)*Drivers!$W$7)/1000)=0,0,(W53+W52)/IF(1000=0,0,((W41*$C$10)*Drivers!$W$7)/1000))</f>
        <v/>
      </c>
      <c r="X49" s="16">
        <f>IF(IF(1000=0,0,((X41*$C$10)*Drivers!$X$7)/1000)=0,0,(X53+X52)/IF(1000=0,0,((X41*$C$10)*Drivers!$X$7)/1000))</f>
        <v/>
      </c>
      <c r="Y49" s="16">
        <f>IF(IF(1000=0,0,((Y41*$C$10)*Drivers!$Y$7)/1000)=0,0,(Y53+Y52)/IF(1000=0,0,((Y41*$C$10)*Drivers!$Y$7)/1000))</f>
        <v/>
      </c>
      <c r="Z49" s="16">
        <f>IF(IF(1000=0,0,((Z41*$C$10)*Drivers!$Z$7)/1000)=0,0,(Z53+Z52)/IF(1000=0,0,((Z41*$C$10)*Drivers!$Z$7)/1000))</f>
        <v/>
      </c>
      <c r="AA49" s="16">
        <f>IF(IF(1000=0,0,((AA41*$C$10)*Drivers!$AA$7)/1000)=0,0,(AA53+AA52)/IF(1000=0,0,((AA41*$C$10)*Drivers!$AA$7)/1000))</f>
        <v/>
      </c>
      <c r="AB49" s="16">
        <f>IF(IF(1000=0,0,((AB41*$C$10)*Drivers!$AB$7)/1000)=0,0,(AB53+AB52)/IF(1000=0,0,((AB41*$C$10)*Drivers!$AB$7)/1000))</f>
        <v/>
      </c>
      <c r="AC49" s="16">
        <f>IF(IF(1000=0,0,((AC41*$C$10)*Drivers!$AC$7)/1000)=0,0,(AC53+AC52)/IF(1000=0,0,((AC41*$C$10)*Drivers!$AC$7)/1000))</f>
        <v/>
      </c>
      <c r="AD49" s="16">
        <f>IF(IF(1000=0,0,((AD41*$C$10)*Drivers!$AD$7)/1000)=0,0,(AD53+AD52)/IF(1000=0,0,((AD41*$C$10)*Drivers!$AD$7)/1000))</f>
        <v/>
      </c>
      <c r="AE49" s="16">
        <f>IF(IF(1000=0,0,((AE41*$C$10)*Drivers!$AE$7)/1000)=0,0,(AE53+AE52)/IF(1000=0,0,((AE41*$C$10)*Drivers!$AE$7)/1000))</f>
        <v/>
      </c>
      <c r="AF49" s="16">
        <f>IF(IF(1000=0,0,((AF41*$C$10)*Drivers!$AF$7)/1000)=0,0,(AF53+AF52)/IF(1000=0,0,((AF41*$C$10)*Drivers!$AF$7)/1000))</f>
        <v/>
      </c>
      <c r="AG49" s="16">
        <f>IF(IF(1000=0,0,((AG41*$C$10)*Drivers!$AG$7)/1000)=0,0,(AG53+AG52)/IF(1000=0,0,((AG41*$C$10)*Drivers!$AG$7)/1000))</f>
        <v/>
      </c>
      <c r="AH49" s="16">
        <f>IF(IF(1000=0,0,((AH41*$C$10)*Drivers!$AH$7)/1000)=0,0,(AH53+AH52)/IF(1000=0,0,((AH41*$C$10)*Drivers!$AH$7)/1000))</f>
        <v/>
      </c>
      <c r="AI49" s="16">
        <f>IF(IF(1000=0,0,((AI41*$C$10)*Drivers!$AI$7)/1000)=0,0,(AI53+AI52)/IF(1000=0,0,((AI41*$C$10)*Drivers!$AI$7)/1000))</f>
        <v/>
      </c>
      <c r="AJ49" s="16">
        <f>IF(IF(1000=0,0,((AJ41*$C$10)*Drivers!$AJ$7)/1000)=0,0,(AJ53+AJ52)/IF(1000=0,0,((AJ41*$C$10)*Drivers!$AJ$7)/1000))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2">
        <f>IF(1000=0,0,(((H41*H43)*$C$10)*Drivers!$H$7)/1000)</f>
        <v/>
      </c>
      <c r="I50" s="32">
        <f>IF(1000=0,0,(((I41*I43)*$C$10)*Drivers!$I$7)/1000)</f>
        <v/>
      </c>
      <c r="J50" s="32">
        <f>IF(1000=0,0,(((J41*J43)*$C$10)*Drivers!$J$7)/1000)</f>
        <v/>
      </c>
      <c r="K50" s="32">
        <f>IF(1000=0,0,(((K41*K43)*$C$10)*Drivers!$K$7)/1000)</f>
        <v/>
      </c>
      <c r="L50" s="32">
        <f>IF(1000=0,0,(((L41*L43)*$C$10)*Drivers!$L$7)/1000)</f>
        <v/>
      </c>
      <c r="M50" s="32">
        <f>IF(1000=0,0,(((M41*M43)*$C$10)*Drivers!$M$7)/1000)</f>
        <v/>
      </c>
      <c r="N50" s="32">
        <f>IF(1000=0,0,(((N41*N43)*$C$10)*Drivers!$N$7)/1000)</f>
        <v/>
      </c>
      <c r="O50" s="32">
        <f>IF(1000=0,0,(((O41*O43)*$C$10)*Drivers!$O$7)/1000)</f>
        <v/>
      </c>
      <c r="P50" s="32">
        <f>IF(1000=0,0,(((P41*P43)*$C$10)*Drivers!$P$7)/1000)</f>
        <v/>
      </c>
      <c r="Q50" s="32">
        <f>IF(1000=0,0,(((Q41*Q43)*$C$10)*Drivers!$Q$7)/1000)</f>
        <v/>
      </c>
      <c r="R50" s="32">
        <f>IF(1000=0,0,(((R41*R43)*$C$10)*Drivers!$R$7)/1000)</f>
        <v/>
      </c>
      <c r="S50" s="32">
        <f>IF(1000=0,0,(((S41*S43)*$C$10)*Drivers!$S$7)/1000)</f>
        <v/>
      </c>
      <c r="T50" s="32">
        <f>IF(1000=0,0,(((T41*T43)*$C$10)*Drivers!$T$7)/1000)</f>
        <v/>
      </c>
      <c r="U50" s="32">
        <f>IF(1000=0,0,(((U41*U43)*$C$10)*Drivers!$U$7)/1000)</f>
        <v/>
      </c>
      <c r="V50" s="32">
        <f>IF(1000=0,0,(((V41*V43)*$C$10)*Drivers!$V$7)/1000)</f>
        <v/>
      </c>
      <c r="W50" s="32">
        <f>IF(1000=0,0,(((W41*W43)*$C$10)*Drivers!$W$7)/1000)</f>
        <v/>
      </c>
      <c r="X50" s="32">
        <f>IF(1000=0,0,(((X41*X43)*$C$10)*Drivers!$X$7)/1000)</f>
        <v/>
      </c>
      <c r="Y50" s="32">
        <f>IF(1000=0,0,(((Y41*Y43)*$C$10)*Drivers!$Y$7)/1000)</f>
        <v/>
      </c>
      <c r="Z50" s="32">
        <f>IF(1000=0,0,(((Z41*Z43)*$C$10)*Drivers!$Z$7)/1000)</f>
        <v/>
      </c>
      <c r="AA50" s="32">
        <f>IF(1000=0,0,(((AA41*AA43)*$C$10)*Drivers!$AA$7)/1000)</f>
        <v/>
      </c>
      <c r="AB50" s="32">
        <f>IF(1000=0,0,(((AB41*AB43)*$C$10)*Drivers!$AB$7)/1000)</f>
        <v/>
      </c>
      <c r="AC50" s="32">
        <f>IF(1000=0,0,(((AC41*AC43)*$C$10)*Drivers!$AC$7)/1000)</f>
        <v/>
      </c>
      <c r="AD50" s="32">
        <f>IF(1000=0,0,(((AD41*AD43)*$C$10)*Drivers!$AD$7)/1000)</f>
        <v/>
      </c>
      <c r="AE50" s="32">
        <f>IF(1000=0,0,(((AE41*AE43)*$C$10)*Drivers!$AE$7)/1000)</f>
        <v/>
      </c>
      <c r="AF50" s="32">
        <f>IF(1000=0,0,(((AF41*AF43)*$C$10)*Drivers!$AF$7)/1000)</f>
        <v/>
      </c>
      <c r="AG50" s="32">
        <f>IF(1000=0,0,(((AG41*AG43)*$C$10)*Drivers!$AG$7)/1000)</f>
        <v/>
      </c>
      <c r="AH50" s="32">
        <f>IF(1000=0,0,(((AH41*AH43)*$C$10)*Drivers!$AH$7)/1000)</f>
        <v/>
      </c>
      <c r="AI50" s="32">
        <f>IF(1000=0,0,(((AI41*AI43)*$C$10)*Drivers!$AI$7)/1000)</f>
        <v/>
      </c>
      <c r="AJ50" s="32">
        <f>IF(1000=0,0,(((AJ41*AJ43)*$C$10)*Drivers!$AJ$7)/1000)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10325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72.024796932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0.1545262848940854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6.462381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708.6763259909001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2657.16882928115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6.513882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708.676326</v>
      </c>
      <c r="E170" s="27" t="n">
        <v>708.676326</v>
      </c>
      <c r="F170" s="27" t="n">
        <v>872.653866</v>
      </c>
      <c r="G170" s="27" t="n">
        <v>1228.173051</v>
      </c>
      <c r="H170" s="27" t="n">
        <v>1694.756389</v>
      </c>
    </row>
    <row r="171">
      <c r="C171" s="1" t="n">
        <v>0.95</v>
      </c>
      <c r="D171" s="27" t="n">
        <v>708.676326</v>
      </c>
      <c r="E171" s="27" t="n">
        <v>763.621988</v>
      </c>
      <c r="F171" s="27" t="n">
        <v>1053.734118</v>
      </c>
      <c r="G171" s="27" t="n">
        <v>1503.126231</v>
      </c>
      <c r="H171" s="27" t="n">
        <v>2046.976256</v>
      </c>
    </row>
    <row r="172">
      <c r="C172" s="1" t="n">
        <v>1</v>
      </c>
      <c r="D172" s="27" t="n">
        <v>708.676326</v>
      </c>
      <c r="E172" s="27" t="n">
        <v>872.653866</v>
      </c>
      <c r="F172" s="27" t="n">
        <v>1275.903784</v>
      </c>
      <c r="G172" s="27" t="n">
        <v>1809.338414</v>
      </c>
      <c r="H172" s="27" t="n">
        <v>2422.859237</v>
      </c>
    </row>
    <row r="173">
      <c r="C173" s="1" t="n">
        <v>1.05</v>
      </c>
      <c r="D173" s="27" t="n">
        <v>742.503532</v>
      </c>
      <c r="E173" s="27" t="n">
        <v>1033.077783</v>
      </c>
      <c r="F173" s="27" t="n">
        <v>1529.674737</v>
      </c>
      <c r="G173" s="27" t="n">
        <v>2139.457488</v>
      </c>
      <c r="H173" s="27" t="n">
        <v>2817.911015</v>
      </c>
    </row>
    <row r="174">
      <c r="C174" s="1" t="n">
        <v>1.1</v>
      </c>
      <c r="D174" s="27" t="n">
        <v>814.718584</v>
      </c>
      <c r="E174" s="27" t="n">
        <v>1228.173051</v>
      </c>
      <c r="F174" s="27" t="n">
        <v>1809.338414</v>
      </c>
      <c r="G174" s="27" t="n">
        <v>2488.02199</v>
      </c>
      <c r="H174" s="27" t="n">
        <v>3227.191055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2071.11257</v>
      </c>
      <c r="E178" s="27" t="n">
        <v>1904.080673</v>
      </c>
      <c r="F178" s="27" t="n">
        <v>1737.048776</v>
      </c>
      <c r="G178" s="27" t="n">
        <v>1570.016879</v>
      </c>
      <c r="H178" s="27" t="n">
        <v>1402.984982</v>
      </c>
    </row>
    <row r="179">
      <c r="C179" s="1" t="n">
        <v>0.95</v>
      </c>
      <c r="D179" s="27" t="n">
        <v>2152.325565</v>
      </c>
      <c r="E179" s="27" t="n">
        <v>1976.014118</v>
      </c>
      <c r="F179" s="27" t="n">
        <v>1799.702671</v>
      </c>
      <c r="G179" s="27" t="n">
        <v>1623.391224</v>
      </c>
      <c r="H179" s="27" t="n">
        <v>1447.079778</v>
      </c>
    </row>
    <row r="180">
      <c r="C180" s="1" t="n">
        <v>1</v>
      </c>
      <c r="D180" s="27" t="n">
        <v>2233.53856</v>
      </c>
      <c r="E180" s="27" t="n">
        <v>2047.947563</v>
      </c>
      <c r="F180" s="27" t="n">
        <v>1862.356567</v>
      </c>
      <c r="G180" s="27" t="n">
        <v>1676.76557</v>
      </c>
      <c r="H180" s="27" t="n">
        <v>1491.174573</v>
      </c>
    </row>
    <row r="181">
      <c r="C181" s="1" t="n">
        <v>1.05</v>
      </c>
      <c r="D181" s="27" t="n">
        <v>2302.983767</v>
      </c>
      <c r="E181" s="27" t="n">
        <v>2110.309503</v>
      </c>
      <c r="F181" s="27" t="n">
        <v>1917.635239</v>
      </c>
      <c r="G181" s="27" t="n">
        <v>1724.960975</v>
      </c>
      <c r="H181" s="27" t="n">
        <v>1532.286711</v>
      </c>
    </row>
    <row r="182">
      <c r="C182" s="1" t="n">
        <v>1.1</v>
      </c>
      <c r="D182" s="27" t="n">
        <v>2370.016365</v>
      </c>
      <c r="E182" s="27" t="n">
        <v>2170.642555</v>
      </c>
      <c r="F182" s="27" t="n">
        <v>1971.268745</v>
      </c>
      <c r="G182" s="27" t="n">
        <v>1771.894934</v>
      </c>
      <c r="H182" s="27" t="n">
        <v>1572.521124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0.05507472315752297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30.5584835275419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847.2808286419785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9.74802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27.025069</v>
      </c>
      <c r="E170" s="27" t="n">
        <v>78.77315</v>
      </c>
      <c r="F170" s="27" t="n">
        <v>190.175228</v>
      </c>
      <c r="G170" s="27" t="n">
        <v>357.516316</v>
      </c>
      <c r="H170" s="27" t="n">
        <v>524.857405</v>
      </c>
    </row>
    <row r="171">
      <c r="C171" s="1" t="n">
        <v>0.95</v>
      </c>
      <c r="D171" s="27" t="n">
        <v>28.529903</v>
      </c>
      <c r="E171" s="27" t="n">
        <v>83.159893</v>
      </c>
      <c r="F171" s="27" t="n">
        <v>200.766074</v>
      </c>
      <c r="G171" s="27" t="n">
        <v>377.427739</v>
      </c>
      <c r="H171" s="27" t="n">
        <v>554.0894029999999</v>
      </c>
    </row>
    <row r="172">
      <c r="C172" s="1" t="n">
        <v>1</v>
      </c>
      <c r="D172" s="27" t="n">
        <v>30.0351</v>
      </c>
      <c r="E172" s="27" t="n">
        <v>87.547736</v>
      </c>
      <c r="F172" s="27" t="n">
        <v>211.359602</v>
      </c>
      <c r="G172" s="27" t="n">
        <v>397.344331</v>
      </c>
      <c r="H172" s="27" t="n">
        <v>583.32906</v>
      </c>
    </row>
    <row r="173">
      <c r="C173" s="1" t="n">
        <v>1.05</v>
      </c>
      <c r="D173" s="27" t="n">
        <v>31.540659</v>
      </c>
      <c r="E173" s="27" t="n">
        <v>91.936679</v>
      </c>
      <c r="F173" s="27" t="n">
        <v>221.95581</v>
      </c>
      <c r="G173" s="27" t="n">
        <v>417.26609</v>
      </c>
      <c r="H173" s="27" t="n">
        <v>612.576369</v>
      </c>
    </row>
    <row r="174">
      <c r="C174" s="1" t="n">
        <v>1.1</v>
      </c>
      <c r="D174" s="27" t="n">
        <v>33.04658</v>
      </c>
      <c r="E174" s="27" t="n">
        <v>96.326723</v>
      </c>
      <c r="F174" s="27" t="n">
        <v>232.554698</v>
      </c>
      <c r="G174" s="27" t="n">
        <v>437.193009</v>
      </c>
      <c r="H174" s="27" t="n">
        <v>641.831321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210.86128</v>
      </c>
      <c r="E178" s="27" t="n">
        <v>200.097905</v>
      </c>
      <c r="F178" s="27" t="n">
        <v>189.334529</v>
      </c>
      <c r="G178" s="27" t="n">
        <v>178.571154</v>
      </c>
      <c r="H178" s="27" t="n">
        <v>167.807778</v>
      </c>
    </row>
    <row r="179">
      <c r="C179" s="1" t="n">
        <v>0.95</v>
      </c>
      <c r="D179" s="27" t="n">
        <v>223.069747</v>
      </c>
      <c r="E179" s="27" t="n">
        <v>211.708406</v>
      </c>
      <c r="F179" s="27" t="n">
        <v>200.347066</v>
      </c>
      <c r="G179" s="27" t="n">
        <v>188.985725</v>
      </c>
      <c r="H179" s="27" t="n">
        <v>177.624384</v>
      </c>
    </row>
    <row r="180">
      <c r="C180" s="1" t="n">
        <v>1</v>
      </c>
      <c r="D180" s="27" t="n">
        <v>235.278214</v>
      </c>
      <c r="E180" s="27" t="n">
        <v>223.318908</v>
      </c>
      <c r="F180" s="27" t="n">
        <v>211.359602</v>
      </c>
      <c r="G180" s="27" t="n">
        <v>199.400296</v>
      </c>
      <c r="H180" s="27" t="n">
        <v>187.44099</v>
      </c>
    </row>
    <row r="181">
      <c r="C181" s="1" t="n">
        <v>1.05</v>
      </c>
      <c r="D181" s="27" t="n">
        <v>247.486682</v>
      </c>
      <c r="E181" s="27" t="n">
        <v>234.92941</v>
      </c>
      <c r="F181" s="27" t="n">
        <v>222.372139</v>
      </c>
      <c r="G181" s="27" t="n">
        <v>209.814867</v>
      </c>
      <c r="H181" s="27" t="n">
        <v>197.257596</v>
      </c>
    </row>
    <row r="182">
      <c r="C182" s="1" t="n">
        <v>1.1</v>
      </c>
      <c r="D182" s="27" t="n">
        <v>259.695149</v>
      </c>
      <c r="E182" s="27" t="n">
        <v>246.539912</v>
      </c>
      <c r="F182" s="27" t="n">
        <v>233.384675</v>
      </c>
      <c r="G182" s="27" t="n">
        <v>220.229439</v>
      </c>
      <c r="H182" s="27" t="n">
        <v>207.074202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2026-10-27T12:10:50Z</dcterms:created>
  <dcterms:modified xsi:type="dcterms:W3CDTF">2026-10-27T12:10:50Z</dcterms:modified>
</cp:coreProperties>
</file>