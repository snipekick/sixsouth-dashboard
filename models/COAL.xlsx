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BMM" sheetId="5" state="visible" r:id="rId5"/>
    <sheet name="ADMR" sheetId="6" state="visible" r:id="rId6"/>
    <sheet name="BSSR" sheetId="7" state="visible" r:id="rId7"/>
    <sheet name="BUMI" sheetId="8" state="visible" r:id="rId8"/>
    <sheet name="BYAN" sheetId="9" state="visible" r:id="rId9"/>
    <sheet name="GEMS" sheetId="10" state="visible" r:id="rId10"/>
    <sheet name="INDY" sheetId="11" state="visible" r:id="rId11"/>
    <sheet name="ITMG" sheetId="12" state="visible" r:id="rId12"/>
    <sheet name="MCOL" sheetId="13" state="visible" r:id="rId13"/>
    <sheet name="PTBA" sheetId="14" state="visible" r:id="rId14"/>
    <sheet name="SINI" sheetId="15" state="visible" r:id="rId15"/>
    <sheet name="SMMT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70" fontId="0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2026-10-27T10:28:07+07:00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ABMM.JK — PT ABM Investama Tbk</t>
        </is>
      </c>
    </row>
    <row r="11">
      <c r="A11" t="inlineStr">
        <is>
          <t>ADMR.JK — PT Alamtri Minerals Indonesia Tbk</t>
        </is>
      </c>
    </row>
    <row r="12">
      <c r="A12" t="inlineStr">
        <is>
          <t>BSSR.JK — PT Baramulti Suksessarana Tbk</t>
        </is>
      </c>
    </row>
    <row r="13">
      <c r="A13" t="inlineStr">
        <is>
          <t>BUMI.JK — PT Bumi Resources Tbk</t>
        </is>
      </c>
    </row>
    <row r="14">
      <c r="A14" t="inlineStr">
        <is>
          <t>BYAN.JK — PT Bayan Resources Tbk.</t>
        </is>
      </c>
    </row>
    <row r="15">
      <c r="A15" t="inlineStr">
        <is>
          <t>GEMS.JK — PT Golden Energy Mines Tbk</t>
        </is>
      </c>
    </row>
    <row r="16">
      <c r="A16" t="inlineStr">
        <is>
          <t>INDY.JK — PT. Indika Energy Tbk</t>
        </is>
      </c>
    </row>
    <row r="17">
      <c r="A17" t="inlineStr">
        <is>
          <t>ITMG.JK — PT Indo Tambangraya Megah Tbk</t>
        </is>
      </c>
    </row>
    <row r="18">
      <c r="A18" t="inlineStr">
        <is>
          <t>MCOL.JK — PT Prima Andalan Mandiri Tbk</t>
        </is>
      </c>
    </row>
    <row r="19">
      <c r="A19" t="inlineStr">
        <is>
          <t>PTBA.JK — PT Bukit Asam (Persero) Tbk</t>
        </is>
      </c>
    </row>
    <row r="20">
      <c r="A20" t="inlineStr">
        <is>
          <t>SINI.JK — PT Singaraja Putra Tbk</t>
        </is>
      </c>
    </row>
    <row r="21">
      <c r="A21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2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  <c r="AB3" s="1" t="inlineStr">
        <is>
          <t>FY2046E</t>
        </is>
      </c>
      <c r="AC3" s="1" t="inlineStr">
        <is>
          <t>FY2047E</t>
        </is>
      </c>
      <c r="AD3" s="1" t="inlineStr">
        <is>
          <t>FY2048E</t>
        </is>
      </c>
      <c r="AE3" s="1" t="inlineStr">
        <is>
          <t>FY2049E</t>
        </is>
      </c>
      <c r="AF3" s="1" t="inlineStr">
        <is>
          <t>FY2050E</t>
        </is>
      </c>
      <c r="AG3" s="1" t="inlineStr">
        <is>
          <t>FY2051E</t>
        </is>
      </c>
      <c r="AH3" s="1" t="inlineStr">
        <is>
          <t>FY2052E</t>
        </is>
      </c>
      <c r="AI3" s="1" t="inlineStr">
        <is>
          <t>FY2053E</t>
        </is>
      </c>
      <c r="AJ3" s="1" t="inlineStr">
        <is>
          <t>FY2054E</t>
        </is>
      </c>
      <c r="AK3" s="1" t="inlineStr">
        <is>
          <t>FY2055E</t>
        </is>
      </c>
      <c r="AL3" s="1" t="inlineStr">
        <is>
          <t>FY2056E</t>
        </is>
      </c>
      <c r="AM3" s="1" t="inlineStr">
        <is>
          <t>FY2057E</t>
        </is>
      </c>
      <c r="AN3" s="1" t="inlineStr">
        <is>
          <t>FY2058E</t>
        </is>
      </c>
      <c r="AO3" s="1" t="inlineStr">
        <is>
          <t>FY2059E</t>
        </is>
      </c>
      <c r="AP3" s="1" t="inlineStr">
        <is>
          <t>FY2060E</t>
        </is>
      </c>
      <c r="AQ3" s="1" t="inlineStr">
        <is>
          <t>FY2061E</t>
        </is>
      </c>
      <c r="AR3" s="1" t="inlineStr">
        <is>
          <t>FY2062E</t>
        </is>
      </c>
      <c r="AS3" s="1" t="inlineStr">
        <is>
          <t>FY2063E</t>
        </is>
      </c>
      <c r="AT3" s="1" t="inlineStr">
        <is>
          <t>FY2064E</t>
        </is>
      </c>
      <c r="AU3" s="1" t="inlineStr">
        <is>
          <t>FY2065E</t>
        </is>
      </c>
      <c r="AV3" s="1" t="inlineStr">
        <is>
          <t>FY2066E</t>
        </is>
      </c>
      <c r="AW3" s="1" t="inlineStr">
        <is>
          <t>FY2067E</t>
        </is>
      </c>
      <c r="AX3" s="1" t="inlineStr">
        <is>
          <t>FY2068E</t>
        </is>
      </c>
      <c r="AY3" s="1" t="inlineStr">
        <is>
          <t>FY2069E</t>
        </is>
      </c>
      <c r="AZ3" s="1" t="inlineStr">
        <is>
          <t>FY2070E</t>
        </is>
      </c>
      <c r="BA3" s="1" t="inlineStr">
        <is>
          <t>FY2071E</t>
        </is>
      </c>
      <c r="BB3" s="1" t="inlineStr">
        <is>
          <t>FY2072E</t>
        </is>
      </c>
      <c r="BC3" s="1" t="inlineStr">
        <is>
          <t>FY2073E</t>
        </is>
      </c>
      <c r="BD3" s="1" t="inlineStr">
        <is>
          <t>FY2074E</t>
        </is>
      </c>
      <c r="BE3" s="1" t="inlineStr">
        <is>
          <t>FY2075E</t>
        </is>
      </c>
      <c r="BF3" s="1" t="inlineStr">
        <is>
          <t>FY2076E</t>
        </is>
      </c>
      <c r="BG3" s="1" t="inlineStr">
        <is>
          <t>FY2077E</t>
        </is>
      </c>
      <c r="BH3" s="1" t="inlineStr">
        <is>
          <t>FY2078E</t>
        </is>
      </c>
      <c r="BI3" s="1" t="inlineStr">
        <is>
          <t>FY2079E</t>
        </is>
      </c>
      <c r="BJ3" s="1" t="inlineStr">
        <is>
          <t>FY2080E</t>
        </is>
      </c>
      <c r="BK3" s="1" t="inlineStr">
        <is>
          <t>FY2081E</t>
        </is>
      </c>
      <c r="BL3" s="1" t="inlineStr">
        <is>
          <t>FY2082E</t>
        </is>
      </c>
      <c r="BM3" s="1" t="inlineStr">
        <is>
          <t>FY2083E</t>
        </is>
      </c>
      <c r="BN3" s="1" t="inlineStr">
        <is>
          <t>FY2084E</t>
        </is>
      </c>
      <c r="BO3" s="1" t="inlineStr">
        <is>
          <t>FY2085E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/>
      <c r="H4" s="3" t="n">
        <v>70</v>
      </c>
      <c r="I4" s="3" t="n">
        <v>70</v>
      </c>
      <c r="J4" s="3" t="n">
        <v>70</v>
      </c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/>
      <c r="H5" s="3" t="n">
        <v>118</v>
      </c>
      <c r="I5" s="3" t="n">
        <v>112</v>
      </c>
      <c r="J5" s="3" t="n">
        <v>108</v>
      </c>
      <c r="K5" s="3" t="n">
        <v>105</v>
      </c>
      <c r="L5" s="3" t="n">
        <v>107.1</v>
      </c>
      <c r="M5" s="3" t="n">
        <v>109.242</v>
      </c>
      <c r="N5" s="3" t="n">
        <v>111.42684</v>
      </c>
      <c r="O5" s="3" t="n">
        <v>113.6553768</v>
      </c>
      <c r="P5" s="3" t="n">
        <v>115.928484336</v>
      </c>
      <c r="Q5" s="3" t="n">
        <v>118.24705402272</v>
      </c>
      <c r="R5" s="3" t="n">
        <v>120.6119951031744</v>
      </c>
      <c r="S5" s="3" t="n">
        <v>123.0242350052379</v>
      </c>
      <c r="T5" s="3" t="n">
        <v>125.4847197053427</v>
      </c>
      <c r="U5" s="3" t="n">
        <v>127.9944140994495</v>
      </c>
      <c r="V5" s="3" t="n">
        <v>130.5543023814385</v>
      </c>
      <c r="W5" s="3" t="n">
        <v>133.1653884290673</v>
      </c>
      <c r="X5" s="3" t="n">
        <v>135.8286961976486</v>
      </c>
      <c r="Y5" s="3" t="n">
        <v>138.5452701216016</v>
      </c>
      <c r="Z5" s="3" t="n">
        <v>141.3161755240336</v>
      </c>
      <c r="AA5" s="3" t="n">
        <v>144.1424990345143</v>
      </c>
      <c r="AB5" s="3" t="n">
        <v>147.0253490152046</v>
      </c>
      <c r="AC5" s="3" t="n">
        <v>149.9658559955087</v>
      </c>
      <c r="AD5" s="3" t="n">
        <v>152.9651731154189</v>
      </c>
      <c r="AE5" s="3" t="n">
        <v>156.0244765777273</v>
      </c>
      <c r="AF5" s="3" t="n">
        <v>159.1449661092818</v>
      </c>
      <c r="AG5" s="3" t="n">
        <v>162.3278654314674</v>
      </c>
      <c r="AH5" s="3" t="n">
        <v>165.5744227400968</v>
      </c>
      <c r="AI5" s="3" t="n">
        <v>168.8859111948987</v>
      </c>
      <c r="AJ5" s="3" t="n">
        <v>172.2636294187967</v>
      </c>
      <c r="AK5" s="3" t="n">
        <v>175.7089020071726</v>
      </c>
      <c r="AL5" s="3" t="n">
        <v>179.2230800473161</v>
      </c>
      <c r="AM5" s="3" t="n">
        <v>182.8075416482625</v>
      </c>
      <c r="AN5" s="3" t="n">
        <v>186.4636924812277</v>
      </c>
      <c r="AO5" s="3" t="n">
        <v>190.1929663308522</v>
      </c>
      <c r="AP5" s="3" t="n">
        <v>193.9968256574693</v>
      </c>
      <c r="AQ5" s="3" t="n">
        <v>197.8767621706187</v>
      </c>
      <c r="AR5" s="3" t="n">
        <v>201.8342974140311</v>
      </c>
      <c r="AS5" s="3" t="n">
        <v>205.8709833623117</v>
      </c>
      <c r="AT5" s="3" t="n">
        <v>209.9884030295579</v>
      </c>
      <c r="AU5" s="3" t="n">
        <v>214.1881710901491</v>
      </c>
      <c r="AV5" s="3" t="n">
        <v>218.4719345119521</v>
      </c>
      <c r="AW5" s="3" t="n">
        <v>222.8413732021911</v>
      </c>
      <c r="AX5" s="3" t="n">
        <v>227.2982006662349</v>
      </c>
      <c r="AY5" s="3" t="n">
        <v>231.8441646795596</v>
      </c>
      <c r="AZ5" s="3" t="n">
        <v>236.4810479731509</v>
      </c>
      <c r="BA5" s="3" t="n">
        <v>241.2106689326139</v>
      </c>
      <c r="BB5" s="3" t="n">
        <v>246.0348823112662</v>
      </c>
      <c r="BC5" s="3" t="n">
        <v>250.9555799574915</v>
      </c>
      <c r="BD5" s="3" t="n">
        <v>255.9746915566413</v>
      </c>
      <c r="BE5" s="3" t="n">
        <v>261.0941853877741</v>
      </c>
      <c r="BF5" s="3" t="n">
        <v>266.3160690955296</v>
      </c>
      <c r="BG5" s="3" t="n">
        <v>271.6423904774402</v>
      </c>
      <c r="BH5" s="3" t="n">
        <v>277.075238286989</v>
      </c>
      <c r="BI5" s="3" t="n">
        <v>282.6167430527289</v>
      </c>
      <c r="BJ5" s="3" t="n">
        <v>288.2690779137834</v>
      </c>
      <c r="BK5" s="3" t="n">
        <v>294.0344594720591</v>
      </c>
      <c r="BL5" s="3" t="n">
        <v>299.9151486615002</v>
      </c>
      <c r="BM5" s="3" t="n">
        <v>305.9134516347303</v>
      </c>
      <c r="BN5" s="3" t="n">
        <v>312.0317206674249</v>
      </c>
      <c r="BO5" s="3" t="n">
        <v>318.2723550807734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>
        <v>136.1</v>
      </c>
      <c r="G6" s="3" t="n">
        <v>108.4</v>
      </c>
      <c r="H6" s="3" t="n">
        <v>137</v>
      </c>
      <c r="I6" s="3" t="n">
        <v>118</v>
      </c>
      <c r="J6" s="3" t="n">
        <v>110</v>
      </c>
      <c r="K6" s="3" t="n">
        <v>105</v>
      </c>
      <c r="L6" s="3" t="n">
        <v>107.1</v>
      </c>
      <c r="M6" s="3" t="n">
        <v>109.242</v>
      </c>
      <c r="N6" s="3" t="n">
        <v>111.42684</v>
      </c>
      <c r="O6" s="3" t="n">
        <v>113.6553768</v>
      </c>
      <c r="P6" s="3" t="n">
        <v>115.928484336</v>
      </c>
      <c r="Q6" s="3" t="n">
        <v>118.24705402272</v>
      </c>
      <c r="R6" s="3" t="n">
        <v>120.6119951031744</v>
      </c>
      <c r="S6" s="3" t="n">
        <v>123.0242350052379</v>
      </c>
      <c r="T6" s="3" t="n">
        <v>125.4847197053427</v>
      </c>
      <c r="U6" s="3" t="n">
        <v>127.9944140994495</v>
      </c>
      <c r="V6" s="3" t="n">
        <v>130.5543023814385</v>
      </c>
      <c r="W6" s="3" t="n">
        <v>133.1653884290673</v>
      </c>
      <c r="X6" s="3" t="n">
        <v>135.8286961976486</v>
      </c>
      <c r="Y6" s="3" t="n">
        <v>138.5452701216016</v>
      </c>
      <c r="Z6" s="3" t="n">
        <v>141.3161755240336</v>
      </c>
      <c r="AA6" s="3" t="n">
        <v>144.1424990345143</v>
      </c>
      <c r="AB6" s="3" t="n">
        <v>147.0253490152046</v>
      </c>
      <c r="AC6" s="3" t="n">
        <v>149.9658559955087</v>
      </c>
      <c r="AD6" s="3" t="n">
        <v>152.9651731154189</v>
      </c>
      <c r="AE6" s="3" t="n">
        <v>156.0244765777273</v>
      </c>
      <c r="AF6" s="3" t="n">
        <v>159.1449661092818</v>
      </c>
      <c r="AG6" s="3" t="n">
        <v>162.3278654314674</v>
      </c>
      <c r="AH6" s="3" t="n">
        <v>165.5744227400968</v>
      </c>
      <c r="AI6" s="3" t="n">
        <v>168.8859111948987</v>
      </c>
      <c r="AJ6" s="3" t="n">
        <v>172.2636294187967</v>
      </c>
      <c r="AK6" s="3" t="n">
        <v>175.7089020071726</v>
      </c>
      <c r="AL6" s="3" t="n">
        <v>179.2230800473161</v>
      </c>
      <c r="AM6" s="3" t="n">
        <v>182.8075416482625</v>
      </c>
      <c r="AN6" s="3" t="n">
        <v>186.4636924812277</v>
      </c>
      <c r="AO6" s="3" t="n">
        <v>190.1929663308522</v>
      </c>
      <c r="AP6" s="3" t="n">
        <v>193.9968256574693</v>
      </c>
      <c r="AQ6" s="3" t="n">
        <v>197.8767621706187</v>
      </c>
      <c r="AR6" s="3" t="n">
        <v>201.8342974140311</v>
      </c>
      <c r="AS6" s="3" t="n">
        <v>205.8709833623117</v>
      </c>
      <c r="AT6" s="3" t="n">
        <v>209.9884030295579</v>
      </c>
      <c r="AU6" s="3" t="n">
        <v>214.1881710901491</v>
      </c>
      <c r="AV6" s="3" t="n">
        <v>218.4719345119521</v>
      </c>
      <c r="AW6" s="3" t="n">
        <v>222.8413732021911</v>
      </c>
      <c r="AX6" s="3" t="n">
        <v>227.2982006662349</v>
      </c>
      <c r="AY6" s="3" t="n">
        <v>231.8441646795596</v>
      </c>
      <c r="AZ6" s="3" t="n">
        <v>236.4810479731509</v>
      </c>
      <c r="BA6" s="3" t="n">
        <v>241.2106689326139</v>
      </c>
      <c r="BB6" s="3" t="n">
        <v>246.0348823112662</v>
      </c>
      <c r="BC6" s="3" t="n">
        <v>250.9555799574915</v>
      </c>
      <c r="BD6" s="3" t="n">
        <v>255.9746915566413</v>
      </c>
      <c r="BE6" s="3" t="n">
        <v>261.0941853877741</v>
      </c>
      <c r="BF6" s="3" t="n">
        <v>266.3160690955296</v>
      </c>
      <c r="BG6" s="3" t="n">
        <v>271.6423904774402</v>
      </c>
      <c r="BH6" s="3" t="n">
        <v>277.075238286989</v>
      </c>
      <c r="BI6" s="3" t="n">
        <v>282.6167430527289</v>
      </c>
      <c r="BJ6" s="3" t="n">
        <v>288.2690779137834</v>
      </c>
      <c r="BK6" s="3" t="n">
        <v>294.0344594720591</v>
      </c>
      <c r="BL6" s="3" t="n">
        <v>299.9151486615002</v>
      </c>
      <c r="BM6" s="3" t="n">
        <v>305.9134516347303</v>
      </c>
      <c r="BN6" s="3" t="n">
        <v>312.0317206674249</v>
      </c>
      <c r="BO6" s="3" t="n">
        <v>318.2723550807734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14843.1773</v>
      </c>
      <c r="E7" s="3" t="n">
        <v>15228.8</v>
      </c>
      <c r="F7" s="3" t="n">
        <v>15846.2378</v>
      </c>
      <c r="G7" s="3" t="n">
        <v>16448.0929</v>
      </c>
      <c r="H7" s="3" t="n">
        <v>17570</v>
      </c>
      <c r="I7" s="3" t="n">
        <v>18350</v>
      </c>
      <c r="J7" s="3" t="n">
        <v>18600</v>
      </c>
      <c r="K7" s="3" t="n">
        <v>18850</v>
      </c>
      <c r="L7" s="3" t="n">
        <v>19093.13725490196</v>
      </c>
      <c r="M7" s="3" t="n">
        <v>19186.73106497501</v>
      </c>
      <c r="N7" s="3" t="n">
        <v>19280.78366823469</v>
      </c>
      <c r="O7" s="3" t="n">
        <v>19375.29731366722</v>
      </c>
      <c r="P7" s="3" t="n">
        <v>19470.27426128323</v>
      </c>
      <c r="Q7" s="3" t="n">
        <v>19565.71678217187</v>
      </c>
      <c r="R7" s="3" t="n">
        <v>19661.62715855507</v>
      </c>
      <c r="S7" s="3" t="n">
        <v>19758.0076838421</v>
      </c>
      <c r="T7" s="3" t="n">
        <v>19854.86066268446</v>
      </c>
      <c r="U7" s="3" t="n">
        <v>19952.18841103096</v>
      </c>
      <c r="V7" s="3" t="n">
        <v>20049.99325618306</v>
      </c>
      <c r="W7" s="3" t="n">
        <v>20148.27753685063</v>
      </c>
      <c r="X7" s="3" t="n">
        <v>20247.04360320774</v>
      </c>
      <c r="Y7" s="3" t="n">
        <v>20346.29381694896</v>
      </c>
      <c r="Z7" s="3" t="n">
        <v>20446.03055134577</v>
      </c>
      <c r="AA7" s="3" t="n">
        <v>20546.25619130334</v>
      </c>
      <c r="AB7" s="3" t="n">
        <v>20646.97313341757</v>
      </c>
      <c r="AC7" s="3" t="n">
        <v>20748.18378603236</v>
      </c>
      <c r="AD7" s="3" t="n">
        <v>20849.89056929723</v>
      </c>
      <c r="AE7" s="3" t="n">
        <v>20952.09591522516</v>
      </c>
      <c r="AF7" s="3" t="n">
        <v>21054.80226775077</v>
      </c>
      <c r="AG7" s="3" t="n">
        <v>21158.01208278876</v>
      </c>
      <c r="AH7" s="3" t="n">
        <v>21261.72782829263</v>
      </c>
      <c r="AI7" s="3" t="n">
        <v>21365.95198431367</v>
      </c>
      <c r="AJ7" s="3" t="n">
        <v>21470.6870430603</v>
      </c>
      <c r="AK7" s="3" t="n">
        <v>21575.93550895766</v>
      </c>
      <c r="AL7" s="3" t="n">
        <v>21681.69989870745</v>
      </c>
      <c r="AM7" s="3" t="n">
        <v>21787.98274134817</v>
      </c>
      <c r="AN7" s="3" t="n">
        <v>21894.78657831556</v>
      </c>
      <c r="AO7" s="3" t="n">
        <v>22002.11396350339</v>
      </c>
      <c r="AP7" s="3" t="n">
        <v>22109.96746332448</v>
      </c>
      <c r="AQ7" s="3" t="n">
        <v>22218.34965677215</v>
      </c>
      <c r="AR7" s="3" t="n">
        <v>22327.26313548182</v>
      </c>
      <c r="AS7" s="3" t="n">
        <v>22436.710503793</v>
      </c>
      <c r="AT7" s="3" t="n">
        <v>22546.6943788116</v>
      </c>
      <c r="AU7" s="3" t="n">
        <v>22657.21739047244</v>
      </c>
      <c r="AV7" s="3" t="n">
        <v>22768.2821816022</v>
      </c>
      <c r="AW7" s="3" t="n">
        <v>22879.89140798261</v>
      </c>
      <c r="AX7" s="3" t="n">
        <v>22992.04773841389</v>
      </c>
      <c r="AY7" s="3" t="n">
        <v>23104.75385477867</v>
      </c>
      <c r="AZ7" s="3" t="n">
        <v>23218.01245210601</v>
      </c>
      <c r="BA7" s="3" t="n">
        <v>23331.82623863595</v>
      </c>
      <c r="BB7" s="3" t="n">
        <v>23446.19793588416</v>
      </c>
      <c r="BC7" s="3" t="n">
        <v>23561.13027870712</v>
      </c>
      <c r="BD7" s="3" t="n">
        <v>23676.62601536745</v>
      </c>
      <c r="BE7" s="3" t="n">
        <v>23792.68790759964</v>
      </c>
      <c r="BF7" s="3" t="n">
        <v>23909.31873067611</v>
      </c>
      <c r="BG7" s="3" t="n">
        <v>24026.52127347354</v>
      </c>
      <c r="BH7" s="3" t="n">
        <v>24144.29833853959</v>
      </c>
      <c r="BI7" s="3" t="n">
        <v>24262.65274215988</v>
      </c>
      <c r="BJ7" s="3" t="n">
        <v>24381.58731442537</v>
      </c>
      <c r="BK7" s="3" t="n">
        <v>24501.1048993</v>
      </c>
      <c r="BL7" s="3" t="n">
        <v>24621.20835468873</v>
      </c>
      <c r="BM7" s="3" t="n">
        <v>24741.90055250583</v>
      </c>
      <c r="BN7" s="3" t="n">
        <v>24863.1843787436</v>
      </c>
      <c r="BO7" s="3" t="n">
        <v>24985.06273354136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98.9663</v>
      </c>
      <c r="E8" s="3" t="n">
        <v>82.1904</v>
      </c>
      <c r="F8" s="3" t="n">
        <v>79.82129999999999</v>
      </c>
      <c r="G8" s="3" t="n">
        <v>68.1015</v>
      </c>
      <c r="H8" s="3" t="n">
        <v>96</v>
      </c>
      <c r="I8" s="3" t="n">
        <v>84</v>
      </c>
      <c r="J8" s="3" t="n">
        <v>80</v>
      </c>
      <c r="K8" s="3" t="n">
        <v>78</v>
      </c>
      <c r="L8" s="3" t="n">
        <v>76.5</v>
      </c>
      <c r="M8" s="3" t="n">
        <v>78.03</v>
      </c>
      <c r="N8" s="3" t="n">
        <v>79.59060000000001</v>
      </c>
      <c r="O8" s="3" t="n">
        <v>81.182412</v>
      </c>
      <c r="P8" s="3" t="n">
        <v>82.80606024000001</v>
      </c>
      <c r="Q8" s="3" t="n">
        <v>84.46218144480001</v>
      </c>
      <c r="R8" s="3" t="n">
        <v>86.151425073696</v>
      </c>
      <c r="S8" s="3" t="n">
        <v>87.87445357516994</v>
      </c>
      <c r="T8" s="3" t="n">
        <v>89.63194264667332</v>
      </c>
      <c r="U8" s="3" t="n">
        <v>91.4245814996068</v>
      </c>
      <c r="V8" s="3" t="n">
        <v>93.25307312959893</v>
      </c>
      <c r="W8" s="3" t="n">
        <v>95.11813459219091</v>
      </c>
      <c r="X8" s="3" t="n">
        <v>97.02049728403475</v>
      </c>
      <c r="Y8" s="3" t="n">
        <v>98.96090722971543</v>
      </c>
      <c r="Z8" s="3" t="n">
        <v>100.9401253743097</v>
      </c>
      <c r="AA8" s="3" t="n">
        <v>102.9589278817959</v>
      </c>
      <c r="AB8" s="3" t="n">
        <v>105.0181064394319</v>
      </c>
      <c r="AC8" s="3" t="n">
        <v>107.1184685682205</v>
      </c>
      <c r="AD8" s="3" t="n">
        <v>109.2608379395849</v>
      </c>
      <c r="AE8" s="3" t="n">
        <v>111.4460546983766</v>
      </c>
      <c r="AF8" s="3" t="n">
        <v>113.6749757923441</v>
      </c>
      <c r="AG8" s="3" t="n">
        <v>115.948475308191</v>
      </c>
      <c r="AH8" s="3" t="n">
        <v>118.2674448143549</v>
      </c>
      <c r="AI8" s="3" t="n">
        <v>120.632793710642</v>
      </c>
      <c r="AJ8" s="3" t="n">
        <v>123.0454495848548</v>
      </c>
      <c r="AK8" s="3" t="n">
        <v>125.5063585765519</v>
      </c>
      <c r="AL8" s="3" t="n">
        <v>128.0164857480829</v>
      </c>
      <c r="AM8" s="3" t="n">
        <v>130.5768154630446</v>
      </c>
      <c r="AN8" s="3" t="n">
        <v>133.1883517723055</v>
      </c>
      <c r="AO8" s="3" t="n">
        <v>135.8521188077516</v>
      </c>
      <c r="AP8" s="3" t="n">
        <v>138.5691611839066</v>
      </c>
      <c r="AQ8" s="3" t="n">
        <v>141.3405444075848</v>
      </c>
      <c r="AR8" s="3" t="n">
        <v>144.1673552957365</v>
      </c>
      <c r="AS8" s="3" t="n">
        <v>147.0507024016512</v>
      </c>
      <c r="AT8" s="3" t="n">
        <v>149.9917164496842</v>
      </c>
      <c r="AU8" s="3" t="n">
        <v>152.9915507786779</v>
      </c>
      <c r="AV8" s="3" t="n">
        <v>156.0513817942515</v>
      </c>
      <c r="AW8" s="3" t="n">
        <v>159.1724094301365</v>
      </c>
      <c r="AX8" s="3" t="n">
        <v>162.3558576187392</v>
      </c>
      <c r="AY8" s="3" t="n">
        <v>165.602974771114</v>
      </c>
      <c r="AZ8" s="3" t="n">
        <v>168.9150342665363</v>
      </c>
      <c r="BA8" s="3" t="n">
        <v>172.2933349518671</v>
      </c>
      <c r="BB8" s="3" t="n">
        <v>175.7392016509044</v>
      </c>
      <c r="BC8" s="3" t="n">
        <v>179.2539856839225</v>
      </c>
      <c r="BD8" s="3" t="n">
        <v>182.8390653976009</v>
      </c>
      <c r="BE8" s="3" t="n">
        <v>186.4958467055529</v>
      </c>
      <c r="BF8" s="3" t="n">
        <v>190.225763639664</v>
      </c>
      <c r="BG8" s="3" t="n">
        <v>194.0302789124573</v>
      </c>
      <c r="BH8" s="3" t="n">
        <v>197.9108844907065</v>
      </c>
      <c r="BI8" s="3" t="n">
        <v>201.8691021805206</v>
      </c>
      <c r="BJ8" s="3" t="n">
        <v>205.906484224131</v>
      </c>
      <c r="BK8" s="3" t="n">
        <v>210.0246139086136</v>
      </c>
      <c r="BL8" s="3" t="n">
        <v>214.2251061867859</v>
      </c>
      <c r="BM8" s="3" t="n">
        <v>218.5096083105216</v>
      </c>
      <c r="BN8" s="3" t="n">
        <v>222.8798004767321</v>
      </c>
      <c r="BO8" s="3" t="n">
        <v>227.3373964862667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0.04986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2026-10-27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2026-10-27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2026-10-27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coal.royalty_iupk: IUPK (ex-PKP2B) coal royalty rate by HBA band</t>
        </is>
      </c>
    </row>
    <row r="20">
      <c r="B20" s="6" t="n">
        <v>0</v>
      </c>
      <c r="C20" s="4" t="n">
        <v>0.15</v>
      </c>
    </row>
    <row r="21">
      <c r="B21" s="6" t="n">
        <v>70</v>
      </c>
      <c r="C21" s="4" t="n">
        <v>0.18</v>
      </c>
    </row>
    <row r="22">
      <c r="B22" s="6" t="n">
        <v>120</v>
      </c>
      <c r="C22" s="4" t="n">
        <v>0.19</v>
      </c>
    </row>
    <row r="23">
      <c r="B23" s="6" t="n">
        <v>140</v>
      </c>
      <c r="C23" s="4" t="n">
        <v>0.22</v>
      </c>
    </row>
    <row r="24">
      <c r="B24" s="6" t="n">
        <v>160</v>
      </c>
      <c r="C24" s="4" t="n">
        <v>0.25</v>
      </c>
    </row>
    <row r="25">
      <c r="B25" s="6" t="n">
        <v>180</v>
      </c>
      <c r="C25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3.909648</v>
      </c>
      <c r="I2" s="10" t="n">
        <v>2.237761</v>
      </c>
      <c r="J2" s="11" t="n">
        <v>0.217411</v>
      </c>
    </row>
    <row r="3">
      <c r="A3" t="inlineStr">
        <is>
          <t>ABMM.JK</t>
        </is>
      </c>
      <c r="B3" t="inlineStr">
        <is>
          <t>PT ABM Investama Tbk</t>
        </is>
      </c>
      <c r="C3" s="7">
        <f>'ABMM'!$C$163</f>
        <v/>
      </c>
      <c r="D3" s="8">
        <f>'ABMM'!$C$161</f>
        <v/>
      </c>
      <c r="E3" s="8">
        <f>'ABMM'!$C$102</f>
        <v/>
      </c>
      <c r="F3" s="9">
        <f>'ABMM'!$C$162</f>
        <v/>
      </c>
      <c r="G3" s="8">
        <f>'ABMM'!$C$151</f>
        <v/>
      </c>
      <c r="H3" s="10" t="n">
        <v>0.784718</v>
      </c>
      <c r="I3" s="10" t="n">
        <v>0.981675</v>
      </c>
      <c r="J3" s="11" t="n">
        <v>0.302503</v>
      </c>
    </row>
    <row r="4">
      <c r="A4" t="inlineStr">
        <is>
          <t>ADMR.JK</t>
        </is>
      </c>
      <c r="B4" t="inlineStr">
        <is>
          <t>PT Alamtri Minerals Indonesia Tbk</t>
        </is>
      </c>
      <c r="C4" s="7">
        <f>'ADMR'!$C$163</f>
        <v/>
      </c>
      <c r="D4" s="8">
        <f>'ADMR'!$C$161</f>
        <v/>
      </c>
      <c r="E4" s="8">
        <f>'ADMR'!$C$102</f>
        <v/>
      </c>
      <c r="F4" s="9">
        <f>'ADMR'!$C$162</f>
        <v/>
      </c>
      <c r="G4" s="8">
        <f>'ADMR'!$C$151</f>
        <v/>
      </c>
      <c r="H4" s="10" t="n">
        <v>7.985811</v>
      </c>
      <c r="I4" s="10" t="n">
        <v>6.066519</v>
      </c>
      <c r="J4" s="11" t="n">
        <v>0.043828</v>
      </c>
    </row>
    <row r="5">
      <c r="A5" t="inlineStr">
        <is>
          <t>BSSR.JK</t>
        </is>
      </c>
      <c r="B5" t="inlineStr">
        <is>
          <t>PT Baramulti Suksessarana Tbk</t>
        </is>
      </c>
      <c r="C5" s="7">
        <f>'BSSR'!$C$163</f>
        <v/>
      </c>
      <c r="D5" s="8">
        <f>'BSSR'!$C$161</f>
        <v/>
      </c>
      <c r="E5" s="8">
        <f>'BSSR'!$C$102</f>
        <v/>
      </c>
      <c r="F5" s="9">
        <f>'BSSR'!$C$162</f>
        <v/>
      </c>
      <c r="G5" s="8">
        <f>'BSSR'!$C$151</f>
        <v/>
      </c>
      <c r="H5" s="10" t="n">
        <v>5.84827</v>
      </c>
      <c r="I5" s="10" t="n">
        <v>3.92664</v>
      </c>
      <c r="J5" s="11" t="n">
        <v>0.119694</v>
      </c>
    </row>
    <row r="6">
      <c r="A6" t="inlineStr">
        <is>
          <t>BUMI.JK</t>
        </is>
      </c>
      <c r="B6" t="inlineStr">
        <is>
          <t>PT Bumi Resources Tbk</t>
        </is>
      </c>
      <c r="C6" s="7">
        <f>'BUMI'!$C$166</f>
        <v/>
      </c>
      <c r="D6" s="8">
        <f>'BUMI'!$C$164</f>
        <v/>
      </c>
      <c r="E6" s="8">
        <f>'BUMI'!$C$102</f>
        <v/>
      </c>
      <c r="F6" s="9">
        <f>'BUMI'!$C$165</f>
        <v/>
      </c>
      <c r="G6" s="8">
        <f>'BUMI'!$C$145</f>
        <v/>
      </c>
      <c r="H6" s="10" t="n">
        <v>11.205422</v>
      </c>
      <c r="I6" s="10" t="n">
        <v>3.745895</v>
      </c>
      <c r="J6" s="11" t="n">
        <v>0</v>
      </c>
    </row>
    <row r="7">
      <c r="A7" t="inlineStr">
        <is>
          <t>BYAN.JK</t>
        </is>
      </c>
      <c r="B7" t="inlineStr">
        <is>
          <t>PT Bayan Resources Tbk.</t>
        </is>
      </c>
      <c r="C7" s="7">
        <f>'BYAN'!$C$172</f>
        <v/>
      </c>
      <c r="D7" s="8">
        <f>'BYAN'!$C$170</f>
        <v/>
      </c>
      <c r="E7" s="8">
        <f>'BYAN'!$C$102</f>
        <v/>
      </c>
      <c r="F7" s="9">
        <f>'BYAN'!$C$171</f>
        <v/>
      </c>
      <c r="G7" s="8">
        <f>'BYAN'!$C$151</f>
        <v/>
      </c>
      <c r="H7" s="10" t="n">
        <v>14.382</v>
      </c>
      <c r="I7" s="10" t="n">
        <v>9.6378</v>
      </c>
      <c r="J7" s="11" t="n">
        <v>0.050758</v>
      </c>
    </row>
    <row r="8">
      <c r="A8" t="inlineStr">
        <is>
          <t>GEMS.JK</t>
        </is>
      </c>
      <c r="B8" t="inlineStr">
        <is>
          <t>PT Golden Energy Mines Tbk</t>
        </is>
      </c>
      <c r="C8" s="7">
        <f>'GEMS'!$C$166</f>
        <v/>
      </c>
      <c r="D8" s="8">
        <f>'GEMS'!$C$164</f>
        <v/>
      </c>
      <c r="E8" s="8">
        <f>'GEMS'!$C$102</f>
        <v/>
      </c>
      <c r="F8" s="9">
        <f>'GEMS'!$C$165</f>
        <v/>
      </c>
      <c r="G8" s="8">
        <f>'GEMS'!$C$145</f>
        <v/>
      </c>
      <c r="H8" s="10" t="n">
        <v>4.155689</v>
      </c>
      <c r="I8" s="10" t="n">
        <v>2.609226</v>
      </c>
      <c r="J8" s="11" t="n">
        <v>0.180475</v>
      </c>
    </row>
    <row r="9">
      <c r="A9" t="inlineStr">
        <is>
          <t>INDY.JK</t>
        </is>
      </c>
      <c r="B9" t="inlineStr">
        <is>
          <t>PT. Indika Energy Tbk</t>
        </is>
      </c>
      <c r="C9" s="7">
        <f>'INDY'!$C$163</f>
        <v/>
      </c>
      <c r="D9" s="8">
        <f>'INDY'!$C$161</f>
        <v/>
      </c>
      <c r="E9" s="8">
        <f>'INDY'!$C$102</f>
        <v/>
      </c>
      <c r="F9" s="9">
        <f>'INDY'!$C$162</f>
        <v/>
      </c>
      <c r="G9" s="8">
        <f>'INDY'!$C$151</f>
        <v/>
      </c>
      <c r="H9" s="10" t="n">
        <v>5.997262</v>
      </c>
      <c r="I9" s="10" t="n">
        <v>2.651098</v>
      </c>
      <c r="J9" s="11" t="n">
        <v>0.050023</v>
      </c>
    </row>
    <row r="10">
      <c r="A10" t="inlineStr">
        <is>
          <t>ITMG.JK</t>
        </is>
      </c>
      <c r="B10" t="inlineStr">
        <is>
          <t>PT Indo Tambangraya Megah Tbk</t>
        </is>
      </c>
      <c r="C10" s="7">
        <f>'ITMG'!$C$163</f>
        <v/>
      </c>
      <c r="D10" s="8">
        <f>'ITMG'!$C$161</f>
        <v/>
      </c>
      <c r="E10" s="8">
        <f>'ITMG'!$C$102</f>
        <v/>
      </c>
      <c r="F10" s="9">
        <f>'ITMG'!$C$162</f>
        <v/>
      </c>
      <c r="G10" s="8">
        <f>'ITMG'!$C$151</f>
        <v/>
      </c>
      <c r="H10" s="10" t="n">
        <v>3.889551</v>
      </c>
      <c r="I10" s="10" t="n">
        <v>1.109525</v>
      </c>
      <c r="J10" s="11" t="n">
        <v>0.154259</v>
      </c>
    </row>
    <row r="11">
      <c r="A11" t="inlineStr">
        <is>
          <t>MCOL.JK</t>
        </is>
      </c>
      <c r="B11" t="inlineStr">
        <is>
          <t>PT Prima Andalan Mandiri Tbk</t>
        </is>
      </c>
      <c r="C11" s="7">
        <f>'MCOL'!$C$172</f>
        <v/>
      </c>
      <c r="D11" s="8">
        <f>'MCOL'!$C$170</f>
        <v/>
      </c>
      <c r="E11" s="8">
        <f>'MCOL'!$C$102</f>
        <v/>
      </c>
      <c r="F11" s="9">
        <f>'MCOL'!$C$171</f>
        <v/>
      </c>
      <c r="G11" s="8">
        <f>'MCOL'!$C$151</f>
        <v/>
      </c>
      <c r="H11" s="10" t="n">
        <v>6.345861</v>
      </c>
      <c r="I11" s="10" t="n">
        <v>2.519075</v>
      </c>
      <c r="J11" s="11" t="n">
        <v>0.089055</v>
      </c>
    </row>
    <row r="12">
      <c r="A12" t="inlineStr">
        <is>
          <t>PTBA.JK</t>
        </is>
      </c>
      <c r="B12" t="inlineStr">
        <is>
          <t>PT Bukit Asam (Persero) Tbk</t>
        </is>
      </c>
      <c r="C12" s="7">
        <f>'PTBA'!$C$163</f>
        <v/>
      </c>
      <c r="D12" s="8">
        <f>'PTBA'!$C$161</f>
        <v/>
      </c>
      <c r="E12" s="8">
        <f>'PTBA'!$C$102</f>
        <v/>
      </c>
      <c r="F12" s="9">
        <f>'PTBA'!$C$162</f>
        <v/>
      </c>
      <c r="G12" s="8">
        <f>'PTBA'!$C$151</f>
        <v/>
      </c>
      <c r="H12" s="10" t="n">
        <v>5.145578</v>
      </c>
      <c r="I12" s="10" t="n">
        <v>2.807394</v>
      </c>
      <c r="J12" s="11" t="n">
        <v>0.116605</v>
      </c>
    </row>
    <row r="13">
      <c r="A13" t="inlineStr">
        <is>
          <t>SINI.JK</t>
        </is>
      </c>
      <c r="B13" t="inlineStr">
        <is>
          <t>PT Singaraja Putra Tbk</t>
        </is>
      </c>
      <c r="C13" s="7">
        <f>'SINI'!$C$166</f>
        <v/>
      </c>
      <c r="D13" s="8">
        <f>'SINI'!$C$164</f>
        <v/>
      </c>
      <c r="E13" s="8">
        <f>'SINI'!$C$102</f>
        <v/>
      </c>
      <c r="F13" s="9">
        <f>'SINI'!$C$165</f>
        <v/>
      </c>
      <c r="G13" s="8">
        <f>'SINI'!$C$145</f>
        <v/>
      </c>
      <c r="H13" s="10" t="n">
        <v>168.980872</v>
      </c>
      <c r="I13" s="10" t="n">
        <v>35.828043</v>
      </c>
      <c r="J13" s="11" t="n">
        <v>0</v>
      </c>
    </row>
    <row r="14">
      <c r="A14" t="inlineStr">
        <is>
          <t>SMMT.JK</t>
        </is>
      </c>
      <c r="B14" t="inlineStr">
        <is>
          <t>PT Golden Eagle Energy Tbk</t>
        </is>
      </c>
      <c r="C14" s="7">
        <f>'SMMT'!$C$166</f>
        <v/>
      </c>
      <c r="D14" s="8">
        <f>'SMMT'!$C$164</f>
        <v/>
      </c>
      <c r="E14" s="8">
        <f>'SMMT'!$C$102</f>
        <v/>
      </c>
      <c r="F14" s="9">
        <f>'SMMT'!$C$165</f>
        <v/>
      </c>
      <c r="G14" s="8">
        <f>'SMMT'!$C$145</f>
        <v/>
      </c>
      <c r="H14" s="10" t="n">
        <v>25.382212</v>
      </c>
      <c r="I14" s="10" t="n">
        <v>16.478268</v>
      </c>
      <c r="J14" s="11" t="n">
        <v>0.009849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0.2065022133165882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7.146527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2473.048989713972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4370.830472067377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21609.14951146778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3933.438518</v>
      </c>
      <c r="E161" s="27" t="n">
        <v>5603.557843</v>
      </c>
      <c r="F161" s="27" t="n">
        <v>9193.293455999999</v>
      </c>
      <c r="G161" s="27" t="n">
        <v>12580.343776</v>
      </c>
      <c r="H161" s="27" t="n">
        <v>15636.068879</v>
      </c>
    </row>
    <row r="162">
      <c r="C162" s="1" t="n">
        <v>0.95</v>
      </c>
      <c r="D162" s="27" t="n">
        <v>4154.076764</v>
      </c>
      <c r="E162" s="27" t="n">
        <v>5918.084303</v>
      </c>
      <c r="F162" s="27" t="n">
        <v>9709.705678</v>
      </c>
      <c r="G162" s="27" t="n">
        <v>13287.361926</v>
      </c>
      <c r="H162" s="27" t="n">
        <v>16515.058006</v>
      </c>
    </row>
    <row r="163">
      <c r="C163" s="1" t="n">
        <v>1</v>
      </c>
      <c r="D163" s="27" t="n">
        <v>4374.937427</v>
      </c>
      <c r="E163" s="27" t="n">
        <v>6232.945844</v>
      </c>
      <c r="F163" s="27" t="n">
        <v>10226.698339</v>
      </c>
      <c r="G163" s="27" t="n">
        <v>13995.202781</v>
      </c>
      <c r="H163" s="27" t="n">
        <v>17395.089654</v>
      </c>
    </row>
    <row r="164">
      <c r="C164" s="1" t="n">
        <v>1.05</v>
      </c>
      <c r="D164" s="27" t="n">
        <v>4596.020497</v>
      </c>
      <c r="E164" s="27" t="n">
        <v>6548.142021</v>
      </c>
      <c r="F164" s="27" t="n">
        <v>10744.269364</v>
      </c>
      <c r="G164" s="27" t="n">
        <v>14703.862505</v>
      </c>
      <c r="H164" s="27" t="n">
        <v>18276.158421</v>
      </c>
    </row>
    <row r="165">
      <c r="C165" s="1" t="n">
        <v>1.1</v>
      </c>
      <c r="D165" s="27" t="n">
        <v>4817.325962</v>
      </c>
      <c r="E165" s="27" t="n">
        <v>6863.672399</v>
      </c>
      <c r="F165" s="27" t="n">
        <v>11262.416744</v>
      </c>
      <c r="G165" s="27" t="n">
        <v>15413.337388</v>
      </c>
      <c r="H165" s="27" t="n">
        <v>19158.25908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12705.648642</v>
      </c>
      <c r="E169" s="27" t="n">
        <v>11905.024721</v>
      </c>
      <c r="F169" s="27" t="n">
        <v>11104.400801</v>
      </c>
      <c r="G169" s="27" t="n">
        <v>10303.77688</v>
      </c>
      <c r="H169" s="27" t="n">
        <v>9503.152958999999</v>
      </c>
    </row>
    <row r="170">
      <c r="C170" s="1" t="n">
        <v>0.95</v>
      </c>
      <c r="D170" s="27" t="n">
        <v>13146.207687</v>
      </c>
      <c r="E170" s="27" t="n">
        <v>12301.10466</v>
      </c>
      <c r="F170" s="27" t="n">
        <v>11456.001632</v>
      </c>
      <c r="G170" s="27" t="n">
        <v>10610.898605</v>
      </c>
      <c r="H170" s="27" t="n">
        <v>9765.795577000001</v>
      </c>
    </row>
    <row r="171">
      <c r="C171" s="1" t="n">
        <v>1</v>
      </c>
      <c r="D171" s="27" t="n">
        <v>13586.766733</v>
      </c>
      <c r="E171" s="27" t="n">
        <v>12697.184598</v>
      </c>
      <c r="F171" s="27" t="n">
        <v>11807.602464</v>
      </c>
      <c r="G171" s="27" t="n">
        <v>10918.02033</v>
      </c>
      <c r="H171" s="27" t="n">
        <v>10028.438196</v>
      </c>
    </row>
    <row r="172">
      <c r="C172" s="1" t="n">
        <v>1.05</v>
      </c>
      <c r="D172" s="27" t="n">
        <v>14027.325778</v>
      </c>
      <c r="E172" s="27" t="n">
        <v>13093.264537</v>
      </c>
      <c r="F172" s="27" t="n">
        <v>12159.203296</v>
      </c>
      <c r="G172" s="27" t="n">
        <v>11225.142055</v>
      </c>
      <c r="H172" s="27" t="n">
        <v>10291.080814</v>
      </c>
    </row>
    <row r="173">
      <c r="C173" s="1" t="n">
        <v>1.1</v>
      </c>
      <c r="D173" s="27" t="n">
        <v>14467.884823</v>
      </c>
      <c r="E173" s="27" t="n">
        <v>13489.344475</v>
      </c>
      <c r="F173" s="27" t="n">
        <v>12510.804128</v>
      </c>
      <c r="G173" s="27" t="n">
        <v>11532.26378</v>
      </c>
      <c r="H173" s="27" t="n">
        <v>10553.723433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ABM Investama Tbk (ABMM.JK)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36</v>
      </c>
      <c r="I14" s="13" t="n">
        <v>36</v>
      </c>
      <c r="J14" s="13" t="n">
        <v>36</v>
      </c>
      <c r="K14" s="13" t="n">
        <v>36</v>
      </c>
      <c r="L14" s="13" t="n">
        <v>36</v>
      </c>
      <c r="M14" s="13" t="n">
        <v>36</v>
      </c>
      <c r="N14" s="13" t="n">
        <v>36</v>
      </c>
      <c r="O14" s="13" t="n">
        <v>36</v>
      </c>
      <c r="P14" s="13" t="n">
        <v>36</v>
      </c>
      <c r="Q14" s="13" t="n">
        <v>36</v>
      </c>
      <c r="R14" s="13" t="n">
        <v>36</v>
      </c>
      <c r="S14" s="13" t="n">
        <v>36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</v>
      </c>
      <c r="I15" s="14" t="n">
        <v>0.5</v>
      </c>
      <c r="J15" s="14" t="n">
        <v>0.5</v>
      </c>
      <c r="K15" s="14" t="n">
        <v>0.5</v>
      </c>
      <c r="L15" s="14" t="n">
        <v>0.5</v>
      </c>
      <c r="M15" s="14" t="n">
        <v>0.5</v>
      </c>
      <c r="N15" s="14" t="n">
        <v>0.5</v>
      </c>
      <c r="O15" s="14" t="n">
        <v>0.5</v>
      </c>
      <c r="P15" s="14" t="n">
        <v>0.5</v>
      </c>
      <c r="Q15" s="14" t="n">
        <v>0.5</v>
      </c>
      <c r="R15" s="14" t="n">
        <v>0.5</v>
      </c>
      <c r="S15" s="14" t="n">
        <v>0.5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6.82</v>
      </c>
      <c r="I17" s="14" t="n">
        <v>6.82</v>
      </c>
      <c r="J17" s="14" t="n">
        <v>6.82</v>
      </c>
      <c r="K17" s="14" t="n">
        <v>6.82</v>
      </c>
      <c r="L17" s="14" t="n">
        <v>6.82</v>
      </c>
      <c r="M17" s="14" t="n">
        <v>6.82</v>
      </c>
      <c r="N17" s="14" t="n">
        <v>6.82</v>
      </c>
      <c r="O17" s="14" t="n">
        <v>6.82</v>
      </c>
      <c r="P17" s="14" t="n">
        <v>6.82</v>
      </c>
      <c r="Q17" s="14" t="n">
        <v>6.82</v>
      </c>
      <c r="R17" s="14" t="n">
        <v>6.82</v>
      </c>
      <c r="S17" s="14" t="n">
        <v>6.82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9.4</v>
      </c>
      <c r="I20" s="3" t="n">
        <v>9.4</v>
      </c>
      <c r="J20" s="3" t="n">
        <v>9.4</v>
      </c>
      <c r="K20" s="3" t="n">
        <v>9.4</v>
      </c>
      <c r="L20" s="3" t="n">
        <v>9.4</v>
      </c>
      <c r="M20" s="3" t="n">
        <v>9.588000000000001</v>
      </c>
      <c r="N20" s="3" t="n">
        <v>9.77976</v>
      </c>
      <c r="O20" s="3" t="n">
        <v>9.975355200000001</v>
      </c>
      <c r="P20" s="3" t="n">
        <v>10.174862304</v>
      </c>
      <c r="Q20" s="3" t="n">
        <v>10.37835955008</v>
      </c>
      <c r="R20" s="3" t="n">
        <v>10.5859267410816</v>
      </c>
      <c r="S20" s="3" t="n">
        <v>10.79764527590323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  <c r="K21" s="4" t="n">
        <v>0.135</v>
      </c>
      <c r="L21" s="4" t="n">
        <v>0.135</v>
      </c>
      <c r="M21" s="4" t="n">
        <v>0.135</v>
      </c>
      <c r="N21" s="4" t="n">
        <v>0.135</v>
      </c>
      <c r="O21" s="4" t="n">
        <v>0.135</v>
      </c>
      <c r="P21" s="4" t="n">
        <v>0.135</v>
      </c>
      <c r="Q21" s="4" t="n">
        <v>0.135</v>
      </c>
      <c r="R21" s="4" t="n">
        <v>0.135</v>
      </c>
      <c r="S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4.1</v>
      </c>
      <c r="I24" s="3" t="n">
        <v>4.1</v>
      </c>
      <c r="J24" s="3" t="n">
        <v>4.1</v>
      </c>
      <c r="K24" s="3" t="n">
        <v>4.1</v>
      </c>
      <c r="L24" s="3" t="n">
        <v>4.1</v>
      </c>
      <c r="M24" s="3" t="n">
        <v>4.181999999999999</v>
      </c>
      <c r="N24" s="3" t="n">
        <v>4.265639999999999</v>
      </c>
      <c r="O24" s="3" t="n">
        <v>4.3509528</v>
      </c>
      <c r="P24" s="3" t="n">
        <v>4.437971856</v>
      </c>
      <c r="Q24" s="3" t="n">
        <v>4.52673129312</v>
      </c>
      <c r="R24" s="3" t="n">
        <v>4.6172659189824</v>
      </c>
      <c r="S24" s="3" t="n">
        <v>4.709611237362048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0.106679</v>
      </c>
      <c r="I27" s="4" t="n">
        <v>0.106679</v>
      </c>
      <c r="J27" s="4" t="n">
        <v>0.106679</v>
      </c>
      <c r="K27" s="4" t="n">
        <v>0.106679</v>
      </c>
      <c r="L27" s="4" t="n">
        <v>0.106679</v>
      </c>
      <c r="M27" s="4" t="n">
        <v>0.106679</v>
      </c>
      <c r="N27" s="4" t="n">
        <v>0.106679</v>
      </c>
      <c r="O27" s="4" t="n">
        <v>0.106679</v>
      </c>
      <c r="P27" s="4" t="n">
        <v>0.106679</v>
      </c>
      <c r="Q27" s="4" t="n">
        <v>0.106679</v>
      </c>
      <c r="R27" s="4" t="n">
        <v>0.106679</v>
      </c>
      <c r="S27" s="4" t="n">
        <v>0.106679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0.107093</v>
      </c>
      <c r="I28" s="4" t="n">
        <v>0.107093</v>
      </c>
      <c r="J28" s="4" t="n">
        <v>0.107093</v>
      </c>
      <c r="K28" s="4" t="n">
        <v>0.107093</v>
      </c>
      <c r="L28" s="4" t="n">
        <v>0.107093</v>
      </c>
      <c r="M28" s="4" t="n">
        <v>0.107093</v>
      </c>
      <c r="N28" s="4" t="n">
        <v>0.107093</v>
      </c>
      <c r="O28" s="4" t="n">
        <v>0.107093</v>
      </c>
      <c r="P28" s="4" t="n">
        <v>0.107093</v>
      </c>
      <c r="Q28" s="4" t="n">
        <v>0.107093</v>
      </c>
      <c r="R28" s="4" t="n">
        <v>0.107093</v>
      </c>
      <c r="S28" s="4" t="n">
        <v>0.107093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0.09900100000000001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0.02387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0.027412</v>
      </c>
      <c r="I33" s="4" t="n">
        <v>0.027412</v>
      </c>
      <c r="J33" s="4" t="n">
        <v>0.027412</v>
      </c>
      <c r="K33" s="4" t="n">
        <v>0.027412</v>
      </c>
      <c r="L33" s="4" t="n">
        <v>0.027412</v>
      </c>
      <c r="M33" s="4" t="n">
        <v>0.027412</v>
      </c>
      <c r="N33" s="4" t="n">
        <v>0.027412</v>
      </c>
      <c r="O33" s="4" t="n">
        <v>0.027412</v>
      </c>
      <c r="P33" s="4" t="n">
        <v>0.027412</v>
      </c>
      <c r="Q33" s="4" t="n">
        <v>0.027412</v>
      </c>
      <c r="R33" s="4" t="n">
        <v>0.027412</v>
      </c>
      <c r="S33" s="4" t="n">
        <v>0.027412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0.23738</v>
      </c>
      <c r="I34" s="4" t="n">
        <v>0.23738</v>
      </c>
      <c r="J34" s="4" t="n">
        <v>0.23738</v>
      </c>
      <c r="K34" s="4" t="n">
        <v>0.23738</v>
      </c>
      <c r="L34" s="4" t="n">
        <v>0.23738</v>
      </c>
      <c r="M34" s="4" t="n">
        <v>0.23738</v>
      </c>
      <c r="N34" s="4" t="n">
        <v>0.23738</v>
      </c>
      <c r="O34" s="4" t="n">
        <v>0.23738</v>
      </c>
      <c r="P34" s="4" t="n">
        <v>0.23738</v>
      </c>
      <c r="Q34" s="4" t="n">
        <v>0.23738</v>
      </c>
      <c r="R34" s="4" t="n">
        <v>0.23738</v>
      </c>
      <c r="S34" s="4" t="n">
        <v>0.23738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0.065521</v>
      </c>
      <c r="I37" s="4" t="n">
        <v>0.065521</v>
      </c>
      <c r="J37" s="4" t="n">
        <v>0.065521</v>
      </c>
      <c r="K37" s="4" t="n">
        <v>0.065521</v>
      </c>
      <c r="L37" s="4" t="n">
        <v>0.065521</v>
      </c>
      <c r="M37" s="4" t="n">
        <v>0.065521</v>
      </c>
      <c r="N37" s="4" t="n">
        <v>0.065521</v>
      </c>
      <c r="O37" s="4" t="n">
        <v>0.065521</v>
      </c>
      <c r="P37" s="4" t="n">
        <v>0.065521</v>
      </c>
      <c r="Q37" s="4" t="n">
        <v>0.065521</v>
      </c>
      <c r="R37" s="4" t="n">
        <v>0.065521</v>
      </c>
      <c r="S37" s="4" t="n">
        <v>0.065521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39.2</v>
      </c>
      <c r="G41" s="13" t="n">
        <v>34.5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VLOOKUP(Drivers!$H$5,Drivers!$B$20:$C$25,2,TRUE)</f>
        <v/>
      </c>
      <c r="I47" s="9">
        <f>VLOOKUP(Drivers!$I$5,Drivers!$B$20:$C$25,2,TRUE)</f>
        <v/>
      </c>
      <c r="J47" s="9">
        <f>VLOOKUP(Drivers!$J$5,Drivers!$B$20:$C$25,2,TRUE)</f>
        <v/>
      </c>
      <c r="K47" s="9">
        <f>VLOOKUP(Drivers!$K$5,Drivers!$B$20:$C$25,2,TRUE)</f>
        <v/>
      </c>
      <c r="L47" s="9">
        <f>VLOOKUP(Drivers!$L$5,Drivers!$B$20:$C$25,2,TRUE)</f>
        <v/>
      </c>
      <c r="M47" s="9">
        <f>VLOOKUP(Drivers!$M$5,Drivers!$B$20:$C$25,2,TRUE)</f>
        <v/>
      </c>
      <c r="N47" s="9">
        <f>VLOOKUP(Drivers!$N$5,Drivers!$B$20:$C$25,2,TRUE)</f>
        <v/>
      </c>
      <c r="O47" s="9">
        <f>VLOOKUP(Drivers!$O$5,Drivers!$B$20:$C$25,2,TRUE)</f>
        <v/>
      </c>
      <c r="P47" s="9">
        <f>VLOOKUP(Drivers!$P$5,Drivers!$B$20:$C$25,2,TRUE)</f>
        <v/>
      </c>
      <c r="Q47" s="9">
        <f>VLOOKUP(Drivers!$Q$5,Drivers!$B$20:$C$25,2,TRUE)</f>
        <v/>
      </c>
      <c r="R47" s="9">
        <f>VLOOKUP(Drivers!$R$5,Drivers!$B$20:$C$25,2,TRUE)</f>
        <v/>
      </c>
      <c r="S47" s="9">
        <f>VLOOKUP(Drivers!$S$5,Drivers!$B$20:$C$25,2,TRUE)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1.999808852040816</v>
      </c>
      <c r="G48" s="3" t="n">
        <v>1.434351449275362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1445.527371</v>
      </c>
      <c r="E55" s="13" t="n">
        <v>1492.998856</v>
      </c>
      <c r="F55" s="13" t="n">
        <v>1200.1</v>
      </c>
      <c r="G55" s="13" t="n">
        <v>1038.2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923.6231</v>
      </c>
      <c r="E56" s="13" t="n">
        <v>1100.952827</v>
      </c>
      <c r="F56" s="13" t="n">
        <v>1068.940836</v>
      </c>
      <c r="G56" s="13" t="n">
        <v>934.491492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521.904271</v>
      </c>
      <c r="E57" s="13" t="n">
        <v>392.046029</v>
      </c>
      <c r="F57" s="13" t="n">
        <v>131.191618</v>
      </c>
      <c r="G57" s="13" t="n">
        <v>103.678762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126.172622</v>
      </c>
      <c r="E58" s="13" t="n">
        <v>134.172586</v>
      </c>
      <c r="F58" s="13" t="n">
        <v>57.505347</v>
      </c>
      <c r="G58" s="13" t="n">
        <v>61.024162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395.731649</v>
      </c>
      <c r="E59" s="13" t="n">
        <v>257.873443</v>
      </c>
      <c r="F59" s="13" t="n">
        <v>73.686271</v>
      </c>
      <c r="G59" s="13" t="n">
        <v>42.6546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4.986805</v>
      </c>
      <c r="E60" s="13" t="n">
        <v>5.48014</v>
      </c>
      <c r="F60" s="13" t="n">
        <v>4.706236</v>
      </c>
      <c r="G60" s="13" t="n">
        <v>6.830525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400.718454</v>
      </c>
      <c r="E61" s="13" t="n">
        <v>263.353583</v>
      </c>
      <c r="F61" s="13" t="n">
        <v>78.39250700000001</v>
      </c>
      <c r="G61" s="13" t="n">
        <v>49.485125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52.481411</v>
      </c>
      <c r="E62" s="13" t="n">
        <v>106.107407</v>
      </c>
      <c r="F62" s="13" t="n">
        <v>109.803082</v>
      </c>
      <c r="G62" s="13" t="n">
        <v>76.554485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2.596132</v>
      </c>
      <c r="E63" s="13" t="n">
        <v>4.812848</v>
      </c>
      <c r="F63" s="13" t="n">
        <v>4.558293</v>
      </c>
      <c r="G63" s="13" t="n">
        <v>4.382377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87.215074</v>
      </c>
      <c r="E64" s="13" t="n">
        <v>214.912039</v>
      </c>
      <c r="F64" s="13" t="n">
        <v>186.380591</v>
      </c>
      <c r="G64" s="13" t="n">
        <v>105.377069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433.061444</v>
      </c>
      <c r="E65" s="13" t="n">
        <v>371.490923</v>
      </c>
      <c r="F65" s="13" t="n">
        <v>154.822073</v>
      </c>
      <c r="G65" s="13" t="n">
        <v>75.859561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91.157937</v>
      </c>
      <c r="E66" s="13" t="n">
        <v>55.86703</v>
      </c>
      <c r="F66" s="13" t="n">
        <v>15.480224</v>
      </c>
      <c r="G66" s="13" t="n">
        <v>5.378922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341.903507</v>
      </c>
      <c r="E67" s="13" t="n">
        <v>315.623893</v>
      </c>
      <c r="F67" s="13" t="n">
        <v>139.341849</v>
      </c>
      <c r="G67" s="13" t="n">
        <v>70.480639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71.99358100000001</v>
      </c>
      <c r="E68" s="13" t="n">
        <v>26.62333599999999</v>
      </c>
      <c r="F68" s="13" t="n">
        <v>-0.0266640000000109</v>
      </c>
      <c r="G68" s="13" t="n">
        <v>-0.1356779999999986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269.909926</v>
      </c>
      <c r="E69" s="13" t="n">
        <v>289.000557</v>
      </c>
      <c r="F69" s="13" t="n">
        <v>139.368513</v>
      </c>
      <c r="G69" s="13" t="n">
        <v>70.616317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2753.165</v>
      </c>
      <c r="E70" s="13" t="n">
        <v>2753.165</v>
      </c>
      <c r="F70" s="13" t="n">
        <v>2753.165</v>
      </c>
      <c r="G70" s="13" t="n">
        <v>2753.165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0.09803623320796247</v>
      </c>
      <c r="E71" s="20" t="n">
        <v>0.1049703003634</v>
      </c>
      <c r="F71" s="20" t="n">
        <v>0.05062119887474961</v>
      </c>
      <c r="G71" s="20" t="n">
        <v>0.02564914089783939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0.02670405233994259</v>
      </c>
      <c r="E72" s="20" t="n">
        <v>0.01817845698792211</v>
      </c>
      <c r="F72" s="20" t="n">
        <v>0.009352249623977746</v>
      </c>
      <c r="G72" s="20" t="n">
        <v>0.005444544229905703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66.50462400000001</v>
      </c>
      <c r="E73" s="13" t="n">
        <v>97.09999999999999</v>
      </c>
      <c r="F73" s="13" t="n">
        <v>50.000025</v>
      </c>
      <c r="G73" s="13" t="n">
        <v>25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282.461255</v>
      </c>
      <c r="E74" s="13" t="n">
        <v>434.776479</v>
      </c>
      <c r="F74" s="13" t="n">
        <v>282.133452</v>
      </c>
      <c r="G74" s="13" t="n">
        <v>136.575725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23.836187</v>
      </c>
      <c r="F75" s="13" t="n">
        <v>28.06992699999995</v>
      </c>
      <c r="G75" s="13" t="n">
        <v>-0.5215259999999375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-234.039635859657</v>
      </c>
      <c r="F76" s="13" t="n">
        <v>-239.1785551649496</v>
      </c>
      <c r="G76" s="13" t="n">
        <v>-89.5935545442679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101.4344430000001</v>
      </c>
      <c r="F77" s="13" t="n">
        <v>-63.8469990000001</v>
      </c>
      <c r="G77" s="13" t="n">
        <v>-7.221436999999924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85.686938</v>
      </c>
      <c r="E80" s="13" t="n">
        <v>109.523125</v>
      </c>
      <c r="F80" s="13" t="n">
        <v>137.5930519999999</v>
      </c>
      <c r="G80" s="13" t="n">
        <v>137.071526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221.631736</v>
      </c>
      <c r="E81" s="13" t="n">
        <v>188.643916</v>
      </c>
      <c r="F81" s="13" t="n">
        <v>170.318176</v>
      </c>
      <c r="G81" s="13" t="n">
        <v>202.368975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938.742045</v>
      </c>
      <c r="E82" s="13" t="n">
        <v>1040.176488</v>
      </c>
      <c r="F82" s="13" t="n">
        <v>976.329489</v>
      </c>
      <c r="G82" s="13" t="n">
        <v>969.108052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696.713289</v>
      </c>
      <c r="E83" s="13" t="n">
        <v>848.808046</v>
      </c>
      <c r="F83" s="13" t="n">
        <v>844.113095</v>
      </c>
      <c r="G83" s="13" t="n">
        <v>836.346124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550.362756</v>
      </c>
      <c r="E84" s="13" t="n">
        <v>759.021033</v>
      </c>
      <c r="F84" s="13" t="n">
        <v>841.403728</v>
      </c>
      <c r="G84" s="13" t="n">
        <v>874.705974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67.158519</v>
      </c>
      <c r="E85" s="13" t="n">
        <v>-0.094066</v>
      </c>
      <c r="F85" s="13" t="n">
        <v>5.851168</v>
      </c>
      <c r="G85" s="13" t="n">
        <v>5.715422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552.2313569999999</v>
      </c>
      <c r="E86" s="13" t="n">
        <v>652.128368</v>
      </c>
      <c r="F86" s="13" t="n">
        <v>671.5600619999999</v>
      </c>
      <c r="G86" s="13" t="n">
        <v>673.7428229999999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717.1103089999999</v>
      </c>
      <c r="E88" s="13" t="n">
        <v>851.5325720000001</v>
      </c>
      <c r="F88" s="13" t="n">
        <v>806.011313</v>
      </c>
      <c r="G88" s="13" t="n">
        <v>766.7390770000001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0.1999018424249909</v>
      </c>
      <c r="E89" s="20" t="n">
        <v>0.2756903538291385</v>
      </c>
      <c r="F89" s="20" t="n">
        <v>0.3056132589220043</v>
      </c>
      <c r="G89" s="20" t="n">
        <v>0.3177092451778226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0.03284025328912299</v>
      </c>
      <c r="F90" s="4" t="n">
        <v>-0.196181567603291</v>
      </c>
      <c r="G90" s="4" t="n">
        <v>-0.1349054245479543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0.3610476573950671</v>
      </c>
      <c r="E91" s="4" t="n">
        <v>0.2625896379119529</v>
      </c>
      <c r="F91" s="4" t="n">
        <v>0.1093172385634531</v>
      </c>
      <c r="G91" s="4" t="n">
        <v>0.09986395877480254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0.2772126367436318</v>
      </c>
      <c r="E92" s="4" t="n">
        <v>0.1763923541814154</v>
      </c>
      <c r="F92" s="4" t="n">
        <v>0.06532164569619199</v>
      </c>
      <c r="G92" s="4" t="n">
        <v>0.04766434694663842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0.2737628196733745</v>
      </c>
      <c r="E93" s="4" t="n">
        <v>0.172721795441215</v>
      </c>
      <c r="F93" s="4" t="n">
        <v>0.06140010915757021</v>
      </c>
      <c r="G93" s="4" t="n">
        <v>0.04108514737044885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0.1867207300359033</v>
      </c>
      <c r="E94" s="4" t="n">
        <v>0.1935705146983716</v>
      </c>
      <c r="F94" s="4" t="n">
        <v>0.1161307499375052</v>
      </c>
      <c r="G94" s="4" t="n">
        <v>0.06801802831824311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0.07072963667145782</v>
      </c>
      <c r="F95" s="4" t="n">
        <v>-0.5177569398248599</v>
      </c>
      <c r="G95" s="4" t="n">
        <v>-0.4933122591327355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0.4414298686570955</v>
      </c>
      <c r="F96" s="4" t="n">
        <v>0.1741644048457708</v>
      </c>
      <c r="G96" s="4" t="n">
        <v>0.08229813853706655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1.789561478493825</v>
      </c>
      <c r="E97" s="22" t="n">
        <v>3.233419353174322</v>
      </c>
      <c r="F97" s="22" t="n">
        <v>10.28173921010078</v>
      </c>
      <c r="G97" s="22" t="n">
        <v>15.49433444898846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0.2723896203079914</v>
      </c>
      <c r="E98" s="4" t="n">
        <v>0.1731771455829844</v>
      </c>
      <c r="F98" s="4" t="n">
        <v>0.1847496667773064</v>
      </c>
      <c r="G98" s="4" t="n">
        <v>0.2122700425558633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0.1954036019425882</v>
      </c>
      <c r="E99" s="4" t="n">
        <v>0.2912101889782024</v>
      </c>
      <c r="F99" s="4" t="n">
        <v>0.2350916190317474</v>
      </c>
      <c r="G99" s="4" t="n">
        <v>0.1315504960508573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2540</v>
      </c>
    </row>
    <row r="103">
      <c r="A103" t="inlineStr">
        <is>
          <t>Shares outstanding (m)</t>
        </is>
      </c>
      <c r="C103" s="13" t="n">
        <v>2753.165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922.343253</v>
      </c>
    </row>
    <row r="106">
      <c r="A106" t="inlineStr">
        <is>
          <t>Cash at balance-sheet date</t>
        </is>
      </c>
      <c r="C106" s="13" t="n">
        <v>217.019467</v>
      </c>
    </row>
    <row r="107">
      <c r="A107" t="inlineStr">
        <is>
          <t>Minority interest (book)</t>
        </is>
      </c>
      <c r="C107" s="13" t="n">
        <v>6.259814</v>
      </c>
    </row>
    <row r="108">
      <c r="A108" t="inlineStr">
        <is>
          <t>Associates &amp; investments (book)</t>
        </is>
      </c>
      <c r="C108" s="13" t="n">
        <v>598.521655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888.4189710000001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9.864376</v>
      </c>
    </row>
    <row r="139">
      <c r="A139" t="inlineStr">
        <is>
          <t>Metric (LTM, or next-12m DPS for yield)</t>
        </is>
      </c>
      <c r="C139" s="13" t="n">
        <v>49.485125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0.078529</v>
      </c>
    </row>
    <row r="144">
      <c r="A144" t="inlineStr">
        <is>
          <t>Metric (LTM, or next-12m DPS for yield)</t>
        </is>
      </c>
      <c r="C144" s="13" t="n">
        <v>0.042427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768.3588803442335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1141.38713567129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22543.63796935339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0.1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1626.443356</v>
      </c>
      <c r="E167" s="27" t="n">
        <v>4945.555209</v>
      </c>
      <c r="F167" s="27" t="n">
        <v>9159.173984999999</v>
      </c>
      <c r="G167" s="27" t="n">
        <v>13495.003397</v>
      </c>
      <c r="H167" s="27" t="n">
        <v>17830.832809</v>
      </c>
    </row>
    <row r="168">
      <c r="C168" s="1" t="n">
        <v>0.95</v>
      </c>
      <c r="D168" s="27" t="n">
        <v>1716.80132</v>
      </c>
      <c r="E168" s="27" t="n">
        <v>5220.308276</v>
      </c>
      <c r="F168" s="27" t="n">
        <v>9668.016985</v>
      </c>
      <c r="G168" s="27" t="n">
        <v>14244.725808</v>
      </c>
      <c r="H168" s="27" t="n">
        <v>18821.434631</v>
      </c>
    </row>
    <row r="169">
      <c r="C169" s="1" t="n">
        <v>1</v>
      </c>
      <c r="D169" s="27" t="n">
        <v>1807.159285</v>
      </c>
      <c r="E169" s="27" t="n">
        <v>5495.061343</v>
      </c>
      <c r="F169" s="27" t="n">
        <v>10176.859984</v>
      </c>
      <c r="G169" s="27" t="n">
        <v>14994.448219</v>
      </c>
      <c r="H169" s="27" t="n">
        <v>19812.036454</v>
      </c>
    </row>
    <row r="170">
      <c r="C170" s="1" t="n">
        <v>1.05</v>
      </c>
      <c r="D170" s="27" t="n">
        <v>1897.517249</v>
      </c>
      <c r="E170" s="27" t="n">
        <v>5769.81441</v>
      </c>
      <c r="F170" s="27" t="n">
        <v>10685.702983</v>
      </c>
      <c r="G170" s="27" t="n">
        <v>15744.17063</v>
      </c>
      <c r="H170" s="27" t="n">
        <v>20802.638277</v>
      </c>
    </row>
    <row r="171">
      <c r="C171" s="1" t="n">
        <v>1.1</v>
      </c>
      <c r="D171" s="27" t="n">
        <v>1987.875213</v>
      </c>
      <c r="E171" s="27" t="n">
        <v>6044.567477</v>
      </c>
      <c r="F171" s="27" t="n">
        <v>11194.545982</v>
      </c>
      <c r="G171" s="27" t="n">
        <v>16493.893041</v>
      </c>
      <c r="H171" s="27" t="n">
        <v>21793.240099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13578.372779</v>
      </c>
      <c r="E175" s="27" t="n">
        <v>12062.944422</v>
      </c>
      <c r="F175" s="27" t="n">
        <v>10547.516065</v>
      </c>
      <c r="G175" s="27" t="n">
        <v>9032.087707999999</v>
      </c>
      <c r="H175" s="27" t="n">
        <v>7516.659351</v>
      </c>
    </row>
    <row r="176">
      <c r="C176" s="1" t="n">
        <v>0.95</v>
      </c>
      <c r="D176" s="27" t="n">
        <v>14312.204926</v>
      </c>
      <c r="E176" s="27" t="n">
        <v>12712.586105</v>
      </c>
      <c r="F176" s="27" t="n">
        <v>11112.967283</v>
      </c>
      <c r="G176" s="27" t="n">
        <v>9513.348462</v>
      </c>
      <c r="H176" s="27" t="n">
        <v>7913.729641</v>
      </c>
    </row>
    <row r="177">
      <c r="C177" s="1" t="n">
        <v>1</v>
      </c>
      <c r="D177" s="27" t="n">
        <v>15046.037073</v>
      </c>
      <c r="E177" s="27" t="n">
        <v>13362.227788</v>
      </c>
      <c r="F177" s="27" t="n">
        <v>11678.418502</v>
      </c>
      <c r="G177" s="27" t="n">
        <v>9994.609216000001</v>
      </c>
      <c r="H177" s="27" t="n">
        <v>8310.799931</v>
      </c>
    </row>
    <row r="178">
      <c r="C178" s="1" t="n">
        <v>1.05</v>
      </c>
      <c r="D178" s="27" t="n">
        <v>15779.86922</v>
      </c>
      <c r="E178" s="27" t="n">
        <v>14011.86947</v>
      </c>
      <c r="F178" s="27" t="n">
        <v>12243.869721</v>
      </c>
      <c r="G178" s="27" t="n">
        <v>10475.869971</v>
      </c>
      <c r="H178" s="27" t="n">
        <v>8707.870220999999</v>
      </c>
    </row>
    <row r="179">
      <c r="C179" s="1" t="n">
        <v>1.1</v>
      </c>
      <c r="D179" s="27" t="n">
        <v>16513.701367</v>
      </c>
      <c r="E179" s="27" t="n">
        <v>14661.511153</v>
      </c>
      <c r="F179" s="27" t="n">
        <v>12809.320939</v>
      </c>
      <c r="G179" s="27" t="n">
        <v>10957.130725</v>
      </c>
      <c r="H179" s="27" t="n">
        <v>9104.940511000001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0.627764901998953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7.695817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0.072703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57.19519336590124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495.8114841727034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1425.075913897352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460.539819</v>
      </c>
      <c r="E167" s="27" t="n">
        <v>643.965918</v>
      </c>
      <c r="F167" s="27" t="n">
        <v>838.166294</v>
      </c>
      <c r="G167" s="27" t="n">
        <v>1033.767967</v>
      </c>
      <c r="H167" s="27" t="n">
        <v>1229.942178</v>
      </c>
    </row>
    <row r="168">
      <c r="C168" s="1" t="n">
        <v>0.95</v>
      </c>
      <c r="D168" s="27" t="n">
        <v>486.814973</v>
      </c>
      <c r="E168" s="27" t="n">
        <v>680.762429</v>
      </c>
      <c r="F168" s="27" t="n">
        <v>886.114759</v>
      </c>
      <c r="G168" s="27" t="n">
        <v>1092.950713</v>
      </c>
      <c r="H168" s="27" t="n">
        <v>1300.392889</v>
      </c>
    </row>
    <row r="169">
      <c r="C169" s="1" t="n">
        <v>1</v>
      </c>
      <c r="D169" s="27" t="n">
        <v>513.159432</v>
      </c>
      <c r="E169" s="27" t="n">
        <v>717.6596520000001</v>
      </c>
      <c r="F169" s="27" t="n">
        <v>934.198026</v>
      </c>
      <c r="G169" s="27" t="n">
        <v>1152.302725</v>
      </c>
      <c r="H169" s="27" t="n">
        <v>1371.047483</v>
      </c>
    </row>
    <row r="170">
      <c r="C170" s="1" t="n">
        <v>1.05</v>
      </c>
      <c r="D170" s="27" t="n">
        <v>539.572896</v>
      </c>
      <c r="E170" s="27" t="n">
        <v>754.65697</v>
      </c>
      <c r="F170" s="27" t="n">
        <v>982.415101</v>
      </c>
      <c r="G170" s="27" t="n">
        <v>1211.82262</v>
      </c>
      <c r="H170" s="27" t="n">
        <v>1441.904185</v>
      </c>
    </row>
    <row r="171">
      <c r="C171" s="1" t="n">
        <v>1.1</v>
      </c>
      <c r="D171" s="27" t="n">
        <v>566.055086</v>
      </c>
      <c r="E171" s="27" t="n">
        <v>791.753812</v>
      </c>
      <c r="F171" s="27" t="n">
        <v>1030.765061</v>
      </c>
      <c r="G171" s="27" t="n">
        <v>1271.509114</v>
      </c>
      <c r="H171" s="27" t="n">
        <v>1512.961349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1121.448314</v>
      </c>
      <c r="E175" s="27" t="n">
        <v>1081.582714</v>
      </c>
      <c r="F175" s="27" t="n">
        <v>1041.717115</v>
      </c>
      <c r="G175" s="27" t="n">
        <v>1001.851515</v>
      </c>
      <c r="H175" s="27" t="n">
        <v>961.985916</v>
      </c>
    </row>
    <row r="176">
      <c r="C176" s="1" t="n">
        <v>0.95</v>
      </c>
      <c r="D176" s="27" t="n">
        <v>1174.567818</v>
      </c>
      <c r="E176" s="27" t="n">
        <v>1132.487463</v>
      </c>
      <c r="F176" s="27" t="n">
        <v>1090.407108</v>
      </c>
      <c r="G176" s="27" t="n">
        <v>1048.326753</v>
      </c>
      <c r="H176" s="27" t="n">
        <v>1006.246398</v>
      </c>
    </row>
    <row r="177">
      <c r="C177" s="1" t="n">
        <v>1</v>
      </c>
      <c r="D177" s="27" t="n">
        <v>1221.462984</v>
      </c>
      <c r="E177" s="27" t="n">
        <v>1177.478308</v>
      </c>
      <c r="F177" s="27" t="n">
        <v>1133.493632</v>
      </c>
      <c r="G177" s="27" t="n">
        <v>1089.508957</v>
      </c>
      <c r="H177" s="27" t="n">
        <v>1045.524281</v>
      </c>
    </row>
    <row r="178">
      <c r="C178" s="1" t="n">
        <v>1.05</v>
      </c>
      <c r="D178" s="27" t="n">
        <v>1258.920895</v>
      </c>
      <c r="E178" s="27" t="n">
        <v>1213.58088</v>
      </c>
      <c r="F178" s="27" t="n">
        <v>1168.240865</v>
      </c>
      <c r="G178" s="27" t="n">
        <v>1122.90085</v>
      </c>
      <c r="H178" s="27" t="n">
        <v>1077.560835</v>
      </c>
    </row>
    <row r="179">
      <c r="C179" s="1" t="n">
        <v>1.1</v>
      </c>
      <c r="D179" s="27" t="n">
        <v>1294.066621</v>
      </c>
      <c r="E179" s="27" t="n">
        <v>1247.435704</v>
      </c>
      <c r="F179" s="27" t="n">
        <v>1200.804788</v>
      </c>
      <c r="G179" s="27" t="n">
        <v>1154.173871</v>
      </c>
      <c r="H179" s="27" t="n">
        <v>1107.542954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7.146527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0.101236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625.3986026137443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2207.935429245533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7290.659266499481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2087.024082</v>
      </c>
      <c r="E167" s="27" t="n">
        <v>2444.274143</v>
      </c>
      <c r="F167" s="27" t="n">
        <v>3288.396697</v>
      </c>
      <c r="G167" s="27" t="n">
        <v>4380.757626</v>
      </c>
      <c r="H167" s="27" t="n">
        <v>5487.362272</v>
      </c>
    </row>
    <row r="168">
      <c r="C168" s="1" t="n">
        <v>0.95</v>
      </c>
      <c r="D168" s="27" t="n">
        <v>2202.969864</v>
      </c>
      <c r="E168" s="27" t="n">
        <v>2580.067151</v>
      </c>
      <c r="F168" s="27" t="n">
        <v>3471.085402</v>
      </c>
      <c r="G168" s="27" t="n">
        <v>4624.13305</v>
      </c>
      <c r="H168" s="27" t="n">
        <v>5792.215731</v>
      </c>
    </row>
    <row r="169">
      <c r="C169" s="1" t="n">
        <v>1</v>
      </c>
      <c r="D169" s="27" t="n">
        <v>2318.915646</v>
      </c>
      <c r="E169" s="27" t="n">
        <v>2715.860159</v>
      </c>
      <c r="F169" s="27" t="n">
        <v>3653.774108</v>
      </c>
      <c r="G169" s="27" t="n">
        <v>4867.508474</v>
      </c>
      <c r="H169" s="27" t="n">
        <v>6097.069191</v>
      </c>
    </row>
    <row r="170">
      <c r="C170" s="1" t="n">
        <v>1.05</v>
      </c>
      <c r="D170" s="27" t="n">
        <v>2434.861429</v>
      </c>
      <c r="E170" s="27" t="n">
        <v>2851.653167</v>
      </c>
      <c r="F170" s="27" t="n">
        <v>3836.462813</v>
      </c>
      <c r="G170" s="27" t="n">
        <v>5110.883897</v>
      </c>
      <c r="H170" s="27" t="n">
        <v>6401.92265</v>
      </c>
    </row>
    <row r="171">
      <c r="C171" s="1" t="n">
        <v>1.1</v>
      </c>
      <c r="D171" s="27" t="n">
        <v>2550.807211</v>
      </c>
      <c r="E171" s="27" t="n">
        <v>2987.446175</v>
      </c>
      <c r="F171" s="27" t="n">
        <v>4019.151518</v>
      </c>
      <c r="G171" s="27" t="n">
        <v>5354.259321</v>
      </c>
      <c r="H171" s="27" t="n">
        <v>6706.77611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5088.91549</v>
      </c>
      <c r="E175" s="27" t="n">
        <v>4401.926945</v>
      </c>
      <c r="F175" s="27" t="n">
        <v>3714.938401</v>
      </c>
      <c r="G175" s="27" t="n">
        <v>3027.949857</v>
      </c>
      <c r="H175" s="27" t="n">
        <v>2596.72872</v>
      </c>
    </row>
    <row r="176">
      <c r="C176" s="1" t="n">
        <v>0.95</v>
      </c>
      <c r="D176" s="27" t="n">
        <v>5246.537</v>
      </c>
      <c r="E176" s="27" t="n">
        <v>4521.382426</v>
      </c>
      <c r="F176" s="27" t="n">
        <v>3796.227851</v>
      </c>
      <c r="G176" s="27" t="n">
        <v>3071.073277</v>
      </c>
      <c r="H176" s="27" t="n">
        <v>2615.89541</v>
      </c>
    </row>
    <row r="177">
      <c r="C177" s="1" t="n">
        <v>1</v>
      </c>
      <c r="D177" s="27" t="n">
        <v>5404.158511</v>
      </c>
      <c r="E177" s="27" t="n">
        <v>4640.837906</v>
      </c>
      <c r="F177" s="27" t="n">
        <v>3877.517301</v>
      </c>
      <c r="G177" s="27" t="n">
        <v>3114.196696</v>
      </c>
      <c r="H177" s="27" t="n">
        <v>2635.0621</v>
      </c>
    </row>
    <row r="178">
      <c r="C178" s="1" t="n">
        <v>1.05</v>
      </c>
      <c r="D178" s="27" t="n">
        <v>5561.780021</v>
      </c>
      <c r="E178" s="27" t="n">
        <v>4760.293386</v>
      </c>
      <c r="F178" s="27" t="n">
        <v>3958.806751</v>
      </c>
      <c r="G178" s="27" t="n">
        <v>3157.320116</v>
      </c>
      <c r="H178" s="27" t="n">
        <v>2654.22879</v>
      </c>
    </row>
    <row r="179">
      <c r="C179" s="1" t="n">
        <v>1.1</v>
      </c>
      <c r="D179" s="27" t="n">
        <v>5719.401532</v>
      </c>
      <c r="E179" s="27" t="n">
        <v>4879.748867</v>
      </c>
      <c r="F179" s="27" t="n">
        <v>4040.096201</v>
      </c>
      <c r="G179" s="27" t="n">
        <v>3200.443536</v>
      </c>
      <c r="H179" s="27" t="n">
        <v>2673.39548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0.047533</v>
      </c>
      <c r="I27" s="4" t="n">
        <v>0.047533</v>
      </c>
      <c r="J27" s="4" t="n">
        <v>0.047533</v>
      </c>
      <c r="K27" s="4" t="n">
        <v>0.047533</v>
      </c>
      <c r="L27" s="4" t="n">
        <v>0.047533</v>
      </c>
      <c r="M27" s="4" t="n">
        <v>0.047533</v>
      </c>
      <c r="N27" s="4" t="n">
        <v>0.047533</v>
      </c>
      <c r="O27" s="4" t="n">
        <v>0.047533</v>
      </c>
      <c r="P27" s="4" t="n">
        <v>0.047533</v>
      </c>
      <c r="Q27" s="4" t="n">
        <v>0.047533</v>
      </c>
      <c r="R27" s="4" t="n">
        <v>0.047533</v>
      </c>
      <c r="S27" s="4" t="n">
        <v>0.047533</v>
      </c>
      <c r="T27" s="4" t="n">
        <v>0.047533</v>
      </c>
      <c r="U27" s="4" t="n">
        <v>0.047533</v>
      </c>
      <c r="V27" s="4" t="n">
        <v>0.047533</v>
      </c>
      <c r="W27" s="4" t="n">
        <v>0.047533</v>
      </c>
      <c r="X27" s="4" t="n">
        <v>0.047533</v>
      </c>
      <c r="Y27" s="4" t="n">
        <v>0.047533</v>
      </c>
      <c r="Z27" s="4" t="n">
        <v>0.047533</v>
      </c>
      <c r="AA27" s="4" t="n">
        <v>0.047533</v>
      </c>
      <c r="AB27" s="4" t="n">
        <v>0.047533</v>
      </c>
      <c r="AC27" s="4" t="n">
        <v>0.047533</v>
      </c>
      <c r="AD27" s="4" t="n">
        <v>0.047533</v>
      </c>
      <c r="AE27" s="4" t="n">
        <v>0.047533</v>
      </c>
      <c r="AF27" s="4" t="n">
        <v>0.047533</v>
      </c>
      <c r="AG27" s="4" t="n">
        <v>0.047533</v>
      </c>
      <c r="AH27" s="4" t="n">
        <v>0.047533</v>
      </c>
      <c r="AI27" s="4" t="n">
        <v>0.047533</v>
      </c>
      <c r="AJ27" s="4" t="n">
        <v>0.047533</v>
      </c>
      <c r="AK27" s="4" t="n">
        <v>0.047533</v>
      </c>
      <c r="AL27" s="4" t="n">
        <v>0.047533</v>
      </c>
      <c r="AM27" s="4" t="n">
        <v>0.047533</v>
      </c>
      <c r="AN27" s="4" t="n">
        <v>0.047533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VLOOKUP(Drivers!$H$5,Drivers!$B$20:$C$25,2,TRUE)</f>
        <v/>
      </c>
      <c r="I47" s="9">
        <f>VLOOKUP(Drivers!$I$5,Drivers!$B$20:$C$25,2,TRUE)</f>
        <v/>
      </c>
      <c r="J47" s="9">
        <f>VLOOKUP(Drivers!$J$5,Drivers!$B$20:$C$25,2,TRUE)</f>
        <v/>
      </c>
      <c r="K47" s="9">
        <f>VLOOKUP(Drivers!$K$5,Drivers!$B$20:$C$25,2,TRUE)</f>
        <v/>
      </c>
      <c r="L47" s="9">
        <f>VLOOKUP(Drivers!$L$5,Drivers!$B$20:$C$25,2,TRUE)</f>
        <v/>
      </c>
      <c r="M47" s="9">
        <f>VLOOKUP(Drivers!$M$5,Drivers!$B$20:$C$25,2,TRUE)</f>
        <v/>
      </c>
      <c r="N47" s="9">
        <f>VLOOKUP(Drivers!$N$5,Drivers!$B$20:$C$25,2,TRUE)</f>
        <v/>
      </c>
      <c r="O47" s="9">
        <f>VLOOKUP(Drivers!$O$5,Drivers!$B$20:$C$25,2,TRUE)</f>
        <v/>
      </c>
      <c r="P47" s="9">
        <f>VLOOKUP(Drivers!$P$5,Drivers!$B$20:$C$25,2,TRUE)</f>
        <v/>
      </c>
      <c r="Q47" s="9">
        <f>VLOOKUP(Drivers!$Q$5,Drivers!$B$20:$C$25,2,TRUE)</f>
        <v/>
      </c>
      <c r="R47" s="9">
        <f>VLOOKUP(Drivers!$R$5,Drivers!$B$20:$C$25,2,TRUE)</f>
        <v/>
      </c>
      <c r="S47" s="9">
        <f>VLOOKUP(Drivers!$S$5,Drivers!$B$20:$C$25,2,TRUE)</f>
        <v/>
      </c>
      <c r="T47" s="9">
        <f>VLOOKUP(Drivers!$T$5,Drivers!$B$20:$C$25,2,TRUE)</f>
        <v/>
      </c>
      <c r="U47" s="9">
        <f>VLOOKUP(Drivers!$U$5,Drivers!$B$20:$C$25,2,TRUE)</f>
        <v/>
      </c>
      <c r="V47" s="9">
        <f>VLOOKUP(Drivers!$V$5,Drivers!$B$20:$C$25,2,TRUE)</f>
        <v/>
      </c>
      <c r="W47" s="9">
        <f>VLOOKUP(Drivers!$W$5,Drivers!$B$20:$C$25,2,TRUE)</f>
        <v/>
      </c>
      <c r="X47" s="9">
        <f>VLOOKUP(Drivers!$X$5,Drivers!$B$20:$C$25,2,TRUE)</f>
        <v/>
      </c>
      <c r="Y47" s="9">
        <f>VLOOKUP(Drivers!$Y$5,Drivers!$B$20:$C$25,2,TRUE)</f>
        <v/>
      </c>
      <c r="Z47" s="9">
        <f>VLOOKUP(Drivers!$Z$5,Drivers!$B$20:$C$25,2,TRUE)</f>
        <v/>
      </c>
      <c r="AA47" s="9">
        <f>VLOOKUP(Drivers!$AA$5,Drivers!$B$20:$C$25,2,TRUE)</f>
        <v/>
      </c>
      <c r="AB47" s="9">
        <f>VLOOKUP(Drivers!$AB$5,Drivers!$B$20:$C$25,2,TRUE)</f>
        <v/>
      </c>
      <c r="AC47" s="9">
        <f>VLOOKUP(Drivers!$AC$5,Drivers!$B$20:$C$25,2,TRUE)</f>
        <v/>
      </c>
      <c r="AD47" s="9">
        <f>VLOOKUP(Drivers!$AD$5,Drivers!$B$20:$C$25,2,TRUE)</f>
        <v/>
      </c>
      <c r="AE47" s="9">
        <f>VLOOKUP(Drivers!$AE$5,Drivers!$B$20:$C$25,2,TRUE)</f>
        <v/>
      </c>
      <c r="AF47" s="9">
        <f>VLOOKUP(Drivers!$AF$5,Drivers!$B$20:$C$25,2,TRUE)</f>
        <v/>
      </c>
      <c r="AG47" s="9">
        <f>VLOOKUP(Drivers!$AG$5,Drivers!$B$20:$C$25,2,TRUE)</f>
        <v/>
      </c>
      <c r="AH47" s="9">
        <f>VLOOKUP(Drivers!$AH$5,Drivers!$B$20:$C$25,2,TRUE)</f>
        <v/>
      </c>
      <c r="AI47" s="9">
        <f>VLOOKUP(Drivers!$AI$5,Drivers!$B$20:$C$25,2,TRUE)</f>
        <v/>
      </c>
      <c r="AJ47" s="9">
        <f>VLOOKUP(Drivers!$AJ$5,Drivers!$B$20:$C$25,2,TRUE)</f>
        <v/>
      </c>
      <c r="AK47" s="9">
        <f>VLOOKUP(Drivers!$AK$5,Drivers!$B$20:$C$25,2,TRUE)</f>
        <v/>
      </c>
      <c r="AL47" s="9">
        <f>VLOOKUP(Drivers!$AL$5,Drivers!$B$20:$C$25,2,TRUE)</f>
        <v/>
      </c>
      <c r="AM47" s="9">
        <f>VLOOKUP(Drivers!$AM$5,Drivers!$B$20:$C$25,2,TRUE)</f>
        <v/>
      </c>
      <c r="AN47" s="9">
        <f>VLOOKUP(Drivers!$AN$5,Drivers!$B$20:$C$25,2,TRUE)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0.2553429602976418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  <c r="AL127" s="6" t="n">
        <v>29.678303</v>
      </c>
      <c r="AM127" s="6" t="n">
        <v>30.680356</v>
      </c>
      <c r="AN127" s="6" t="n">
        <v>31.679671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6.752163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19.62428299530687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272.691560375869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1.746417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17.644939</v>
      </c>
      <c r="E170" s="27" t="n">
        <v>17.644939</v>
      </c>
      <c r="F170" s="27" t="n">
        <v>19.074957</v>
      </c>
      <c r="G170" s="27" t="n">
        <v>61.300875</v>
      </c>
      <c r="H170" s="27" t="n">
        <v>100.018823</v>
      </c>
    </row>
    <row r="171">
      <c r="C171" s="1" t="n">
        <v>0.95</v>
      </c>
      <c r="D171" s="27" t="n">
        <v>18.634141</v>
      </c>
      <c r="E171" s="27" t="n">
        <v>18.634141</v>
      </c>
      <c r="F171" s="27" t="n">
        <v>20.147362</v>
      </c>
      <c r="G171" s="27" t="n">
        <v>64.749545</v>
      </c>
      <c r="H171" s="27" t="n">
        <v>105.647816</v>
      </c>
    </row>
    <row r="172">
      <c r="C172" s="1" t="n">
        <v>1</v>
      </c>
      <c r="D172" s="27" t="n">
        <v>19.624283</v>
      </c>
      <c r="E172" s="27" t="n">
        <v>19.624283</v>
      </c>
      <c r="F172" s="27" t="n">
        <v>21.221042</v>
      </c>
      <c r="G172" s="27" t="n">
        <v>68.202506</v>
      </c>
      <c r="H172" s="27" t="n">
        <v>111.283993</v>
      </c>
    </row>
    <row r="173">
      <c r="C173" s="1" t="n">
        <v>1.05</v>
      </c>
      <c r="D173" s="27" t="n">
        <v>20.615364</v>
      </c>
      <c r="E173" s="27" t="n">
        <v>20.615364</v>
      </c>
      <c r="F173" s="27" t="n">
        <v>22.295988</v>
      </c>
      <c r="G173" s="27" t="n">
        <v>71.65973</v>
      </c>
      <c r="H173" s="27" t="n">
        <v>116.927301</v>
      </c>
    </row>
    <row r="174">
      <c r="C174" s="1" t="n">
        <v>1.1</v>
      </c>
      <c r="D174" s="27" t="n">
        <v>21.607386</v>
      </c>
      <c r="E174" s="27" t="n">
        <v>21.607386</v>
      </c>
      <c r="F174" s="27" t="n">
        <v>23.372195</v>
      </c>
      <c r="G174" s="27" t="n">
        <v>75.121188</v>
      </c>
      <c r="H174" s="27" t="n">
        <v>122.577691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72.64822599999999</v>
      </c>
      <c r="E178" s="27" t="n">
        <v>49.395971</v>
      </c>
      <c r="F178" s="27" t="n">
        <v>27.868731</v>
      </c>
      <c r="G178" s="27" t="n">
        <v>19.624283</v>
      </c>
      <c r="H178" s="27" t="n">
        <v>19.624283</v>
      </c>
    </row>
    <row r="179">
      <c r="C179" s="1" t="n">
        <v>0.95</v>
      </c>
      <c r="D179" s="27" t="n">
        <v>77.43380000000001</v>
      </c>
      <c r="E179" s="27" t="n">
        <v>52.889752</v>
      </c>
      <c r="F179" s="27" t="n">
        <v>30.166555</v>
      </c>
      <c r="G179" s="27" t="n">
        <v>19.624283</v>
      </c>
      <c r="H179" s="27" t="n">
        <v>19.624283</v>
      </c>
    </row>
    <row r="180">
      <c r="C180" s="1" t="n">
        <v>1</v>
      </c>
      <c r="D180" s="27" t="n">
        <v>82.219374</v>
      </c>
      <c r="E180" s="27" t="n">
        <v>56.383534</v>
      </c>
      <c r="F180" s="27" t="n">
        <v>32.464378</v>
      </c>
      <c r="G180" s="27" t="n">
        <v>19.624283</v>
      </c>
      <c r="H180" s="27" t="n">
        <v>19.624283</v>
      </c>
    </row>
    <row r="181">
      <c r="C181" s="1" t="n">
        <v>1.05</v>
      </c>
      <c r="D181" s="27" t="n">
        <v>87.004947</v>
      </c>
      <c r="E181" s="27" t="n">
        <v>59.877315</v>
      </c>
      <c r="F181" s="27" t="n">
        <v>34.762202</v>
      </c>
      <c r="G181" s="27" t="n">
        <v>19.624283</v>
      </c>
      <c r="H181" s="27" t="n">
        <v>19.624283</v>
      </c>
    </row>
    <row r="182">
      <c r="C182" s="1" t="n">
        <v>1.1</v>
      </c>
      <c r="D182" s="27" t="n">
        <v>91.790521</v>
      </c>
      <c r="E182" s="27" t="n">
        <v>63.371097</v>
      </c>
      <c r="F182" s="27" t="n">
        <v>37.060026</v>
      </c>
      <c r="G182" s="27" t="n">
        <v>19.624283</v>
      </c>
      <c r="H182" s="27" t="n">
        <v>19.624283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28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</v>
      </c>
      <c r="I14" s="13" t="n">
        <v>73</v>
      </c>
      <c r="J14" s="13" t="n">
        <v>74</v>
      </c>
      <c r="K14" s="13" t="n">
        <v>73</v>
      </c>
      <c r="L14" s="13" t="n">
        <v>72</v>
      </c>
      <c r="M14" s="13" t="n">
        <v>72</v>
      </c>
      <c r="N14" s="13" t="n">
        <v>72</v>
      </c>
      <c r="O14" s="13" t="n">
        <v>72</v>
      </c>
      <c r="P14" s="13" t="n">
        <v>72</v>
      </c>
      <c r="Q14" s="13" t="n">
        <v>72</v>
      </c>
      <c r="R14" s="13" t="n">
        <v>72</v>
      </c>
      <c r="S14" s="13" t="n">
        <v>72</v>
      </c>
      <c r="T14" s="13" t="n">
        <v>72</v>
      </c>
      <c r="U14" s="13" t="n">
        <v>72</v>
      </c>
      <c r="V14" s="13" t="n">
        <v>72</v>
      </c>
      <c r="W14" s="13" t="n">
        <v>72</v>
      </c>
      <c r="X14" s="13" t="n">
        <v>72</v>
      </c>
      <c r="Y14" s="13" t="n">
        <v>72</v>
      </c>
      <c r="Z14" s="13" t="n">
        <v>72</v>
      </c>
      <c r="AA14" s="13" t="n">
        <v>72</v>
      </c>
      <c r="AB14" s="13" t="n">
        <v>72</v>
      </c>
      <c r="AC14" s="13" t="n">
        <v>72</v>
      </c>
      <c r="AD14" s="13" t="n">
        <v>72</v>
      </c>
      <c r="AE14" s="13" t="n">
        <v>72</v>
      </c>
      <c r="AF14" s="13" t="n">
        <v>72</v>
      </c>
      <c r="AG14" s="13" t="n">
        <v>72</v>
      </c>
      <c r="AH14" s="13" t="n">
        <v>72</v>
      </c>
      <c r="AI14" s="13" t="n">
        <v>72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  <c r="AG15" s="14" t="n">
        <v>0.4465</v>
      </c>
      <c r="AH15" s="14" t="n">
        <v>0.4465</v>
      </c>
      <c r="AI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  <c r="AG16" s="4" t="n">
        <v>0.25</v>
      </c>
      <c r="AH16" s="4" t="n">
        <v>0.25</v>
      </c>
      <c r="AI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  <c r="AG17" s="14" t="n">
        <v>1.05</v>
      </c>
      <c r="AH17" s="14" t="n">
        <v>1.05</v>
      </c>
      <c r="AI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  <c r="AG18" s="3" t="n">
        <v>32.58682639380532</v>
      </c>
      <c r="AH18" s="3" t="n">
        <v>33.23856292168143</v>
      </c>
      <c r="AI18" s="3" t="n">
        <v>33.90333418011506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  <c r="AG20" s="3" t="n">
        <v>9.093998063387531</v>
      </c>
      <c r="AH20" s="3" t="n">
        <v>9.275878024655283</v>
      </c>
      <c r="AI20" s="3" t="n">
        <v>9.461395585148388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  <c r="AG21" s="4" t="n">
        <v>0.08</v>
      </c>
      <c r="AH21" s="4" t="n">
        <v>0.08</v>
      </c>
      <c r="AI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  <c r="AG22" s="13" t="n">
        <v>30.31332687795844</v>
      </c>
      <c r="AH22" s="13" t="n">
        <v>30.91959341551761</v>
      </c>
      <c r="AI22" s="13" t="n">
        <v>31.53798528382796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  <c r="AG24" s="3" t="n">
        <v>2.379596159919737</v>
      </c>
      <c r="AH24" s="3" t="n">
        <v>2.427188083118133</v>
      </c>
      <c r="AI24" s="3" t="n">
        <v>2.475731844780495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  <c r="AG25" s="3" t="n">
        <v>3.940732494134597</v>
      </c>
      <c r="AH25" s="3" t="n">
        <v>4.019547144017289</v>
      </c>
      <c r="AI25" s="3" t="n">
        <v>4.099938086897636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  <c r="AG26" s="13" t="n">
        <v>22.73499515846883</v>
      </c>
      <c r="AH26" s="13" t="n">
        <v>23.1896950616382</v>
      </c>
      <c r="AI26" s="13" t="n">
        <v>23.65348896287097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  <c r="AG27" s="4" t="n">
        <v>0.047097</v>
      </c>
      <c r="AH27" s="4" t="n">
        <v>0.047097</v>
      </c>
      <c r="AI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  <c r="AG28" s="4" t="n">
        <v>0.219708</v>
      </c>
      <c r="AH28" s="4" t="n">
        <v>0.219708</v>
      </c>
      <c r="AI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  <c r="AG33" s="4" t="n">
        <v>0.024865</v>
      </c>
      <c r="AH33" s="4" t="n">
        <v>0.024865</v>
      </c>
      <c r="AI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  <c r="AG34" s="4" t="n">
        <v>0.73</v>
      </c>
      <c r="AH34" s="4" t="n">
        <v>0.73</v>
      </c>
      <c r="AI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  <c r="AG37" s="4" t="n">
        <v>0.03</v>
      </c>
      <c r="AH37" s="4" t="n">
        <v>0.03</v>
      </c>
      <c r="AI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</row>
    <row r="131">
      <c r="A131" t="inlineStr">
        <is>
          <t>Best cumulative PV (never below zero)</t>
        </is>
      </c>
      <c r="C131" s="26">
        <f>MAX(0,MAX(H130:AI130))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6.403519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0.029359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531.6888997687468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1934.431707680857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6067.827172621951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2.475241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1877.514753</v>
      </c>
      <c r="E176" s="27" t="n">
        <v>2486.949256</v>
      </c>
      <c r="F176" s="27" t="n">
        <v>3210.369092</v>
      </c>
      <c r="G176" s="27" t="n">
        <v>3994.172267</v>
      </c>
      <c r="H176" s="27" t="n">
        <v>4789.482527</v>
      </c>
    </row>
    <row r="177">
      <c r="C177" s="1" t="n">
        <v>0.95</v>
      </c>
      <c r="D177" s="27" t="n">
        <v>1981.821128</v>
      </c>
      <c r="E177" s="27" t="n">
        <v>2625.113104</v>
      </c>
      <c r="F177" s="27" t="n">
        <v>3388.722931</v>
      </c>
      <c r="G177" s="27" t="n">
        <v>4216.070726</v>
      </c>
      <c r="H177" s="27" t="n">
        <v>5055.56489</v>
      </c>
    </row>
    <row r="178">
      <c r="C178" s="1" t="n">
        <v>1</v>
      </c>
      <c r="D178" s="27" t="n">
        <v>2086.127503</v>
      </c>
      <c r="E178" s="27" t="n">
        <v>2763.276951</v>
      </c>
      <c r="F178" s="27" t="n">
        <v>3567.076769</v>
      </c>
      <c r="G178" s="27" t="n">
        <v>4437.969186</v>
      </c>
      <c r="H178" s="27" t="n">
        <v>5321.647252</v>
      </c>
    </row>
    <row r="179">
      <c r="C179" s="1" t="n">
        <v>1.05</v>
      </c>
      <c r="D179" s="27" t="n">
        <v>2190.433879</v>
      </c>
      <c r="E179" s="27" t="n">
        <v>2901.440799</v>
      </c>
      <c r="F179" s="27" t="n">
        <v>3745.430608</v>
      </c>
      <c r="G179" s="27" t="n">
        <v>4659.867645</v>
      </c>
      <c r="H179" s="27" t="n">
        <v>5587.729615</v>
      </c>
    </row>
    <row r="180">
      <c r="C180" s="1" t="n">
        <v>1.1</v>
      </c>
      <c r="D180" s="27" t="n">
        <v>2294.740254</v>
      </c>
      <c r="E180" s="27" t="n">
        <v>3039.604646</v>
      </c>
      <c r="F180" s="27" t="n">
        <v>3923.784446</v>
      </c>
      <c r="G180" s="27" t="n">
        <v>4881.766104</v>
      </c>
      <c r="H180" s="27" t="n">
        <v>5853.811977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4704.988018</v>
      </c>
      <c r="E184" s="27" t="n">
        <v>4348.580156</v>
      </c>
      <c r="F184" s="27" t="n">
        <v>3992.172295</v>
      </c>
      <c r="G184" s="27" t="n">
        <v>3635.764433</v>
      </c>
      <c r="H184" s="27" t="n">
        <v>3279.356571</v>
      </c>
    </row>
    <row r="185">
      <c r="C185" s="1" t="n">
        <v>0.95</v>
      </c>
      <c r="D185" s="27" t="n">
        <v>4888.915133</v>
      </c>
      <c r="E185" s="27" t="n">
        <v>4512.706834</v>
      </c>
      <c r="F185" s="27" t="n">
        <v>4136.498536</v>
      </c>
      <c r="G185" s="27" t="n">
        <v>3760.290237</v>
      </c>
      <c r="H185" s="27" t="n">
        <v>3384.081939</v>
      </c>
    </row>
    <row r="186">
      <c r="C186" s="1" t="n">
        <v>1</v>
      </c>
      <c r="D186" s="27" t="n">
        <v>5072.842247</v>
      </c>
      <c r="E186" s="27" t="n">
        <v>4676.833512</v>
      </c>
      <c r="F186" s="27" t="n">
        <v>4280.824777</v>
      </c>
      <c r="G186" s="27" t="n">
        <v>3884.816041</v>
      </c>
      <c r="H186" s="27" t="n">
        <v>3488.807306</v>
      </c>
    </row>
    <row r="187">
      <c r="C187" s="1" t="n">
        <v>1.05</v>
      </c>
      <c r="D187" s="27" t="n">
        <v>5233.917417</v>
      </c>
      <c r="E187" s="27" t="n">
        <v>4822.321807</v>
      </c>
      <c r="F187" s="27" t="n">
        <v>4410.726198</v>
      </c>
      <c r="G187" s="27" t="n">
        <v>3999.130589</v>
      </c>
      <c r="H187" s="27" t="n">
        <v>3587.534979</v>
      </c>
    </row>
    <row r="188">
      <c r="C188" s="1" t="n">
        <v>1.1</v>
      </c>
      <c r="D188" s="27" t="n">
        <v>5383.25951</v>
      </c>
      <c r="E188" s="27" t="n">
        <v>4957.074149</v>
      </c>
      <c r="F188" s="27" t="n">
        <v>4530.888788</v>
      </c>
      <c r="G188" s="27" t="n">
        <v>4104.703427</v>
      </c>
      <c r="H188" s="27" t="n">
        <v>3678.518067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  <c r="T14" s="13" t="n">
        <v>58</v>
      </c>
      <c r="U14" s="13" t="n">
        <v>58</v>
      </c>
      <c r="V14" s="13" t="n">
        <v>58</v>
      </c>
      <c r="W14" s="13" t="n">
        <v>58</v>
      </c>
      <c r="X14" s="13" t="n">
        <v>58</v>
      </c>
      <c r="Y14" s="13" t="n">
        <v>58</v>
      </c>
      <c r="Z14" s="13" t="n">
        <v>58</v>
      </c>
      <c r="AA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  <c r="T15" s="14" t="n">
        <v>0.405</v>
      </c>
      <c r="U15" s="14" t="n">
        <v>0.405</v>
      </c>
      <c r="V15" s="14" t="n">
        <v>0.405</v>
      </c>
      <c r="W15" s="14" t="n">
        <v>0.405</v>
      </c>
      <c r="X15" s="14" t="n">
        <v>0.405</v>
      </c>
      <c r="Y15" s="14" t="n">
        <v>0.405</v>
      </c>
      <c r="Z15" s="14" t="n">
        <v>0.405</v>
      </c>
      <c r="AA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  <c r="T18" s="3" t="n">
        <v>3.514978143006797</v>
      </c>
      <c r="U18" s="3" t="n">
        <v>3.585277705866933</v>
      </c>
      <c r="V18" s="3" t="n">
        <v>3.656983259984272</v>
      </c>
      <c r="W18" s="3" t="n">
        <v>3.730122925183958</v>
      </c>
      <c r="X18" s="3" t="n">
        <v>3.804725383687637</v>
      </c>
      <c r="Y18" s="3" t="n">
        <v>3.88081989136139</v>
      </c>
      <c r="Z18" s="3" t="n">
        <v>3.958436289188617</v>
      </c>
      <c r="AA18" s="3" t="n">
        <v>4.03760501497239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  <c r="T20" s="3" t="n">
        <v>13.59124881962628</v>
      </c>
      <c r="U20" s="3" t="n">
        <v>13.86307379601881</v>
      </c>
      <c r="V20" s="3" t="n">
        <v>14.14033527193918</v>
      </c>
      <c r="W20" s="3" t="n">
        <v>14.42314197737797</v>
      </c>
      <c r="X20" s="3" t="n">
        <v>14.71160481692553</v>
      </c>
      <c r="Y20" s="3" t="n">
        <v>15.00583691326404</v>
      </c>
      <c r="Z20" s="3" t="n">
        <v>15.30595365152932</v>
      </c>
      <c r="AA20" s="3" t="n">
        <v>15.61207272455991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  <c r="T21" s="4" t="n">
        <v>0.129</v>
      </c>
      <c r="U21" s="4" t="n">
        <v>0.129</v>
      </c>
      <c r="V21" s="4" t="n">
        <v>0.129</v>
      </c>
      <c r="W21" s="4" t="n">
        <v>0.129</v>
      </c>
      <c r="X21" s="4" t="n">
        <v>0.129</v>
      </c>
      <c r="Y21" s="4" t="n">
        <v>0.129</v>
      </c>
      <c r="Z21" s="4" t="n">
        <v>0.129</v>
      </c>
      <c r="AA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  <c r="T24" s="3" t="n">
        <v>0.7920417415575317</v>
      </c>
      <c r="U24" s="3" t="n">
        <v>0.8078825763886823</v>
      </c>
      <c r="V24" s="3" t="n">
        <v>0.824040227916456</v>
      </c>
      <c r="W24" s="3" t="n">
        <v>0.8405210324747852</v>
      </c>
      <c r="X24" s="3" t="n">
        <v>0.8573314531242808</v>
      </c>
      <c r="Y24" s="3" t="n">
        <v>0.8744780821867665</v>
      </c>
      <c r="Z24" s="3" t="n">
        <v>0.8919676438305018</v>
      </c>
      <c r="AA24" s="3" t="n">
        <v>0.9098069967071118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  <c r="T25" s="3" t="n">
        <v>0.410080783350793</v>
      </c>
      <c r="U25" s="3" t="n">
        <v>0.4182823990178088</v>
      </c>
      <c r="V25" s="3" t="n">
        <v>0.4266480469981651</v>
      </c>
      <c r="W25" s="3" t="n">
        <v>0.4351810079381284</v>
      </c>
      <c r="X25" s="3" t="n">
        <v>0.4438846280968909</v>
      </c>
      <c r="Y25" s="3" t="n">
        <v>0.4527623206588288</v>
      </c>
      <c r="Z25" s="3" t="n">
        <v>0.4618175670720053</v>
      </c>
      <c r="AA25" s="3" t="n">
        <v>0.4710539184134454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  <c r="T27" s="4" t="n">
        <v>0.051938</v>
      </c>
      <c r="U27" s="4" t="n">
        <v>0.051938</v>
      </c>
      <c r="V27" s="4" t="n">
        <v>0.051938</v>
      </c>
      <c r="W27" s="4" t="n">
        <v>0.051938</v>
      </c>
      <c r="X27" s="4" t="n">
        <v>0.051938</v>
      </c>
      <c r="Y27" s="4" t="n">
        <v>0.051938</v>
      </c>
      <c r="Z27" s="4" t="n">
        <v>0.051938</v>
      </c>
      <c r="AA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  <c r="T28" s="4" t="n">
        <v>0.244131</v>
      </c>
      <c r="U28" s="4" t="n">
        <v>0.244131</v>
      </c>
      <c r="V28" s="4" t="n">
        <v>0.244131</v>
      </c>
      <c r="W28" s="4" t="n">
        <v>0.244131</v>
      </c>
      <c r="X28" s="4" t="n">
        <v>0.244131</v>
      </c>
      <c r="Y28" s="4" t="n">
        <v>0.244131</v>
      </c>
      <c r="Z28" s="4" t="n">
        <v>0.244131</v>
      </c>
      <c r="AA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  <c r="T33" s="4" t="n">
        <v>0.014964</v>
      </c>
      <c r="U33" s="4" t="n">
        <v>0.014964</v>
      </c>
      <c r="V33" s="4" t="n">
        <v>0.014964</v>
      </c>
      <c r="W33" s="4" t="n">
        <v>0.014964</v>
      </c>
      <c r="X33" s="4" t="n">
        <v>0.014964</v>
      </c>
      <c r="Y33" s="4" t="n">
        <v>0.014964</v>
      </c>
      <c r="Z33" s="4" t="n">
        <v>0.014964</v>
      </c>
      <c r="AA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0.75</v>
      </c>
      <c r="I34" s="4" t="n">
        <v>0.75</v>
      </c>
      <c r="J34" s="4" t="n">
        <v>0.75</v>
      </c>
      <c r="K34" s="4" t="n">
        <v>0.75</v>
      </c>
      <c r="L34" s="4" t="n">
        <v>0.75</v>
      </c>
      <c r="M34" s="4" t="n">
        <v>0.75</v>
      </c>
      <c r="N34" s="4" t="n">
        <v>0.75</v>
      </c>
      <c r="O34" s="4" t="n">
        <v>0.75</v>
      </c>
      <c r="P34" s="4" t="n">
        <v>0.75</v>
      </c>
      <c r="Q34" s="4" t="n">
        <v>0.75</v>
      </c>
      <c r="R34" s="4" t="n">
        <v>0.75</v>
      </c>
      <c r="S34" s="4" t="n">
        <v>0.75</v>
      </c>
      <c r="T34" s="4" t="n">
        <v>0.75</v>
      </c>
      <c r="U34" s="4" t="n">
        <v>0.75</v>
      </c>
      <c r="V34" s="4" t="n">
        <v>0.75</v>
      </c>
      <c r="W34" s="4" t="n">
        <v>0.75</v>
      </c>
      <c r="X34" s="4" t="n">
        <v>0.75</v>
      </c>
      <c r="Y34" s="4" t="n">
        <v>0.75</v>
      </c>
      <c r="Z34" s="4" t="n">
        <v>0.75</v>
      </c>
      <c r="AA34" s="4" t="n">
        <v>0.75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  <c r="T37" s="4" t="n">
        <v>0.166</v>
      </c>
      <c r="U37" s="4" t="n">
        <v>0.166</v>
      </c>
      <c r="V37" s="4" t="n">
        <v>0.166</v>
      </c>
      <c r="W37" s="4" t="n">
        <v>0.166</v>
      </c>
      <c r="X37" s="4" t="n">
        <v>0.166</v>
      </c>
      <c r="Y37" s="4" t="n">
        <v>0.166</v>
      </c>
      <c r="Z37" s="4" t="n">
        <v>0.166</v>
      </c>
      <c r="AA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-6.915074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0.05596688899176162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5.988261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1331.006567181126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2784.162053208499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11714.49950035398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1.027315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2543.098905</v>
      </c>
      <c r="E170" s="27" t="n">
        <v>3718.817915</v>
      </c>
      <c r="F170" s="27" t="n">
        <v>5557.747877</v>
      </c>
      <c r="G170" s="27" t="n">
        <v>7547.11822</v>
      </c>
      <c r="H170" s="27" t="n">
        <v>9536.488563999999</v>
      </c>
    </row>
    <row r="171">
      <c r="C171" s="1" t="n">
        <v>0.95</v>
      </c>
      <c r="D171" s="27" t="n">
        <v>2684.726206</v>
      </c>
      <c r="E171" s="27" t="n">
        <v>3926.005966</v>
      </c>
      <c r="F171" s="27" t="n">
        <v>5867.519157</v>
      </c>
      <c r="G171" s="27" t="n">
        <v>7967.876547</v>
      </c>
      <c r="H171" s="27" t="n">
        <v>10068.233938</v>
      </c>
    </row>
    <row r="172">
      <c r="C172" s="1" t="n">
        <v>1</v>
      </c>
      <c r="D172" s="27" t="n">
        <v>2826.389696</v>
      </c>
      <c r="E172" s="27" t="n">
        <v>4133.255406</v>
      </c>
      <c r="F172" s="27" t="n">
        <v>6177.395166</v>
      </c>
      <c r="G172" s="27" t="n">
        <v>8388.787639</v>
      </c>
      <c r="H172" s="27" t="n">
        <v>10600.180112</v>
      </c>
    </row>
    <row r="173">
      <c r="C173" s="1" t="n">
        <v>1.05</v>
      </c>
      <c r="D173" s="27" t="n">
        <v>2968.08937</v>
      </c>
      <c r="E173" s="27" t="n">
        <v>4340.566175</v>
      </c>
      <c r="F173" s="27" t="n">
        <v>6487.375717</v>
      </c>
      <c r="G173" s="27" t="n">
        <v>8809.851156999999</v>
      </c>
      <c r="H173" s="27" t="n">
        <v>11132.326596</v>
      </c>
    </row>
    <row r="174">
      <c r="C174" s="1" t="n">
        <v>1.1</v>
      </c>
      <c r="D174" s="27" t="n">
        <v>3109.825226</v>
      </c>
      <c r="E174" s="27" t="n">
        <v>4547.938218</v>
      </c>
      <c r="F174" s="27" t="n">
        <v>6797.460624</v>
      </c>
      <c r="G174" s="27" t="n">
        <v>9231.066763999999</v>
      </c>
      <c r="H174" s="27" t="n">
        <v>11664.672904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8619.63877</v>
      </c>
      <c r="E178" s="27" t="n">
        <v>7914.571824</v>
      </c>
      <c r="F178" s="27" t="n">
        <v>7209.504879</v>
      </c>
      <c r="G178" s="27" t="n">
        <v>6504.437933</v>
      </c>
      <c r="H178" s="27" t="n">
        <v>5799.370988</v>
      </c>
    </row>
    <row r="179">
      <c r="C179" s="1" t="n">
        <v>0.95</v>
      </c>
      <c r="D179" s="27" t="n">
        <v>8765.162407</v>
      </c>
      <c r="E179" s="27" t="n">
        <v>8045.765336</v>
      </c>
      <c r="F179" s="27" t="n">
        <v>7326.368265</v>
      </c>
      <c r="G179" s="27" t="n">
        <v>6606.971194</v>
      </c>
      <c r="H179" s="27" t="n">
        <v>5887.574123</v>
      </c>
    </row>
    <row r="180">
      <c r="C180" s="1" t="n">
        <v>1</v>
      </c>
      <c r="D180" s="27" t="n">
        <v>8898.441638</v>
      </c>
      <c r="E180" s="27" t="n">
        <v>8166.105944</v>
      </c>
      <c r="F180" s="27" t="n">
        <v>7433.770251</v>
      </c>
      <c r="G180" s="27" t="n">
        <v>6701.434557</v>
      </c>
      <c r="H180" s="27" t="n">
        <v>5969.098864</v>
      </c>
    </row>
    <row r="181">
      <c r="C181" s="1" t="n">
        <v>1.05</v>
      </c>
      <c r="D181" s="27" t="n">
        <v>9022.101683000001</v>
      </c>
      <c r="E181" s="27" t="n">
        <v>8277.898961999999</v>
      </c>
      <c r="F181" s="27" t="n">
        <v>7533.696241</v>
      </c>
      <c r="G181" s="27" t="n">
        <v>6789.49352</v>
      </c>
      <c r="H181" s="27" t="n">
        <v>6045.290799</v>
      </c>
    </row>
    <row r="182">
      <c r="C182" s="1" t="n">
        <v>1.1</v>
      </c>
      <c r="D182" s="27" t="n">
        <v>9133.328665999999</v>
      </c>
      <c r="E182" s="27" t="n">
        <v>8378.581157000001</v>
      </c>
      <c r="F182" s="27" t="n">
        <v>7623.833647</v>
      </c>
      <c r="G182" s="27" t="n">
        <v>6869.086138</v>
      </c>
      <c r="H182" s="27" t="n">
        <v>6114.338629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VLOOKUP(Drivers!$H$5,Drivers!$B$20:$C$25,2,TRUE)</f>
        <v/>
      </c>
      <c r="I47" s="9">
        <f>VLOOKUP(Drivers!$I$5,Drivers!$B$20:$C$25,2,TRUE)</f>
        <v/>
      </c>
      <c r="J47" s="9">
        <f>VLOOKUP(Drivers!$J$5,Drivers!$B$20:$C$25,2,TRUE)</f>
        <v/>
      </c>
      <c r="K47" s="9">
        <f>VLOOKUP(Drivers!$K$5,Drivers!$B$20:$C$25,2,TRUE)</f>
        <v/>
      </c>
      <c r="L47" s="9">
        <f>VLOOKUP(Drivers!$L$5,Drivers!$B$20:$C$25,2,TRUE)</f>
        <v/>
      </c>
      <c r="M47" s="9">
        <f>VLOOKUP(Drivers!$M$5,Drivers!$B$20:$C$25,2,TRUE)</f>
        <v/>
      </c>
      <c r="N47" s="9">
        <f>VLOOKUP(Drivers!$N$5,Drivers!$B$20:$C$25,2,TRUE)</f>
        <v/>
      </c>
      <c r="O47" s="9">
        <f>VLOOKUP(Drivers!$O$5,Drivers!$B$20:$C$25,2,TRUE)</f>
        <v/>
      </c>
      <c r="P47" s="9">
        <f>VLOOKUP(Drivers!$P$5,Drivers!$B$20:$C$25,2,TRUE)</f>
        <v/>
      </c>
      <c r="Q47" s="9">
        <f>VLOOKUP(Drivers!$Q$5,Drivers!$B$20:$C$25,2,TRUE)</f>
        <v/>
      </c>
      <c r="R47" s="9">
        <f>VLOOKUP(Drivers!$R$5,Drivers!$B$20:$C$25,2,TRUE)</f>
        <v/>
      </c>
      <c r="S47" s="9">
        <f>VLOOKUP(Drivers!$S$5,Drivers!$B$20:$C$25,2,TRUE)</f>
        <v/>
      </c>
      <c r="T47" s="9">
        <f>VLOOKUP(Drivers!$T$5,Drivers!$B$20:$C$25,2,TRUE)</f>
        <v/>
      </c>
      <c r="U47" s="9">
        <f>VLOOKUP(Drivers!$U$5,Drivers!$B$20:$C$25,2,TRUE)</f>
        <v/>
      </c>
      <c r="V47" s="9">
        <f>VLOOKUP(Drivers!$V$5,Drivers!$B$20:$C$25,2,TRUE)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1.992229737390043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6.156677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0.068386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109.5499897599927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481.1043270218006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3231.990089502349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432.633232</v>
      </c>
      <c r="E167" s="27" t="n">
        <v>496.635524</v>
      </c>
      <c r="F167" s="27" t="n">
        <v>560.637817</v>
      </c>
      <c r="G167" s="27" t="n">
        <v>1365.647083</v>
      </c>
      <c r="H167" s="27" t="n">
        <v>2748.585504</v>
      </c>
    </row>
    <row r="168">
      <c r="C168" s="1" t="n">
        <v>0.95</v>
      </c>
      <c r="D168" s="27" t="n">
        <v>458.348006</v>
      </c>
      <c r="E168" s="27" t="n">
        <v>526.295226</v>
      </c>
      <c r="F168" s="27" t="n">
        <v>594.242446</v>
      </c>
      <c r="G168" s="27" t="n">
        <v>1447.539335</v>
      </c>
      <c r="H168" s="27" t="n">
        <v>2913.158045</v>
      </c>
    </row>
    <row r="169">
      <c r="C169" s="1" t="n">
        <v>1</v>
      </c>
      <c r="D169" s="27" t="n">
        <v>484.239579</v>
      </c>
      <c r="E169" s="27" t="n">
        <v>556.1727</v>
      </c>
      <c r="F169" s="27" t="n">
        <v>628.10582</v>
      </c>
      <c r="G169" s="27" t="n">
        <v>1530.039805</v>
      </c>
      <c r="H169" s="27" t="n">
        <v>3078.920814</v>
      </c>
    </row>
    <row r="170">
      <c r="C170" s="1" t="n">
        <v>1.05</v>
      </c>
      <c r="D170" s="27" t="n">
        <v>508.596367</v>
      </c>
      <c r="E170" s="27" t="n">
        <v>584.159703</v>
      </c>
      <c r="F170" s="27" t="n">
        <v>659.72304</v>
      </c>
      <c r="G170" s="27" t="n">
        <v>1607.057905</v>
      </c>
      <c r="H170" s="27" t="n">
        <v>3233.883204</v>
      </c>
    </row>
    <row r="171">
      <c r="C171" s="1" t="n">
        <v>1.1</v>
      </c>
      <c r="D171" s="27" t="n">
        <v>532.815242</v>
      </c>
      <c r="E171" s="27" t="n">
        <v>611.9768319999999</v>
      </c>
      <c r="F171" s="27" t="n">
        <v>691.138422</v>
      </c>
      <c r="G171" s="27" t="n">
        <v>1683.584472</v>
      </c>
      <c r="H171" s="27" t="n">
        <v>3387.877642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2145.375456</v>
      </c>
      <c r="E175" s="27" t="n">
        <v>1305.997029</v>
      </c>
      <c r="F175" s="27" t="n">
        <v>607.448693</v>
      </c>
      <c r="G175" s="27" t="n">
        <v>579.044264</v>
      </c>
      <c r="H175" s="27" t="n">
        <v>550.6398349999999</v>
      </c>
    </row>
    <row r="176">
      <c r="C176" s="1" t="n">
        <v>0.95</v>
      </c>
      <c r="D176" s="27" t="n">
        <v>2309.815152</v>
      </c>
      <c r="E176" s="27" t="n">
        <v>1423.804591</v>
      </c>
      <c r="F176" s="27" t="n">
        <v>617.777256</v>
      </c>
      <c r="G176" s="27" t="n">
        <v>587.794804</v>
      </c>
      <c r="H176" s="27" t="n">
        <v>557.812351</v>
      </c>
    </row>
    <row r="177">
      <c r="C177" s="1" t="n">
        <v>1</v>
      </c>
      <c r="D177" s="27" t="n">
        <v>2474.254848</v>
      </c>
      <c r="E177" s="27" t="n">
        <v>1541.612153</v>
      </c>
      <c r="F177" s="27" t="n">
        <v>628.10582</v>
      </c>
      <c r="G177" s="27" t="n">
        <v>596.545344</v>
      </c>
      <c r="H177" s="27" t="n">
        <v>564.984867</v>
      </c>
    </row>
    <row r="178">
      <c r="C178" s="1" t="n">
        <v>1.05</v>
      </c>
      <c r="D178" s="27" t="n">
        <v>2645.311132</v>
      </c>
      <c r="E178" s="27" t="n">
        <v>1676.571405</v>
      </c>
      <c r="F178" s="27" t="n">
        <v>707.831678</v>
      </c>
      <c r="G178" s="27" t="n">
        <v>605.295884</v>
      </c>
      <c r="H178" s="27" t="n">
        <v>572.157383</v>
      </c>
    </row>
    <row r="179">
      <c r="C179" s="1" t="n">
        <v>1.1</v>
      </c>
      <c r="D179" s="27" t="n">
        <v>2826.411431</v>
      </c>
      <c r="E179" s="27" t="n">
        <v>1837.567019</v>
      </c>
      <c r="F179" s="27" t="n">
        <v>848.722607</v>
      </c>
      <c r="G179" s="27" t="n">
        <v>614.046424</v>
      </c>
      <c r="H179" s="27" t="n">
        <v>579.3299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0.06397945863920969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4.271887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3933.616057384766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17987.42884429529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41608.58463735074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16283.955155</v>
      </c>
      <c r="E167" s="27" t="n">
        <v>17457.657557</v>
      </c>
      <c r="F167" s="27" t="n">
        <v>20181.169644</v>
      </c>
      <c r="G167" s="27" t="n">
        <v>25624.338822</v>
      </c>
      <c r="H167" s="27" t="n">
        <v>32725.770418</v>
      </c>
    </row>
    <row r="168">
      <c r="C168" s="1" t="n">
        <v>0.95</v>
      </c>
      <c r="D168" s="27" t="n">
        <v>17190.888749</v>
      </c>
      <c r="E168" s="27" t="n">
        <v>18430.079279</v>
      </c>
      <c r="F168" s="27" t="n">
        <v>21305.429253</v>
      </c>
      <c r="G168" s="27" t="n">
        <v>27052.094824</v>
      </c>
      <c r="H168" s="27" t="n">
        <v>34549.665734</v>
      </c>
    </row>
    <row r="169">
      <c r="C169" s="1" t="n">
        <v>1</v>
      </c>
      <c r="D169" s="27" t="n">
        <v>18098.061229</v>
      </c>
      <c r="E169" s="27" t="n">
        <v>19402.769602</v>
      </c>
      <c r="F169" s="27" t="n">
        <v>22430.013101</v>
      </c>
      <c r="G169" s="27" t="n">
        <v>28480.289022</v>
      </c>
      <c r="H169" s="27" t="n">
        <v>36374.165856</v>
      </c>
    </row>
    <row r="170">
      <c r="C170" s="1" t="n">
        <v>1.05</v>
      </c>
      <c r="D170" s="27" t="n">
        <v>19005.472595</v>
      </c>
      <c r="E170" s="27" t="n">
        <v>20375.728523</v>
      </c>
      <c r="F170" s="27" t="n">
        <v>23554.921142</v>
      </c>
      <c r="G170" s="27" t="n">
        <v>29908.92114</v>
      </c>
      <c r="H170" s="27" t="n">
        <v>38199.270025</v>
      </c>
    </row>
    <row r="171">
      <c r="C171" s="1" t="n">
        <v>1.1</v>
      </c>
      <c r="D171" s="27" t="n">
        <v>19913.122847</v>
      </c>
      <c r="E171" s="27" t="n">
        <v>21348.95604</v>
      </c>
      <c r="F171" s="27" t="n">
        <v>24680.153327</v>
      </c>
      <c r="G171" s="27" t="n">
        <v>31337.990902</v>
      </c>
      <c r="H171" s="27" t="n">
        <v>40024.97749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29984.303003</v>
      </c>
      <c r="E175" s="27" t="n">
        <v>26035.856544</v>
      </c>
      <c r="F175" s="27" t="n">
        <v>22160.180039</v>
      </c>
      <c r="G175" s="27" t="n">
        <v>20324.818451</v>
      </c>
      <c r="H175" s="27" t="n">
        <v>19508.92331</v>
      </c>
    </row>
    <row r="176">
      <c r="C176" s="1" t="n">
        <v>0.95</v>
      </c>
      <c r="D176" s="27" t="n">
        <v>30653.584297</v>
      </c>
      <c r="E176" s="27" t="n">
        <v>26602.343676</v>
      </c>
      <c r="F176" s="27" t="n">
        <v>22551.103056</v>
      </c>
      <c r="G176" s="27" t="n">
        <v>20484.117067</v>
      </c>
      <c r="H176" s="27" t="n">
        <v>19622.894418</v>
      </c>
    </row>
    <row r="177">
      <c r="C177" s="1" t="n">
        <v>1</v>
      </c>
      <c r="D177" s="27" t="n">
        <v>31263.814772</v>
      </c>
      <c r="E177" s="27" t="n">
        <v>27116.755752</v>
      </c>
      <c r="F177" s="27" t="n">
        <v>22969.696733</v>
      </c>
      <c r="G177" s="27" t="n">
        <v>20643.415684</v>
      </c>
      <c r="H177" s="27" t="n">
        <v>19736.865527</v>
      </c>
    </row>
    <row r="178">
      <c r="C178" s="1" t="n">
        <v>1.05</v>
      </c>
      <c r="D178" s="27" t="n">
        <v>31884.932057</v>
      </c>
      <c r="E178" s="27" t="n">
        <v>27649.241099</v>
      </c>
      <c r="F178" s="27" t="n">
        <v>23413.550141</v>
      </c>
      <c r="G178" s="27" t="n">
        <v>20815.341452</v>
      </c>
      <c r="H178" s="27" t="n">
        <v>19850.836635</v>
      </c>
    </row>
    <row r="179">
      <c r="C179" s="1" t="n">
        <v>1.1</v>
      </c>
      <c r="D179" s="27" t="n">
        <v>32502.720902</v>
      </c>
      <c r="E179" s="27" t="n">
        <v>28182.277652</v>
      </c>
      <c r="F179" s="27" t="n">
        <v>23861.834402</v>
      </c>
      <c r="G179" s="27" t="n">
        <v>20988.440853</v>
      </c>
      <c r="H179" s="27" t="n">
        <v>19964.807744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0.08200065891183218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6.329398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0.08308699999999999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321.4893179805053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2760.718616260331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6829.395409770728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0.982808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-0.25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0.2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0.6</v>
      </c>
    </row>
    <row r="169">
      <c r="A169" t="inlineStr">
        <is>
          <t>Share of today's premium kept (probability-weighted)</t>
        </is>
      </c>
      <c r="C169" s="31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2665.379559</v>
      </c>
      <c r="E176" s="27" t="n">
        <v>3400.142302</v>
      </c>
      <c r="F176" s="27" t="n">
        <v>4126.887666</v>
      </c>
      <c r="G176" s="27" t="n">
        <v>4847.29687</v>
      </c>
      <c r="H176" s="27" t="n">
        <v>5558.450512</v>
      </c>
    </row>
    <row r="177">
      <c r="C177" s="1" t="n">
        <v>0.95</v>
      </c>
      <c r="D177" s="27" t="n">
        <v>2813.944259</v>
      </c>
      <c r="E177" s="27" t="n">
        <v>3589.714621</v>
      </c>
      <c r="F177" s="27" t="n">
        <v>4357.020096</v>
      </c>
      <c r="G177" s="27" t="n">
        <v>5117.635781</v>
      </c>
      <c r="H177" s="27" t="n">
        <v>5868.479967</v>
      </c>
    </row>
    <row r="178">
      <c r="C178" s="1" t="n">
        <v>1</v>
      </c>
      <c r="D178" s="27" t="n">
        <v>2962.560037</v>
      </c>
      <c r="E178" s="27" t="n">
        <v>3779.357376</v>
      </c>
      <c r="F178" s="27" t="n">
        <v>4587.2421</v>
      </c>
      <c r="G178" s="27" t="n">
        <v>5388.083235</v>
      </c>
      <c r="H178" s="27" t="n">
        <v>6178.636752</v>
      </c>
    </row>
    <row r="179">
      <c r="C179" s="1" t="n">
        <v>1.05</v>
      </c>
      <c r="D179" s="27" t="n">
        <v>3111.226851</v>
      </c>
      <c r="E179" s="27" t="n">
        <v>3969.070476</v>
      </c>
      <c r="F179" s="27" t="n">
        <v>4817.553535</v>
      </c>
      <c r="G179" s="27" t="n">
        <v>5658.639035</v>
      </c>
      <c r="H179" s="27" t="n">
        <v>6488.920618</v>
      </c>
    </row>
    <row r="180">
      <c r="C180" s="1" t="n">
        <v>1.1</v>
      </c>
      <c r="D180" s="27" t="n">
        <v>3259.944662</v>
      </c>
      <c r="E180" s="27" t="n">
        <v>4158.853828</v>
      </c>
      <c r="F180" s="27" t="n">
        <v>5047.954257</v>
      </c>
      <c r="G180" s="27" t="n">
        <v>5929.302988</v>
      </c>
      <c r="H180" s="27" t="n">
        <v>6799.331321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5477.16293</v>
      </c>
      <c r="E184" s="27" t="n">
        <v>5063.761156</v>
      </c>
      <c r="F184" s="27" t="n">
        <v>4650.359382</v>
      </c>
      <c r="G184" s="27" t="n">
        <v>4236.957608</v>
      </c>
      <c r="H184" s="27" t="n">
        <v>3823.555833</v>
      </c>
    </row>
    <row r="185">
      <c r="C185" s="1" t="n">
        <v>0.95</v>
      </c>
      <c r="D185" s="27" t="n">
        <v>5548.293646</v>
      </c>
      <c r="E185" s="27" t="n">
        <v>5111.925107</v>
      </c>
      <c r="F185" s="27" t="n">
        <v>4675.556567</v>
      </c>
      <c r="G185" s="27" t="n">
        <v>4239.188028</v>
      </c>
      <c r="H185" s="27" t="n">
        <v>3802.819488</v>
      </c>
    </row>
    <row r="186">
      <c r="C186" s="1" t="n">
        <v>1</v>
      </c>
      <c r="D186" s="27" t="n">
        <v>5619.424362</v>
      </c>
      <c r="E186" s="27" t="n">
        <v>5160.089058</v>
      </c>
      <c r="F186" s="27" t="n">
        <v>4700.753753</v>
      </c>
      <c r="G186" s="27" t="n">
        <v>4241.418448</v>
      </c>
      <c r="H186" s="27" t="n">
        <v>3782.083143</v>
      </c>
    </row>
    <row r="187">
      <c r="C187" s="1" t="n">
        <v>1.05</v>
      </c>
      <c r="D187" s="27" t="n">
        <v>5690.555078</v>
      </c>
      <c r="E187" s="27" t="n">
        <v>5208.253008</v>
      </c>
      <c r="F187" s="27" t="n">
        <v>4725.950938</v>
      </c>
      <c r="G187" s="27" t="n">
        <v>4243.648868</v>
      </c>
      <c r="H187" s="27" t="n">
        <v>3761.346798</v>
      </c>
    </row>
    <row r="188">
      <c r="C188" s="1" t="n">
        <v>1.1</v>
      </c>
      <c r="D188" s="27" t="n">
        <v>5761.685794</v>
      </c>
      <c r="E188" s="27" t="n">
        <v>5256.416959</v>
      </c>
      <c r="F188" s="27" t="n">
        <v>4751.148124</v>
      </c>
      <c r="G188" s="27" t="n">
        <v>4245.879289</v>
      </c>
      <c r="H188" s="27" t="n">
        <v>3740.610453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O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60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49.5</v>
      </c>
      <c r="I14" s="13" t="n">
        <v>50</v>
      </c>
      <c r="J14" s="13" t="n">
        <v>50</v>
      </c>
      <c r="K14" s="13" t="n">
        <v>50</v>
      </c>
      <c r="L14" s="13" t="n">
        <v>50</v>
      </c>
      <c r="M14" s="13" t="n">
        <v>50</v>
      </c>
      <c r="N14" s="13" t="n">
        <v>50</v>
      </c>
      <c r="O14" s="13" t="n">
        <v>50</v>
      </c>
      <c r="P14" s="13" t="n">
        <v>50</v>
      </c>
      <c r="Q14" s="13" t="n">
        <v>50</v>
      </c>
      <c r="R14" s="13" t="n">
        <v>50</v>
      </c>
      <c r="S14" s="13" t="n">
        <v>50</v>
      </c>
      <c r="T14" s="13" t="n">
        <v>50</v>
      </c>
      <c r="U14" s="13" t="n">
        <v>50</v>
      </c>
      <c r="V14" s="13" t="n">
        <v>50</v>
      </c>
      <c r="W14" s="13" t="n">
        <v>50</v>
      </c>
      <c r="X14" s="13" t="n">
        <v>50</v>
      </c>
      <c r="Y14" s="13" t="n">
        <v>50</v>
      </c>
      <c r="Z14" s="13" t="n">
        <v>50</v>
      </c>
      <c r="AA14" s="13" t="n">
        <v>50</v>
      </c>
      <c r="AB14" s="13" t="n">
        <v>50</v>
      </c>
      <c r="AC14" s="13" t="n">
        <v>50</v>
      </c>
      <c r="AD14" s="13" t="n">
        <v>50</v>
      </c>
      <c r="AE14" s="13" t="n">
        <v>50</v>
      </c>
      <c r="AF14" s="13" t="n">
        <v>50</v>
      </c>
      <c r="AG14" s="13" t="n">
        <v>50</v>
      </c>
      <c r="AH14" s="13" t="n">
        <v>50</v>
      </c>
      <c r="AI14" s="13" t="n">
        <v>50</v>
      </c>
      <c r="AJ14" s="13" t="n">
        <v>50</v>
      </c>
      <c r="AK14" s="13" t="n">
        <v>50</v>
      </c>
      <c r="AL14" s="13" t="n">
        <v>50</v>
      </c>
      <c r="AM14" s="13" t="n">
        <v>50</v>
      </c>
      <c r="AN14" s="13" t="n">
        <v>50</v>
      </c>
      <c r="AO14" s="13" t="n">
        <v>50</v>
      </c>
      <c r="AP14" s="13" t="n">
        <v>50</v>
      </c>
      <c r="AQ14" s="13" t="n">
        <v>50</v>
      </c>
      <c r="AR14" s="13" t="n">
        <v>50</v>
      </c>
      <c r="AS14" s="13" t="n">
        <v>50</v>
      </c>
      <c r="AT14" s="13" t="n">
        <v>50</v>
      </c>
      <c r="AU14" s="13" t="n">
        <v>50</v>
      </c>
      <c r="AV14" s="13" t="n">
        <v>50</v>
      </c>
      <c r="AW14" s="13" t="n">
        <v>50</v>
      </c>
      <c r="AX14" s="13" t="n">
        <v>50</v>
      </c>
      <c r="AY14" s="13" t="n">
        <v>50</v>
      </c>
      <c r="AZ14" s="13" t="n">
        <v>50</v>
      </c>
      <c r="BA14" s="13" t="n">
        <v>50</v>
      </c>
      <c r="BB14" s="13" t="n">
        <v>50</v>
      </c>
      <c r="BC14" s="13" t="n">
        <v>50</v>
      </c>
      <c r="BD14" s="13" t="n">
        <v>50</v>
      </c>
      <c r="BE14" s="13" t="n">
        <v>50</v>
      </c>
      <c r="BF14" s="13" t="n">
        <v>50</v>
      </c>
      <c r="BG14" s="13" t="n">
        <v>50</v>
      </c>
      <c r="BH14" s="13" t="n">
        <v>50</v>
      </c>
      <c r="BI14" s="13" t="n">
        <v>50</v>
      </c>
      <c r="BJ14" s="13" t="n">
        <v>50</v>
      </c>
      <c r="BK14" s="13" t="n">
        <v>50</v>
      </c>
      <c r="BL14" s="13" t="n">
        <v>50</v>
      </c>
      <c r="BM14" s="13" t="n">
        <v>50</v>
      </c>
      <c r="BN14" s="13" t="n">
        <v>50</v>
      </c>
      <c r="BO14" s="13" t="n">
        <v>50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0.4635</v>
      </c>
      <c r="I15" s="14" t="n">
        <v>0.5175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0.54</v>
      </c>
      <c r="I16" s="4" t="n">
        <v>0.54</v>
      </c>
      <c r="J16" s="4" t="n">
        <v>0.54</v>
      </c>
      <c r="K16" s="4" t="n">
        <v>0.54</v>
      </c>
      <c r="L16" s="4" t="n">
        <v>0.54</v>
      </c>
      <c r="M16" s="4" t="n">
        <v>0.54</v>
      </c>
      <c r="N16" s="4" t="n">
        <v>0.54</v>
      </c>
      <c r="O16" s="4" t="n">
        <v>0.54</v>
      </c>
      <c r="P16" s="4" t="n">
        <v>0.54</v>
      </c>
      <c r="Q16" s="4" t="n">
        <v>0.54</v>
      </c>
      <c r="R16" s="4" t="n">
        <v>0.54</v>
      </c>
      <c r="S16" s="4" t="n">
        <v>0.54</v>
      </c>
      <c r="T16" s="4" t="n">
        <v>0.54</v>
      </c>
      <c r="U16" s="4" t="n">
        <v>0.54</v>
      </c>
      <c r="V16" s="4" t="n">
        <v>0.54</v>
      </c>
      <c r="W16" s="4" t="n">
        <v>0.54</v>
      </c>
      <c r="X16" s="4" t="n">
        <v>0.54</v>
      </c>
      <c r="Y16" s="4" t="n">
        <v>0.54</v>
      </c>
      <c r="Z16" s="4" t="n">
        <v>0.54</v>
      </c>
      <c r="AA16" s="4" t="n">
        <v>0.54</v>
      </c>
      <c r="AB16" s="4" t="n">
        <v>0.54</v>
      </c>
      <c r="AC16" s="4" t="n">
        <v>0.54</v>
      </c>
      <c r="AD16" s="4" t="n">
        <v>0.54</v>
      </c>
      <c r="AE16" s="4" t="n">
        <v>0.54</v>
      </c>
      <c r="AF16" s="4" t="n">
        <v>0.54</v>
      </c>
      <c r="AG16" s="4" t="n">
        <v>0.54</v>
      </c>
      <c r="AH16" s="4" t="n">
        <v>0.54</v>
      </c>
      <c r="AI16" s="4" t="n">
        <v>0.54</v>
      </c>
      <c r="AJ16" s="4" t="n">
        <v>0.54</v>
      </c>
      <c r="AK16" s="4" t="n">
        <v>0.54</v>
      </c>
      <c r="AL16" s="4" t="n">
        <v>0.54</v>
      </c>
      <c r="AM16" s="4" t="n">
        <v>0.54</v>
      </c>
      <c r="AN16" s="4" t="n">
        <v>0.54</v>
      </c>
      <c r="AO16" s="4" t="n">
        <v>0.54</v>
      </c>
      <c r="AP16" s="4" t="n">
        <v>0.54</v>
      </c>
      <c r="AQ16" s="4" t="n">
        <v>0.54</v>
      </c>
      <c r="AR16" s="4" t="n">
        <v>0.54</v>
      </c>
      <c r="AS16" s="4" t="n">
        <v>0.54</v>
      </c>
      <c r="AT16" s="4" t="n">
        <v>0.54</v>
      </c>
      <c r="AU16" s="4" t="n">
        <v>0.54</v>
      </c>
      <c r="AV16" s="4" t="n">
        <v>0.54</v>
      </c>
      <c r="AW16" s="4" t="n">
        <v>0.54</v>
      </c>
      <c r="AX16" s="4" t="n">
        <v>0.54</v>
      </c>
      <c r="AY16" s="4" t="n">
        <v>0.54</v>
      </c>
      <c r="AZ16" s="4" t="n">
        <v>0.54</v>
      </c>
      <c r="BA16" s="4" t="n">
        <v>0.54</v>
      </c>
      <c r="BB16" s="4" t="n">
        <v>0.54</v>
      </c>
      <c r="BC16" s="4" t="n">
        <v>0.54</v>
      </c>
      <c r="BD16" s="4" t="n">
        <v>0.54</v>
      </c>
      <c r="BE16" s="4" t="n">
        <v>0.54</v>
      </c>
      <c r="BF16" s="4" t="n">
        <v>0.54</v>
      </c>
      <c r="BG16" s="4" t="n">
        <v>0.54</v>
      </c>
      <c r="BH16" s="4" t="n">
        <v>0.54</v>
      </c>
      <c r="BI16" s="4" t="n">
        <v>0.54</v>
      </c>
      <c r="BJ16" s="4" t="n">
        <v>0.54</v>
      </c>
      <c r="BK16" s="4" t="n">
        <v>0.54</v>
      </c>
      <c r="BL16" s="4" t="n">
        <v>0.54</v>
      </c>
      <c r="BM16" s="4" t="n">
        <v>0.54</v>
      </c>
      <c r="BN16" s="4" t="n">
        <v>0.54</v>
      </c>
      <c r="BO16" s="4" t="n">
        <v>0.54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6.06</v>
      </c>
      <c r="I17" s="14" t="n">
        <v>6.06</v>
      </c>
      <c r="J17" s="14" t="n">
        <v>6.06</v>
      </c>
      <c r="K17" s="14" t="n">
        <v>6.06</v>
      </c>
      <c r="L17" s="14" t="n">
        <v>6.06</v>
      </c>
      <c r="M17" s="14" t="n">
        <v>6.06</v>
      </c>
      <c r="N17" s="14" t="n">
        <v>6.06</v>
      </c>
      <c r="O17" s="14" t="n">
        <v>6.06</v>
      </c>
      <c r="P17" s="14" t="n">
        <v>6.06</v>
      </c>
      <c r="Q17" s="14" t="n">
        <v>6.06</v>
      </c>
      <c r="R17" s="14" t="n">
        <v>6.06</v>
      </c>
      <c r="S17" s="14" t="n">
        <v>6.06</v>
      </c>
      <c r="T17" s="14" t="n">
        <v>6.06</v>
      </c>
      <c r="U17" s="14" t="n">
        <v>6.06</v>
      </c>
      <c r="V17" s="14" t="n">
        <v>6.06</v>
      </c>
      <c r="W17" s="14" t="n">
        <v>6.06</v>
      </c>
      <c r="X17" s="14" t="n">
        <v>6.06</v>
      </c>
      <c r="Y17" s="14" t="n">
        <v>6.06</v>
      </c>
      <c r="Z17" s="14" t="n">
        <v>6.06</v>
      </c>
      <c r="AA17" s="14" t="n">
        <v>6.06</v>
      </c>
      <c r="AB17" s="14" t="n">
        <v>6.06</v>
      </c>
      <c r="AC17" s="14" t="n">
        <v>6.06</v>
      </c>
      <c r="AD17" s="14" t="n">
        <v>6.06</v>
      </c>
      <c r="AE17" s="14" t="n">
        <v>6.06</v>
      </c>
      <c r="AF17" s="14" t="n">
        <v>6.06</v>
      </c>
      <c r="AG17" s="14" t="n">
        <v>6.06</v>
      </c>
      <c r="AH17" s="14" t="n">
        <v>6.06</v>
      </c>
      <c r="AI17" s="14" t="n">
        <v>6.06</v>
      </c>
      <c r="AJ17" s="14" t="n">
        <v>6.06</v>
      </c>
      <c r="AK17" s="14" t="n">
        <v>6.06</v>
      </c>
      <c r="AL17" s="14" t="n">
        <v>6.06</v>
      </c>
      <c r="AM17" s="14" t="n">
        <v>6.06</v>
      </c>
      <c r="AN17" s="14" t="n">
        <v>6.06</v>
      </c>
      <c r="AO17" s="14" t="n">
        <v>6.06</v>
      </c>
      <c r="AP17" s="14" t="n">
        <v>6.06</v>
      </c>
      <c r="AQ17" s="14" t="n">
        <v>6.06</v>
      </c>
      <c r="AR17" s="14" t="n">
        <v>6.06</v>
      </c>
      <c r="AS17" s="14" t="n">
        <v>6.06</v>
      </c>
      <c r="AT17" s="14" t="n">
        <v>6.06</v>
      </c>
      <c r="AU17" s="14" t="n">
        <v>6.06</v>
      </c>
      <c r="AV17" s="14" t="n">
        <v>6.06</v>
      </c>
      <c r="AW17" s="14" t="n">
        <v>6.06</v>
      </c>
      <c r="AX17" s="14" t="n">
        <v>6.06</v>
      </c>
      <c r="AY17" s="14" t="n">
        <v>6.06</v>
      </c>
      <c r="AZ17" s="14" t="n">
        <v>6.06</v>
      </c>
      <c r="BA17" s="14" t="n">
        <v>6.06</v>
      </c>
      <c r="BB17" s="14" t="n">
        <v>6.06</v>
      </c>
      <c r="BC17" s="14" t="n">
        <v>6.06</v>
      </c>
      <c r="BD17" s="14" t="n">
        <v>6.06</v>
      </c>
      <c r="BE17" s="14" t="n">
        <v>6.06</v>
      </c>
      <c r="BF17" s="14" t="n">
        <v>6.06</v>
      </c>
      <c r="BG17" s="14" t="n">
        <v>6.06</v>
      </c>
      <c r="BH17" s="14" t="n">
        <v>6.06</v>
      </c>
      <c r="BI17" s="14" t="n">
        <v>6.06</v>
      </c>
      <c r="BJ17" s="14" t="n">
        <v>6.06</v>
      </c>
      <c r="BK17" s="14" t="n">
        <v>6.06</v>
      </c>
      <c r="BL17" s="14" t="n">
        <v>6.06</v>
      </c>
      <c r="BM17" s="14" t="n">
        <v>6.06</v>
      </c>
      <c r="BN17" s="14" t="n">
        <v>6.06</v>
      </c>
      <c r="BO17" s="14" t="n">
        <v>6.06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350597</v>
      </c>
      <c r="I20" s="3" t="n">
        <v>350597</v>
      </c>
      <c r="J20" s="3" t="n">
        <v>350597</v>
      </c>
      <c r="K20" s="3" t="n">
        <v>350597</v>
      </c>
      <c r="L20" s="3" t="n">
        <v>350597</v>
      </c>
      <c r="M20" s="3" t="n">
        <v>359361.925</v>
      </c>
      <c r="N20" s="3" t="n">
        <v>368345.973125</v>
      </c>
      <c r="O20" s="3" t="n">
        <v>377554.6224531249</v>
      </c>
      <c r="P20" s="3" t="n">
        <v>386993.488014453</v>
      </c>
      <c r="Q20" s="3" t="n">
        <v>396668.3252148143</v>
      </c>
      <c r="R20" s="3" t="n">
        <v>406585.0333451846</v>
      </c>
      <c r="S20" s="3" t="n">
        <v>416749.6591788142</v>
      </c>
      <c r="T20" s="3" t="n">
        <v>427168.4006582845</v>
      </c>
      <c r="U20" s="3" t="n">
        <v>437847.6106747416</v>
      </c>
      <c r="V20" s="3" t="n">
        <v>448793.8009416101</v>
      </c>
      <c r="W20" s="3" t="n">
        <v>460013.6459651503</v>
      </c>
      <c r="X20" s="3" t="n">
        <v>471513.987114279</v>
      </c>
      <c r="Y20" s="3" t="n">
        <v>483301.8367921359</v>
      </c>
      <c r="Z20" s="3" t="n">
        <v>495384.3827119393</v>
      </c>
      <c r="AA20" s="3" t="n">
        <v>507768.9922797377</v>
      </c>
      <c r="AB20" s="3" t="n">
        <v>520463.2170867312</v>
      </c>
      <c r="AC20" s="3" t="n">
        <v>533474.7975138994</v>
      </c>
      <c r="AD20" s="3" t="n">
        <v>546811.6674517468</v>
      </c>
      <c r="AE20" s="3" t="n">
        <v>560481.9591380404</v>
      </c>
      <c r="AF20" s="3" t="n">
        <v>574494.0081164914</v>
      </c>
      <c r="AG20" s="3" t="n">
        <v>588856.3583194036</v>
      </c>
      <c r="AH20" s="3" t="n">
        <v>603577.7672773886</v>
      </c>
      <c r="AI20" s="3" t="n">
        <v>618667.2114593233</v>
      </c>
      <c r="AJ20" s="3" t="n">
        <v>634133.8917458063</v>
      </c>
      <c r="AK20" s="3" t="n">
        <v>649987.2390394515</v>
      </c>
      <c r="AL20" s="3" t="n">
        <v>666236.9200154376</v>
      </c>
      <c r="AM20" s="3" t="n">
        <v>682892.8430158235</v>
      </c>
      <c r="AN20" s="3" t="n">
        <v>699965.1640912191</v>
      </c>
      <c r="AO20" s="3" t="n">
        <v>717464.2931934996</v>
      </c>
      <c r="AP20" s="3" t="n">
        <v>735400.9005233368</v>
      </c>
      <c r="AQ20" s="3" t="n">
        <v>753785.9230364204</v>
      </c>
      <c r="AR20" s="3" t="n">
        <v>772630.5711123308</v>
      </c>
      <c r="AS20" s="3" t="n">
        <v>791946.3353901389</v>
      </c>
      <c r="AT20" s="3" t="n">
        <v>811744.9937748923</v>
      </c>
      <c r="AU20" s="3" t="n">
        <v>832038.6186192646</v>
      </c>
      <c r="AV20" s="3" t="n">
        <v>852839.5840847461</v>
      </c>
      <c r="AW20" s="3" t="n">
        <v>874160.5736868647</v>
      </c>
      <c r="AX20" s="3" t="n">
        <v>896014.5880290363</v>
      </c>
      <c r="AY20" s="3" t="n">
        <v>918414.9527297619</v>
      </c>
      <c r="AZ20" s="3" t="n">
        <v>941375.3265480059</v>
      </c>
      <c r="BA20" s="3" t="n">
        <v>964909.7097117061</v>
      </c>
      <c r="BB20" s="3" t="n">
        <v>989032.4524544986</v>
      </c>
      <c r="BC20" s="3" t="n">
        <v>1013758.263765861</v>
      </c>
      <c r="BD20" s="3" t="n">
        <v>1039102.220360007</v>
      </c>
      <c r="BE20" s="3" t="n">
        <v>1065079.775869008</v>
      </c>
      <c r="BF20" s="3" t="n">
        <v>1091706.770265733</v>
      </c>
      <c r="BG20" s="3" t="n">
        <v>1118999.439522376</v>
      </c>
      <c r="BH20" s="3" t="n">
        <v>1146974.425510435</v>
      </c>
      <c r="BI20" s="3" t="n">
        <v>1175648.786148196</v>
      </c>
      <c r="BJ20" s="3" t="n">
        <v>1205040.005801901</v>
      </c>
      <c r="BK20" s="3" t="n">
        <v>1235166.005946948</v>
      </c>
      <c r="BL20" s="3" t="n">
        <v>1266045.156095622</v>
      </c>
      <c r="BM20" s="3" t="n">
        <v>1297696.284998012</v>
      </c>
      <c r="BN20" s="3" t="n">
        <v>1330138.692122962</v>
      </c>
      <c r="BO20" s="3" t="n">
        <v>1363392.159426036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  <c r="R42" s="16">
        <f>Drivers!$R$6</f>
        <v/>
      </c>
      <c r="S42" s="16">
        <f>Drivers!$S$6</f>
        <v/>
      </c>
      <c r="T42" s="16">
        <f>Drivers!$T$6</f>
        <v/>
      </c>
      <c r="U42" s="16">
        <f>Drivers!$U$6</f>
        <v/>
      </c>
      <c r="V42" s="16">
        <f>Drivers!$V$6</f>
        <v/>
      </c>
      <c r="W42" s="16">
        <f>Drivers!$W$6</f>
        <v/>
      </c>
      <c r="X42" s="16">
        <f>Drivers!$X$6</f>
        <v/>
      </c>
      <c r="Y42" s="16">
        <f>Drivers!$Y$6</f>
        <v/>
      </c>
      <c r="Z42" s="16">
        <f>Drivers!$Z$6</f>
        <v/>
      </c>
      <c r="AA42" s="16">
        <f>Drivers!$AA$6</f>
        <v/>
      </c>
      <c r="AB42" s="16">
        <f>Drivers!$AB$6</f>
        <v/>
      </c>
      <c r="AC42" s="16">
        <f>Drivers!$AC$6</f>
        <v/>
      </c>
      <c r="AD42" s="16">
        <f>Drivers!$AD$6</f>
        <v/>
      </c>
      <c r="AE42" s="16">
        <f>Drivers!$AE$6</f>
        <v/>
      </c>
      <c r="AF42" s="16">
        <f>Drivers!$AF$6</f>
        <v/>
      </c>
      <c r="AG42" s="16">
        <f>Drivers!$AG$6</f>
        <v/>
      </c>
      <c r="AH42" s="16">
        <f>Drivers!$AH$6</f>
        <v/>
      </c>
      <c r="AI42" s="16">
        <f>Drivers!$AI$6</f>
        <v/>
      </c>
      <c r="AJ42" s="16">
        <f>Drivers!$AJ$6</f>
        <v/>
      </c>
      <c r="AK42" s="16">
        <f>Drivers!$AK$6</f>
        <v/>
      </c>
      <c r="AL42" s="16">
        <f>Drivers!$AL$6</f>
        <v/>
      </c>
      <c r="AM42" s="16">
        <f>Drivers!$AM$6</f>
        <v/>
      </c>
      <c r="AN42" s="16">
        <f>Drivers!$AN$6</f>
        <v/>
      </c>
      <c r="AO42" s="16">
        <f>Drivers!$AO$6</f>
        <v/>
      </c>
      <c r="AP42" s="16">
        <f>Drivers!$AP$6</f>
        <v/>
      </c>
      <c r="AQ42" s="16">
        <f>Drivers!$AQ$6</f>
        <v/>
      </c>
      <c r="AR42" s="16">
        <f>Drivers!$AR$6</f>
        <v/>
      </c>
      <c r="AS42" s="16">
        <f>Drivers!$AS$6</f>
        <v/>
      </c>
      <c r="AT42" s="16">
        <f>Drivers!$AT$6</f>
        <v/>
      </c>
      <c r="AU42" s="16">
        <f>Drivers!$AU$6</f>
        <v/>
      </c>
      <c r="AV42" s="16">
        <f>Drivers!$AV$6</f>
        <v/>
      </c>
      <c r="AW42" s="16">
        <f>Drivers!$AW$6</f>
        <v/>
      </c>
      <c r="AX42" s="16">
        <f>Drivers!$AX$6</f>
        <v/>
      </c>
      <c r="AY42" s="16">
        <f>Drivers!$AY$6</f>
        <v/>
      </c>
      <c r="AZ42" s="16">
        <f>Drivers!$AZ$6</f>
        <v/>
      </c>
      <c r="BA42" s="16">
        <f>Drivers!$BA$6</f>
        <v/>
      </c>
      <c r="BB42" s="16">
        <f>Drivers!$BB$6</f>
        <v/>
      </c>
      <c r="BC42" s="16">
        <f>Drivers!$BC$6</f>
        <v/>
      </c>
      <c r="BD42" s="16">
        <f>Drivers!$BD$6</f>
        <v/>
      </c>
      <c r="BE42" s="16">
        <f>Drivers!$BE$6</f>
        <v/>
      </c>
      <c r="BF42" s="16">
        <f>Drivers!$BF$6</f>
        <v/>
      </c>
      <c r="BG42" s="16">
        <f>Drivers!$BG$6</f>
        <v/>
      </c>
      <c r="BH42" s="16">
        <f>Drivers!$BH$6</f>
        <v/>
      </c>
      <c r="BI42" s="16">
        <f>Drivers!$BI$6</f>
        <v/>
      </c>
      <c r="BJ42" s="16">
        <f>Drivers!$BJ$6</f>
        <v/>
      </c>
      <c r="BK42" s="16">
        <f>Drivers!$BK$6</f>
        <v/>
      </c>
      <c r="BL42" s="16">
        <f>Drivers!$BL$6</f>
        <v/>
      </c>
      <c r="BM42" s="16">
        <f>Drivers!$BM$6</f>
        <v/>
      </c>
      <c r="BN42" s="16">
        <f>Drivers!$BN$6</f>
        <v/>
      </c>
      <c r="BO42" s="16">
        <f>Drivers!$BO$6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  <c r="R43" s="16">
        <f>(((R15*R42)*(1-R16))+(MIN(Drivers!$R$4,(R15*R42))*R16))</f>
        <v/>
      </c>
      <c r="S43" s="16">
        <f>(((S15*S42)*(1-S16))+(MIN(Drivers!$S$4,(S15*S42))*S16))</f>
        <v/>
      </c>
      <c r="T43" s="16">
        <f>(((T15*T42)*(1-T16))+(MIN(Drivers!$T$4,(T15*T42))*T16))</f>
        <v/>
      </c>
      <c r="U43" s="16">
        <f>(((U15*U42)*(1-U16))+(MIN(Drivers!$U$4,(U15*U42))*U16))</f>
        <v/>
      </c>
      <c r="V43" s="16">
        <f>(((V15*V42)*(1-V16))+(MIN(Drivers!$V$4,(V15*V42))*V16))</f>
        <v/>
      </c>
      <c r="W43" s="16">
        <f>(((W15*W42)*(1-W16))+(MIN(Drivers!$W$4,(W15*W42))*W16))</f>
        <v/>
      </c>
      <c r="X43" s="16">
        <f>(((X15*X42)*(1-X16))+(MIN(Drivers!$X$4,(X15*X42))*X16))</f>
        <v/>
      </c>
      <c r="Y43" s="16">
        <f>(((Y15*Y42)*(1-Y16))+(MIN(Drivers!$Y$4,(Y15*Y42))*Y16))</f>
        <v/>
      </c>
      <c r="Z43" s="16">
        <f>(((Z15*Z42)*(1-Z16))+(MIN(Drivers!$Z$4,(Z15*Z42))*Z16))</f>
        <v/>
      </c>
      <c r="AA43" s="16">
        <f>(((AA15*AA42)*(1-AA16))+(MIN(Drivers!$AA$4,(AA15*AA42))*AA16))</f>
        <v/>
      </c>
      <c r="AB43" s="16">
        <f>(((AB15*AB42)*(1-AB16))+(MIN(Drivers!$AB$4,(AB15*AB42))*AB16))</f>
        <v/>
      </c>
      <c r="AC43" s="16">
        <f>(((AC15*AC42)*(1-AC16))+(MIN(Drivers!$AC$4,(AC15*AC42))*AC16))</f>
        <v/>
      </c>
      <c r="AD43" s="16">
        <f>(((AD15*AD42)*(1-AD16))+(MIN(Drivers!$AD$4,(AD15*AD42))*AD16))</f>
        <v/>
      </c>
      <c r="AE43" s="16">
        <f>(((AE15*AE42)*(1-AE16))+(MIN(Drivers!$AE$4,(AE15*AE42))*AE16))</f>
        <v/>
      </c>
      <c r="AF43" s="16">
        <f>(((AF15*AF42)*(1-AF16))+(MIN(Drivers!$AF$4,(AF15*AF42))*AF16))</f>
        <v/>
      </c>
      <c r="AG43" s="16">
        <f>(((AG15*AG42)*(1-AG16))+(MIN(Drivers!$AG$4,(AG15*AG42))*AG16))</f>
        <v/>
      </c>
      <c r="AH43" s="16">
        <f>(((AH15*AH42)*(1-AH16))+(MIN(Drivers!$AH$4,(AH15*AH42))*AH16))</f>
        <v/>
      </c>
      <c r="AI43" s="16">
        <f>(((AI15*AI42)*(1-AI16))+(MIN(Drivers!$AI$4,(AI15*AI42))*AI16))</f>
        <v/>
      </c>
      <c r="AJ43" s="16">
        <f>(((AJ15*AJ42)*(1-AJ16))+(MIN(Drivers!$AJ$4,(AJ15*AJ42))*AJ16))</f>
        <v/>
      </c>
      <c r="AK43" s="16">
        <f>(((AK15*AK42)*(1-AK16))+(MIN(Drivers!$AK$4,(AK15*AK42))*AK16))</f>
        <v/>
      </c>
      <c r="AL43" s="16">
        <f>(((AL15*AL42)*(1-AL16))+(MIN(Drivers!$AL$4,(AL15*AL42))*AL16))</f>
        <v/>
      </c>
      <c r="AM43" s="16">
        <f>(((AM15*AM42)*(1-AM16))+(MIN(Drivers!$AM$4,(AM15*AM42))*AM16))</f>
        <v/>
      </c>
      <c r="AN43" s="16">
        <f>(((AN15*AN42)*(1-AN16))+(MIN(Drivers!$AN$4,(AN15*AN42))*AN16))</f>
        <v/>
      </c>
      <c r="AO43" s="16">
        <f>(((AO15*AO42)*(1-AO16))+(MIN(Drivers!$AO$4,(AO15*AO42))*AO16))</f>
        <v/>
      </c>
      <c r="AP43" s="16">
        <f>(((AP15*AP42)*(1-AP16))+(MIN(Drivers!$AP$4,(AP15*AP42))*AP16))</f>
        <v/>
      </c>
      <c r="AQ43" s="16">
        <f>(((AQ15*AQ42)*(1-AQ16))+(MIN(Drivers!$AQ$4,(AQ15*AQ42))*AQ16))</f>
        <v/>
      </c>
      <c r="AR43" s="16">
        <f>(((AR15*AR42)*(1-AR16))+(MIN(Drivers!$AR$4,(AR15*AR42))*AR16))</f>
        <v/>
      </c>
      <c r="AS43" s="16">
        <f>(((AS15*AS42)*(1-AS16))+(MIN(Drivers!$AS$4,(AS15*AS42))*AS16))</f>
        <v/>
      </c>
      <c r="AT43" s="16">
        <f>(((AT15*AT42)*(1-AT16))+(MIN(Drivers!$AT$4,(AT15*AT42))*AT16))</f>
        <v/>
      </c>
      <c r="AU43" s="16">
        <f>(((AU15*AU42)*(1-AU16))+(MIN(Drivers!$AU$4,(AU15*AU42))*AU16))</f>
        <v/>
      </c>
      <c r="AV43" s="16">
        <f>(((AV15*AV42)*(1-AV16))+(MIN(Drivers!$AV$4,(AV15*AV42))*AV16))</f>
        <v/>
      </c>
      <c r="AW43" s="16">
        <f>(((AW15*AW42)*(1-AW16))+(MIN(Drivers!$AW$4,(AW15*AW42))*AW16))</f>
        <v/>
      </c>
      <c r="AX43" s="16">
        <f>(((AX15*AX42)*(1-AX16))+(MIN(Drivers!$AX$4,(AX15*AX42))*AX16))</f>
        <v/>
      </c>
      <c r="AY43" s="16">
        <f>(((AY15*AY42)*(1-AY16))+(MIN(Drivers!$AY$4,(AY15*AY42))*AY16))</f>
        <v/>
      </c>
      <c r="AZ43" s="16">
        <f>(((AZ15*AZ42)*(1-AZ16))+(MIN(Drivers!$AZ$4,(AZ15*AZ42))*AZ16))</f>
        <v/>
      </c>
      <c r="BA43" s="16">
        <f>(((BA15*BA42)*(1-BA16))+(MIN(Drivers!$BA$4,(BA15*BA42))*BA16))</f>
        <v/>
      </c>
      <c r="BB43" s="16">
        <f>(((BB15*BB42)*(1-BB16))+(MIN(Drivers!$BB$4,(BB15*BB42))*BB16))</f>
        <v/>
      </c>
      <c r="BC43" s="16">
        <f>(((BC15*BC42)*(1-BC16))+(MIN(Drivers!$BC$4,(BC15*BC42))*BC16))</f>
        <v/>
      </c>
      <c r="BD43" s="16">
        <f>(((BD15*BD42)*(1-BD16))+(MIN(Drivers!$BD$4,(BD15*BD42))*BD16))</f>
        <v/>
      </c>
      <c r="BE43" s="16">
        <f>(((BE15*BE42)*(1-BE16))+(MIN(Drivers!$BE$4,(BE15*BE42))*BE16))</f>
        <v/>
      </c>
      <c r="BF43" s="16">
        <f>(((BF15*BF42)*(1-BF16))+(MIN(Drivers!$BF$4,(BF15*BF42))*BF16))</f>
        <v/>
      </c>
      <c r="BG43" s="16">
        <f>(((BG15*BG42)*(1-BG16))+(MIN(Drivers!$BG$4,(BG15*BG42))*BG16))</f>
        <v/>
      </c>
      <c r="BH43" s="16">
        <f>(((BH15*BH42)*(1-BH16))+(MIN(Drivers!$BH$4,(BH15*BH42))*BH16))</f>
        <v/>
      </c>
      <c r="BI43" s="16">
        <f>(((BI15*BI42)*(1-BI16))+(MIN(Drivers!$BI$4,(BI15*BI42))*BI16))</f>
        <v/>
      </c>
      <c r="BJ43" s="16">
        <f>(((BJ15*BJ42)*(1-BJ16))+(MIN(Drivers!$BJ$4,(BJ15*BJ42))*BJ16))</f>
        <v/>
      </c>
      <c r="BK43" s="16">
        <f>(((BK15*BK42)*(1-BK16))+(MIN(Drivers!$BK$4,(BK15*BK42))*BK16))</f>
        <v/>
      </c>
      <c r="BL43" s="16">
        <f>(((BL15*BL42)*(1-BL16))+(MIN(Drivers!$BL$4,(BL15*BL42))*BL16))</f>
        <v/>
      </c>
      <c r="BM43" s="16">
        <f>(((BM15*BM42)*(1-BM16))+(MIN(Drivers!$BM$4,(BM15*BM42))*BM16))</f>
        <v/>
      </c>
      <c r="BN43" s="16">
        <f>(((BN15*BN42)*(1-BN16))+(MIN(Drivers!$BN$4,(BN15*BN42))*BN16))</f>
        <v/>
      </c>
      <c r="BO43" s="16">
        <f>(((BO15*BO42)*(1-BO16))+(MIN(Drivers!$BO$4,(BO15*BO42))*BO16))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  <c r="R45" s="16">
        <f>(((R17*R18)*(1+($C$19*(IF(Drivers!$G$8=0,0,Drivers!$R$8/Drivers!$G$8)-1))))+R20)</f>
        <v/>
      </c>
      <c r="S45" s="16">
        <f>(((S17*S18)*(1+($C$19*(IF(Drivers!$G$8=0,0,Drivers!$S$8/Drivers!$G$8)-1))))+S20)</f>
        <v/>
      </c>
      <c r="T45" s="16">
        <f>(((T17*T18)*(1+($C$19*(IF(Drivers!$G$8=0,0,Drivers!$T$8/Drivers!$G$8)-1))))+T20)</f>
        <v/>
      </c>
      <c r="U45" s="16">
        <f>(((U17*U18)*(1+($C$19*(IF(Drivers!$G$8=0,0,Drivers!$U$8/Drivers!$G$8)-1))))+U20)</f>
        <v/>
      </c>
      <c r="V45" s="16">
        <f>(((V17*V18)*(1+($C$19*(IF(Drivers!$G$8=0,0,Drivers!$V$8/Drivers!$G$8)-1))))+V20)</f>
        <v/>
      </c>
      <c r="W45" s="16">
        <f>(((W17*W18)*(1+($C$19*(IF(Drivers!$G$8=0,0,Drivers!$W$8/Drivers!$G$8)-1))))+W20)</f>
        <v/>
      </c>
      <c r="X45" s="16">
        <f>(((X17*X18)*(1+($C$19*(IF(Drivers!$G$8=0,0,Drivers!$X$8/Drivers!$G$8)-1))))+X20)</f>
        <v/>
      </c>
      <c r="Y45" s="16">
        <f>(((Y17*Y18)*(1+($C$19*(IF(Drivers!$G$8=0,0,Drivers!$Y$8/Drivers!$G$8)-1))))+Y20)</f>
        <v/>
      </c>
      <c r="Z45" s="16">
        <f>(((Z17*Z18)*(1+($C$19*(IF(Drivers!$G$8=0,0,Drivers!$Z$8/Drivers!$G$8)-1))))+Z20)</f>
        <v/>
      </c>
      <c r="AA45" s="16">
        <f>(((AA17*AA18)*(1+($C$19*(IF(Drivers!$G$8=0,0,Drivers!$AA$8/Drivers!$G$8)-1))))+AA20)</f>
        <v/>
      </c>
      <c r="AB45" s="16">
        <f>(((AB17*AB18)*(1+($C$19*(IF(Drivers!$G$8=0,0,Drivers!$AB$8/Drivers!$G$8)-1))))+AB20)</f>
        <v/>
      </c>
      <c r="AC45" s="16">
        <f>(((AC17*AC18)*(1+($C$19*(IF(Drivers!$G$8=0,0,Drivers!$AC$8/Drivers!$G$8)-1))))+AC20)</f>
        <v/>
      </c>
      <c r="AD45" s="16">
        <f>(((AD17*AD18)*(1+($C$19*(IF(Drivers!$G$8=0,0,Drivers!$AD$8/Drivers!$G$8)-1))))+AD20)</f>
        <v/>
      </c>
      <c r="AE45" s="16">
        <f>(((AE17*AE18)*(1+($C$19*(IF(Drivers!$G$8=0,0,Drivers!$AE$8/Drivers!$G$8)-1))))+AE20)</f>
        <v/>
      </c>
      <c r="AF45" s="16">
        <f>(((AF17*AF18)*(1+($C$19*(IF(Drivers!$G$8=0,0,Drivers!$AF$8/Drivers!$G$8)-1))))+AF20)</f>
        <v/>
      </c>
      <c r="AG45" s="16">
        <f>(((AG17*AG18)*(1+($C$19*(IF(Drivers!$G$8=0,0,Drivers!$AG$8/Drivers!$G$8)-1))))+AG20)</f>
        <v/>
      </c>
      <c r="AH45" s="16">
        <f>(((AH17*AH18)*(1+($C$19*(IF(Drivers!$G$8=0,0,Drivers!$AH$8/Drivers!$G$8)-1))))+AH20)</f>
        <v/>
      </c>
      <c r="AI45" s="16">
        <f>(((AI17*AI18)*(1+($C$19*(IF(Drivers!$G$8=0,0,Drivers!$AI$8/Drivers!$G$8)-1))))+AI20)</f>
        <v/>
      </c>
      <c r="AJ45" s="16">
        <f>(((AJ17*AJ18)*(1+($C$19*(IF(Drivers!$G$8=0,0,Drivers!$AJ$8/Drivers!$G$8)-1))))+AJ20)</f>
        <v/>
      </c>
      <c r="AK45" s="16">
        <f>(((AK17*AK18)*(1+($C$19*(IF(Drivers!$G$8=0,0,Drivers!$AK$8/Drivers!$G$8)-1))))+AK20)</f>
        <v/>
      </c>
      <c r="AL45" s="16">
        <f>(((AL17*AL18)*(1+($C$19*(IF(Drivers!$G$8=0,0,Drivers!$AL$8/Drivers!$G$8)-1))))+AL20)</f>
        <v/>
      </c>
      <c r="AM45" s="16">
        <f>(((AM17*AM18)*(1+($C$19*(IF(Drivers!$G$8=0,0,Drivers!$AM$8/Drivers!$G$8)-1))))+AM20)</f>
        <v/>
      </c>
      <c r="AN45" s="16">
        <f>(((AN17*AN18)*(1+($C$19*(IF(Drivers!$G$8=0,0,Drivers!$AN$8/Drivers!$G$8)-1))))+AN20)</f>
        <v/>
      </c>
      <c r="AO45" s="16">
        <f>(((AO17*AO18)*(1+($C$19*(IF(Drivers!$G$8=0,0,Drivers!$AO$8/Drivers!$G$8)-1))))+AO20)</f>
        <v/>
      </c>
      <c r="AP45" s="16">
        <f>(((AP17*AP18)*(1+($C$19*(IF(Drivers!$G$8=0,0,Drivers!$AP$8/Drivers!$G$8)-1))))+AP20)</f>
        <v/>
      </c>
      <c r="AQ45" s="16">
        <f>(((AQ17*AQ18)*(1+($C$19*(IF(Drivers!$G$8=0,0,Drivers!$AQ$8/Drivers!$G$8)-1))))+AQ20)</f>
        <v/>
      </c>
      <c r="AR45" s="16">
        <f>(((AR17*AR18)*(1+($C$19*(IF(Drivers!$G$8=0,0,Drivers!$AR$8/Drivers!$G$8)-1))))+AR20)</f>
        <v/>
      </c>
      <c r="AS45" s="16">
        <f>(((AS17*AS18)*(1+($C$19*(IF(Drivers!$G$8=0,0,Drivers!$AS$8/Drivers!$G$8)-1))))+AS20)</f>
        <v/>
      </c>
      <c r="AT45" s="16">
        <f>(((AT17*AT18)*(1+($C$19*(IF(Drivers!$G$8=0,0,Drivers!$AT$8/Drivers!$G$8)-1))))+AT20)</f>
        <v/>
      </c>
      <c r="AU45" s="16">
        <f>(((AU17*AU18)*(1+($C$19*(IF(Drivers!$G$8=0,0,Drivers!$AU$8/Drivers!$G$8)-1))))+AU20)</f>
        <v/>
      </c>
      <c r="AV45" s="16">
        <f>(((AV17*AV18)*(1+($C$19*(IF(Drivers!$G$8=0,0,Drivers!$AV$8/Drivers!$G$8)-1))))+AV20)</f>
        <v/>
      </c>
      <c r="AW45" s="16">
        <f>(((AW17*AW18)*(1+($C$19*(IF(Drivers!$G$8=0,0,Drivers!$AW$8/Drivers!$G$8)-1))))+AW20)</f>
        <v/>
      </c>
      <c r="AX45" s="16">
        <f>(((AX17*AX18)*(1+($C$19*(IF(Drivers!$G$8=0,0,Drivers!$AX$8/Drivers!$G$8)-1))))+AX20)</f>
        <v/>
      </c>
      <c r="AY45" s="16">
        <f>(((AY17*AY18)*(1+($C$19*(IF(Drivers!$G$8=0,0,Drivers!$AY$8/Drivers!$G$8)-1))))+AY20)</f>
        <v/>
      </c>
      <c r="AZ45" s="16">
        <f>(((AZ17*AZ18)*(1+($C$19*(IF(Drivers!$G$8=0,0,Drivers!$AZ$8/Drivers!$G$8)-1))))+AZ20)</f>
        <v/>
      </c>
      <c r="BA45" s="16">
        <f>(((BA17*BA18)*(1+($C$19*(IF(Drivers!$G$8=0,0,Drivers!$BA$8/Drivers!$G$8)-1))))+BA20)</f>
        <v/>
      </c>
      <c r="BB45" s="16">
        <f>(((BB17*BB18)*(1+($C$19*(IF(Drivers!$G$8=0,0,Drivers!$BB$8/Drivers!$G$8)-1))))+BB20)</f>
        <v/>
      </c>
      <c r="BC45" s="16">
        <f>(((BC17*BC18)*(1+($C$19*(IF(Drivers!$G$8=0,0,Drivers!$BC$8/Drivers!$G$8)-1))))+BC20)</f>
        <v/>
      </c>
      <c r="BD45" s="16">
        <f>(((BD17*BD18)*(1+($C$19*(IF(Drivers!$G$8=0,0,Drivers!$BD$8/Drivers!$G$8)-1))))+BD20)</f>
        <v/>
      </c>
      <c r="BE45" s="16">
        <f>(((BE17*BE18)*(1+($C$19*(IF(Drivers!$G$8=0,0,Drivers!$BE$8/Drivers!$G$8)-1))))+BE20)</f>
        <v/>
      </c>
      <c r="BF45" s="16">
        <f>(((BF17*BF18)*(1+($C$19*(IF(Drivers!$G$8=0,0,Drivers!$BF$8/Drivers!$G$8)-1))))+BF20)</f>
        <v/>
      </c>
      <c r="BG45" s="16">
        <f>(((BG17*BG18)*(1+($C$19*(IF(Drivers!$G$8=0,0,Drivers!$BG$8/Drivers!$G$8)-1))))+BG20)</f>
        <v/>
      </c>
      <c r="BH45" s="16">
        <f>(((BH17*BH18)*(1+($C$19*(IF(Drivers!$G$8=0,0,Drivers!$BH$8/Drivers!$G$8)-1))))+BH20)</f>
        <v/>
      </c>
      <c r="BI45" s="16">
        <f>(((BI17*BI18)*(1+($C$19*(IF(Drivers!$G$8=0,0,Drivers!$BI$8/Drivers!$G$8)-1))))+BI20)</f>
        <v/>
      </c>
      <c r="BJ45" s="16">
        <f>(((BJ17*BJ18)*(1+($C$19*(IF(Drivers!$G$8=0,0,Drivers!$BJ$8/Drivers!$G$8)-1))))+BJ20)</f>
        <v/>
      </c>
      <c r="BK45" s="16">
        <f>(((BK17*BK18)*(1+($C$19*(IF(Drivers!$G$8=0,0,Drivers!$BK$8/Drivers!$G$8)-1))))+BK20)</f>
        <v/>
      </c>
      <c r="BL45" s="16">
        <f>(((BL17*BL18)*(1+($C$19*(IF(Drivers!$G$8=0,0,Drivers!$BL$8/Drivers!$G$8)-1))))+BL20)</f>
        <v/>
      </c>
      <c r="BM45" s="16">
        <f>(((BM17*BM18)*(1+($C$19*(IF(Drivers!$G$8=0,0,Drivers!$BM$8/Drivers!$G$8)-1))))+BM20)</f>
        <v/>
      </c>
      <c r="BN45" s="16">
        <f>(((BN17*BN18)*(1+($C$19*(IF(Drivers!$G$8=0,0,Drivers!$BN$8/Drivers!$G$8)-1))))+BN20)</f>
        <v/>
      </c>
      <c r="BO45" s="16">
        <f>(((BO17*BO18)*(1+($C$19*(IF(Drivers!$G$8=0,0,Drivers!$BO$8/Drivers!$G$8)-1))))+BO20)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  <c r="R48" s="16">
        <f>IF(IF(1000=0,0,((R41*$C$10)*Drivers!$R$7)/1000)=0,0,R61/IF(1000=0,0,((R41*$C$10)*Drivers!$R$7)/1000))</f>
        <v/>
      </c>
      <c r="S48" s="16">
        <f>IF(IF(1000=0,0,((S41*$C$10)*Drivers!$S$7)/1000)=0,0,S61/IF(1000=0,0,((S41*$C$10)*Drivers!$S$7)/1000))</f>
        <v/>
      </c>
      <c r="T48" s="16">
        <f>IF(IF(1000=0,0,((T41*$C$10)*Drivers!$T$7)/1000)=0,0,T61/IF(1000=0,0,((T41*$C$10)*Drivers!$T$7)/1000))</f>
        <v/>
      </c>
      <c r="U48" s="16">
        <f>IF(IF(1000=0,0,((U41*$C$10)*Drivers!$U$7)/1000)=0,0,U61/IF(1000=0,0,((U41*$C$10)*Drivers!$U$7)/1000))</f>
        <v/>
      </c>
      <c r="V48" s="16">
        <f>IF(IF(1000=0,0,((V41*$C$10)*Drivers!$V$7)/1000)=0,0,V61/IF(1000=0,0,((V41*$C$10)*Drivers!$V$7)/1000))</f>
        <v/>
      </c>
      <c r="W48" s="16">
        <f>IF(IF(1000=0,0,((W41*$C$10)*Drivers!$W$7)/1000)=0,0,W61/IF(1000=0,0,((W41*$C$10)*Drivers!$W$7)/1000))</f>
        <v/>
      </c>
      <c r="X48" s="16">
        <f>IF(IF(1000=0,0,((X41*$C$10)*Drivers!$X$7)/1000)=0,0,X61/IF(1000=0,0,((X41*$C$10)*Drivers!$X$7)/1000))</f>
        <v/>
      </c>
      <c r="Y48" s="16">
        <f>IF(IF(1000=0,0,((Y41*$C$10)*Drivers!$Y$7)/1000)=0,0,Y61/IF(1000=0,0,((Y41*$C$10)*Drivers!$Y$7)/1000))</f>
        <v/>
      </c>
      <c r="Z48" s="16">
        <f>IF(IF(1000=0,0,((Z41*$C$10)*Drivers!$Z$7)/1000)=0,0,Z61/IF(1000=0,0,((Z41*$C$10)*Drivers!$Z$7)/1000))</f>
        <v/>
      </c>
      <c r="AA48" s="16">
        <f>IF(IF(1000=0,0,((AA41*$C$10)*Drivers!$AA$7)/1000)=0,0,AA61/IF(1000=0,0,((AA41*$C$10)*Drivers!$AA$7)/1000))</f>
        <v/>
      </c>
      <c r="AB48" s="16">
        <f>IF(IF(1000=0,0,((AB41*$C$10)*Drivers!$AB$7)/1000)=0,0,AB61/IF(1000=0,0,((AB41*$C$10)*Drivers!$AB$7)/1000))</f>
        <v/>
      </c>
      <c r="AC48" s="16">
        <f>IF(IF(1000=0,0,((AC41*$C$10)*Drivers!$AC$7)/1000)=0,0,AC61/IF(1000=0,0,((AC41*$C$10)*Drivers!$AC$7)/1000))</f>
        <v/>
      </c>
      <c r="AD48" s="16">
        <f>IF(IF(1000=0,0,((AD41*$C$10)*Drivers!$AD$7)/1000)=0,0,AD61/IF(1000=0,0,((AD41*$C$10)*Drivers!$AD$7)/1000))</f>
        <v/>
      </c>
      <c r="AE48" s="16">
        <f>IF(IF(1000=0,0,((AE41*$C$10)*Drivers!$AE$7)/1000)=0,0,AE61/IF(1000=0,0,((AE41*$C$10)*Drivers!$AE$7)/1000))</f>
        <v/>
      </c>
      <c r="AF48" s="16">
        <f>IF(IF(1000=0,0,((AF41*$C$10)*Drivers!$AF$7)/1000)=0,0,AF61/IF(1000=0,0,((AF41*$C$10)*Drivers!$AF$7)/1000))</f>
        <v/>
      </c>
      <c r="AG48" s="16">
        <f>IF(IF(1000=0,0,((AG41*$C$10)*Drivers!$AG$7)/1000)=0,0,AG61/IF(1000=0,0,((AG41*$C$10)*Drivers!$AG$7)/1000))</f>
        <v/>
      </c>
      <c r="AH48" s="16">
        <f>IF(IF(1000=0,0,((AH41*$C$10)*Drivers!$AH$7)/1000)=0,0,AH61/IF(1000=0,0,((AH41*$C$10)*Drivers!$AH$7)/1000))</f>
        <v/>
      </c>
      <c r="AI48" s="16">
        <f>IF(IF(1000=0,0,((AI41*$C$10)*Drivers!$AI$7)/1000)=0,0,AI61/IF(1000=0,0,((AI41*$C$10)*Drivers!$AI$7)/1000))</f>
        <v/>
      </c>
      <c r="AJ48" s="16">
        <f>IF(IF(1000=0,0,((AJ41*$C$10)*Drivers!$AJ$7)/1000)=0,0,AJ61/IF(1000=0,0,((AJ41*$C$10)*Drivers!$AJ$7)/1000))</f>
        <v/>
      </c>
      <c r="AK48" s="16">
        <f>IF(IF(1000=0,0,((AK41*$C$10)*Drivers!$AK$7)/1000)=0,0,AK61/IF(1000=0,0,((AK41*$C$10)*Drivers!$AK$7)/1000))</f>
        <v/>
      </c>
      <c r="AL48" s="16">
        <f>IF(IF(1000=0,0,((AL41*$C$10)*Drivers!$AL$7)/1000)=0,0,AL61/IF(1000=0,0,((AL41*$C$10)*Drivers!$AL$7)/1000))</f>
        <v/>
      </c>
      <c r="AM48" s="16">
        <f>IF(IF(1000=0,0,((AM41*$C$10)*Drivers!$AM$7)/1000)=0,0,AM61/IF(1000=0,0,((AM41*$C$10)*Drivers!$AM$7)/1000))</f>
        <v/>
      </c>
      <c r="AN48" s="16">
        <f>IF(IF(1000=0,0,((AN41*$C$10)*Drivers!$AN$7)/1000)=0,0,AN61/IF(1000=0,0,((AN41*$C$10)*Drivers!$AN$7)/1000))</f>
        <v/>
      </c>
      <c r="AO48" s="16">
        <f>IF(IF(1000=0,0,((AO41*$C$10)*Drivers!$AO$7)/1000)=0,0,AO61/IF(1000=0,0,((AO41*$C$10)*Drivers!$AO$7)/1000))</f>
        <v/>
      </c>
      <c r="AP48" s="16">
        <f>IF(IF(1000=0,0,((AP41*$C$10)*Drivers!$AP$7)/1000)=0,0,AP61/IF(1000=0,0,((AP41*$C$10)*Drivers!$AP$7)/1000))</f>
        <v/>
      </c>
      <c r="AQ48" s="16">
        <f>IF(IF(1000=0,0,((AQ41*$C$10)*Drivers!$AQ$7)/1000)=0,0,AQ61/IF(1000=0,0,((AQ41*$C$10)*Drivers!$AQ$7)/1000))</f>
        <v/>
      </c>
      <c r="AR48" s="16">
        <f>IF(IF(1000=0,0,((AR41*$C$10)*Drivers!$AR$7)/1000)=0,0,AR61/IF(1000=0,0,((AR41*$C$10)*Drivers!$AR$7)/1000))</f>
        <v/>
      </c>
      <c r="AS48" s="16">
        <f>IF(IF(1000=0,0,((AS41*$C$10)*Drivers!$AS$7)/1000)=0,0,AS61/IF(1000=0,0,((AS41*$C$10)*Drivers!$AS$7)/1000))</f>
        <v/>
      </c>
      <c r="AT48" s="16">
        <f>IF(IF(1000=0,0,((AT41*$C$10)*Drivers!$AT$7)/1000)=0,0,AT61/IF(1000=0,0,((AT41*$C$10)*Drivers!$AT$7)/1000))</f>
        <v/>
      </c>
      <c r="AU48" s="16">
        <f>IF(IF(1000=0,0,((AU41*$C$10)*Drivers!$AU$7)/1000)=0,0,AU61/IF(1000=0,0,((AU41*$C$10)*Drivers!$AU$7)/1000))</f>
        <v/>
      </c>
      <c r="AV48" s="16">
        <f>IF(IF(1000=0,0,((AV41*$C$10)*Drivers!$AV$7)/1000)=0,0,AV61/IF(1000=0,0,((AV41*$C$10)*Drivers!$AV$7)/1000))</f>
        <v/>
      </c>
      <c r="AW48" s="16">
        <f>IF(IF(1000=0,0,((AW41*$C$10)*Drivers!$AW$7)/1000)=0,0,AW61/IF(1000=0,0,((AW41*$C$10)*Drivers!$AW$7)/1000))</f>
        <v/>
      </c>
      <c r="AX48" s="16">
        <f>IF(IF(1000=0,0,((AX41*$C$10)*Drivers!$AX$7)/1000)=0,0,AX61/IF(1000=0,0,((AX41*$C$10)*Drivers!$AX$7)/1000))</f>
        <v/>
      </c>
      <c r="AY48" s="16">
        <f>IF(IF(1000=0,0,((AY41*$C$10)*Drivers!$AY$7)/1000)=0,0,AY61/IF(1000=0,0,((AY41*$C$10)*Drivers!$AY$7)/1000))</f>
        <v/>
      </c>
      <c r="AZ48" s="16">
        <f>IF(IF(1000=0,0,((AZ41*$C$10)*Drivers!$AZ$7)/1000)=0,0,AZ61/IF(1000=0,0,((AZ41*$C$10)*Drivers!$AZ$7)/1000))</f>
        <v/>
      </c>
      <c r="BA48" s="16">
        <f>IF(IF(1000=0,0,((BA41*$C$10)*Drivers!$BA$7)/1000)=0,0,BA61/IF(1000=0,0,((BA41*$C$10)*Drivers!$BA$7)/1000))</f>
        <v/>
      </c>
      <c r="BB48" s="16">
        <f>IF(IF(1000=0,0,((BB41*$C$10)*Drivers!$BB$7)/1000)=0,0,BB61/IF(1000=0,0,((BB41*$C$10)*Drivers!$BB$7)/1000))</f>
        <v/>
      </c>
      <c r="BC48" s="16">
        <f>IF(IF(1000=0,0,((BC41*$C$10)*Drivers!$BC$7)/1000)=0,0,BC61/IF(1000=0,0,((BC41*$C$10)*Drivers!$BC$7)/1000))</f>
        <v/>
      </c>
      <c r="BD48" s="16">
        <f>IF(IF(1000=0,0,((BD41*$C$10)*Drivers!$BD$7)/1000)=0,0,BD61/IF(1000=0,0,((BD41*$C$10)*Drivers!$BD$7)/1000))</f>
        <v/>
      </c>
      <c r="BE48" s="16">
        <f>IF(IF(1000=0,0,((BE41*$C$10)*Drivers!$BE$7)/1000)=0,0,BE61/IF(1000=0,0,((BE41*$C$10)*Drivers!$BE$7)/1000))</f>
        <v/>
      </c>
      <c r="BF48" s="16">
        <f>IF(IF(1000=0,0,((BF41*$C$10)*Drivers!$BF$7)/1000)=0,0,BF61/IF(1000=0,0,((BF41*$C$10)*Drivers!$BF$7)/1000))</f>
        <v/>
      </c>
      <c r="BG48" s="16">
        <f>IF(IF(1000=0,0,((BG41*$C$10)*Drivers!$BG$7)/1000)=0,0,BG61/IF(1000=0,0,((BG41*$C$10)*Drivers!$BG$7)/1000))</f>
        <v/>
      </c>
      <c r="BH48" s="16">
        <f>IF(IF(1000=0,0,((BH41*$C$10)*Drivers!$BH$7)/1000)=0,0,BH61/IF(1000=0,0,((BH41*$C$10)*Drivers!$BH$7)/1000))</f>
        <v/>
      </c>
      <c r="BI48" s="16">
        <f>IF(IF(1000=0,0,((BI41*$C$10)*Drivers!$BI$7)/1000)=0,0,BI61/IF(1000=0,0,((BI41*$C$10)*Drivers!$BI$7)/1000))</f>
        <v/>
      </c>
      <c r="BJ48" s="16">
        <f>IF(IF(1000=0,0,((BJ41*$C$10)*Drivers!$BJ$7)/1000)=0,0,BJ61/IF(1000=0,0,((BJ41*$C$10)*Drivers!$BJ$7)/1000))</f>
        <v/>
      </c>
      <c r="BK48" s="16">
        <f>IF(IF(1000=0,0,((BK41*$C$10)*Drivers!$BK$7)/1000)=0,0,BK61/IF(1000=0,0,((BK41*$C$10)*Drivers!$BK$7)/1000))</f>
        <v/>
      </c>
      <c r="BL48" s="16">
        <f>IF(IF(1000=0,0,((BL41*$C$10)*Drivers!$BL$7)/1000)=0,0,BL61/IF(1000=0,0,((BL41*$C$10)*Drivers!$BL$7)/1000))</f>
        <v/>
      </c>
      <c r="BM48" s="16">
        <f>IF(IF(1000=0,0,((BM41*$C$10)*Drivers!$BM$7)/1000)=0,0,BM61/IF(1000=0,0,((BM41*$C$10)*Drivers!$BM$7)/1000))</f>
        <v/>
      </c>
      <c r="BN48" s="16">
        <f>IF(IF(1000=0,0,((BN41*$C$10)*Drivers!$BN$7)/1000)=0,0,BN61/IF(1000=0,0,((BN41*$C$10)*Drivers!$BN$7)/1000))</f>
        <v/>
      </c>
      <c r="BO48" s="16">
        <f>IF(IF(1000=0,0,((BO41*$C$10)*Drivers!$BO$7)/1000)=0,0,BO61/IF(1000=0,0,((BO41*$C$10)*Drivers!$BO$7)/1000))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  <c r="R49" s="16">
        <f>IF(IF(1000=0,0,((R41*$C$10)*Drivers!$R$7)/1000)=0,0,(R53+R52)/IF(1000=0,0,((R41*$C$10)*Drivers!$R$7)/1000))</f>
        <v/>
      </c>
      <c r="S49" s="16">
        <f>IF(IF(1000=0,0,((S41*$C$10)*Drivers!$S$7)/1000)=0,0,(S53+S52)/IF(1000=0,0,((S41*$C$10)*Drivers!$S$7)/1000))</f>
        <v/>
      </c>
      <c r="T49" s="16">
        <f>IF(IF(1000=0,0,((T41*$C$10)*Drivers!$T$7)/1000)=0,0,(T53+T52)/IF(1000=0,0,((T41*$C$10)*Drivers!$T$7)/1000))</f>
        <v/>
      </c>
      <c r="U49" s="16">
        <f>IF(IF(1000=0,0,((U41*$C$10)*Drivers!$U$7)/1000)=0,0,(U53+U52)/IF(1000=0,0,((U41*$C$10)*Drivers!$U$7)/1000))</f>
        <v/>
      </c>
      <c r="V49" s="16">
        <f>IF(IF(1000=0,0,((V41*$C$10)*Drivers!$V$7)/1000)=0,0,(V53+V52)/IF(1000=0,0,((V41*$C$10)*Drivers!$V$7)/1000))</f>
        <v/>
      </c>
      <c r="W49" s="16">
        <f>IF(IF(1000=0,0,((W41*$C$10)*Drivers!$W$7)/1000)=0,0,(W53+W52)/IF(1000=0,0,((W41*$C$10)*Drivers!$W$7)/1000))</f>
        <v/>
      </c>
      <c r="X49" s="16">
        <f>IF(IF(1000=0,0,((X41*$C$10)*Drivers!$X$7)/1000)=0,0,(X53+X52)/IF(1000=0,0,((X41*$C$10)*Drivers!$X$7)/1000))</f>
        <v/>
      </c>
      <c r="Y49" s="16">
        <f>IF(IF(1000=0,0,((Y41*$C$10)*Drivers!$Y$7)/1000)=0,0,(Y53+Y52)/IF(1000=0,0,((Y41*$C$10)*Drivers!$Y$7)/1000))</f>
        <v/>
      </c>
      <c r="Z49" s="16">
        <f>IF(IF(1000=0,0,((Z41*$C$10)*Drivers!$Z$7)/1000)=0,0,(Z53+Z52)/IF(1000=0,0,((Z41*$C$10)*Drivers!$Z$7)/1000))</f>
        <v/>
      </c>
      <c r="AA49" s="16">
        <f>IF(IF(1000=0,0,((AA41*$C$10)*Drivers!$AA$7)/1000)=0,0,(AA53+AA52)/IF(1000=0,0,((AA41*$C$10)*Drivers!$AA$7)/1000))</f>
        <v/>
      </c>
      <c r="AB49" s="16">
        <f>IF(IF(1000=0,0,((AB41*$C$10)*Drivers!$AB$7)/1000)=0,0,(AB53+AB52)/IF(1000=0,0,((AB41*$C$10)*Drivers!$AB$7)/1000))</f>
        <v/>
      </c>
      <c r="AC49" s="16">
        <f>IF(IF(1000=0,0,((AC41*$C$10)*Drivers!$AC$7)/1000)=0,0,(AC53+AC52)/IF(1000=0,0,((AC41*$C$10)*Drivers!$AC$7)/1000))</f>
        <v/>
      </c>
      <c r="AD49" s="16">
        <f>IF(IF(1000=0,0,((AD41*$C$10)*Drivers!$AD$7)/1000)=0,0,(AD53+AD52)/IF(1000=0,0,((AD41*$C$10)*Drivers!$AD$7)/1000))</f>
        <v/>
      </c>
      <c r="AE49" s="16">
        <f>IF(IF(1000=0,0,((AE41*$C$10)*Drivers!$AE$7)/1000)=0,0,(AE53+AE52)/IF(1000=0,0,((AE41*$C$10)*Drivers!$AE$7)/1000))</f>
        <v/>
      </c>
      <c r="AF49" s="16">
        <f>IF(IF(1000=0,0,((AF41*$C$10)*Drivers!$AF$7)/1000)=0,0,(AF53+AF52)/IF(1000=0,0,((AF41*$C$10)*Drivers!$AF$7)/1000))</f>
        <v/>
      </c>
      <c r="AG49" s="16">
        <f>IF(IF(1000=0,0,((AG41*$C$10)*Drivers!$AG$7)/1000)=0,0,(AG53+AG52)/IF(1000=0,0,((AG41*$C$10)*Drivers!$AG$7)/1000))</f>
        <v/>
      </c>
      <c r="AH49" s="16">
        <f>IF(IF(1000=0,0,((AH41*$C$10)*Drivers!$AH$7)/1000)=0,0,(AH53+AH52)/IF(1000=0,0,((AH41*$C$10)*Drivers!$AH$7)/1000))</f>
        <v/>
      </c>
      <c r="AI49" s="16">
        <f>IF(IF(1000=0,0,((AI41*$C$10)*Drivers!$AI$7)/1000)=0,0,(AI53+AI52)/IF(1000=0,0,((AI41*$C$10)*Drivers!$AI$7)/1000))</f>
        <v/>
      </c>
      <c r="AJ49" s="16">
        <f>IF(IF(1000=0,0,((AJ41*$C$10)*Drivers!$AJ$7)/1000)=0,0,(AJ53+AJ52)/IF(1000=0,0,((AJ41*$C$10)*Drivers!$AJ$7)/1000))</f>
        <v/>
      </c>
      <c r="AK49" s="16">
        <f>IF(IF(1000=0,0,((AK41*$C$10)*Drivers!$AK$7)/1000)=0,0,(AK53+AK52)/IF(1000=0,0,((AK41*$C$10)*Drivers!$AK$7)/1000))</f>
        <v/>
      </c>
      <c r="AL49" s="16">
        <f>IF(IF(1000=0,0,((AL41*$C$10)*Drivers!$AL$7)/1000)=0,0,(AL53+AL52)/IF(1000=0,0,((AL41*$C$10)*Drivers!$AL$7)/1000))</f>
        <v/>
      </c>
      <c r="AM49" s="16">
        <f>IF(IF(1000=0,0,((AM41*$C$10)*Drivers!$AM$7)/1000)=0,0,(AM53+AM52)/IF(1000=0,0,((AM41*$C$10)*Drivers!$AM$7)/1000))</f>
        <v/>
      </c>
      <c r="AN49" s="16">
        <f>IF(IF(1000=0,0,((AN41*$C$10)*Drivers!$AN$7)/1000)=0,0,(AN53+AN52)/IF(1000=0,0,((AN41*$C$10)*Drivers!$AN$7)/1000))</f>
        <v/>
      </c>
      <c r="AO49" s="16">
        <f>IF(IF(1000=0,0,((AO41*$C$10)*Drivers!$AO$7)/1000)=0,0,(AO53+AO52)/IF(1000=0,0,((AO41*$C$10)*Drivers!$AO$7)/1000))</f>
        <v/>
      </c>
      <c r="AP49" s="16">
        <f>IF(IF(1000=0,0,((AP41*$C$10)*Drivers!$AP$7)/1000)=0,0,(AP53+AP52)/IF(1000=0,0,((AP41*$C$10)*Drivers!$AP$7)/1000))</f>
        <v/>
      </c>
      <c r="AQ49" s="16">
        <f>IF(IF(1000=0,0,((AQ41*$C$10)*Drivers!$AQ$7)/1000)=0,0,(AQ53+AQ52)/IF(1000=0,0,((AQ41*$C$10)*Drivers!$AQ$7)/1000))</f>
        <v/>
      </c>
      <c r="AR49" s="16">
        <f>IF(IF(1000=0,0,((AR41*$C$10)*Drivers!$AR$7)/1000)=0,0,(AR53+AR52)/IF(1000=0,0,((AR41*$C$10)*Drivers!$AR$7)/1000))</f>
        <v/>
      </c>
      <c r="AS49" s="16">
        <f>IF(IF(1000=0,0,((AS41*$C$10)*Drivers!$AS$7)/1000)=0,0,(AS53+AS52)/IF(1000=0,0,((AS41*$C$10)*Drivers!$AS$7)/1000))</f>
        <v/>
      </c>
      <c r="AT49" s="16">
        <f>IF(IF(1000=0,0,((AT41*$C$10)*Drivers!$AT$7)/1000)=0,0,(AT53+AT52)/IF(1000=0,0,((AT41*$C$10)*Drivers!$AT$7)/1000))</f>
        <v/>
      </c>
      <c r="AU49" s="16">
        <f>IF(IF(1000=0,0,((AU41*$C$10)*Drivers!$AU$7)/1000)=0,0,(AU53+AU52)/IF(1000=0,0,((AU41*$C$10)*Drivers!$AU$7)/1000))</f>
        <v/>
      </c>
      <c r="AV49" s="16">
        <f>IF(IF(1000=0,0,((AV41*$C$10)*Drivers!$AV$7)/1000)=0,0,(AV53+AV52)/IF(1000=0,0,((AV41*$C$10)*Drivers!$AV$7)/1000))</f>
        <v/>
      </c>
      <c r="AW49" s="16">
        <f>IF(IF(1000=0,0,((AW41*$C$10)*Drivers!$AW$7)/1000)=0,0,(AW53+AW52)/IF(1000=0,0,((AW41*$C$10)*Drivers!$AW$7)/1000))</f>
        <v/>
      </c>
      <c r="AX49" s="16">
        <f>IF(IF(1000=0,0,((AX41*$C$10)*Drivers!$AX$7)/1000)=0,0,(AX53+AX52)/IF(1000=0,0,((AX41*$C$10)*Drivers!$AX$7)/1000))</f>
        <v/>
      </c>
      <c r="AY49" s="16">
        <f>IF(IF(1000=0,0,((AY41*$C$10)*Drivers!$AY$7)/1000)=0,0,(AY53+AY52)/IF(1000=0,0,((AY41*$C$10)*Drivers!$AY$7)/1000))</f>
        <v/>
      </c>
      <c r="AZ49" s="16">
        <f>IF(IF(1000=0,0,((AZ41*$C$10)*Drivers!$AZ$7)/1000)=0,0,(AZ53+AZ52)/IF(1000=0,0,((AZ41*$C$10)*Drivers!$AZ$7)/1000))</f>
        <v/>
      </c>
      <c r="BA49" s="16">
        <f>IF(IF(1000=0,0,((BA41*$C$10)*Drivers!$BA$7)/1000)=0,0,(BA53+BA52)/IF(1000=0,0,((BA41*$C$10)*Drivers!$BA$7)/1000))</f>
        <v/>
      </c>
      <c r="BB49" s="16">
        <f>IF(IF(1000=0,0,((BB41*$C$10)*Drivers!$BB$7)/1000)=0,0,(BB53+BB52)/IF(1000=0,0,((BB41*$C$10)*Drivers!$BB$7)/1000))</f>
        <v/>
      </c>
      <c r="BC49" s="16">
        <f>IF(IF(1000=0,0,((BC41*$C$10)*Drivers!$BC$7)/1000)=0,0,(BC53+BC52)/IF(1000=0,0,((BC41*$C$10)*Drivers!$BC$7)/1000))</f>
        <v/>
      </c>
      <c r="BD49" s="16">
        <f>IF(IF(1000=0,0,((BD41*$C$10)*Drivers!$BD$7)/1000)=0,0,(BD53+BD52)/IF(1000=0,0,((BD41*$C$10)*Drivers!$BD$7)/1000))</f>
        <v/>
      </c>
      <c r="BE49" s="16">
        <f>IF(IF(1000=0,0,((BE41*$C$10)*Drivers!$BE$7)/1000)=0,0,(BE53+BE52)/IF(1000=0,0,((BE41*$C$10)*Drivers!$BE$7)/1000))</f>
        <v/>
      </c>
      <c r="BF49" s="16">
        <f>IF(IF(1000=0,0,((BF41*$C$10)*Drivers!$BF$7)/1000)=0,0,(BF53+BF52)/IF(1000=0,0,((BF41*$C$10)*Drivers!$BF$7)/1000))</f>
        <v/>
      </c>
      <c r="BG49" s="16">
        <f>IF(IF(1000=0,0,((BG41*$C$10)*Drivers!$BG$7)/1000)=0,0,(BG53+BG52)/IF(1000=0,0,((BG41*$C$10)*Drivers!$BG$7)/1000))</f>
        <v/>
      </c>
      <c r="BH49" s="16">
        <f>IF(IF(1000=0,0,((BH41*$C$10)*Drivers!$BH$7)/1000)=0,0,(BH53+BH52)/IF(1000=0,0,((BH41*$C$10)*Drivers!$BH$7)/1000))</f>
        <v/>
      </c>
      <c r="BI49" s="16">
        <f>IF(IF(1000=0,0,((BI41*$C$10)*Drivers!$BI$7)/1000)=0,0,(BI53+BI52)/IF(1000=0,0,((BI41*$C$10)*Drivers!$BI$7)/1000))</f>
        <v/>
      </c>
      <c r="BJ49" s="16">
        <f>IF(IF(1000=0,0,((BJ41*$C$10)*Drivers!$BJ$7)/1000)=0,0,(BJ53+BJ52)/IF(1000=0,0,((BJ41*$C$10)*Drivers!$BJ$7)/1000))</f>
        <v/>
      </c>
      <c r="BK49" s="16">
        <f>IF(IF(1000=0,0,((BK41*$C$10)*Drivers!$BK$7)/1000)=0,0,(BK53+BK52)/IF(1000=0,0,((BK41*$C$10)*Drivers!$BK$7)/1000))</f>
        <v/>
      </c>
      <c r="BL49" s="16">
        <f>IF(IF(1000=0,0,((BL41*$C$10)*Drivers!$BL$7)/1000)=0,0,(BL53+BL52)/IF(1000=0,0,((BL41*$C$10)*Drivers!$BL$7)/1000))</f>
        <v/>
      </c>
      <c r="BM49" s="16">
        <f>IF(IF(1000=0,0,((BM41*$C$10)*Drivers!$BM$7)/1000)=0,0,(BM53+BM52)/IF(1000=0,0,((BM41*$C$10)*Drivers!$BM$7)/1000))</f>
        <v/>
      </c>
      <c r="BN49" s="16">
        <f>IF(IF(1000=0,0,((BN41*$C$10)*Drivers!$BN$7)/1000)=0,0,(BN53+BN52)/IF(1000=0,0,((BN41*$C$10)*Drivers!$BN$7)/1000))</f>
        <v/>
      </c>
      <c r="BO49" s="16">
        <f>IF(IF(1000=0,0,((BO41*$C$10)*Drivers!$BO$7)/1000)=0,0,(BO53+BO52)/IF(1000=0,0,((BO41*$C$10)*Drivers!$BO$7)/1000))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  <c r="R50" s="32">
        <f>IF(1000=0,0,(((R41*R43)*$C$10)*Drivers!$R$7)/1000)</f>
        <v/>
      </c>
      <c r="S50" s="32">
        <f>IF(1000=0,0,(((S41*S43)*$C$10)*Drivers!$S$7)/1000)</f>
        <v/>
      </c>
      <c r="T50" s="32">
        <f>IF(1000=0,0,(((T41*T43)*$C$10)*Drivers!$T$7)/1000)</f>
        <v/>
      </c>
      <c r="U50" s="32">
        <f>IF(1000=0,0,(((U41*U43)*$C$10)*Drivers!$U$7)/1000)</f>
        <v/>
      </c>
      <c r="V50" s="32">
        <f>IF(1000=0,0,(((V41*V43)*$C$10)*Drivers!$V$7)/1000)</f>
        <v/>
      </c>
      <c r="W50" s="32">
        <f>IF(1000=0,0,(((W41*W43)*$C$10)*Drivers!$W$7)/1000)</f>
        <v/>
      </c>
      <c r="X50" s="32">
        <f>IF(1000=0,0,(((X41*X43)*$C$10)*Drivers!$X$7)/1000)</f>
        <v/>
      </c>
      <c r="Y50" s="32">
        <f>IF(1000=0,0,(((Y41*Y43)*$C$10)*Drivers!$Y$7)/1000)</f>
        <v/>
      </c>
      <c r="Z50" s="32">
        <f>IF(1000=0,0,(((Z41*Z43)*$C$10)*Drivers!$Z$7)/1000)</f>
        <v/>
      </c>
      <c r="AA50" s="32">
        <f>IF(1000=0,0,(((AA41*AA43)*$C$10)*Drivers!$AA$7)/1000)</f>
        <v/>
      </c>
      <c r="AB50" s="32">
        <f>IF(1000=0,0,(((AB41*AB43)*$C$10)*Drivers!$AB$7)/1000)</f>
        <v/>
      </c>
      <c r="AC50" s="32">
        <f>IF(1000=0,0,(((AC41*AC43)*$C$10)*Drivers!$AC$7)/1000)</f>
        <v/>
      </c>
      <c r="AD50" s="32">
        <f>IF(1000=0,0,(((AD41*AD43)*$C$10)*Drivers!$AD$7)/1000)</f>
        <v/>
      </c>
      <c r="AE50" s="32">
        <f>IF(1000=0,0,(((AE41*AE43)*$C$10)*Drivers!$AE$7)/1000)</f>
        <v/>
      </c>
      <c r="AF50" s="32">
        <f>IF(1000=0,0,(((AF41*AF43)*$C$10)*Drivers!$AF$7)/1000)</f>
        <v/>
      </c>
      <c r="AG50" s="32">
        <f>IF(1000=0,0,(((AG41*AG43)*$C$10)*Drivers!$AG$7)/1000)</f>
        <v/>
      </c>
      <c r="AH50" s="32">
        <f>IF(1000=0,0,(((AH41*AH43)*$C$10)*Drivers!$AH$7)/1000)</f>
        <v/>
      </c>
      <c r="AI50" s="32">
        <f>IF(1000=0,0,(((AI41*AI43)*$C$10)*Drivers!$AI$7)/1000)</f>
        <v/>
      </c>
      <c r="AJ50" s="32">
        <f>IF(1000=0,0,(((AJ41*AJ43)*$C$10)*Drivers!$AJ$7)/1000)</f>
        <v/>
      </c>
      <c r="AK50" s="32">
        <f>IF(1000=0,0,(((AK41*AK43)*$C$10)*Drivers!$AK$7)/1000)</f>
        <v/>
      </c>
      <c r="AL50" s="32">
        <f>IF(1000=0,0,(((AL41*AL43)*$C$10)*Drivers!$AL$7)/1000)</f>
        <v/>
      </c>
      <c r="AM50" s="32">
        <f>IF(1000=0,0,(((AM41*AM43)*$C$10)*Drivers!$AM$7)/1000)</f>
        <v/>
      </c>
      <c r="AN50" s="32">
        <f>IF(1000=0,0,(((AN41*AN43)*$C$10)*Drivers!$AN$7)/1000)</f>
        <v/>
      </c>
      <c r="AO50" s="32">
        <f>IF(1000=0,0,(((AO41*AO43)*$C$10)*Drivers!$AO$7)/1000)</f>
        <v/>
      </c>
      <c r="AP50" s="32">
        <f>IF(1000=0,0,(((AP41*AP43)*$C$10)*Drivers!$AP$7)/1000)</f>
        <v/>
      </c>
      <c r="AQ50" s="32">
        <f>IF(1000=0,0,(((AQ41*AQ43)*$C$10)*Drivers!$AQ$7)/1000)</f>
        <v/>
      </c>
      <c r="AR50" s="32">
        <f>IF(1000=0,0,(((AR41*AR43)*$C$10)*Drivers!$AR$7)/1000)</f>
        <v/>
      </c>
      <c r="AS50" s="32">
        <f>IF(1000=0,0,(((AS41*AS43)*$C$10)*Drivers!$AS$7)/1000)</f>
        <v/>
      </c>
      <c r="AT50" s="32">
        <f>IF(1000=0,0,(((AT41*AT43)*$C$10)*Drivers!$AT$7)/1000)</f>
        <v/>
      </c>
      <c r="AU50" s="32">
        <f>IF(1000=0,0,(((AU41*AU43)*$C$10)*Drivers!$AU$7)/1000)</f>
        <v/>
      </c>
      <c r="AV50" s="32">
        <f>IF(1000=0,0,(((AV41*AV43)*$C$10)*Drivers!$AV$7)/1000)</f>
        <v/>
      </c>
      <c r="AW50" s="32">
        <f>IF(1000=0,0,(((AW41*AW43)*$C$10)*Drivers!$AW$7)/1000)</f>
        <v/>
      </c>
      <c r="AX50" s="32">
        <f>IF(1000=0,0,(((AX41*AX43)*$C$10)*Drivers!$AX$7)/1000)</f>
        <v/>
      </c>
      <c r="AY50" s="32">
        <f>IF(1000=0,0,(((AY41*AY43)*$C$10)*Drivers!$AY$7)/1000)</f>
        <v/>
      </c>
      <c r="AZ50" s="32">
        <f>IF(1000=0,0,(((AZ41*AZ43)*$C$10)*Drivers!$AZ$7)/1000)</f>
        <v/>
      </c>
      <c r="BA50" s="32">
        <f>IF(1000=0,0,(((BA41*BA43)*$C$10)*Drivers!$BA$7)/1000)</f>
        <v/>
      </c>
      <c r="BB50" s="32">
        <f>IF(1000=0,0,(((BB41*BB43)*$C$10)*Drivers!$BB$7)/1000)</f>
        <v/>
      </c>
      <c r="BC50" s="32">
        <f>IF(1000=0,0,(((BC41*BC43)*$C$10)*Drivers!$BC$7)/1000)</f>
        <v/>
      </c>
      <c r="BD50" s="32">
        <f>IF(1000=0,0,(((BD41*BD43)*$C$10)*Drivers!$BD$7)/1000)</f>
        <v/>
      </c>
      <c r="BE50" s="32">
        <f>IF(1000=0,0,(((BE41*BE43)*$C$10)*Drivers!$BE$7)/1000)</f>
        <v/>
      </c>
      <c r="BF50" s="32">
        <f>IF(1000=0,0,(((BF41*BF43)*$C$10)*Drivers!$BF$7)/1000)</f>
        <v/>
      </c>
      <c r="BG50" s="32">
        <f>IF(1000=0,0,(((BG41*BG43)*$C$10)*Drivers!$BG$7)/1000)</f>
        <v/>
      </c>
      <c r="BH50" s="32">
        <f>IF(1000=0,0,(((BH41*BH43)*$C$10)*Drivers!$BH$7)/1000)</f>
        <v/>
      </c>
      <c r="BI50" s="32">
        <f>IF(1000=0,0,(((BI41*BI43)*$C$10)*Drivers!$BI$7)/1000)</f>
        <v/>
      </c>
      <c r="BJ50" s="32">
        <f>IF(1000=0,0,(((BJ41*BJ43)*$C$10)*Drivers!$BJ$7)/1000)</f>
        <v/>
      </c>
      <c r="BK50" s="32">
        <f>IF(1000=0,0,(((BK41*BK43)*$C$10)*Drivers!$BK$7)/1000)</f>
        <v/>
      </c>
      <c r="BL50" s="32">
        <f>IF(1000=0,0,(((BL41*BL43)*$C$10)*Drivers!$BL$7)/1000)</f>
        <v/>
      </c>
      <c r="BM50" s="32">
        <f>IF(1000=0,0,(((BM41*BM43)*$C$10)*Drivers!$BM$7)/1000)</f>
        <v/>
      </c>
      <c r="BN50" s="32">
        <f>IF(1000=0,0,(((BN41*BN43)*$C$10)*Drivers!$BN$7)/1000)</f>
        <v/>
      </c>
      <c r="BO50" s="32">
        <f>IF(1000=0,0,(((BO41*BO43)*$C$10)*Drivers!$BO$7)/1000)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3280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0.07904418527615843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  <c r="R127" s="6" t="n">
        <v>9.678303</v>
      </c>
      <c r="S127" s="6" t="n">
        <v>10.680356</v>
      </c>
      <c r="T127" s="6" t="n">
        <v>11.679671</v>
      </c>
      <c r="U127" s="6" t="n">
        <v>12.678987</v>
      </c>
      <c r="V127" s="6" t="n">
        <v>13.678303</v>
      </c>
      <c r="W127" s="6" t="n">
        <v>14.680356</v>
      </c>
      <c r="X127" s="6" t="n">
        <v>15.679671</v>
      </c>
      <c r="Y127" s="6" t="n">
        <v>16.678987</v>
      </c>
      <c r="Z127" s="6" t="n">
        <v>17.678303</v>
      </c>
      <c r="AA127" s="6" t="n">
        <v>18.680356</v>
      </c>
      <c r="AB127" s="6" t="n">
        <v>19.679671</v>
      </c>
      <c r="AC127" s="6" t="n">
        <v>20.678987</v>
      </c>
      <c r="AD127" s="6" t="n">
        <v>21.678303</v>
      </c>
      <c r="AE127" s="6" t="n">
        <v>22.680356</v>
      </c>
      <c r="AF127" s="6" t="n">
        <v>23.679671</v>
      </c>
      <c r="AG127" s="6" t="n">
        <v>24.678987</v>
      </c>
      <c r="AH127" s="6" t="n">
        <v>25.678303</v>
      </c>
      <c r="AI127" s="6" t="n">
        <v>26.680356</v>
      </c>
      <c r="AJ127" s="6" t="n">
        <v>27.679671</v>
      </c>
      <c r="AK127" s="6" t="n">
        <v>28.678987</v>
      </c>
      <c r="AL127" s="6" t="n">
        <v>29.678303</v>
      </c>
      <c r="AM127" s="6" t="n">
        <v>30.680356</v>
      </c>
      <c r="AN127" s="6" t="n">
        <v>31.679671</v>
      </c>
      <c r="AO127" s="6" t="n">
        <v>32.678987</v>
      </c>
      <c r="AP127" s="6" t="n">
        <v>33.678303</v>
      </c>
      <c r="AQ127" s="6" t="n">
        <v>34.680356</v>
      </c>
      <c r="AR127" s="6" t="n">
        <v>35.679671</v>
      </c>
      <c r="AS127" s="6" t="n">
        <v>36.678987</v>
      </c>
      <c r="AT127" s="6" t="n">
        <v>37.678303</v>
      </c>
      <c r="AU127" s="6" t="n">
        <v>38.680356</v>
      </c>
      <c r="AV127" s="6" t="n">
        <v>39.679671</v>
      </c>
      <c r="AW127" s="6" t="n">
        <v>40.678987</v>
      </c>
      <c r="AX127" s="6" t="n">
        <v>41.678303</v>
      </c>
      <c r="AY127" s="6" t="n">
        <v>42.680356</v>
      </c>
      <c r="AZ127" s="6" t="n">
        <v>43.679671</v>
      </c>
      <c r="BA127" s="6" t="n">
        <v>44.678987</v>
      </c>
      <c r="BB127" s="6" t="n">
        <v>45.678303</v>
      </c>
      <c r="BC127" s="6" t="n">
        <v>46.680356</v>
      </c>
      <c r="BD127" s="6" t="n">
        <v>47.679671</v>
      </c>
      <c r="BE127" s="6" t="n">
        <v>48.678987</v>
      </c>
      <c r="BF127" s="6" t="n">
        <v>49.678303</v>
      </c>
      <c r="BG127" s="6" t="n">
        <v>50.680356</v>
      </c>
      <c r="BH127" s="6" t="n">
        <v>51.679671</v>
      </c>
      <c r="BI127" s="6" t="n">
        <v>52.678987</v>
      </c>
      <c r="BJ127" s="6" t="n">
        <v>53.678303</v>
      </c>
      <c r="BK127" s="6" t="n">
        <v>54.680356</v>
      </c>
      <c r="BL127" s="6" t="n">
        <v>55.679671</v>
      </c>
      <c r="BM127" s="6" t="n">
        <v>56.678987</v>
      </c>
      <c r="BN127" s="6" t="n">
        <v>57.678303</v>
      </c>
      <c r="BO127" s="6" t="n">
        <v>58.680356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</row>
    <row r="131">
      <c r="A131" t="inlineStr">
        <is>
          <t>Best cumulative PV (never below zero)</t>
        </is>
      </c>
      <c r="C131" s="26">
        <f>MAX(0,MAX(H130:BO130))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5.732173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0.115539</v>
      </c>
    </row>
    <row r="144">
      <c r="A144" t="inlineStr">
        <is>
          <t>Metric (LTM, or next-12m DPS for yield)</t>
        </is>
      </c>
      <c r="C144" s="13" t="n">
        <v>382.464307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382.4643067129094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2297.520423443832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9480.271072150181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2297.520423</v>
      </c>
      <c r="E167" s="27" t="n">
        <v>1965.163574</v>
      </c>
      <c r="F167" s="27" t="n">
        <v>2449.878567</v>
      </c>
      <c r="G167" s="27" t="n">
        <v>3530.448214</v>
      </c>
      <c r="H167" s="27" t="n">
        <v>4696.605253</v>
      </c>
    </row>
    <row r="168">
      <c r="C168" s="1" t="n">
        <v>0.95</v>
      </c>
      <c r="D168" s="27" t="n">
        <v>2297.520423</v>
      </c>
      <c r="E168" s="27" t="n">
        <v>2076.674782</v>
      </c>
      <c r="F168" s="27" t="n">
        <v>3013.865033</v>
      </c>
      <c r="G168" s="27" t="n">
        <v>4308.508268</v>
      </c>
      <c r="H168" s="27" t="n">
        <v>5647.842219</v>
      </c>
    </row>
    <row r="169">
      <c r="C169" s="1" t="n">
        <v>1</v>
      </c>
      <c r="D169" s="27" t="n">
        <v>1956.795429</v>
      </c>
      <c r="E169" s="27" t="n">
        <v>2449.878567</v>
      </c>
      <c r="F169" s="27" t="n">
        <v>3665.091331</v>
      </c>
      <c r="G169" s="27" t="n">
        <v>5151.463485</v>
      </c>
      <c r="H169" s="27" t="n">
        <v>6649.693635</v>
      </c>
    </row>
    <row r="170">
      <c r="C170" s="1" t="n">
        <v>1.05</v>
      </c>
      <c r="D170" s="27" t="n">
        <v>2018.14133</v>
      </c>
      <c r="E170" s="27" t="n">
        <v>2955.028454</v>
      </c>
      <c r="F170" s="27" t="n">
        <v>4382.69994</v>
      </c>
      <c r="G170" s="27" t="n">
        <v>6044.380416</v>
      </c>
      <c r="H170" s="27" t="n">
        <v>7690.415105</v>
      </c>
    </row>
    <row r="171">
      <c r="C171" s="1" t="n">
        <v>1.1</v>
      </c>
      <c r="D171" s="27" t="n">
        <v>2255.964241</v>
      </c>
      <c r="E171" s="27" t="n">
        <v>3530.448214</v>
      </c>
      <c r="F171" s="27" t="n">
        <v>5151.463485</v>
      </c>
      <c r="G171" s="27" t="n">
        <v>6979.72123</v>
      </c>
      <c r="H171" s="27" t="n">
        <v>8763.353733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5616.551708</v>
      </c>
      <c r="E175" s="27" t="n">
        <v>5055.304046</v>
      </c>
      <c r="F175" s="27" t="n">
        <v>4509.315233</v>
      </c>
      <c r="G175" s="27" t="n">
        <v>3981.366355</v>
      </c>
      <c r="H175" s="27" t="n">
        <v>3472.713464</v>
      </c>
    </row>
    <row r="176">
      <c r="C176" s="1" t="n">
        <v>0.95</v>
      </c>
      <c r="D176" s="27" t="n">
        <v>5821.409555</v>
      </c>
      <c r="E176" s="27" t="n">
        <v>5228.999355</v>
      </c>
      <c r="F176" s="27" t="n">
        <v>4652.700681</v>
      </c>
      <c r="G176" s="27" t="n">
        <v>4095.439947</v>
      </c>
      <c r="H176" s="27" t="n">
        <v>3558.550534</v>
      </c>
    </row>
    <row r="177">
      <c r="C177" s="1" t="n">
        <v>1</v>
      </c>
      <c r="D177" s="27" t="n">
        <v>6026.267403</v>
      </c>
      <c r="E177" s="27" t="n">
        <v>5402.694665</v>
      </c>
      <c r="F177" s="27" t="n">
        <v>4796.08613</v>
      </c>
      <c r="G177" s="27" t="n">
        <v>4209.513539</v>
      </c>
      <c r="H177" s="27" t="n">
        <v>3644.387604</v>
      </c>
    </row>
    <row r="178">
      <c r="C178" s="1" t="n">
        <v>1.05</v>
      </c>
      <c r="D178" s="27" t="n">
        <v>6231.12525</v>
      </c>
      <c r="E178" s="27" t="n">
        <v>5576.389975</v>
      </c>
      <c r="F178" s="27" t="n">
        <v>4939.471579</v>
      </c>
      <c r="G178" s="27" t="n">
        <v>4323.587131</v>
      </c>
      <c r="H178" s="27" t="n">
        <v>3730.224674</v>
      </c>
    </row>
    <row r="179">
      <c r="C179" s="1" t="n">
        <v>1.1</v>
      </c>
      <c r="D179" s="27" t="n">
        <v>6435.983097</v>
      </c>
      <c r="E179" s="27" t="n">
        <v>5750.085285</v>
      </c>
      <c r="F179" s="27" t="n">
        <v>5082.857028</v>
      </c>
      <c r="G179" s="27" t="n">
        <v>4437.660723</v>
      </c>
      <c r="H179" s="27" t="n">
        <v>3816.061744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2.2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0.2</v>
      </c>
      <c r="I15" s="14" t="n">
        <v>0.2</v>
      </c>
      <c r="J15" s="14" t="n">
        <v>0.2</v>
      </c>
      <c r="K15" s="14" t="n">
        <v>0.2</v>
      </c>
      <c r="L15" s="14" t="n">
        <v>0.2</v>
      </c>
      <c r="M15" s="14" t="n">
        <v>0.2</v>
      </c>
      <c r="N15" s="14" t="n">
        <v>0.2</v>
      </c>
      <c r="O15" s="14" t="n">
        <v>0.2</v>
      </c>
      <c r="P15" s="14" t="n">
        <v>0.2</v>
      </c>
      <c r="Q15" s="14" t="n">
        <v>0.2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30000</v>
      </c>
      <c r="I18" s="3" t="n">
        <v>30000</v>
      </c>
      <c r="J18" s="3" t="n">
        <v>30000</v>
      </c>
      <c r="K18" s="3" t="n">
        <v>30000</v>
      </c>
      <c r="L18" s="3" t="n">
        <v>30000</v>
      </c>
      <c r="M18" s="3" t="n">
        <v>30750</v>
      </c>
      <c r="N18" s="3" t="n">
        <v>31518.75</v>
      </c>
      <c r="O18" s="3" t="n">
        <v>32306.71874999999</v>
      </c>
      <c r="P18" s="3" t="n">
        <v>33114.38671874999</v>
      </c>
      <c r="Q18" s="3" t="n">
        <v>33942.24638671873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130000</v>
      </c>
      <c r="I20" s="3" t="n">
        <v>130000</v>
      </c>
      <c r="J20" s="3" t="n">
        <v>130000</v>
      </c>
      <c r="K20" s="3" t="n">
        <v>130000</v>
      </c>
      <c r="L20" s="3" t="n">
        <v>130000</v>
      </c>
      <c r="M20" s="3" t="n">
        <v>133250</v>
      </c>
      <c r="N20" s="3" t="n">
        <v>136581.25</v>
      </c>
      <c r="O20" s="3" t="n">
        <v>139995.7812499999</v>
      </c>
      <c r="P20" s="3" t="n">
        <v>143495.6757812499</v>
      </c>
      <c r="Q20" s="3" t="n">
        <v>147083.0676757812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</v>
      </c>
      <c r="I21" s="4" t="n">
        <v>0.1</v>
      </c>
      <c r="J21" s="4" t="n">
        <v>0.1</v>
      </c>
      <c r="K21" s="4" t="n">
        <v>0.1</v>
      </c>
      <c r="L21" s="4" t="n">
        <v>0.1</v>
      </c>
      <c r="M21" s="4" t="n">
        <v>0.1</v>
      </c>
      <c r="N21" s="4" t="n">
        <v>0.1</v>
      </c>
      <c r="O21" s="4" t="n">
        <v>0.1</v>
      </c>
      <c r="P21" s="4" t="n">
        <v>0.1</v>
      </c>
      <c r="Q21" s="4" t="n">
        <v>0.1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0.2</v>
      </c>
      <c r="I33" s="4" t="n">
        <v>0.2</v>
      </c>
      <c r="J33" s="4" t="n">
        <v>0.2</v>
      </c>
      <c r="K33" s="4" t="n">
        <v>0.2</v>
      </c>
      <c r="L33" s="4" t="n">
        <v>0.2</v>
      </c>
      <c r="M33" s="4" t="n">
        <v>0.2</v>
      </c>
      <c r="N33" s="4" t="n">
        <v>0.2</v>
      </c>
      <c r="O33" s="4" t="n">
        <v>0.2</v>
      </c>
      <c r="P33" s="4" t="n">
        <v>0.2</v>
      </c>
      <c r="Q33" s="4" t="n">
        <v>0.2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/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  <c r="M42" s="16">
        <f>Drivers!$M$6</f>
        <v/>
      </c>
      <c r="N42" s="16">
        <f>Drivers!$N$6</f>
        <v/>
      </c>
      <c r="O42" s="16">
        <f>Drivers!$O$6</f>
        <v/>
      </c>
      <c r="P42" s="16">
        <f>Drivers!$P$6</f>
        <v/>
      </c>
      <c r="Q42" s="16">
        <f>Drivers!$Q$6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  <c r="M43" s="16">
        <f>(((M15*M42)*(1-M16))+(MIN(Drivers!$M$4,(M15*M42))*M16))</f>
        <v/>
      </c>
      <c r="N43" s="16">
        <f>(((N15*N42)*(1-N16))+(MIN(Drivers!$N$4,(N15*N42))*N16))</f>
        <v/>
      </c>
      <c r="O43" s="16">
        <f>(((O15*O42)*(1-O16))+(MIN(Drivers!$O$4,(O15*O42))*O16))</f>
        <v/>
      </c>
      <c r="P43" s="16">
        <f>(((P15*P42)*(1-P16))+(MIN(Drivers!$P$4,(P15*P42))*P16))</f>
        <v/>
      </c>
      <c r="Q43" s="16">
        <f>(((Q15*Q42)*(1-Q16))+(MIN(Drivers!$Q$4,(Q15*Q42))*Q16))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  <c r="M45" s="16">
        <f>(((M17*M18)*(1+($C$19*(IF(Drivers!$G$8=0,0,Drivers!$M$8/Drivers!$G$8)-1))))+M20)</f>
        <v/>
      </c>
      <c r="N45" s="16">
        <f>(((N17*N18)*(1+($C$19*(IF(Drivers!$G$8=0,0,Drivers!$N$8/Drivers!$G$8)-1))))+N20)</f>
        <v/>
      </c>
      <c r="O45" s="16">
        <f>(((O17*O18)*(1+($C$19*(IF(Drivers!$G$8=0,0,Drivers!$O$8/Drivers!$G$8)-1))))+O20)</f>
        <v/>
      </c>
      <c r="P45" s="16">
        <f>(((P17*P18)*(1+($C$19*(IF(Drivers!$G$8=0,0,Drivers!$P$8/Drivers!$G$8)-1))))+P20)</f>
        <v/>
      </c>
      <c r="Q45" s="16">
        <f>(((Q17*Q18)*(1+($C$19*(IF(Drivers!$G$8=0,0,Drivers!$Q$8/Drivers!$G$8)-1))))+Q20)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/>
      <c r="H48" s="16">
        <f>IF(IF(1000=0,0,((H41*$C$10)*Drivers!$H$7)/1000)=0,0,H61/IF(1000=0,0,((H41*$C$10)*Drivers!$H$7)/1000))</f>
        <v/>
      </c>
      <c r="I48" s="16">
        <f>IF(IF(1000=0,0,((I41*$C$10)*Drivers!$I$7)/1000)=0,0,I61/IF(1000=0,0,((I41*$C$10)*Drivers!$I$7)/1000))</f>
        <v/>
      </c>
      <c r="J48" s="16">
        <f>IF(IF(1000=0,0,((J41*$C$10)*Drivers!$J$7)/1000)=0,0,J61/IF(1000=0,0,((J41*$C$10)*Drivers!$J$7)/1000))</f>
        <v/>
      </c>
      <c r="K48" s="16">
        <f>IF(IF(1000=0,0,((K41*$C$10)*Drivers!$K$7)/1000)=0,0,K61/IF(1000=0,0,((K41*$C$10)*Drivers!$K$7)/1000))</f>
        <v/>
      </c>
      <c r="L48" s="16">
        <f>IF(IF(1000=0,0,((L41*$C$10)*Drivers!$L$7)/1000)=0,0,L61/IF(1000=0,0,((L41*$C$10)*Drivers!$L$7)/1000))</f>
        <v/>
      </c>
      <c r="M48" s="16">
        <f>IF(IF(1000=0,0,((M41*$C$10)*Drivers!$M$7)/1000)=0,0,M61/IF(1000=0,0,((M41*$C$10)*Drivers!$M$7)/1000))</f>
        <v/>
      </c>
      <c r="N48" s="16">
        <f>IF(IF(1000=0,0,((N41*$C$10)*Drivers!$N$7)/1000)=0,0,N61/IF(1000=0,0,((N41*$C$10)*Drivers!$N$7)/1000))</f>
        <v/>
      </c>
      <c r="O48" s="16">
        <f>IF(IF(1000=0,0,((O41*$C$10)*Drivers!$O$7)/1000)=0,0,O61/IF(1000=0,0,((O41*$C$10)*Drivers!$O$7)/1000))</f>
        <v/>
      </c>
      <c r="P48" s="16">
        <f>IF(IF(1000=0,0,((P41*$C$10)*Drivers!$P$7)/1000)=0,0,P61/IF(1000=0,0,((P41*$C$10)*Drivers!$P$7)/1000))</f>
        <v/>
      </c>
      <c r="Q48" s="16">
        <f>IF(IF(1000=0,0,((Q41*$C$10)*Drivers!$Q$7)/1000)=0,0,Q61/IF(1000=0,0,((Q41*$C$10)*Drivers!$Q$7)/1000))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IF(IF(1000=0,0,((H41*$C$10)*Drivers!$H$7)/1000)=0,0,(H53+H52)/IF(1000=0,0,((H41*$C$10)*Drivers!$H$7)/1000))</f>
        <v/>
      </c>
      <c r="I49" s="16">
        <f>IF(IF(1000=0,0,((I41*$C$10)*Drivers!$I$7)/1000)=0,0,(I53+I52)/IF(1000=0,0,((I41*$C$10)*Drivers!$I$7)/1000))</f>
        <v/>
      </c>
      <c r="J49" s="16">
        <f>IF(IF(1000=0,0,((J41*$C$10)*Drivers!$J$7)/1000)=0,0,(J53+J52)/IF(1000=0,0,((J41*$C$10)*Drivers!$J$7)/1000))</f>
        <v/>
      </c>
      <c r="K49" s="16">
        <f>IF(IF(1000=0,0,((K41*$C$10)*Drivers!$K$7)/1000)=0,0,(K53+K52)/IF(1000=0,0,((K41*$C$10)*Drivers!$K$7)/1000))</f>
        <v/>
      </c>
      <c r="L49" s="16">
        <f>IF(IF(1000=0,0,((L41*$C$10)*Drivers!$L$7)/1000)=0,0,(L53+L52)/IF(1000=0,0,((L41*$C$10)*Drivers!$L$7)/1000))</f>
        <v/>
      </c>
      <c r="M49" s="16">
        <f>IF(IF(1000=0,0,((M41*$C$10)*Drivers!$M$7)/1000)=0,0,(M53+M52)/IF(1000=0,0,((M41*$C$10)*Drivers!$M$7)/1000))</f>
        <v/>
      </c>
      <c r="N49" s="16">
        <f>IF(IF(1000=0,0,((N41*$C$10)*Drivers!$N$7)/1000)=0,0,(N53+N52)/IF(1000=0,0,((N41*$C$10)*Drivers!$N$7)/1000))</f>
        <v/>
      </c>
      <c r="O49" s="16">
        <f>IF(IF(1000=0,0,((O41*$C$10)*Drivers!$O$7)/1000)=0,0,(O53+O52)/IF(1000=0,0,((O41*$C$10)*Drivers!$O$7)/1000))</f>
        <v/>
      </c>
      <c r="P49" s="16">
        <f>IF(IF(1000=0,0,((P41*$C$10)*Drivers!$P$7)/1000)=0,0,(P53+P52)/IF(1000=0,0,((P41*$C$10)*Drivers!$P$7)/1000))</f>
        <v/>
      </c>
      <c r="Q49" s="16">
        <f>IF(IF(1000=0,0,((Q41*$C$10)*Drivers!$Q$7)/1000)=0,0,(Q53+Q52)/IF(1000=0,0,((Q41*$C$10)*Drivers!$Q$7)/1000))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2">
        <f>IF(1000=0,0,(((H41*H43)*$C$10)*Drivers!$H$7)/1000)</f>
        <v/>
      </c>
      <c r="I50" s="32">
        <f>IF(1000=0,0,(((I41*I43)*$C$10)*Drivers!$I$7)/1000)</f>
        <v/>
      </c>
      <c r="J50" s="32">
        <f>IF(1000=0,0,(((J41*J43)*$C$10)*Drivers!$J$7)/1000)</f>
        <v/>
      </c>
      <c r="K50" s="32">
        <f>IF(1000=0,0,(((K41*K43)*$C$10)*Drivers!$K$7)/1000)</f>
        <v/>
      </c>
      <c r="L50" s="32">
        <f>IF(1000=0,0,(((L41*L43)*$C$10)*Drivers!$L$7)/1000)</f>
        <v/>
      </c>
      <c r="M50" s="32">
        <f>IF(1000=0,0,(((M41*M43)*$C$10)*Drivers!$M$7)/1000)</f>
        <v/>
      </c>
      <c r="N50" s="32">
        <f>IF(1000=0,0,(((N41*N43)*$C$10)*Drivers!$N$7)/1000)</f>
        <v/>
      </c>
      <c r="O50" s="32">
        <f>IF(1000=0,0,(((O41*O43)*$C$10)*Drivers!$O$7)/1000)</f>
        <v/>
      </c>
      <c r="P50" s="32">
        <f>IF(1000=0,0,(((P41*P43)*$C$10)*Drivers!$P$7)/1000)</f>
        <v/>
      </c>
      <c r="Q50" s="32">
        <f>IF(1000=0,0,(((Q41*Q43)*$C$10)*Drivers!$Q$7)/1000)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0.530001036</v>
      </c>
      <c r="G60" s="13" t="n">
        <v>0.514718787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21.814421626</v>
      </c>
      <c r="G61" s="13" t="n">
        <v>8.452523961000001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48.30380222364302</v>
      </c>
      <c r="G76" s="13" t="n">
        <v>95.43512917222952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0.05013157387317623</v>
      </c>
      <c r="G92" s="4" t="n">
        <v>0.01582806208131607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44.99433391289858</v>
      </c>
      <c r="G97" s="22" t="n">
        <v>106.4206770814737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713.678861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72.024796932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31.8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  <c r="M127" s="6" t="n">
        <v>4.678987</v>
      </c>
      <c r="N127" s="6" t="n">
        <v>5.678303</v>
      </c>
      <c r="O127" s="6" t="n">
        <v>6.680356</v>
      </c>
      <c r="P127" s="6" t="n">
        <v>7.679671</v>
      </c>
      <c r="Q127" s="6" t="n">
        <v>8.678986999999999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7.035986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458.9011605593148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100.647077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</row>
    <row r="171">
      <c r="C171" s="1" t="n">
        <v>0.95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68.184991</v>
      </c>
    </row>
    <row r="172">
      <c r="C172" s="1" t="n">
        <v>1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344.727868</v>
      </c>
    </row>
    <row r="173">
      <c r="C173" s="1" t="n">
        <v>1.05</v>
      </c>
      <c r="D173" s="27" t="n">
        <v>0</v>
      </c>
      <c r="E173" s="27" t="n">
        <v>0</v>
      </c>
      <c r="F173" s="27" t="n">
        <v>0</v>
      </c>
      <c r="G173" s="27" t="n">
        <v>137.32071</v>
      </c>
      <c r="H173" s="27" t="n">
        <v>621.270746</v>
      </c>
    </row>
    <row r="174">
      <c r="C174" s="1" t="n">
        <v>1.1</v>
      </c>
      <c r="D174" s="27" t="n">
        <v>0</v>
      </c>
      <c r="E174" s="27" t="n">
        <v>0</v>
      </c>
      <c r="F174" s="27" t="n">
        <v>0</v>
      </c>
      <c r="G174" s="27" t="n">
        <v>390.818348</v>
      </c>
      <c r="H174" s="27" t="n">
        <v>897.813624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0</v>
      </c>
      <c r="E178" s="27" t="n">
        <v>0</v>
      </c>
      <c r="F178" s="27" t="n">
        <v>0</v>
      </c>
      <c r="G178" s="27" t="n">
        <v>0</v>
      </c>
      <c r="H178" s="27" t="n">
        <v>0</v>
      </c>
    </row>
    <row r="179">
      <c r="C179" s="1" t="n">
        <v>0.95</v>
      </c>
      <c r="D179" s="27" t="n">
        <v>0</v>
      </c>
      <c r="E179" s="27" t="n">
        <v>0</v>
      </c>
      <c r="F179" s="27" t="n">
        <v>0</v>
      </c>
      <c r="G179" s="27" t="n">
        <v>0</v>
      </c>
      <c r="H179" s="27" t="n">
        <v>0</v>
      </c>
    </row>
    <row r="180">
      <c r="C180" s="1" t="n">
        <v>1</v>
      </c>
      <c r="D180" s="27" t="n">
        <v>0</v>
      </c>
      <c r="E180" s="27" t="n">
        <v>0</v>
      </c>
      <c r="F180" s="27" t="n">
        <v>0</v>
      </c>
      <c r="G180" s="27" t="n">
        <v>0</v>
      </c>
      <c r="H180" s="27" t="n">
        <v>0</v>
      </c>
    </row>
    <row r="181">
      <c r="C181" s="1" t="n">
        <v>1.05</v>
      </c>
      <c r="D181" s="27" t="n">
        <v>0</v>
      </c>
      <c r="E181" s="27" t="n">
        <v>0</v>
      </c>
      <c r="F181" s="27" t="n">
        <v>0</v>
      </c>
      <c r="G181" s="27" t="n">
        <v>0</v>
      </c>
      <c r="H181" s="27" t="n">
        <v>0</v>
      </c>
    </row>
    <row r="182">
      <c r="C182" s="1" t="n">
        <v>1.1</v>
      </c>
      <c r="D182" s="27" t="n">
        <v>0</v>
      </c>
      <c r="E182" s="27" t="n">
        <v>0</v>
      </c>
      <c r="F182" s="27" t="n">
        <v>0</v>
      </c>
      <c r="G182" s="27" t="n">
        <v>0</v>
      </c>
      <c r="H182" s="2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Drivers!$H$6</f>
        <v/>
      </c>
      <c r="I42" s="16">
        <f>Drivers!$I$6</f>
        <v/>
      </c>
      <c r="J42" s="16">
        <f>Drivers!$J$6</f>
        <v/>
      </c>
      <c r="K42" s="16">
        <f>Drivers!$K$6</f>
        <v/>
      </c>
      <c r="L42" s="16">
        <f>Drivers!$L$6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(((H15*H42)*(1-H16))+(MIN(Drivers!$H$4,(H15*H42))*H16))</f>
        <v/>
      </c>
      <c r="I43" s="16">
        <f>(((I15*I42)*(1-I16))+(MIN(Drivers!$I$4,(I15*I42))*I16))</f>
        <v/>
      </c>
      <c r="J43" s="16">
        <f>(((J15*J42)*(1-J16))+(MIN(Drivers!$J$4,(J15*J42))*J16))</f>
        <v/>
      </c>
      <c r="K43" s="16">
        <f>(((K15*K42)*(1-K16))+(MIN(Drivers!$K$4,(K15*K42))*K16))</f>
        <v/>
      </c>
      <c r="L43" s="16">
        <f>(((L15*L42)*(1-L16))+(MIN(Drivers!$L$4,(L15*L42))*L16))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(((H17*H18)*(1+($C$19*(IF(Drivers!$G$8=0,0,Drivers!$H$8/Drivers!$G$8)-1))))+H20)</f>
        <v/>
      </c>
      <c r="I45" s="16">
        <f>(((I17*I18)*(1+($C$19*(IF(Drivers!$G$8=0,0,Drivers!$I$8/Drivers!$G$8)-1))))+I20)</f>
        <v/>
      </c>
      <c r="J45" s="16">
        <f>(((J17*J18)*(1+($C$19*(IF(Drivers!$G$8=0,0,Drivers!$J$8/Drivers!$G$8)-1))))+J20)</f>
        <v/>
      </c>
      <c r="K45" s="16">
        <f>(((K17*K18)*(1+($C$19*(IF(Drivers!$G$8=0,0,Drivers!$K$8/Drivers!$G$8)-1))))+K20)</f>
        <v/>
      </c>
      <c r="L45" s="16">
        <f>(((L17*L18)*(1+($C$19*(IF(Drivers!$G$8=0,0,Drivers!$L$8/Drivers!$G$8)-1))))+L20)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18110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0.05502914407628915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0.678987</v>
      </c>
      <c r="J127" s="6" t="n">
        <v>1.678303</v>
      </c>
      <c r="K127" s="6" t="n">
        <v>2.680356</v>
      </c>
      <c r="L127" s="6" t="n">
        <v>3.679671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0.067843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30.53319374807083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10.16305330803843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598.1989828916342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12.302388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1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9.702489</v>
      </c>
      <c r="E170" s="27" t="n">
        <v>57.766525</v>
      </c>
      <c r="F170" s="27" t="n">
        <v>171.601463</v>
      </c>
      <c r="G170" s="27" t="n">
        <v>341.328993</v>
      </c>
      <c r="H170" s="27" t="n">
        <v>511.056523</v>
      </c>
    </row>
    <row r="171">
      <c r="C171" s="1" t="n">
        <v>0.95</v>
      </c>
      <c r="D171" s="27" t="n">
        <v>10.243053</v>
      </c>
      <c r="E171" s="27" t="n">
        <v>60.983917</v>
      </c>
      <c r="F171" s="27" t="n">
        <v>181.158369</v>
      </c>
      <c r="G171" s="27" t="n">
        <v>360.339294</v>
      </c>
      <c r="H171" s="27" t="n">
        <v>539.520218</v>
      </c>
    </row>
    <row r="172">
      <c r="C172" s="1" t="n">
        <v>1</v>
      </c>
      <c r="D172" s="27" t="n">
        <v>10.783778</v>
      </c>
      <c r="E172" s="27" t="n">
        <v>64.20216600000001</v>
      </c>
      <c r="F172" s="27" t="n">
        <v>190.71774</v>
      </c>
      <c r="G172" s="27" t="n">
        <v>379.354572</v>
      </c>
      <c r="H172" s="27" t="n">
        <v>567.991405</v>
      </c>
    </row>
    <row r="173">
      <c r="C173" s="1" t="n">
        <v>1.05</v>
      </c>
      <c r="D173" s="27" t="n">
        <v>11.324666</v>
      </c>
      <c r="E173" s="27" t="n">
        <v>67.421271</v>
      </c>
      <c r="F173" s="27" t="n">
        <v>200.279574</v>
      </c>
      <c r="G173" s="27" t="n">
        <v>398.374825</v>
      </c>
      <c r="H173" s="27" t="n">
        <v>596.4700759999999</v>
      </c>
    </row>
    <row r="174">
      <c r="C174" s="1" t="n">
        <v>1.1</v>
      </c>
      <c r="D174" s="27" t="n">
        <v>11.865715</v>
      </c>
      <c r="E174" s="27" t="n">
        <v>70.641232</v>
      </c>
      <c r="F174" s="27" t="n">
        <v>209.84387</v>
      </c>
      <c r="G174" s="27" t="n">
        <v>417.400047</v>
      </c>
      <c r="H174" s="27" t="n">
        <v>624.956223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189.819676</v>
      </c>
      <c r="E178" s="27" t="n">
        <v>178.924813</v>
      </c>
      <c r="F178" s="27" t="n">
        <v>168.02995</v>
      </c>
      <c r="G178" s="27" t="n">
        <v>157.135087</v>
      </c>
      <c r="H178" s="27" t="n">
        <v>146.240224</v>
      </c>
    </row>
    <row r="179">
      <c r="C179" s="1" t="n">
        <v>0.95</v>
      </c>
      <c r="D179" s="27" t="n">
        <v>202.374112</v>
      </c>
      <c r="E179" s="27" t="n">
        <v>190.873979</v>
      </c>
      <c r="F179" s="27" t="n">
        <v>179.373845</v>
      </c>
      <c r="G179" s="27" t="n">
        <v>167.873712</v>
      </c>
      <c r="H179" s="27" t="n">
        <v>156.373579</v>
      </c>
    </row>
    <row r="180">
      <c r="C180" s="1" t="n">
        <v>1</v>
      </c>
      <c r="D180" s="27" t="n">
        <v>214.928547</v>
      </c>
      <c r="E180" s="27" t="n">
        <v>202.823144</v>
      </c>
      <c r="F180" s="27" t="n">
        <v>190.71774</v>
      </c>
      <c r="G180" s="27" t="n">
        <v>178.612337</v>
      </c>
      <c r="H180" s="27" t="n">
        <v>166.506934</v>
      </c>
    </row>
    <row r="181">
      <c r="C181" s="1" t="n">
        <v>1.05</v>
      </c>
      <c r="D181" s="27" t="n">
        <v>227.482982</v>
      </c>
      <c r="E181" s="27" t="n">
        <v>214.772309</v>
      </c>
      <c r="F181" s="27" t="n">
        <v>202.061635</v>
      </c>
      <c r="G181" s="27" t="n">
        <v>189.350962</v>
      </c>
      <c r="H181" s="27" t="n">
        <v>176.640288</v>
      </c>
    </row>
    <row r="182">
      <c r="C182" s="1" t="n">
        <v>1.1</v>
      </c>
      <c r="D182" s="27" t="n">
        <v>240.037418</v>
      </c>
      <c r="E182" s="27" t="n">
        <v>226.721474</v>
      </c>
      <c r="F182" s="27" t="n">
        <v>213.40553</v>
      </c>
      <c r="G182" s="27" t="n">
        <v>200.089587</v>
      </c>
      <c r="H182" s="27" t="n">
        <v>186.773643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2026-10-27T03:28:07Z</dcterms:created>
  <dcterms:modified xsi:type="dcterms:W3CDTF">2026-10-27T03:28:07Z</dcterms:modified>
</cp:coreProperties>
</file>