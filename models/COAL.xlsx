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ARII" sheetId="6" state="visible" r:id="rId6"/>
    <sheet name="BOSS" sheetId="7" state="visible" r:id="rId7"/>
    <sheet name="BSSR" sheetId="8" state="visible" r:id="rId8"/>
    <sheet name="BUMI" sheetId="9" state="visible" r:id="rId9"/>
    <sheet name="BYAN" sheetId="10" state="visible" r:id="rId10"/>
    <sheet name="GEMS" sheetId="11" state="visible" r:id="rId11"/>
    <sheet name="GTBO" sheetId="12" state="visible" r:id="rId12"/>
    <sheet name="IATA" sheetId="13" state="visible" r:id="rId13"/>
    <sheet name="INDY" sheetId="14" state="visible" r:id="rId14"/>
    <sheet name="ITMG" sheetId="15" state="visible" r:id="rId15"/>
    <sheet name="KKGI" sheetId="16" state="visible" r:id="rId16"/>
    <sheet name="MBAP" sheetId="17" state="visible" r:id="rId17"/>
    <sheet name="MCOL" sheetId="18" state="visible" r:id="rId18"/>
    <sheet name="PTBA" sheetId="19" state="visible" r:id="rId19"/>
    <sheet name="SINI" sheetId="20" state="visible" r:id="rId20"/>
    <sheet name="SMMT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6" fontId="6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2026-10-29T05:05:22+07:00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ARII.JK — PT Atlas Resources Tbk</t>
        </is>
      </c>
    </row>
    <row r="12">
      <c r="A12" t="inlineStr">
        <is>
          <t>BOSS.JK — PT. Borneo Olah Sarana Sukses Tbk</t>
        </is>
      </c>
    </row>
    <row r="13">
      <c r="A13" t="inlineStr">
        <is>
          <t>BSSR.JK — PT Baramulti Suksessarana Tbk</t>
        </is>
      </c>
    </row>
    <row r="14">
      <c r="A14" t="inlineStr">
        <is>
          <t>BUMI.JK — PT Bumi Resources Tbk</t>
        </is>
      </c>
    </row>
    <row r="15">
      <c r="A15" t="inlineStr">
        <is>
          <t>BYAN.JK — PT Bayan Resources Tbk.</t>
        </is>
      </c>
    </row>
    <row r="16">
      <c r="A16" t="inlineStr">
        <is>
          <t>GEMS.JK — PT Golden Energy Mines Tbk</t>
        </is>
      </c>
    </row>
    <row r="17">
      <c r="A17" t="inlineStr">
        <is>
          <t>GTBO.JK — PT Garda Tujuh Buana Tbk</t>
        </is>
      </c>
    </row>
    <row r="18">
      <c r="A18" t="inlineStr">
        <is>
          <t>IATA.JK — PT MNC Energy Investments Tbk</t>
        </is>
      </c>
    </row>
    <row r="19">
      <c r="A19" t="inlineStr">
        <is>
          <t>INDY.JK — PT. Indika Energy Tbk</t>
        </is>
      </c>
    </row>
    <row r="20">
      <c r="A20" t="inlineStr">
        <is>
          <t>ITMG.JK — PT Indo Tambangraya Megah Tbk</t>
        </is>
      </c>
    </row>
    <row r="21">
      <c r="A21" t="inlineStr">
        <is>
          <t>KKGI.JK — PT Resource Alam Indonesia Tbk</t>
        </is>
      </c>
    </row>
    <row r="22">
      <c r="A22" t="inlineStr">
        <is>
          <t>MBAP.JK — PT Mitrabara Adiperdana Tbk</t>
        </is>
      </c>
    </row>
    <row r="23">
      <c r="A23" t="inlineStr">
        <is>
          <t>MCOL.JK — PT Prima Andalan Mandiri Tbk</t>
        </is>
      </c>
    </row>
    <row r="24">
      <c r="A24" t="inlineStr">
        <is>
          <t>PTBA.JK — PT Bukit Asam (Persero) Tbk</t>
        </is>
      </c>
    </row>
    <row r="25">
      <c r="A25" t="inlineStr">
        <is>
          <t>SINI.JK — PT Singaraja Putra Tbk</t>
        </is>
      </c>
    </row>
    <row r="26">
      <c r="A26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FY2023E</t>
        </is>
      </c>
      <c r="H3" s="1" t="inlineStr">
        <is>
          <t>FY2024A</t>
        </is>
      </c>
      <c r="I3" s="1" t="inlineStr">
        <is>
          <t>FY2024E</t>
        </is>
      </c>
      <c r="J3" s="1" t="inlineStr">
        <is>
          <t>FY2025A</t>
        </is>
      </c>
      <c r="K3" s="1" t="inlineStr">
        <is>
          <t>FY2025E</t>
        </is>
      </c>
      <c r="L3" s="1" t="inlineStr">
        <is>
          <t>FY2026E</t>
        </is>
      </c>
      <c r="M3" s="1" t="inlineStr">
        <is>
          <t>FY2027E</t>
        </is>
      </c>
      <c r="N3" s="1" t="inlineStr">
        <is>
          <t>FY2028E</t>
        </is>
      </c>
      <c r="O3" s="1" t="inlineStr">
        <is>
          <t>FY2029E</t>
        </is>
      </c>
      <c r="P3" s="1" t="inlineStr">
        <is>
          <t>FY2030E</t>
        </is>
      </c>
      <c r="Q3" s="1" t="inlineStr">
        <is>
          <t>FY2031E</t>
        </is>
      </c>
      <c r="R3" s="1" t="inlineStr">
        <is>
          <t>FY2032E</t>
        </is>
      </c>
      <c r="S3" s="1" t="inlineStr">
        <is>
          <t>FY2033E</t>
        </is>
      </c>
      <c r="T3" s="1" t="inlineStr">
        <is>
          <t>FY2034E</t>
        </is>
      </c>
      <c r="U3" s="1" t="inlineStr">
        <is>
          <t>FY2035E</t>
        </is>
      </c>
      <c r="V3" s="1" t="inlineStr">
        <is>
          <t>FY2036E</t>
        </is>
      </c>
      <c r="W3" s="1" t="inlineStr">
        <is>
          <t>FY2037E</t>
        </is>
      </c>
      <c r="X3" s="1" t="inlineStr">
        <is>
          <t>FY2038E</t>
        </is>
      </c>
      <c r="Y3" s="1" t="inlineStr">
        <is>
          <t>FY2039E</t>
        </is>
      </c>
      <c r="Z3" s="1" t="inlineStr">
        <is>
          <t>FY2040E</t>
        </is>
      </c>
      <c r="AA3" s="1" t="inlineStr">
        <is>
          <t>FY2041E</t>
        </is>
      </c>
      <c r="AB3" s="1" t="inlineStr">
        <is>
          <t>FY2042E</t>
        </is>
      </c>
      <c r="AC3" s="1" t="inlineStr">
        <is>
          <t>FY2043E</t>
        </is>
      </c>
      <c r="AD3" s="1" t="inlineStr">
        <is>
          <t>FY2044E</t>
        </is>
      </c>
      <c r="AE3" s="1" t="inlineStr">
        <is>
          <t>FY2045E</t>
        </is>
      </c>
      <c r="AF3" s="1" t="inlineStr">
        <is>
          <t>FY2046E</t>
        </is>
      </c>
      <c r="AG3" s="1" t="inlineStr">
        <is>
          <t>FY2047E</t>
        </is>
      </c>
      <c r="AH3" s="1" t="inlineStr">
        <is>
          <t>FY2048E</t>
        </is>
      </c>
      <c r="AI3" s="1" t="inlineStr">
        <is>
          <t>FY2049E</t>
        </is>
      </c>
      <c r="AJ3" s="1" t="inlineStr">
        <is>
          <t>FY2050E</t>
        </is>
      </c>
      <c r="AK3" s="1" t="inlineStr">
        <is>
          <t>FY2051E</t>
        </is>
      </c>
      <c r="AL3" s="1" t="inlineStr">
        <is>
          <t>FY2052E</t>
        </is>
      </c>
      <c r="AM3" s="1" t="inlineStr">
        <is>
          <t>FY2053E</t>
        </is>
      </c>
      <c r="AN3" s="1" t="inlineStr">
        <is>
          <t>FY2054E</t>
        </is>
      </c>
      <c r="AO3" s="1" t="inlineStr">
        <is>
          <t>FY2055E</t>
        </is>
      </c>
      <c r="AP3" s="1" t="inlineStr">
        <is>
          <t>FY2056E</t>
        </is>
      </c>
      <c r="AQ3" s="1" t="inlineStr">
        <is>
          <t>FY2057E</t>
        </is>
      </c>
      <c r="AR3" s="1" t="inlineStr">
        <is>
          <t>FY2058E</t>
        </is>
      </c>
      <c r="AS3" s="1" t="inlineStr">
        <is>
          <t>FY2059E</t>
        </is>
      </c>
      <c r="AT3" s="1" t="inlineStr">
        <is>
          <t>FY2060E</t>
        </is>
      </c>
      <c r="AU3" s="1" t="inlineStr">
        <is>
          <t>FY2061E</t>
        </is>
      </c>
      <c r="AV3" s="1" t="inlineStr">
        <is>
          <t>FY2062E</t>
        </is>
      </c>
      <c r="AW3" s="1" t="inlineStr">
        <is>
          <t>FY2063E</t>
        </is>
      </c>
      <c r="AX3" s="1" t="inlineStr">
        <is>
          <t>FY2064E</t>
        </is>
      </c>
      <c r="AY3" s="1" t="inlineStr">
        <is>
          <t>FY2065E</t>
        </is>
      </c>
      <c r="AZ3" s="1" t="inlineStr">
        <is>
          <t>FY2066E</t>
        </is>
      </c>
      <c r="BA3" s="1" t="inlineStr">
        <is>
          <t>FY2067E</t>
        </is>
      </c>
      <c r="BB3" s="1" t="inlineStr">
        <is>
          <t>FY2068E</t>
        </is>
      </c>
      <c r="BC3" s="1" t="inlineStr">
        <is>
          <t>FY2069E</t>
        </is>
      </c>
      <c r="BD3" s="1" t="inlineStr">
        <is>
          <t>FY2070E</t>
        </is>
      </c>
      <c r="BE3" s="1" t="inlineStr">
        <is>
          <t>FY2071E</t>
        </is>
      </c>
      <c r="BF3" s="1" t="inlineStr">
        <is>
          <t>FY2072E</t>
        </is>
      </c>
      <c r="BG3" s="1" t="inlineStr">
        <is>
          <t>FY2073E</t>
        </is>
      </c>
      <c r="BH3" s="1" t="inlineStr">
        <is>
          <t>FY2074E</t>
        </is>
      </c>
      <c r="BI3" s="1" t="inlineStr">
        <is>
          <t>FY2075E</t>
        </is>
      </c>
      <c r="BJ3" s="1" t="inlineStr">
        <is>
          <t>FY2076E</t>
        </is>
      </c>
      <c r="BK3" s="1" t="inlineStr">
        <is>
          <t>FY2077E</t>
        </is>
      </c>
      <c r="BL3" s="1" t="inlineStr">
        <is>
          <t>FY2078E</t>
        </is>
      </c>
      <c r="BM3" s="1" t="inlineStr">
        <is>
          <t>FY2079E</t>
        </is>
      </c>
      <c r="BN3" s="1" t="inlineStr">
        <is>
          <t>FY2080E</t>
        </is>
      </c>
      <c r="BO3" s="1" t="inlineStr">
        <is>
          <t>FY2081E</t>
        </is>
      </c>
      <c r="BP3" s="1" t="inlineStr">
        <is>
          <t>FY2082E</t>
        </is>
      </c>
      <c r="BQ3" s="1" t="inlineStr">
        <is>
          <t>FY2083E</t>
        </is>
      </c>
      <c r="BR3" s="1" t="inlineStr">
        <is>
          <t>FY2084E</t>
        </is>
      </c>
      <c r="BS3" s="1" t="inlineStr">
        <is>
          <t>FY2085E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>
        <v>70</v>
      </c>
      <c r="H4" s="3" t="n"/>
      <c r="I4" s="3" t="n">
        <v>70</v>
      </c>
      <c r="J4" s="3" t="n"/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  <c r="BP4" s="3" t="n">
        <v>70</v>
      </c>
      <c r="BQ4" s="3" t="n">
        <v>70</v>
      </c>
      <c r="BR4" s="3" t="n">
        <v>70</v>
      </c>
      <c r="BS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>
        <v>105</v>
      </c>
      <c r="H5" s="3" t="n"/>
      <c r="I5" s="3" t="n">
        <v>105</v>
      </c>
      <c r="J5" s="3" t="n"/>
      <c r="K5" s="3" t="n">
        <v>105</v>
      </c>
      <c r="L5" s="3" t="n">
        <v>118</v>
      </c>
      <c r="M5" s="3" t="n">
        <v>112</v>
      </c>
      <c r="N5" s="3" t="n">
        <v>108</v>
      </c>
      <c r="O5" s="3" t="n">
        <v>105</v>
      </c>
      <c r="P5" s="3" t="n">
        <v>107.1</v>
      </c>
      <c r="Q5" s="3" t="n">
        <v>109.242</v>
      </c>
      <c r="R5" s="3" t="n">
        <v>111.42684</v>
      </c>
      <c r="S5" s="3" t="n">
        <v>113.6553768</v>
      </c>
      <c r="T5" s="3" t="n">
        <v>115.928484336</v>
      </c>
      <c r="U5" s="3" t="n">
        <v>118.24705402272</v>
      </c>
      <c r="V5" s="3" t="n">
        <v>120.6119951031744</v>
      </c>
      <c r="W5" s="3" t="n">
        <v>123.0242350052379</v>
      </c>
      <c r="X5" s="3" t="n">
        <v>125.4847197053427</v>
      </c>
      <c r="Y5" s="3" t="n">
        <v>127.9944140994495</v>
      </c>
      <c r="Z5" s="3" t="n">
        <v>130.5543023814385</v>
      </c>
      <c r="AA5" s="3" t="n">
        <v>133.1653884290673</v>
      </c>
      <c r="AB5" s="3" t="n">
        <v>135.8286961976486</v>
      </c>
      <c r="AC5" s="3" t="n">
        <v>138.5452701216016</v>
      </c>
      <c r="AD5" s="3" t="n">
        <v>141.3161755240336</v>
      </c>
      <c r="AE5" s="3" t="n">
        <v>144.1424990345143</v>
      </c>
      <c r="AF5" s="3" t="n">
        <v>147.0253490152046</v>
      </c>
      <c r="AG5" s="3" t="n">
        <v>149.9658559955087</v>
      </c>
      <c r="AH5" s="3" t="n">
        <v>152.9651731154189</v>
      </c>
      <c r="AI5" s="3" t="n">
        <v>156.0244765777273</v>
      </c>
      <c r="AJ5" s="3" t="n">
        <v>159.1449661092818</v>
      </c>
      <c r="AK5" s="3" t="n">
        <v>162.3278654314674</v>
      </c>
      <c r="AL5" s="3" t="n">
        <v>165.5744227400968</v>
      </c>
      <c r="AM5" s="3" t="n">
        <v>168.8859111948987</v>
      </c>
      <c r="AN5" s="3" t="n">
        <v>172.2636294187967</v>
      </c>
      <c r="AO5" s="3" t="n">
        <v>175.7089020071726</v>
      </c>
      <c r="AP5" s="3" t="n">
        <v>179.2230800473161</v>
      </c>
      <c r="AQ5" s="3" t="n">
        <v>182.8075416482625</v>
      </c>
      <c r="AR5" s="3" t="n">
        <v>186.4636924812277</v>
      </c>
      <c r="AS5" s="3" t="n">
        <v>190.1929663308522</v>
      </c>
      <c r="AT5" s="3" t="n">
        <v>193.9968256574693</v>
      </c>
      <c r="AU5" s="3" t="n">
        <v>197.8767621706187</v>
      </c>
      <c r="AV5" s="3" t="n">
        <v>201.8342974140311</v>
      </c>
      <c r="AW5" s="3" t="n">
        <v>205.8709833623117</v>
      </c>
      <c r="AX5" s="3" t="n">
        <v>209.9884030295579</v>
      </c>
      <c r="AY5" s="3" t="n">
        <v>214.1881710901491</v>
      </c>
      <c r="AZ5" s="3" t="n">
        <v>218.4719345119521</v>
      </c>
      <c r="BA5" s="3" t="n">
        <v>222.8413732021911</v>
      </c>
      <c r="BB5" s="3" t="n">
        <v>227.2982006662349</v>
      </c>
      <c r="BC5" s="3" t="n">
        <v>231.8441646795596</v>
      </c>
      <c r="BD5" s="3" t="n">
        <v>236.4810479731509</v>
      </c>
      <c r="BE5" s="3" t="n">
        <v>241.2106689326139</v>
      </c>
      <c r="BF5" s="3" t="n">
        <v>246.0348823112662</v>
      </c>
      <c r="BG5" s="3" t="n">
        <v>250.9555799574915</v>
      </c>
      <c r="BH5" s="3" t="n">
        <v>255.9746915566413</v>
      </c>
      <c r="BI5" s="3" t="n">
        <v>261.0941853877741</v>
      </c>
      <c r="BJ5" s="3" t="n">
        <v>266.3160690955296</v>
      </c>
      <c r="BK5" s="3" t="n">
        <v>271.6423904774402</v>
      </c>
      <c r="BL5" s="3" t="n">
        <v>277.075238286989</v>
      </c>
      <c r="BM5" s="3" t="n">
        <v>282.6167430527289</v>
      </c>
      <c r="BN5" s="3" t="n">
        <v>288.2690779137834</v>
      </c>
      <c r="BO5" s="3" t="n">
        <v>294.0344594720591</v>
      </c>
      <c r="BP5" s="3" t="n">
        <v>299.9151486615002</v>
      </c>
      <c r="BQ5" s="3" t="n">
        <v>305.9134516347303</v>
      </c>
      <c r="BR5" s="3" t="n">
        <v>312.0317206674249</v>
      </c>
      <c r="BS5" s="3" t="n">
        <v>318.2723550807734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/>
      <c r="G6" s="3" t="n">
        <v>105</v>
      </c>
      <c r="H6" s="3" t="n">
        <v>136.1</v>
      </c>
      <c r="I6" s="3" t="n">
        <v>105</v>
      </c>
      <c r="J6" s="3" t="n">
        <v>108.4</v>
      </c>
      <c r="K6" s="3" t="n">
        <v>105</v>
      </c>
      <c r="L6" s="3" t="n">
        <v>137</v>
      </c>
      <c r="M6" s="3" t="n">
        <v>118</v>
      </c>
      <c r="N6" s="3" t="n">
        <v>110</v>
      </c>
      <c r="O6" s="3" t="n">
        <v>105</v>
      </c>
      <c r="P6" s="3" t="n">
        <v>107.1</v>
      </c>
      <c r="Q6" s="3" t="n">
        <v>109.242</v>
      </c>
      <c r="R6" s="3" t="n">
        <v>111.42684</v>
      </c>
      <c r="S6" s="3" t="n">
        <v>113.6553768</v>
      </c>
      <c r="T6" s="3" t="n">
        <v>115.928484336</v>
      </c>
      <c r="U6" s="3" t="n">
        <v>118.24705402272</v>
      </c>
      <c r="V6" s="3" t="n">
        <v>120.6119951031744</v>
      </c>
      <c r="W6" s="3" t="n">
        <v>123.0242350052379</v>
      </c>
      <c r="X6" s="3" t="n">
        <v>125.4847197053427</v>
      </c>
      <c r="Y6" s="3" t="n">
        <v>127.9944140994495</v>
      </c>
      <c r="Z6" s="3" t="n">
        <v>130.5543023814385</v>
      </c>
      <c r="AA6" s="3" t="n">
        <v>133.1653884290673</v>
      </c>
      <c r="AB6" s="3" t="n">
        <v>135.8286961976486</v>
      </c>
      <c r="AC6" s="3" t="n">
        <v>138.5452701216016</v>
      </c>
      <c r="AD6" s="3" t="n">
        <v>141.3161755240336</v>
      </c>
      <c r="AE6" s="3" t="n">
        <v>144.1424990345143</v>
      </c>
      <c r="AF6" s="3" t="n">
        <v>147.0253490152046</v>
      </c>
      <c r="AG6" s="3" t="n">
        <v>149.9658559955087</v>
      </c>
      <c r="AH6" s="3" t="n">
        <v>152.9651731154189</v>
      </c>
      <c r="AI6" s="3" t="n">
        <v>156.0244765777273</v>
      </c>
      <c r="AJ6" s="3" t="n">
        <v>159.1449661092818</v>
      </c>
      <c r="AK6" s="3" t="n">
        <v>162.3278654314674</v>
      </c>
      <c r="AL6" s="3" t="n">
        <v>165.5744227400968</v>
      </c>
      <c r="AM6" s="3" t="n">
        <v>168.8859111948987</v>
      </c>
      <c r="AN6" s="3" t="n">
        <v>172.2636294187967</v>
      </c>
      <c r="AO6" s="3" t="n">
        <v>175.7089020071726</v>
      </c>
      <c r="AP6" s="3" t="n">
        <v>179.2230800473161</v>
      </c>
      <c r="AQ6" s="3" t="n">
        <v>182.8075416482625</v>
      </c>
      <c r="AR6" s="3" t="n">
        <v>186.4636924812277</v>
      </c>
      <c r="AS6" s="3" t="n">
        <v>190.1929663308522</v>
      </c>
      <c r="AT6" s="3" t="n">
        <v>193.9968256574693</v>
      </c>
      <c r="AU6" s="3" t="n">
        <v>197.8767621706187</v>
      </c>
      <c r="AV6" s="3" t="n">
        <v>201.8342974140311</v>
      </c>
      <c r="AW6" s="3" t="n">
        <v>205.8709833623117</v>
      </c>
      <c r="AX6" s="3" t="n">
        <v>209.9884030295579</v>
      </c>
      <c r="AY6" s="3" t="n">
        <v>214.1881710901491</v>
      </c>
      <c r="AZ6" s="3" t="n">
        <v>218.4719345119521</v>
      </c>
      <c r="BA6" s="3" t="n">
        <v>222.8413732021911</v>
      </c>
      <c r="BB6" s="3" t="n">
        <v>227.2982006662349</v>
      </c>
      <c r="BC6" s="3" t="n">
        <v>231.8441646795596</v>
      </c>
      <c r="BD6" s="3" t="n">
        <v>236.4810479731509</v>
      </c>
      <c r="BE6" s="3" t="n">
        <v>241.2106689326139</v>
      </c>
      <c r="BF6" s="3" t="n">
        <v>246.0348823112662</v>
      </c>
      <c r="BG6" s="3" t="n">
        <v>250.9555799574915</v>
      </c>
      <c r="BH6" s="3" t="n">
        <v>255.9746915566413</v>
      </c>
      <c r="BI6" s="3" t="n">
        <v>261.0941853877741</v>
      </c>
      <c r="BJ6" s="3" t="n">
        <v>266.3160690955296</v>
      </c>
      <c r="BK6" s="3" t="n">
        <v>271.6423904774402</v>
      </c>
      <c r="BL6" s="3" t="n">
        <v>277.075238286989</v>
      </c>
      <c r="BM6" s="3" t="n">
        <v>282.6167430527289</v>
      </c>
      <c r="BN6" s="3" t="n">
        <v>288.2690779137834</v>
      </c>
      <c r="BO6" s="3" t="n">
        <v>294.0344594720591</v>
      </c>
      <c r="BP6" s="3" t="n">
        <v>299.9151486615002</v>
      </c>
      <c r="BQ6" s="3" t="n">
        <v>305.9134516347303</v>
      </c>
      <c r="BR6" s="3" t="n">
        <v>312.0317206674249</v>
      </c>
      <c r="BS6" s="3" t="n">
        <v>318.2723550807734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14310.5396</v>
      </c>
      <c r="E7" s="3" t="n">
        <v>14843.1773</v>
      </c>
      <c r="F7" s="3" t="n">
        <v>15228.8</v>
      </c>
      <c r="G7" s="3" t="n">
        <v>19000</v>
      </c>
      <c r="H7" s="3" t="n">
        <v>15846.2378</v>
      </c>
      <c r="I7" s="3" t="n">
        <v>19000</v>
      </c>
      <c r="J7" s="3" t="n">
        <v>16448.0929</v>
      </c>
      <c r="K7" s="3" t="n">
        <v>19000</v>
      </c>
      <c r="L7" s="3" t="n">
        <v>17570</v>
      </c>
      <c r="M7" s="3" t="n">
        <v>18350</v>
      </c>
      <c r="N7" s="3" t="n">
        <v>18600</v>
      </c>
      <c r="O7" s="3" t="n">
        <v>18850</v>
      </c>
      <c r="P7" s="3" t="n">
        <v>19093.13725490196</v>
      </c>
      <c r="Q7" s="3" t="n">
        <v>19186.73106497501</v>
      </c>
      <c r="R7" s="3" t="n">
        <v>19280.78366823469</v>
      </c>
      <c r="S7" s="3" t="n">
        <v>19375.29731366722</v>
      </c>
      <c r="T7" s="3" t="n">
        <v>19470.27426128323</v>
      </c>
      <c r="U7" s="3" t="n">
        <v>19565.71678217187</v>
      </c>
      <c r="V7" s="3" t="n">
        <v>19661.62715855507</v>
      </c>
      <c r="W7" s="3" t="n">
        <v>19758.0076838421</v>
      </c>
      <c r="X7" s="3" t="n">
        <v>19854.86066268446</v>
      </c>
      <c r="Y7" s="3" t="n">
        <v>19952.18841103096</v>
      </c>
      <c r="Z7" s="3" t="n">
        <v>20049.99325618306</v>
      </c>
      <c r="AA7" s="3" t="n">
        <v>20148.27753685063</v>
      </c>
      <c r="AB7" s="3" t="n">
        <v>20247.04360320774</v>
      </c>
      <c r="AC7" s="3" t="n">
        <v>20346.29381694896</v>
      </c>
      <c r="AD7" s="3" t="n">
        <v>20446.03055134577</v>
      </c>
      <c r="AE7" s="3" t="n">
        <v>20546.25619130334</v>
      </c>
      <c r="AF7" s="3" t="n">
        <v>20646.97313341757</v>
      </c>
      <c r="AG7" s="3" t="n">
        <v>20748.18378603236</v>
      </c>
      <c r="AH7" s="3" t="n">
        <v>20849.89056929723</v>
      </c>
      <c r="AI7" s="3" t="n">
        <v>20952.09591522516</v>
      </c>
      <c r="AJ7" s="3" t="n">
        <v>21054.80226775077</v>
      </c>
      <c r="AK7" s="3" t="n">
        <v>21158.01208278876</v>
      </c>
      <c r="AL7" s="3" t="n">
        <v>21261.72782829263</v>
      </c>
      <c r="AM7" s="3" t="n">
        <v>21365.95198431367</v>
      </c>
      <c r="AN7" s="3" t="n">
        <v>21470.6870430603</v>
      </c>
      <c r="AO7" s="3" t="n">
        <v>21575.93550895766</v>
      </c>
      <c r="AP7" s="3" t="n">
        <v>21681.69989870745</v>
      </c>
      <c r="AQ7" s="3" t="n">
        <v>21787.98274134817</v>
      </c>
      <c r="AR7" s="3" t="n">
        <v>21894.78657831556</v>
      </c>
      <c r="AS7" s="3" t="n">
        <v>22002.11396350339</v>
      </c>
      <c r="AT7" s="3" t="n">
        <v>22109.96746332448</v>
      </c>
      <c r="AU7" s="3" t="n">
        <v>22218.34965677215</v>
      </c>
      <c r="AV7" s="3" t="n">
        <v>22327.26313548182</v>
      </c>
      <c r="AW7" s="3" t="n">
        <v>22436.710503793</v>
      </c>
      <c r="AX7" s="3" t="n">
        <v>22546.6943788116</v>
      </c>
      <c r="AY7" s="3" t="n">
        <v>22657.21739047244</v>
      </c>
      <c r="AZ7" s="3" t="n">
        <v>22768.2821816022</v>
      </c>
      <c r="BA7" s="3" t="n">
        <v>22879.89140798261</v>
      </c>
      <c r="BB7" s="3" t="n">
        <v>22992.04773841389</v>
      </c>
      <c r="BC7" s="3" t="n">
        <v>23104.75385477867</v>
      </c>
      <c r="BD7" s="3" t="n">
        <v>23218.01245210601</v>
      </c>
      <c r="BE7" s="3" t="n">
        <v>23331.82623863595</v>
      </c>
      <c r="BF7" s="3" t="n">
        <v>23446.19793588416</v>
      </c>
      <c r="BG7" s="3" t="n">
        <v>23561.13027870712</v>
      </c>
      <c r="BH7" s="3" t="n">
        <v>23676.62601536745</v>
      </c>
      <c r="BI7" s="3" t="n">
        <v>23792.68790759964</v>
      </c>
      <c r="BJ7" s="3" t="n">
        <v>23909.31873067611</v>
      </c>
      <c r="BK7" s="3" t="n">
        <v>24026.52127347354</v>
      </c>
      <c r="BL7" s="3" t="n">
        <v>24144.29833853959</v>
      </c>
      <c r="BM7" s="3" t="n">
        <v>24262.65274215988</v>
      </c>
      <c r="BN7" s="3" t="n">
        <v>24381.58731442537</v>
      </c>
      <c r="BO7" s="3" t="n">
        <v>24501.1048993</v>
      </c>
      <c r="BP7" s="3" t="n">
        <v>24621.20835468873</v>
      </c>
      <c r="BQ7" s="3" t="n">
        <v>24741.90055250583</v>
      </c>
      <c r="BR7" s="3" t="n">
        <v>24863.1843787436</v>
      </c>
      <c r="BS7" s="3" t="n">
        <v>24985.06273354136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70.9538</v>
      </c>
      <c r="E8" s="3" t="n">
        <v>98.9663</v>
      </c>
      <c r="F8" s="3" t="n">
        <v>82.1904</v>
      </c>
      <c r="G8" s="3" t="n">
        <v>75</v>
      </c>
      <c r="H8" s="3" t="n">
        <v>79.82129999999999</v>
      </c>
      <c r="I8" s="3" t="n">
        <v>75</v>
      </c>
      <c r="J8" s="3" t="n">
        <v>68.1015</v>
      </c>
      <c r="K8" s="3" t="n">
        <v>75</v>
      </c>
      <c r="L8" s="3" t="n">
        <v>96</v>
      </c>
      <c r="M8" s="3" t="n">
        <v>84</v>
      </c>
      <c r="N8" s="3" t="n">
        <v>80</v>
      </c>
      <c r="O8" s="3" t="n">
        <v>78</v>
      </c>
      <c r="P8" s="3" t="n">
        <v>76.5</v>
      </c>
      <c r="Q8" s="3" t="n">
        <v>78.03</v>
      </c>
      <c r="R8" s="3" t="n">
        <v>79.59060000000001</v>
      </c>
      <c r="S8" s="3" t="n">
        <v>81.182412</v>
      </c>
      <c r="T8" s="3" t="n">
        <v>82.80606024000001</v>
      </c>
      <c r="U8" s="3" t="n">
        <v>84.46218144480001</v>
      </c>
      <c r="V8" s="3" t="n">
        <v>86.151425073696</v>
      </c>
      <c r="W8" s="3" t="n">
        <v>87.87445357516994</v>
      </c>
      <c r="X8" s="3" t="n">
        <v>89.63194264667332</v>
      </c>
      <c r="Y8" s="3" t="n">
        <v>91.4245814996068</v>
      </c>
      <c r="Z8" s="3" t="n">
        <v>93.25307312959893</v>
      </c>
      <c r="AA8" s="3" t="n">
        <v>95.11813459219091</v>
      </c>
      <c r="AB8" s="3" t="n">
        <v>97.02049728403475</v>
      </c>
      <c r="AC8" s="3" t="n">
        <v>98.96090722971543</v>
      </c>
      <c r="AD8" s="3" t="n">
        <v>100.9401253743097</v>
      </c>
      <c r="AE8" s="3" t="n">
        <v>102.9589278817959</v>
      </c>
      <c r="AF8" s="3" t="n">
        <v>105.0181064394319</v>
      </c>
      <c r="AG8" s="3" t="n">
        <v>107.1184685682205</v>
      </c>
      <c r="AH8" s="3" t="n">
        <v>109.2608379395849</v>
      </c>
      <c r="AI8" s="3" t="n">
        <v>111.4460546983766</v>
      </c>
      <c r="AJ8" s="3" t="n">
        <v>113.6749757923441</v>
      </c>
      <c r="AK8" s="3" t="n">
        <v>115.948475308191</v>
      </c>
      <c r="AL8" s="3" t="n">
        <v>118.2674448143549</v>
      </c>
      <c r="AM8" s="3" t="n">
        <v>120.632793710642</v>
      </c>
      <c r="AN8" s="3" t="n">
        <v>123.0454495848548</v>
      </c>
      <c r="AO8" s="3" t="n">
        <v>125.5063585765519</v>
      </c>
      <c r="AP8" s="3" t="n">
        <v>128.0164857480829</v>
      </c>
      <c r="AQ8" s="3" t="n">
        <v>130.5768154630446</v>
      </c>
      <c r="AR8" s="3" t="n">
        <v>133.1883517723055</v>
      </c>
      <c r="AS8" s="3" t="n">
        <v>135.8521188077516</v>
      </c>
      <c r="AT8" s="3" t="n">
        <v>138.5691611839066</v>
      </c>
      <c r="AU8" s="3" t="n">
        <v>141.3405444075848</v>
      </c>
      <c r="AV8" s="3" t="n">
        <v>144.1673552957365</v>
      </c>
      <c r="AW8" s="3" t="n">
        <v>147.0507024016512</v>
      </c>
      <c r="AX8" s="3" t="n">
        <v>149.9917164496842</v>
      </c>
      <c r="AY8" s="3" t="n">
        <v>152.9915507786779</v>
      </c>
      <c r="AZ8" s="3" t="n">
        <v>156.0513817942515</v>
      </c>
      <c r="BA8" s="3" t="n">
        <v>159.1724094301365</v>
      </c>
      <c r="BB8" s="3" t="n">
        <v>162.3558576187392</v>
      </c>
      <c r="BC8" s="3" t="n">
        <v>165.602974771114</v>
      </c>
      <c r="BD8" s="3" t="n">
        <v>168.9150342665363</v>
      </c>
      <c r="BE8" s="3" t="n">
        <v>172.2933349518671</v>
      </c>
      <c r="BF8" s="3" t="n">
        <v>175.7392016509044</v>
      </c>
      <c r="BG8" s="3" t="n">
        <v>179.2539856839225</v>
      </c>
      <c r="BH8" s="3" t="n">
        <v>182.8390653976009</v>
      </c>
      <c r="BI8" s="3" t="n">
        <v>186.4958467055529</v>
      </c>
      <c r="BJ8" s="3" t="n">
        <v>190.225763639664</v>
      </c>
      <c r="BK8" s="3" t="n">
        <v>194.0302789124573</v>
      </c>
      <c r="BL8" s="3" t="n">
        <v>197.9108844907065</v>
      </c>
      <c r="BM8" s="3" t="n">
        <v>201.8691021805206</v>
      </c>
      <c r="BN8" s="3" t="n">
        <v>205.906484224131</v>
      </c>
      <c r="BO8" s="3" t="n">
        <v>210.0246139086136</v>
      </c>
      <c r="BP8" s="3" t="n">
        <v>214.2251061867859</v>
      </c>
      <c r="BQ8" s="3" t="n">
        <v>218.5096083105216</v>
      </c>
      <c r="BR8" s="3" t="n">
        <v>222.8798004767321</v>
      </c>
      <c r="BS8" s="3" t="n">
        <v>227.3373964862667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0.05036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2026-10-28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2026-10-28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2026-10-28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3.893951</v>
      </c>
      <c r="I2" s="10" t="n">
        <v>2.22694</v>
      </c>
      <c r="J2" s="11" t="n">
        <v>0.218287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7.95375</v>
      </c>
      <c r="I3" s="10" t="n">
        <v>6.045424</v>
      </c>
      <c r="J3" s="11" t="n">
        <v>0.044004</v>
      </c>
    </row>
    <row r="4">
      <c r="A4" t="inlineStr">
        <is>
          <t>ARII.JK</t>
        </is>
      </c>
      <c r="B4" t="inlineStr">
        <is>
          <t>PT Atlas Resources Tbk</t>
        </is>
      </c>
      <c r="C4" s="7">
        <f>'ARII'!$C$151</f>
        <v/>
      </c>
      <c r="D4" s="8">
        <f>'ARII'!$C$149</f>
        <v/>
      </c>
      <c r="E4" s="8">
        <f>'ARII'!$C$102</f>
        <v/>
      </c>
      <c r="F4" s="9">
        <f>'ARII'!$C$150</f>
        <v/>
      </c>
      <c r="G4" s="8">
        <f>'ARII'!$C$139</f>
        <v/>
      </c>
      <c r="H4" s="10" t="n">
        <v>5.486501</v>
      </c>
      <c r="I4" s="10" t="n">
        <v>1.415205</v>
      </c>
      <c r="J4" s="11" t="n">
        <v>0</v>
      </c>
    </row>
    <row r="5">
      <c r="A5" t="inlineStr">
        <is>
          <t>BOSS.JK</t>
        </is>
      </c>
      <c r="B5" t="inlineStr">
        <is>
          <t>PT. Borneo Olah Sarana Sukses Tbk</t>
        </is>
      </c>
      <c r="C5" s="7">
        <f>'BOSS'!$C$151</f>
        <v/>
      </c>
      <c r="D5" s="8">
        <f>'BOSS'!$C$149</f>
        <v/>
      </c>
      <c r="E5" s="8">
        <f>'BOSS'!$C$102</f>
        <v/>
      </c>
      <c r="F5" s="9">
        <f>'BOSS'!$C$150</f>
        <v/>
      </c>
      <c r="G5" s="8">
        <f>'BOSS'!$C$139</f>
        <v/>
      </c>
      <c r="H5" s="10" t="n"/>
      <c r="I5" s="10" t="n"/>
      <c r="J5" s="11" t="n">
        <v>0</v>
      </c>
    </row>
    <row r="6">
      <c r="A6" t="inlineStr">
        <is>
          <t>BSSR.JK</t>
        </is>
      </c>
      <c r="B6" t="inlineStr">
        <is>
          <t>PT Baramulti Suksessarana Tbk</t>
        </is>
      </c>
      <c r="C6" s="7">
        <f>'BSSR'!$C$163</f>
        <v/>
      </c>
      <c r="D6" s="8">
        <f>'BSSR'!$C$161</f>
        <v/>
      </c>
      <c r="E6" s="8">
        <f>'BSSR'!$C$102</f>
        <v/>
      </c>
      <c r="F6" s="9">
        <f>'BSSR'!$C$162</f>
        <v/>
      </c>
      <c r="G6" s="8">
        <f>'BSSR'!$C$151</f>
        <v/>
      </c>
      <c r="H6" s="10" t="n">
        <v>5.824791</v>
      </c>
      <c r="I6" s="10" t="n">
        <v>3.909608</v>
      </c>
      <c r="J6" s="11" t="n">
        <v>0.120176</v>
      </c>
    </row>
    <row r="7">
      <c r="A7" t="inlineStr">
        <is>
          <t>BUMI.JK</t>
        </is>
      </c>
      <c r="B7" t="inlineStr">
        <is>
          <t>PT Bumi Resources Tbk</t>
        </is>
      </c>
      <c r="C7" s="7">
        <f>'BUMI'!$C$166</f>
        <v/>
      </c>
      <c r="D7" s="8">
        <f>'BUMI'!$C$164</f>
        <v/>
      </c>
      <c r="E7" s="8">
        <f>'BUMI'!$C$102</f>
        <v/>
      </c>
      <c r="F7" s="9">
        <f>'BUMI'!$C$165</f>
        <v/>
      </c>
      <c r="G7" s="8">
        <f>'BUMI'!$C$145</f>
        <v/>
      </c>
      <c r="H7" s="10" t="n">
        <v>11.160435</v>
      </c>
      <c r="I7" s="10" t="n">
        <v>3.568698</v>
      </c>
      <c r="J7" s="11" t="n">
        <v>0</v>
      </c>
    </row>
    <row r="8">
      <c r="A8" t="inlineStr">
        <is>
          <t>BYAN.JK</t>
        </is>
      </c>
      <c r="B8" t="inlineStr">
        <is>
          <t>PT Bayan Resources Tbk.</t>
        </is>
      </c>
      <c r="C8" s="7">
        <f>'BYAN'!$C$172</f>
        <v/>
      </c>
      <c r="D8" s="8">
        <f>'BYAN'!$C$170</f>
        <v/>
      </c>
      <c r="E8" s="8">
        <f>'BYAN'!$C$102</f>
        <v/>
      </c>
      <c r="F8" s="9">
        <f>'BYAN'!$C$171</f>
        <v/>
      </c>
      <c r="G8" s="8">
        <f>'BYAN'!$C$151</f>
        <v/>
      </c>
      <c r="H8" s="10" t="n">
        <v>13.935234</v>
      </c>
      <c r="I8" s="10" t="n">
        <v>9.317254999999999</v>
      </c>
      <c r="J8" s="11" t="n">
        <v>0.052385</v>
      </c>
    </row>
    <row r="9">
      <c r="A9" t="inlineStr">
        <is>
          <t>GEMS.JK</t>
        </is>
      </c>
      <c r="B9" t="inlineStr">
        <is>
          <t>PT Golden Energy Mines Tbk</t>
        </is>
      </c>
      <c r="C9" s="7">
        <f>'GEMS'!$C$166</f>
        <v/>
      </c>
      <c r="D9" s="8">
        <f>'GEMS'!$C$164</f>
        <v/>
      </c>
      <c r="E9" s="8">
        <f>'GEMS'!$C$102</f>
        <v/>
      </c>
      <c r="F9" s="9">
        <f>'GEMS'!$C$165</f>
        <v/>
      </c>
      <c r="G9" s="8">
        <f>'GEMS'!$C$145</f>
        <v/>
      </c>
      <c r="H9" s="10" t="n">
        <v>4.139005</v>
      </c>
      <c r="I9" s="10" t="n">
        <v>2.596851</v>
      </c>
      <c r="J9" s="11" t="n">
        <v>0.109447</v>
      </c>
    </row>
    <row r="10">
      <c r="A10" t="inlineStr">
        <is>
          <t>GTBO.JK</t>
        </is>
      </c>
      <c r="B10" t="inlineStr">
        <is>
          <t>PT Garda Tujuh Buana Tbk</t>
        </is>
      </c>
      <c r="C10" s="7">
        <f>'GTBO'!$C$151</f>
        <v/>
      </c>
      <c r="D10" s="8">
        <f>'GTBO'!$C$149</f>
        <v/>
      </c>
      <c r="E10" s="8">
        <f>'GTBO'!$C$102</f>
        <v/>
      </c>
      <c r="F10" s="9">
        <f>'GTBO'!$C$150</f>
        <v/>
      </c>
      <c r="G10" s="8">
        <f>'GTBO'!$C$139</f>
        <v/>
      </c>
      <c r="H10" s="10" t="n"/>
      <c r="I10" s="10" t="n">
        <v>7.974267</v>
      </c>
      <c r="J10" s="11" t="n">
        <v>0</v>
      </c>
    </row>
    <row r="11">
      <c r="A11" t="inlineStr">
        <is>
          <t>IATA.JK</t>
        </is>
      </c>
      <c r="B11" t="inlineStr">
        <is>
          <t>PT MNC Energy Investments Tbk</t>
        </is>
      </c>
      <c r="C11" s="7">
        <f>'IATA'!$C$157</f>
        <v/>
      </c>
      <c r="D11" s="8">
        <f>'IATA'!$C$155</f>
        <v/>
      </c>
      <c r="E11" s="8">
        <f>'IATA'!$C$102</f>
        <v/>
      </c>
      <c r="F11" s="9">
        <f>'IATA'!$C$156</f>
        <v/>
      </c>
      <c r="G11" s="8">
        <f>'IATA'!$C$145</f>
        <v/>
      </c>
      <c r="H11" s="10" t="n">
        <v>58.357927</v>
      </c>
      <c r="I11" s="10" t="n">
        <v>20.285331</v>
      </c>
      <c r="J11" s="11" t="n">
        <v>0</v>
      </c>
    </row>
    <row r="12">
      <c r="A12" t="inlineStr">
        <is>
          <t>INDY.JK</t>
        </is>
      </c>
      <c r="B12" t="inlineStr">
        <is>
          <t>PT. Indika Energy Tbk</t>
        </is>
      </c>
      <c r="C12" s="7">
        <f>'INDY'!$C$163</f>
        <v/>
      </c>
      <c r="D12" s="8">
        <f>'INDY'!$C$161</f>
        <v/>
      </c>
      <c r="E12" s="8">
        <f>'INDY'!$C$102</f>
        <v/>
      </c>
      <c r="F12" s="9">
        <f>'INDY'!$C$162</f>
        <v/>
      </c>
      <c r="G12" s="8">
        <f>'INDY'!$C$151</f>
        <v/>
      </c>
      <c r="H12" s="10" t="n">
        <v>5.973185</v>
      </c>
      <c r="I12" s="10" t="n">
        <v>2.645657</v>
      </c>
      <c r="J12" s="11" t="n">
        <v>0.050224</v>
      </c>
    </row>
    <row r="13">
      <c r="A13" t="inlineStr">
        <is>
          <t>ITMG.JK</t>
        </is>
      </c>
      <c r="B13" t="inlineStr">
        <is>
          <t>PT Indo Tambangraya Megah Tbk</t>
        </is>
      </c>
      <c r="C13" s="7">
        <f>'ITMG'!$C$163</f>
        <v/>
      </c>
      <c r="D13" s="8">
        <f>'ITMG'!$C$161</f>
        <v/>
      </c>
      <c r="E13" s="8">
        <f>'ITMG'!$C$102</f>
        <v/>
      </c>
      <c r="F13" s="9">
        <f>'ITMG'!$C$162</f>
        <v/>
      </c>
      <c r="G13" s="8">
        <f>'ITMG'!$C$151</f>
        <v/>
      </c>
      <c r="H13" s="10" t="n">
        <v>3.873935</v>
      </c>
      <c r="I13" s="10" t="n">
        <v>1.098426</v>
      </c>
      <c r="J13" s="11" t="n">
        <v>0.154881</v>
      </c>
    </row>
    <row r="14">
      <c r="A14" t="inlineStr">
        <is>
          <t>KKGI.JK</t>
        </is>
      </c>
      <c r="B14" t="inlineStr">
        <is>
          <t>PT Resource Alam Indonesia Tbk</t>
        </is>
      </c>
      <c r="C14" s="7">
        <f>'KKGI'!$C$151</f>
        <v/>
      </c>
      <c r="D14" s="8">
        <f>'KKGI'!$C$149</f>
        <v/>
      </c>
      <c r="E14" s="8">
        <f>'KKGI'!$C$102</f>
        <v/>
      </c>
      <c r="F14" s="9">
        <f>'KKGI'!$C$150</f>
        <v/>
      </c>
      <c r="G14" s="8">
        <f>'KKGI'!$C$139</f>
        <v/>
      </c>
      <c r="H14" s="10" t="n">
        <v>8.380914000000001</v>
      </c>
      <c r="I14" s="10" t="n">
        <v>1.794823</v>
      </c>
      <c r="J14" s="11" t="n">
        <v>0.040568</v>
      </c>
    </row>
    <row r="15">
      <c r="A15" t="inlineStr">
        <is>
          <t>MBAP.JK</t>
        </is>
      </c>
      <c r="B15" t="inlineStr">
        <is>
          <t>PT Mitrabara Adiperdana Tbk</t>
        </is>
      </c>
      <c r="C15" s="7">
        <f>'MBAP'!$C$157</f>
        <v/>
      </c>
      <c r="D15" s="8">
        <f>'MBAP'!$C$155</f>
        <v/>
      </c>
      <c r="E15" s="8">
        <f>'MBAP'!$C$102</f>
        <v/>
      </c>
      <c r="F15" s="9">
        <f>'MBAP'!$C$156</f>
        <v/>
      </c>
      <c r="G15" s="8">
        <f>'MBAP'!$C$145</f>
        <v/>
      </c>
      <c r="H15" s="10" t="n">
        <v>9.017404000000001</v>
      </c>
      <c r="I15" s="10" t="n">
        <v>1.414569</v>
      </c>
      <c r="J15" s="11" t="n">
        <v>0</v>
      </c>
    </row>
    <row r="16">
      <c r="A16" t="inlineStr">
        <is>
          <t>MCOL.JK</t>
        </is>
      </c>
      <c r="B16" t="inlineStr">
        <is>
          <t>PT Prima Andalan Mandiri Tbk</t>
        </is>
      </c>
      <c r="C16" s="7">
        <f>'MCOL'!$C$172</f>
        <v/>
      </c>
      <c r="D16" s="8">
        <f>'MCOL'!$C$170</f>
        <v/>
      </c>
      <c r="E16" s="8">
        <f>'MCOL'!$C$102</f>
        <v/>
      </c>
      <c r="F16" s="9">
        <f>'MCOL'!$C$171</f>
        <v/>
      </c>
      <c r="G16" s="8">
        <f>'MCOL'!$C$151</f>
        <v/>
      </c>
      <c r="H16" s="10" t="n">
        <v>6.320384</v>
      </c>
      <c r="I16" s="10" t="n">
        <v>2.505712</v>
      </c>
      <c r="J16" s="11" t="n">
        <v>0.08941399999999999</v>
      </c>
    </row>
    <row r="17">
      <c r="A17" t="inlineStr">
        <is>
          <t>PTBA.JK</t>
        </is>
      </c>
      <c r="B17" t="inlineStr">
        <is>
          <t>PT Bukit Asam (Persero) Tbk</t>
        </is>
      </c>
      <c r="C17" s="7">
        <f>'PTBA'!$C$163</f>
        <v/>
      </c>
      <c r="D17" s="8">
        <f>'PTBA'!$C$161</f>
        <v/>
      </c>
      <c r="E17" s="8">
        <f>'PTBA'!$C$102</f>
        <v/>
      </c>
      <c r="F17" s="9">
        <f>'PTBA'!$C$162</f>
        <v/>
      </c>
      <c r="G17" s="8">
        <f>'PTBA'!$C$151</f>
        <v/>
      </c>
      <c r="H17" s="10" t="n">
        <v>5.145578</v>
      </c>
      <c r="I17" s="10" t="n">
        <v>2.807394</v>
      </c>
      <c r="J17" s="11" t="n">
        <v>0.116605</v>
      </c>
    </row>
    <row r="18">
      <c r="A18" t="inlineStr">
        <is>
          <t>SINI.JK</t>
        </is>
      </c>
      <c r="B18" t="inlineStr">
        <is>
          <t>PT Singaraja Putra Tbk</t>
        </is>
      </c>
      <c r="C18" s="7">
        <f>'SINI'!$C$166</f>
        <v/>
      </c>
      <c r="D18" s="8">
        <f>'SINI'!$C$164</f>
        <v/>
      </c>
      <c r="E18" s="8">
        <f>'SINI'!$C$102</f>
        <v/>
      </c>
      <c r="F18" s="9">
        <f>'SINI'!$C$165</f>
        <v/>
      </c>
      <c r="G18" s="8">
        <f>'SINI'!$C$145</f>
        <v/>
      </c>
      <c r="H18" s="10" t="n"/>
      <c r="I18" s="10" t="n">
        <v>111.674749</v>
      </c>
      <c r="J18" s="11" t="n">
        <v>0</v>
      </c>
    </row>
    <row r="19">
      <c r="A19" t="inlineStr">
        <is>
          <t>SMMT.JK</t>
        </is>
      </c>
      <c r="B19" t="inlineStr">
        <is>
          <t>PT Golden Eagle Energy Tbk</t>
        </is>
      </c>
      <c r="C19" s="7">
        <f>'SMMT'!$C$166</f>
        <v/>
      </c>
      <c r="D19" s="8">
        <f>'SMMT'!$C$164</f>
        <v/>
      </c>
      <c r="E19" s="8">
        <f>'SMMT'!$C$102</f>
        <v/>
      </c>
      <c r="F19" s="9">
        <f>'SMMT'!$C$165</f>
        <v/>
      </c>
      <c r="G19" s="8">
        <f>'SMMT'!$C$145</f>
        <v/>
      </c>
      <c r="H19" s="10" t="n">
        <v>25.280309</v>
      </c>
      <c r="I19" s="10" t="n">
        <v>16.411306</v>
      </c>
      <c r="J19" s="11" t="n">
        <v>0.009889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0.2073346076607136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6.737707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2483.017657646005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4229.073032139105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21517.53041546212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3806.153379</v>
      </c>
      <c r="E161" s="27" t="n">
        <v>5482.738568</v>
      </c>
      <c r="F161" s="27" t="n">
        <v>9083.102188999999</v>
      </c>
      <c r="G161" s="27" t="n">
        <v>12479.258239</v>
      </c>
      <c r="H161" s="27" t="n">
        <v>15543.310438</v>
      </c>
    </row>
    <row r="162">
      <c r="C162" s="1" t="n">
        <v>0.95</v>
      </c>
      <c r="D162" s="27" t="n">
        <v>4019.677469</v>
      </c>
      <c r="E162" s="27" t="n">
        <v>5790.5209</v>
      </c>
      <c r="F162" s="27" t="n">
        <v>9593.386935</v>
      </c>
      <c r="G162" s="27" t="n">
        <v>13180.681055</v>
      </c>
      <c r="H162" s="27" t="n">
        <v>16417.190557</v>
      </c>
    </row>
    <row r="163">
      <c r="C163" s="1" t="n">
        <v>1</v>
      </c>
      <c r="D163" s="27" t="n">
        <v>4233.419475</v>
      </c>
      <c r="E163" s="27" t="n">
        <v>6098.634869</v>
      </c>
      <c r="F163" s="27" t="n">
        <v>10104.25114</v>
      </c>
      <c r="G163" s="27" t="n">
        <v>13882.928045</v>
      </c>
      <c r="H163" s="27" t="n">
        <v>17292.116881</v>
      </c>
    </row>
    <row r="164">
      <c r="C164" s="1" t="n">
        <v>1.05</v>
      </c>
      <c r="D164" s="27" t="n">
        <v>4447.379384</v>
      </c>
      <c r="E164" s="27" t="n">
        <v>6407.080015</v>
      </c>
      <c r="F164" s="27" t="n">
        <v>10615.69268</v>
      </c>
      <c r="G164" s="27" t="n">
        <v>14585.995288</v>
      </c>
      <c r="H164" s="27" t="n">
        <v>18168.083892</v>
      </c>
    </row>
    <row r="165">
      <c r="C165" s="1" t="n">
        <v>1.1</v>
      </c>
      <c r="D165" s="27" t="n">
        <v>4661.557185</v>
      </c>
      <c r="E165" s="27" t="n">
        <v>6715.855898</v>
      </c>
      <c r="F165" s="27" t="n">
        <v>11127.709502</v>
      </c>
      <c r="G165" s="27" t="n">
        <v>15289.878996</v>
      </c>
      <c r="H165" s="27" t="n">
        <v>19045.086252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12587.323926</v>
      </c>
      <c r="E169" s="27" t="n">
        <v>11784.590009</v>
      </c>
      <c r="F169" s="27" t="n">
        <v>10981.856092</v>
      </c>
      <c r="G169" s="27" t="n">
        <v>10179.122175</v>
      </c>
      <c r="H169" s="27" t="n">
        <v>9376.388258000001</v>
      </c>
    </row>
    <row r="170">
      <c r="C170" s="1" t="n">
        <v>0.95</v>
      </c>
      <c r="D170" s="27" t="n">
        <v>13029.107389</v>
      </c>
      <c r="E170" s="27" t="n">
        <v>12181.777143</v>
      </c>
      <c r="F170" s="27" t="n">
        <v>11334.446897</v>
      </c>
      <c r="G170" s="27" t="n">
        <v>10487.116651</v>
      </c>
      <c r="H170" s="27" t="n">
        <v>9639.786405999999</v>
      </c>
    </row>
    <row r="171">
      <c r="C171" s="1" t="n">
        <v>1</v>
      </c>
      <c r="D171" s="27" t="n">
        <v>13470.890852</v>
      </c>
      <c r="E171" s="27" t="n">
        <v>12578.964277</v>
      </c>
      <c r="F171" s="27" t="n">
        <v>11687.037703</v>
      </c>
      <c r="G171" s="27" t="n">
        <v>10795.111128</v>
      </c>
      <c r="H171" s="27" t="n">
        <v>9903.184552999999</v>
      </c>
    </row>
    <row r="172">
      <c r="C172" s="1" t="n">
        <v>1.05</v>
      </c>
      <c r="D172" s="27" t="n">
        <v>13912.674315</v>
      </c>
      <c r="E172" s="27" t="n">
        <v>12976.151411</v>
      </c>
      <c r="F172" s="27" t="n">
        <v>12039.628508</v>
      </c>
      <c r="G172" s="27" t="n">
        <v>11103.105605</v>
      </c>
      <c r="H172" s="27" t="n">
        <v>10166.582701</v>
      </c>
    </row>
    <row r="173">
      <c r="C173" s="1" t="n">
        <v>1.1</v>
      </c>
      <c r="D173" s="27" t="n">
        <v>14354.457777</v>
      </c>
      <c r="E173" s="27" t="n">
        <v>13373.338545</v>
      </c>
      <c r="F173" s="27" t="n">
        <v>12392.219313</v>
      </c>
      <c r="G173" s="27" t="n">
        <v>11411.100081</v>
      </c>
      <c r="H173" s="27" t="n">
        <v>10429.980849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0.6302953734426814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7.506871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57.42574273728228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484.6113590272186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1407.927291663728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450.281115</v>
      </c>
      <c r="E167" s="27" t="n">
        <v>632.549569</v>
      </c>
      <c r="F167" s="27" t="n">
        <v>825.554648</v>
      </c>
      <c r="G167" s="27" t="n">
        <v>1019.954636</v>
      </c>
      <c r="H167" s="27" t="n">
        <v>1214.924342</v>
      </c>
    </row>
    <row r="168">
      <c r="C168" s="1" t="n">
        <v>0.95</v>
      </c>
      <c r="D168" s="27" t="n">
        <v>475.977471</v>
      </c>
      <c r="E168" s="27" t="n">
        <v>668.703924</v>
      </c>
      <c r="F168" s="27" t="n">
        <v>872.795737</v>
      </c>
      <c r="G168" s="27" t="n">
        <v>1078.364461</v>
      </c>
      <c r="H168" s="27" t="n">
        <v>1284.536441</v>
      </c>
    </row>
    <row r="169">
      <c r="C169" s="1" t="n">
        <v>1</v>
      </c>
      <c r="D169" s="27" t="n">
        <v>501.742133</v>
      </c>
      <c r="E169" s="27" t="n">
        <v>704.958029</v>
      </c>
      <c r="F169" s="27" t="n">
        <v>920.170719</v>
      </c>
      <c r="G169" s="27" t="n">
        <v>1136.942698</v>
      </c>
      <c r="H169" s="27" t="n">
        <v>1354.351624</v>
      </c>
    </row>
    <row r="170">
      <c r="C170" s="1" t="n">
        <v>1.05</v>
      </c>
      <c r="D170" s="27" t="n">
        <v>527.574797</v>
      </c>
      <c r="E170" s="27" t="n">
        <v>741.311258</v>
      </c>
      <c r="F170" s="27" t="n">
        <v>967.678584</v>
      </c>
      <c r="G170" s="27" t="n">
        <v>1195.687939</v>
      </c>
      <c r="H170" s="27" t="n">
        <v>1424.368087</v>
      </c>
    </row>
    <row r="171">
      <c r="C171" s="1" t="n">
        <v>1.1</v>
      </c>
      <c r="D171" s="27" t="n">
        <v>553.475179</v>
      </c>
      <c r="E171" s="27" t="n">
        <v>777.76303</v>
      </c>
      <c r="F171" s="27" t="n">
        <v>1015.318394</v>
      </c>
      <c r="G171" s="27" t="n">
        <v>1254.598881</v>
      </c>
      <c r="H171" s="27" t="n">
        <v>1494.584154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1107.489364</v>
      </c>
      <c r="E175" s="27" t="n">
        <v>1067.810173</v>
      </c>
      <c r="F175" s="27" t="n">
        <v>1028.130982</v>
      </c>
      <c r="G175" s="27" t="n">
        <v>988.451791</v>
      </c>
      <c r="H175" s="27" t="n">
        <v>948.7726</v>
      </c>
    </row>
    <row r="176">
      <c r="C176" s="1" t="n">
        <v>0.95</v>
      </c>
      <c r="D176" s="27" t="n">
        <v>1160.226118</v>
      </c>
      <c r="E176" s="27" t="n">
        <v>1118.342528</v>
      </c>
      <c r="F176" s="27" t="n">
        <v>1076.458937</v>
      </c>
      <c r="G176" s="27" t="n">
        <v>1034.575346</v>
      </c>
      <c r="H176" s="27" t="n">
        <v>992.6917560000001</v>
      </c>
    </row>
    <row r="177">
      <c r="C177" s="1" t="n">
        <v>1</v>
      </c>
      <c r="D177" s="27" t="n">
        <v>1206.768775</v>
      </c>
      <c r="E177" s="27" t="n">
        <v>1162.989712</v>
      </c>
      <c r="F177" s="27" t="n">
        <v>1119.210648</v>
      </c>
      <c r="G177" s="27" t="n">
        <v>1075.431585</v>
      </c>
      <c r="H177" s="27" t="n">
        <v>1031.652521</v>
      </c>
    </row>
    <row r="178">
      <c r="C178" s="1" t="n">
        <v>1.05</v>
      </c>
      <c r="D178" s="27" t="n">
        <v>1243.916145</v>
      </c>
      <c r="E178" s="27" t="n">
        <v>1198.788114</v>
      </c>
      <c r="F178" s="27" t="n">
        <v>1153.660083</v>
      </c>
      <c r="G178" s="27" t="n">
        <v>1108.532052</v>
      </c>
      <c r="H178" s="27" t="n">
        <v>1063.404021</v>
      </c>
    </row>
    <row r="179">
      <c r="C179" s="1" t="n">
        <v>1.1</v>
      </c>
      <c r="D179" s="27" t="n">
        <v>1278.754551</v>
      </c>
      <c r="E179" s="27" t="n">
        <v>1232.342083</v>
      </c>
      <c r="F179" s="27" t="n">
        <v>1185.929615</v>
      </c>
      <c r="G179" s="27" t="n">
        <v>1139.517147</v>
      </c>
      <c r="H179" s="27" t="n">
        <v>1093.10468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Atlas Resources Tbk (ARII.JK) — Coal producers</t>
        </is>
      </c>
    </row>
    <row r="2">
      <c r="A2" s="5" t="inlineStr">
        <is>
          <t>Units: USD m; per-share in USD unless marked IDR. Model asof 2026-10-29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4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268.43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7.535464</v>
      </c>
      <c r="I14" s="13" t="n">
        <v>7.535464</v>
      </c>
      <c r="J14" s="13" t="n">
        <v>7.535464</v>
      </c>
      <c r="K14" s="13" t="n">
        <v>7.535464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0.4453</v>
      </c>
      <c r="I15" s="14" t="n">
        <v>0.4453</v>
      </c>
      <c r="J15" s="14" t="n">
        <v>0.4453</v>
      </c>
      <c r="K15" s="14" t="n">
        <v>0.4453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0.504</v>
      </c>
      <c r="I16" s="4" t="n">
        <v>0.504</v>
      </c>
      <c r="J16" s="4" t="n">
        <v>0.504</v>
      </c>
      <c r="K16" s="4" t="n">
        <v>0.504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6.62</v>
      </c>
      <c r="I17" s="14" t="n">
        <v>6.62</v>
      </c>
      <c r="J17" s="14" t="n">
        <v>6.62</v>
      </c>
      <c r="K17" s="14" t="n">
        <v>6.62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2.398</v>
      </c>
      <c r="I18" s="3" t="n">
        <v>2.398</v>
      </c>
      <c r="J18" s="3" t="n">
        <v>2.398</v>
      </c>
      <c r="K18" s="3" t="n">
        <v>2.398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20.56</v>
      </c>
      <c r="I20" s="3" t="n">
        <v>20.56</v>
      </c>
      <c r="J20" s="3" t="n">
        <v>20.56</v>
      </c>
      <c r="K20" s="3" t="n">
        <v>20.56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0.0883</v>
      </c>
      <c r="I21" s="4" t="n">
        <v>0.0883</v>
      </c>
      <c r="J21" s="4" t="n">
        <v>0.0883</v>
      </c>
      <c r="K21" s="4" t="n">
        <v>0.0883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4.469</v>
      </c>
      <c r="I24" s="3" t="n">
        <v>4.469</v>
      </c>
      <c r="J24" s="3" t="n">
        <v>4.469</v>
      </c>
      <c r="K24" s="3" t="n">
        <v>4.469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3.975</v>
      </c>
      <c r="I25" s="3" t="n">
        <v>3.975</v>
      </c>
      <c r="J25" s="3" t="n">
        <v>3.975</v>
      </c>
      <c r="K25" s="3" t="n">
        <v>3.975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-0.15894</v>
      </c>
      <c r="I27" s="4" t="n">
        <v>-0.15894</v>
      </c>
      <c r="J27" s="4" t="n">
        <v>-0.15894</v>
      </c>
      <c r="K27" s="4" t="n">
        <v>-0.15894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0.356</v>
      </c>
      <c r="I28" s="4" t="n">
        <v>0.356</v>
      </c>
      <c r="J28" s="4" t="n">
        <v>0.356</v>
      </c>
      <c r="K28" s="4" t="n">
        <v>0.356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0.043895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0.45</v>
      </c>
      <c r="I33" s="4" t="n">
        <v>0.45</v>
      </c>
      <c r="J33" s="4" t="n">
        <v>0.45</v>
      </c>
      <c r="K33" s="4" t="n">
        <v>0.45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0.08687</v>
      </c>
      <c r="I37" s="4" t="n">
        <v>0.08687</v>
      </c>
      <c r="J37" s="4" t="n">
        <v>0.08687</v>
      </c>
      <c r="K37" s="4" t="n">
        <v>0.08687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268.43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5.445246</v>
      </c>
      <c r="G41" s="13" t="n">
        <v>7.535464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6.62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3.8363739673102</v>
      </c>
      <c r="G48" s="3" t="n">
        <v>3.447564741865929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245.981</v>
      </c>
      <c r="E55" s="13" t="n">
        <v>280.609</v>
      </c>
      <c r="F55" s="13" t="n">
        <v>315.151</v>
      </c>
      <c r="G55" s="13" t="n">
        <v>363.677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189.515</v>
      </c>
      <c r="E56" s="13" t="n">
        <v>254.659</v>
      </c>
      <c r="F56" s="13" t="n">
        <v>298.584</v>
      </c>
      <c r="G56" s="13" t="n">
        <v>337.366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56.466</v>
      </c>
      <c r="E57" s="13" t="n">
        <v>25.95</v>
      </c>
      <c r="F57" s="13" t="n">
        <v>16.567</v>
      </c>
      <c r="G57" s="13" t="n">
        <v>26.311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14.864</v>
      </c>
      <c r="E58" s="13" t="n">
        <v>19.211</v>
      </c>
      <c r="F58" s="13" t="n">
        <v>21.004</v>
      </c>
      <c r="G58" s="13" t="n">
        <v>34.509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41.602</v>
      </c>
      <c r="E59" s="13" t="n">
        <v>6.739</v>
      </c>
      <c r="F59" s="13" t="n">
        <v>-5.545</v>
      </c>
      <c r="G59" s="13" t="n">
        <v>-7.696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2.07</v>
      </c>
      <c r="E60" s="13" t="n">
        <v>2.382</v>
      </c>
      <c r="F60" s="13" t="n">
        <v>26.435</v>
      </c>
      <c r="G60" s="13" t="n">
        <v>33.675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43.672</v>
      </c>
      <c r="E61" s="13" t="n">
        <v>9.121</v>
      </c>
      <c r="F61" s="13" t="n">
        <v>20.89</v>
      </c>
      <c r="G61" s="13" t="n">
        <v>25.979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3.662</v>
      </c>
      <c r="E62" s="13" t="n">
        <v>4.32</v>
      </c>
      <c r="F62" s="13" t="n">
        <v>3.419</v>
      </c>
      <c r="G62" s="13" t="n">
        <v>5.07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0.103</v>
      </c>
      <c r="E63" s="13" t="n">
        <v>0.144</v>
      </c>
      <c r="F63" s="13" t="n">
        <v>0.419</v>
      </c>
      <c r="G63" s="13" t="n">
        <v>0.332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-2.211999999999994</v>
      </c>
      <c r="E64" s="13" t="n">
        <v>0.6480000000000002</v>
      </c>
      <c r="F64" s="13" t="n">
        <v>10.54</v>
      </c>
      <c r="G64" s="13" t="n">
        <v>19.212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35.831</v>
      </c>
      <c r="E65" s="13" t="n">
        <v>3.211</v>
      </c>
      <c r="F65" s="13" t="n">
        <v>1.995</v>
      </c>
      <c r="G65" s="13" t="n">
        <v>6.778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9.756</v>
      </c>
      <c r="E66" s="13" t="n">
        <v>2.483</v>
      </c>
      <c r="F66" s="13" t="n">
        <v>1.179</v>
      </c>
      <c r="G66" s="13" t="n">
        <v>4.417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26.075</v>
      </c>
      <c r="E67" s="13" t="n">
        <v>0.728</v>
      </c>
      <c r="F67" s="13" t="n">
        <v>0.8159999999999999</v>
      </c>
      <c r="G67" s="13" t="n">
        <v>2.361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3.742000000000001</v>
      </c>
      <c r="E68" s="13" t="n">
        <v>1.682</v>
      </c>
      <c r="F68" s="13" t="n">
        <v>-0.5080000000000001</v>
      </c>
      <c r="G68" s="13" t="n">
        <v>1.069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22.333</v>
      </c>
      <c r="E69" s="13" t="n">
        <v>-0.954</v>
      </c>
      <c r="F69" s="13" t="n">
        <v>1.324</v>
      </c>
      <c r="G69" s="13" t="n">
        <v>1.292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3431</v>
      </c>
      <c r="E70" s="13" t="n">
        <v>3431</v>
      </c>
      <c r="F70" s="13" t="n">
        <v>3431</v>
      </c>
      <c r="G70" s="13" t="n">
        <v>3750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0.006509180996793937</v>
      </c>
      <c r="E71" s="20" t="n">
        <v>-0.0002780530457592539</v>
      </c>
      <c r="F71" s="20" t="n">
        <v>0.0003858933255610609</v>
      </c>
      <c r="G71" s="20" t="n">
        <v>0.0003445333333333333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24.284</v>
      </c>
      <c r="E74" s="13" t="n">
        <v>33.337</v>
      </c>
      <c r="F74" s="13" t="n">
        <v>52.579</v>
      </c>
      <c r="G74" s="13" t="n">
        <v>32.731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-47.63799999999995</v>
      </c>
      <c r="F75" s="13" t="n">
        <v>-26.244</v>
      </c>
      <c r="G75" s="13" t="n">
        <v>63.16399999999993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18.21087044534407</v>
      </c>
      <c r="F76" s="13" t="n">
        <v>-2.168030075187971</v>
      </c>
      <c r="G76" s="13" t="n">
        <v>-64.90076954853933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-5.090999999999994</v>
      </c>
      <c r="F77" s="13" t="n">
        <v>-3.299999999999997</v>
      </c>
      <c r="G77" s="13" t="n">
        <v>-13.723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-47.08699999999999</v>
      </c>
      <c r="E80" s="13" t="n">
        <v>-94.72499999999994</v>
      </c>
      <c r="F80" s="13" t="n">
        <v>-120.9689999999999</v>
      </c>
      <c r="G80" s="13" t="n">
        <v>-57.80500000000001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4.756</v>
      </c>
      <c r="E81" s="13" t="n">
        <v>15.325</v>
      </c>
      <c r="F81" s="13" t="n">
        <v>19.255</v>
      </c>
      <c r="G81" s="13" t="n">
        <v>12.885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102.082</v>
      </c>
      <c r="E82" s="13" t="n">
        <v>96.991</v>
      </c>
      <c r="F82" s="13" t="n">
        <v>93.691</v>
      </c>
      <c r="G82" s="13" t="n">
        <v>79.968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196.972</v>
      </c>
      <c r="E83" s="13" t="n">
        <v>213.742</v>
      </c>
      <c r="F83" s="13" t="n">
        <v>242.789</v>
      </c>
      <c r="G83" s="13" t="n">
        <v>227.275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67.038</v>
      </c>
      <c r="E84" s="13" t="n">
        <v>66.16800000000001</v>
      </c>
      <c r="F84" s="13" t="n">
        <v>67.371</v>
      </c>
      <c r="G84" s="13" t="n">
        <v>73.532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3.195</v>
      </c>
      <c r="E85" s="13" t="n">
        <v>4.885</v>
      </c>
      <c r="F85" s="13" t="n">
        <v>4.286</v>
      </c>
      <c r="G85" s="13" t="n">
        <v>5.338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17.67399999999998</v>
      </c>
      <c r="E86" s="13" t="n">
        <v>33.70199999999994</v>
      </c>
      <c r="F86" s="13" t="n">
        <v>24.27299999999997</v>
      </c>
      <c r="G86" s="13" t="n">
        <v>-23.517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97.32599999999999</v>
      </c>
      <c r="E88" s="13" t="n">
        <v>81.666</v>
      </c>
      <c r="F88" s="13" t="n">
        <v>74.43600000000001</v>
      </c>
      <c r="G88" s="13" t="n">
        <v>67.083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0.01953890993879335</v>
      </c>
      <c r="E89" s="20" t="n">
        <v>0.01928533955115127</v>
      </c>
      <c r="F89" s="20" t="n">
        <v>0.01963596619061498</v>
      </c>
      <c r="G89" s="20" t="n">
        <v>0.01960853333333333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0.1407751005158935</v>
      </c>
      <c r="F90" s="4" t="n">
        <v>0.1230965507164774</v>
      </c>
      <c r="G90" s="4" t="n">
        <v>0.1539769824623751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0.2295543151706839</v>
      </c>
      <c r="E91" s="4" t="n">
        <v>0.09247743301177083</v>
      </c>
      <c r="F91" s="4" t="n">
        <v>0.05256845131381464</v>
      </c>
      <c r="G91" s="4" t="n">
        <v>0.07234716520428841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0.177542167891016</v>
      </c>
      <c r="E92" s="4" t="n">
        <v>0.03250430314066905</v>
      </c>
      <c r="F92" s="4" t="n">
        <v>0.06628568527467785</v>
      </c>
      <c r="G92" s="4" t="n">
        <v>0.07143426722063809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0.1691268837837069</v>
      </c>
      <c r="E93" s="4" t="n">
        <v>0.02401562316247875</v>
      </c>
      <c r="F93" s="4" t="n">
        <v>-0.01759474029909472</v>
      </c>
      <c r="G93" s="4" t="n">
        <v>-0.02116163518726782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0.09079156520219041</v>
      </c>
      <c r="E94" s="4" t="n">
        <v>-0.003399748404363367</v>
      </c>
      <c r="F94" s="4" t="n">
        <v>0.004201160713435782</v>
      </c>
      <c r="G94" s="4" t="n">
        <v>0.003552602996615128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-1.04271705547844</v>
      </c>
      <c r="F95" s="4" t="n">
        <v>-2.387840670859539</v>
      </c>
      <c r="G95" s="4" t="n">
        <v>-0.1071798590130917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-0.01432367911355344</v>
      </c>
      <c r="F96" s="4" t="n">
        <v>0.0198294131302466</v>
      </c>
      <c r="G96" s="4" t="n">
        <v>0.01833885722802212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2.228567503205715</v>
      </c>
      <c r="E97" s="22" t="n">
        <v>8.953623506194495</v>
      </c>
      <c r="F97" s="22" t="n">
        <v>3.563235998085208</v>
      </c>
      <c r="G97" s="22" t="n">
        <v>2.582201008506871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0.09872307210719528</v>
      </c>
      <c r="E99" s="4" t="n">
        <v>0.1188023192413643</v>
      </c>
      <c r="F99" s="4" t="n">
        <v>0.16683748425358</v>
      </c>
      <c r="G99" s="4" t="n">
        <v>0.09000019247849053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500</v>
      </c>
    </row>
    <row r="103">
      <c r="A103" t="inlineStr">
        <is>
          <t>Shares outstanding (m)</t>
        </is>
      </c>
      <c r="C103" s="13" t="n">
        <v>3750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75.462</v>
      </c>
    </row>
    <row r="106">
      <c r="A106" t="inlineStr">
        <is>
          <t>Cash at balance-sheet date</t>
        </is>
      </c>
      <c r="C106" s="13" t="n">
        <v>21.385</v>
      </c>
    </row>
    <row r="107">
      <c r="A107" t="inlineStr">
        <is>
          <t>Minority interest (book)</t>
        </is>
      </c>
      <c r="C107" s="13" t="n">
        <v>10.221</v>
      </c>
    </row>
    <row r="108">
      <c r="A108" t="inlineStr">
        <is>
          <t>Associates &amp; investments (book)</t>
        </is>
      </c>
      <c r="C108" s="13" t="n">
        <v>19.738</v>
      </c>
    </row>
    <row r="109">
      <c r="A109" t="inlineStr">
        <is>
          <t>Post-balance-sheet &amp; other items (sourced, probability-weighted)</t>
        </is>
      </c>
      <c r="C109" s="13" t="n">
        <v>43.18535</v>
      </c>
    </row>
    <row r="110">
      <c r="A110" t="inlineStr">
        <is>
          <t>Parent equity at balance-sheet date</t>
        </is>
      </c>
      <c r="C110" s="13" t="n">
        <v>80.40900000000001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0.7318002912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</row>
    <row r="131">
      <c r="A131" t="inlineStr">
        <is>
          <t>Best cumulative PV (never below zero)</t>
        </is>
      </c>
      <c r="C131" s="26">
        <f>MAX(0,MAX(H130:K130))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1069.90785580847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51.625741</v>
      </c>
      <c r="F155" s="27" t="n">
        <v>130.639272</v>
      </c>
      <c r="G155" s="27" t="n">
        <v>371.243856</v>
      </c>
      <c r="H155" s="27" t="n">
        <v>681.236789</v>
      </c>
    </row>
    <row r="156">
      <c r="C156" s="1" t="n">
        <v>0.95</v>
      </c>
      <c r="D156" s="27" t="n">
        <v>0</v>
      </c>
      <c r="E156" s="27" t="n">
        <v>54.567479</v>
      </c>
      <c r="F156" s="27" t="n">
        <v>138.083364</v>
      </c>
      <c r="G156" s="27" t="n">
        <v>392.415914</v>
      </c>
      <c r="H156" s="27" t="n">
        <v>720.108323</v>
      </c>
    </row>
    <row r="157">
      <c r="C157" s="1" t="n">
        <v>1</v>
      </c>
      <c r="D157" s="27" t="n">
        <v>0</v>
      </c>
      <c r="E157" s="27" t="n">
        <v>57.516968</v>
      </c>
      <c r="F157" s="27" t="n">
        <v>145.547071</v>
      </c>
      <c r="G157" s="27" t="n">
        <v>413.644852</v>
      </c>
      <c r="H157" s="27" t="n">
        <v>759.085546</v>
      </c>
    </row>
    <row r="158">
      <c r="C158" s="1" t="n">
        <v>1.05</v>
      </c>
      <c r="D158" s="27" t="n">
        <v>0</v>
      </c>
      <c r="E158" s="27" t="n">
        <v>60.474208</v>
      </c>
      <c r="F158" s="27" t="n">
        <v>153.030395</v>
      </c>
      <c r="G158" s="27" t="n">
        <v>434.930608</v>
      </c>
      <c r="H158" s="27" t="n">
        <v>798.16827</v>
      </c>
    </row>
    <row r="159">
      <c r="C159" s="1" t="n">
        <v>1.1</v>
      </c>
      <c r="D159" s="27" t="n">
        <v>0</v>
      </c>
      <c r="E159" s="27" t="n">
        <v>63.4392</v>
      </c>
      <c r="F159" s="27" t="n">
        <v>160.533334</v>
      </c>
      <c r="G159" s="27" t="n">
        <v>456.273123</v>
      </c>
      <c r="H159" s="27" t="n">
        <v>837.356323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225.450632</v>
      </c>
      <c r="E163" s="27" t="n">
        <v>158.991119</v>
      </c>
      <c r="F163" s="27" t="n">
        <v>114.217108</v>
      </c>
      <c r="G163" s="27" t="n">
        <v>97.936218</v>
      </c>
      <c r="H163" s="27" t="n">
        <v>81.75472000000001</v>
      </c>
    </row>
    <row r="164">
      <c r="C164" s="1" t="n">
        <v>0.95</v>
      </c>
      <c r="D164" s="27" t="n">
        <v>247.295254</v>
      </c>
      <c r="E164" s="27" t="n">
        <v>177.143545</v>
      </c>
      <c r="F164" s="27" t="n">
        <v>129.88209</v>
      </c>
      <c r="G164" s="27" t="n">
        <v>112.696705</v>
      </c>
      <c r="H164" s="27" t="n">
        <v>95.616235</v>
      </c>
    </row>
    <row r="165">
      <c r="C165" s="1" t="n">
        <v>1</v>
      </c>
      <c r="D165" s="27" t="n">
        <v>269.139876</v>
      </c>
      <c r="E165" s="27" t="n">
        <v>195.295972</v>
      </c>
      <c r="F165" s="27" t="n">
        <v>145.547071</v>
      </c>
      <c r="G165" s="27" t="n">
        <v>127.457193</v>
      </c>
      <c r="H165" s="27" t="n">
        <v>109.477751</v>
      </c>
    </row>
    <row r="166">
      <c r="C166" s="1" t="n">
        <v>1.05</v>
      </c>
      <c r="D166" s="27" t="n">
        <v>290.984498</v>
      </c>
      <c r="E166" s="27" t="n">
        <v>213.448398</v>
      </c>
      <c r="F166" s="27" t="n">
        <v>161.212053</v>
      </c>
      <c r="G166" s="27" t="n">
        <v>142.217681</v>
      </c>
      <c r="H166" s="27" t="n">
        <v>123.339266</v>
      </c>
    </row>
    <row r="167">
      <c r="C167" s="1" t="n">
        <v>1.1</v>
      </c>
      <c r="D167" s="27" t="n">
        <v>312.829119</v>
      </c>
      <c r="E167" s="27" t="n">
        <v>231.600825</v>
      </c>
      <c r="F167" s="27" t="n">
        <v>176.877034</v>
      </c>
      <c r="G167" s="27" t="n">
        <v>156.978168</v>
      </c>
      <c r="H167" s="27" t="n">
        <v>137.200782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Borneo Olah Sarana Sukses Tbk (BOSS.JK) — Coal producers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FY2023E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10.83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F14" s="13" t="n">
        <v>0.0765</v>
      </c>
      <c r="G14" s="13" t="n">
        <v>0.0765</v>
      </c>
      <c r="H14" s="13" t="n">
        <v>0.0765</v>
      </c>
      <c r="I14" s="13" t="n">
        <v>0.15</v>
      </c>
      <c r="J14" s="13" t="n">
        <v>0.4</v>
      </c>
      <c r="K14" s="13" t="n">
        <v>0.48</v>
      </c>
      <c r="L14" s="13" t="n">
        <v>0.48</v>
      </c>
      <c r="M14" s="13" t="n">
        <v>0.48</v>
      </c>
      <c r="N14" s="13" t="n">
        <v>0.48</v>
      </c>
      <c r="O14" s="13" t="n">
        <v>0.48</v>
      </c>
    </row>
    <row r="15">
      <c r="A15" t="inlineStr">
        <is>
          <t>Realised price / benchmark</t>
        </is>
      </c>
      <c r="B15" t="inlineStr">
        <is>
          <t>a.realisation</t>
        </is>
      </c>
      <c r="F15" s="14" t="n">
        <v>0.93</v>
      </c>
      <c r="G15" s="14" t="n">
        <v>0.93</v>
      </c>
      <c r="H15" s="14" t="n">
        <v>0.93</v>
      </c>
      <c r="I15" s="14" t="n">
        <v>0.93</v>
      </c>
      <c r="J15" s="14" t="n">
        <v>0.93</v>
      </c>
      <c r="K15" s="14" t="n">
        <v>0.93</v>
      </c>
      <c r="L15" s="14" t="n">
        <v>0.93</v>
      </c>
      <c r="M15" s="14" t="n">
        <v>0.93</v>
      </c>
      <c r="N15" s="14" t="n">
        <v>0.93</v>
      </c>
      <c r="O15" s="14" t="n">
        <v>0.93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F17" s="14" t="n">
        <v>1</v>
      </c>
      <c r="G17" s="14" t="n">
        <v>1</v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F18" s="3" t="n">
        <v>104.55</v>
      </c>
      <c r="G18" s="3" t="n">
        <v>104.55</v>
      </c>
      <c r="H18" s="3" t="n">
        <v>104.55</v>
      </c>
      <c r="I18" s="3" t="n">
        <v>62.1</v>
      </c>
      <c r="J18" s="3" t="n">
        <v>62.1</v>
      </c>
      <c r="K18" s="3" t="n">
        <v>63.34200000000001</v>
      </c>
      <c r="L18" s="3" t="n">
        <v>64.60884</v>
      </c>
      <c r="M18" s="3" t="n">
        <v>65.90101680000001</v>
      </c>
      <c r="N18" s="3" t="n">
        <v>67.219037136</v>
      </c>
      <c r="O18" s="3" t="n">
        <v>68.56341787872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F20" s="3" t="n">
        <v>34.1</v>
      </c>
      <c r="G20" s="3" t="n">
        <v>34.1</v>
      </c>
      <c r="H20" s="3" t="n">
        <v>34.1</v>
      </c>
      <c r="I20" s="3" t="n">
        <v>20.3</v>
      </c>
      <c r="J20" s="3" t="n">
        <v>20.3</v>
      </c>
      <c r="K20" s="3" t="n">
        <v>20.706</v>
      </c>
      <c r="L20" s="3" t="n">
        <v>21.12012</v>
      </c>
      <c r="M20" s="3" t="n">
        <v>21.5425224</v>
      </c>
      <c r="N20" s="3" t="n">
        <v>21.973372848</v>
      </c>
      <c r="O20" s="3" t="n">
        <v>22.41284030496</v>
      </c>
    </row>
    <row r="21">
      <c r="A21" t="inlineStr">
        <is>
          <t>Royalty rate (flat regimes)</t>
        </is>
      </c>
      <c r="B21" t="inlineStr">
        <is>
          <t>a.royalty_rate</t>
        </is>
      </c>
      <c r="F21" s="4" t="n">
        <v>0.121</v>
      </c>
      <c r="G21" s="4" t="n">
        <v>0.121</v>
      </c>
      <c r="H21" s="4" t="n">
        <v>0.121</v>
      </c>
      <c r="I21" s="4" t="n">
        <v>0.121</v>
      </c>
      <c r="J21" s="4" t="n">
        <v>0.121</v>
      </c>
      <c r="K21" s="4" t="n">
        <v>0.121</v>
      </c>
      <c r="L21" s="4" t="n">
        <v>0.121</v>
      </c>
      <c r="M21" s="4" t="n">
        <v>0.121</v>
      </c>
      <c r="N21" s="4" t="n">
        <v>0.121</v>
      </c>
      <c r="O21" s="4" t="n">
        <v>0.121</v>
      </c>
    </row>
    <row r="22">
      <c r="A22" t="inlineStr">
        <is>
          <t>Other revenue</t>
        </is>
      </c>
      <c r="B22" t="inlineStr">
        <is>
          <t>a.other_revenue</t>
        </is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F24" s="3" t="n">
        <v>236431</v>
      </c>
      <c r="G24" s="3" t="n">
        <v>236431</v>
      </c>
      <c r="H24" s="3" t="n">
        <v>236431</v>
      </c>
      <c r="I24" s="3" t="n">
        <v>91942</v>
      </c>
      <c r="J24" s="3" t="n">
        <v>91942</v>
      </c>
      <c r="K24" s="3" t="n">
        <v>93780.84</v>
      </c>
      <c r="L24" s="3" t="n">
        <v>95656.4568</v>
      </c>
      <c r="M24" s="3" t="n">
        <v>97569.58593600002</v>
      </c>
      <c r="N24" s="3" t="n">
        <v>99520.97765472</v>
      </c>
      <c r="O24" s="3" t="n">
        <v>101511.3972078144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F25" s="3" t="n">
        <v>26664</v>
      </c>
      <c r="G25" s="3" t="n">
        <v>26664</v>
      </c>
      <c r="H25" s="3" t="n">
        <v>26664</v>
      </c>
      <c r="I25" s="3" t="n">
        <v>26664</v>
      </c>
      <c r="J25" s="3" t="n">
        <v>26664</v>
      </c>
      <c r="K25" s="3" t="n">
        <v>27197.28</v>
      </c>
      <c r="L25" s="3" t="n">
        <v>27741.2256</v>
      </c>
      <c r="M25" s="3" t="n">
        <v>28296.050112</v>
      </c>
      <c r="N25" s="3" t="n">
        <v>28861.97111424</v>
      </c>
      <c r="O25" s="3" t="n">
        <v>29439.2105365248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F27" s="4" t="n">
        <v>-0.1123</v>
      </c>
      <c r="G27" s="4" t="n">
        <v>-0.1123</v>
      </c>
      <c r="H27" s="4" t="n">
        <v>-0.1123</v>
      </c>
      <c r="I27" s="4" t="n">
        <v>-0.1123</v>
      </c>
      <c r="J27" s="4" t="n">
        <v>-0.1123</v>
      </c>
      <c r="K27" s="4" t="n">
        <v>-0.1123</v>
      </c>
      <c r="L27" s="4" t="n">
        <v>-0.1123</v>
      </c>
      <c r="M27" s="4" t="n">
        <v>-0.1123</v>
      </c>
      <c r="N27" s="4" t="n">
        <v>-0.1123</v>
      </c>
      <c r="O27" s="4" t="n">
        <v>-0.1123</v>
      </c>
    </row>
    <row r="28">
      <c r="A28" t="inlineStr">
        <is>
          <t>Effective tax rate</t>
        </is>
      </c>
      <c r="B28" t="inlineStr">
        <is>
          <t>a.tax_rate</t>
        </is>
      </c>
      <c r="F28" s="4" t="n">
        <v>0.22</v>
      </c>
      <c r="G28" s="4" t="n">
        <v>0.22</v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0.1432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F37" s="4" t="n">
        <v>0.1736</v>
      </c>
      <c r="G37" s="4" t="n">
        <v>0.1736</v>
      </c>
      <c r="H37" s="4" t="n">
        <v>0.1736</v>
      </c>
      <c r="I37" s="4" t="n">
        <v>0.096</v>
      </c>
      <c r="J37" s="4" t="n">
        <v>0.096</v>
      </c>
      <c r="K37" s="4" t="n">
        <v>0.096</v>
      </c>
      <c r="L37" s="4" t="n">
        <v>0.096</v>
      </c>
      <c r="M37" s="4" t="n">
        <v>0.096</v>
      </c>
      <c r="N37" s="4" t="n">
        <v>0.096</v>
      </c>
      <c r="O37" s="4" t="n">
        <v>0.096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10.83</v>
      </c>
      <c r="F40" s="15">
        <f>MAX((E40-F41),0)</f>
        <v/>
      </c>
      <c r="G40" s="15">
        <f>MAX((F40-G41),0)</f>
        <v/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>
        <v>0.061026</v>
      </c>
      <c r="E41" s="13" t="n">
        <v>0.109322</v>
      </c>
      <c r="F41" s="15">
        <f>IF(($C$9&gt;0),MIN(F14,MAX(E40,0)),F14)</f>
        <v/>
      </c>
      <c r="G41" s="15">
        <f>IF(($C$9&gt;0),MIN(G14,MAX(F40,0)),G14)</f>
        <v/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16">
        <f>Drivers!$G$6</f>
        <v/>
      </c>
      <c r="G42" s="16">
        <f>Drivers!$I$6</f>
        <v/>
      </c>
      <c r="H42" s="16">
        <f>Drivers!$K$6</f>
        <v/>
      </c>
      <c r="I42" s="16">
        <f>Drivers!$L$6</f>
        <v/>
      </c>
      <c r="J42" s="16">
        <f>Drivers!$M$6</f>
        <v/>
      </c>
      <c r="K42" s="16">
        <f>Drivers!$N$6</f>
        <v/>
      </c>
      <c r="L42" s="16">
        <f>Drivers!$O$6</f>
        <v/>
      </c>
      <c r="M42" s="16">
        <f>Drivers!$P$6</f>
        <v/>
      </c>
      <c r="N42" s="16">
        <f>Drivers!$Q$6</f>
        <v/>
      </c>
      <c r="O42" s="16">
        <f>Drivers!$R$6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175</v>
      </c>
      <c r="F43" s="16">
        <f>(((F15*F42)*(1-F16))+(MIN(Drivers!$G$4,(F15*F42))*F16))</f>
        <v/>
      </c>
      <c r="G43" s="16">
        <f>(((G15*G42)*(1-G16))+(MIN(Drivers!$I$4,(G15*G42))*G16))</f>
        <v/>
      </c>
      <c r="H43" s="16">
        <f>(((H15*H42)*(1-H16))+(MIN(Drivers!$K$4,(H15*H42))*H16))</f>
        <v/>
      </c>
      <c r="I43" s="16">
        <f>(((I15*I42)*(1-I16))+(MIN(Drivers!$L$4,(I15*I42))*I16))</f>
        <v/>
      </c>
      <c r="J43" s="16">
        <f>(((J15*J42)*(1-J16))+(MIN(Drivers!$M$4,(J15*J42))*J16))</f>
        <v/>
      </c>
      <c r="K43" s="16">
        <f>(((K15*K42)*(1-K16))+(MIN(Drivers!$N$4,(K15*K42))*K16))</f>
        <v/>
      </c>
      <c r="L43" s="16">
        <f>(((L15*L42)*(1-L16))+(MIN(Drivers!$O$4,(L15*L42))*L16))</f>
        <v/>
      </c>
      <c r="M43" s="16">
        <f>(((M15*M42)*(1-M16))+(MIN(Drivers!$P$4,(M15*M42))*M16))</f>
        <v/>
      </c>
      <c r="N43" s="16">
        <f>(((N15*N42)*(1-N16))+(MIN(Drivers!$Q$4,(N15*N42))*N16))</f>
        <v/>
      </c>
      <c r="O43" s="16">
        <f>(((O15*O42)*(1-O16))+(MIN(Drivers!$R$4,(O15*O42))*O16))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17">
        <f>IF(F42=0,0,F43/F42)</f>
        <v/>
      </c>
      <c r="G44" s="17">
        <f>IF(G42=0,0,G43/G42)</f>
        <v/>
      </c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16">
        <f>(((F17*F18)*(1+($C$19*(IF(Drivers!$E$8=0,0,Drivers!$G$8/Drivers!$E$8)-1))))+F20)</f>
        <v/>
      </c>
      <c r="G45" s="16">
        <f>(((G17*G18)*(1+($C$19*(IF(Drivers!$E$8=0,0,Drivers!$I$8/Drivers!$E$8)-1))))+G20)</f>
        <v/>
      </c>
      <c r="H45" s="16">
        <f>(((H17*H18)*(1+($C$19*(IF(Drivers!$E$8=0,0,Drivers!$K$8/Drivers!$E$8)-1))))+H20)</f>
        <v/>
      </c>
      <c r="I45" s="16">
        <f>(((I17*I18)*(1+($C$19*(IF(Drivers!$E$8=0,0,Drivers!$L$8/Drivers!$E$8)-1))))+I20)</f>
        <v/>
      </c>
      <c r="J45" s="16">
        <f>(((J17*J18)*(1+($C$19*(IF(Drivers!$E$8=0,0,Drivers!$M$8/Drivers!$E$8)-1))))+J20)</f>
        <v/>
      </c>
      <c r="K45" s="16">
        <f>(((K17*K18)*(1+($C$19*(IF(Drivers!$E$8=0,0,Drivers!$N$8/Drivers!$E$8)-1))))+K20)</f>
        <v/>
      </c>
      <c r="L45" s="16">
        <f>(((L17*L18)*(1+($C$19*(IF(Drivers!$E$8=0,0,Drivers!$O$8/Drivers!$E$8)-1))))+L20)</f>
        <v/>
      </c>
      <c r="M45" s="16">
        <f>(((M17*M18)*(1+($C$19*(IF(Drivers!$E$8=0,0,Drivers!$P$8/Drivers!$E$8)-1))))+M20)</f>
        <v/>
      </c>
      <c r="N45" s="16">
        <f>(((N17*N18)*(1+($C$19*(IF(Drivers!$E$8=0,0,Drivers!$Q$8/Drivers!$E$8)-1))))+N20)</f>
        <v/>
      </c>
      <c r="O45" s="16">
        <f>(((O17*O18)*(1+($C$19*(IF(Drivers!$E$8=0,0,Drivers!$R$8/Drivers!$E$8)-1))))+O20)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8">
        <f>F17</f>
        <v/>
      </c>
      <c r="G46" s="18">
        <f>G17</f>
        <v/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17">
        <f>F21</f>
        <v/>
      </c>
      <c r="G47" s="17">
        <f>G21</f>
        <v/>
      </c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>
        <v>-72.17871041780126</v>
      </c>
      <c r="E48" s="3" t="n">
        <v>49.36874539645579</v>
      </c>
      <c r="F48" s="16">
        <f>IF(IF(1000=0,0,((F41*$C$10)*Drivers!$G$7)/1000)=0,0,F61/IF(1000=0,0,((F41*$C$10)*Drivers!$G$7)/1000))</f>
        <v/>
      </c>
      <c r="G48" s="16">
        <f>IF(IF(1000=0,0,((G41*$C$10)*Drivers!$I$7)/1000)=0,0,G61/IF(1000=0,0,((G41*$C$10)*Drivers!$I$7)/1000))</f>
        <v/>
      </c>
      <c r="H48" s="16">
        <f>IF(IF(1000=0,0,((H41*$C$10)*Drivers!$K$7)/1000)=0,0,H61/IF(1000=0,0,((H41*$C$10)*Drivers!$K$7)/1000))</f>
        <v/>
      </c>
      <c r="I48" s="16">
        <f>IF(IF(1000=0,0,((I41*$C$10)*Drivers!$L$7)/1000)=0,0,I61/IF(1000=0,0,((I41*$C$10)*Drivers!$L$7)/1000))</f>
        <v/>
      </c>
      <c r="J48" s="16">
        <f>IF(IF(1000=0,0,((J41*$C$10)*Drivers!$M$7)/1000)=0,0,J61/IF(1000=0,0,((J41*$C$10)*Drivers!$M$7)/1000))</f>
        <v/>
      </c>
      <c r="K48" s="16">
        <f>IF(IF(1000=0,0,((K41*$C$10)*Drivers!$N$7)/1000)=0,0,K61/IF(1000=0,0,((K41*$C$10)*Drivers!$N$7)/1000))</f>
        <v/>
      </c>
      <c r="L48" s="16">
        <f>IF(IF(1000=0,0,((L41*$C$10)*Drivers!$O$7)/1000)=0,0,L61/IF(1000=0,0,((L41*$C$10)*Drivers!$O$7)/1000))</f>
        <v/>
      </c>
      <c r="M48" s="16">
        <f>IF(IF(1000=0,0,((M41*$C$10)*Drivers!$P$7)/1000)=0,0,M61/IF(1000=0,0,((M41*$C$10)*Drivers!$P$7)/1000))</f>
        <v/>
      </c>
      <c r="N48" s="16">
        <f>IF(IF(1000=0,0,((N41*$C$10)*Drivers!$Q$7)/1000)=0,0,N61/IF(1000=0,0,((N41*$C$10)*Drivers!$Q$7)/1000))</f>
        <v/>
      </c>
      <c r="O48" s="16">
        <f>IF(IF(1000=0,0,((O41*$C$10)*Drivers!$R$7)/1000)=0,0,O61/IF(1000=0,0,((O41*$C$10)*Drivers!$R$7)/1000))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16">
        <f>IF(IF(1000=0,0,((F41*$C$10)*Drivers!$G$7)/1000)=0,0,(F53+F52)/IF(1000=0,0,((F41*$C$10)*Drivers!$G$7)/1000))</f>
        <v/>
      </c>
      <c r="G49" s="16">
        <f>IF(IF(1000=0,0,((G41*$C$10)*Drivers!$I$7)/1000)=0,0,(G53+G52)/IF(1000=0,0,((G41*$C$10)*Drivers!$I$7)/1000))</f>
        <v/>
      </c>
      <c r="H49" s="16">
        <f>IF(IF(1000=0,0,((H41*$C$10)*Drivers!$K$7)/1000)=0,0,(H53+H52)/IF(1000=0,0,((H41*$C$10)*Drivers!$K$7)/1000))</f>
        <v/>
      </c>
      <c r="I49" s="16">
        <f>IF(IF(1000=0,0,((I41*$C$10)*Drivers!$L$7)/1000)=0,0,(I53+I52)/IF(1000=0,0,((I41*$C$10)*Drivers!$L$7)/1000))</f>
        <v/>
      </c>
      <c r="J49" s="16">
        <f>IF(IF(1000=0,0,((J41*$C$10)*Drivers!$M$7)/1000)=0,0,(J53+J52)/IF(1000=0,0,((J41*$C$10)*Drivers!$M$7)/1000))</f>
        <v/>
      </c>
      <c r="K49" s="16">
        <f>IF(IF(1000=0,0,((K41*$C$10)*Drivers!$N$7)/1000)=0,0,(K53+K52)/IF(1000=0,0,((K41*$C$10)*Drivers!$N$7)/1000))</f>
        <v/>
      </c>
      <c r="L49" s="16">
        <f>IF(IF(1000=0,0,((L41*$C$10)*Drivers!$O$7)/1000)=0,0,(L53+L52)/IF(1000=0,0,((L41*$C$10)*Drivers!$O$7)/1000))</f>
        <v/>
      </c>
      <c r="M49" s="16">
        <f>IF(IF(1000=0,0,((M41*$C$10)*Drivers!$P$7)/1000)=0,0,(M53+M52)/IF(1000=0,0,((M41*$C$10)*Drivers!$P$7)/1000))</f>
        <v/>
      </c>
      <c r="N49" s="16">
        <f>IF(IF(1000=0,0,((N41*$C$10)*Drivers!$Q$7)/1000)=0,0,(N53+N52)/IF(1000=0,0,((N41*$C$10)*Drivers!$Q$7)/1000))</f>
        <v/>
      </c>
      <c r="O49" s="16">
        <f>IF(IF(1000=0,0,((O41*$C$10)*Drivers!$R$7)/1000)=0,0,(O53+O52)/IF(1000=0,0,((O41*$C$10)*Drivers!$R$7)/1000))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31">
        <f>IF(1000=0,0,(((F41*F43)*$C$10)*Drivers!$G$7)/1000)</f>
        <v/>
      </c>
      <c r="G50" s="31">
        <f>IF(1000=0,0,(((G41*G43)*$C$10)*Drivers!$I$7)/1000)</f>
        <v/>
      </c>
      <c r="H50" s="31">
        <f>IF(1000=0,0,(((H41*H43)*$C$10)*Drivers!$K$7)/1000)</f>
        <v/>
      </c>
      <c r="I50" s="31">
        <f>IF(1000=0,0,(((I41*I43)*$C$10)*Drivers!$L$7)/1000)</f>
        <v/>
      </c>
      <c r="J50" s="31">
        <f>IF(1000=0,0,(((J41*J43)*$C$10)*Drivers!$M$7)/1000)</f>
        <v/>
      </c>
      <c r="K50" s="31">
        <f>IF(1000=0,0,(((K41*K43)*$C$10)*Drivers!$N$7)/1000)</f>
        <v/>
      </c>
      <c r="L50" s="31">
        <f>IF(1000=0,0,(((L41*L43)*$C$10)*Drivers!$O$7)/1000)</f>
        <v/>
      </c>
      <c r="M50" s="31">
        <f>IF(1000=0,0,(((M41*M43)*$C$10)*Drivers!$P$7)/1000)</f>
        <v/>
      </c>
      <c r="N50" s="31">
        <f>IF(1000=0,0,(((N41*N43)*$C$10)*Drivers!$Q$7)/1000)</f>
        <v/>
      </c>
      <c r="O50" s="31">
        <f>IF(1000=0,0,(((O41*O43)*$C$10)*Drivers!$R$7)/1000)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5">
        <f>F22</f>
        <v/>
      </c>
      <c r="G51" s="15">
        <f>G22</f>
        <v/>
      </c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5">
        <f>(F50*F47)</f>
        <v/>
      </c>
      <c r="G52" s="15">
        <f>(G50*G47)</f>
        <v/>
      </c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31">
        <f>IF(1000=0,0,(((F41*F45)*$C$10)*Drivers!$G$7)/1000)</f>
        <v/>
      </c>
      <c r="G53" s="31">
        <f>IF(1000=0,0,(((G41*G45)*$C$10)*Drivers!$I$7)/1000)</f>
        <v/>
      </c>
      <c r="H53" s="31">
        <f>IF(1000=0,0,(((H41*H45)*$C$10)*Drivers!$K$7)/1000)</f>
        <v/>
      </c>
      <c r="I53" s="31">
        <f>IF(1000=0,0,(((I41*I45)*$C$10)*Drivers!$L$7)/1000)</f>
        <v/>
      </c>
      <c r="J53" s="31">
        <f>IF(1000=0,0,(((J41*J45)*$C$10)*Drivers!$M$7)/1000)</f>
        <v/>
      </c>
      <c r="K53" s="31">
        <f>IF(1000=0,0,(((K41*K45)*$C$10)*Drivers!$N$7)/1000)</f>
        <v/>
      </c>
      <c r="L53" s="31">
        <f>IF(1000=0,0,(((L41*L45)*$C$10)*Drivers!$O$7)/1000)</f>
        <v/>
      </c>
      <c r="M53" s="31">
        <f>IF(1000=0,0,(((M41*M45)*$C$10)*Drivers!$P$7)/1000)</f>
        <v/>
      </c>
      <c r="N53" s="31">
        <f>IF(1000=0,0,(((N41*N45)*$C$10)*Drivers!$Q$7)/1000)</f>
        <v/>
      </c>
      <c r="O53" s="31">
        <f>IF(1000=0,0,(((O41*O45)*$C$10)*Drivers!$R$7)/1000)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5">
        <f>(F51*(1-$C$23))</f>
        <v/>
      </c>
      <c r="G54" s="15">
        <f>(G51*(1-$C$23))</f>
        <v/>
      </c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43.523306126</v>
      </c>
      <c r="E55" s="13" t="n">
        <v>456.751065782</v>
      </c>
      <c r="F55" s="15">
        <f>(F50+F51)</f>
        <v/>
      </c>
      <c r="G55" s="15">
        <f>(G50+G51)</f>
        <v/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68.53214369</v>
      </c>
      <c r="E56" s="13" t="n">
        <v>272.106815142</v>
      </c>
      <c r="F56" s="15">
        <f>(((F53+F52)+F54)+F60)</f>
        <v/>
      </c>
      <c r="G56" s="15">
        <f>(((G53+G52)+G54)+G60)</f>
        <v/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-25.008837564</v>
      </c>
      <c r="E57" s="13" t="n">
        <v>184.64425064</v>
      </c>
      <c r="F57" s="15">
        <f>(F55-F56)</f>
        <v/>
      </c>
      <c r="G57" s="15">
        <f>(G55-G56)</f>
        <v/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46.846850905</v>
      </c>
      <c r="E58" s="13" t="n">
        <v>116.024090817</v>
      </c>
      <c r="F58" s="15">
        <f>(F55*F37)</f>
        <v/>
      </c>
      <c r="G58" s="15">
        <f>(G55*G37)</f>
        <v/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-71.855688469</v>
      </c>
      <c r="E59" s="13" t="n">
        <v>68.62015982299999</v>
      </c>
      <c r="F59" s="15">
        <f>(F57-F58)</f>
        <v/>
      </c>
      <c r="G59" s="15">
        <f>(G57-G58)</f>
        <v/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8.820938729</v>
      </c>
      <c r="E60" s="13" t="n">
        <v>11.489803717</v>
      </c>
      <c r="F60" s="15">
        <f>IF(1000=0,0,((F41*F24)*$C$10)/1000)</f>
        <v/>
      </c>
      <c r="G60" s="15">
        <f>IF(1000=0,0,((G41*G24)*$C$10)/1000)</f>
        <v/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-63.03474974</v>
      </c>
      <c r="E61" s="13" t="n">
        <v>80.10996354</v>
      </c>
      <c r="F61" s="15">
        <f>(F59+F60)</f>
        <v/>
      </c>
      <c r="G61" s="15">
        <f>(G59+G60)</f>
        <v/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9.10455383</v>
      </c>
      <c r="E62" s="13" t="n">
        <v>31.257290623</v>
      </c>
      <c r="F62" s="15">
        <f>(E82*$C$29)</f>
        <v/>
      </c>
      <c r="G62" s="15">
        <f>(F82*$C$29)</f>
        <v/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5">
        <f>(E81*$C$30)</f>
        <v/>
      </c>
      <c r="G63" s="15">
        <f>(F81*$C$30)</f>
        <v/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5">
        <f>F32</f>
        <v/>
      </c>
      <c r="G64" s="15">
        <f>G32</f>
        <v/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-165.282610741</v>
      </c>
      <c r="E65" s="13" t="n">
        <v>37.694027644</v>
      </c>
      <c r="F65" s="15">
        <f>(((F59-F62)+F63)+F64)</f>
        <v/>
      </c>
      <c r="G65" s="15">
        <f>(((G59-G62)+G63)+G64)</f>
        <v/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0.0819621</v>
      </c>
      <c r="E66" s="13" t="n">
        <v>-1.334025896</v>
      </c>
      <c r="F66" s="15">
        <f>(MAX(F65,0)*F28)</f>
        <v/>
      </c>
      <c r="G66" s="15">
        <f>(MAX(G65,0)*G28)</f>
        <v/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-165.364572841</v>
      </c>
      <c r="E67" s="13" t="n">
        <v>39.02805354</v>
      </c>
      <c r="F67" s="15">
        <f>(F65-F66)</f>
        <v/>
      </c>
      <c r="G67" s="15">
        <f>(G65-G66)</f>
        <v/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-0.001248674000009942</v>
      </c>
      <c r="E68" s="13" t="n">
        <v>-0.001729044000001068</v>
      </c>
      <c r="F68" s="15">
        <f>(F67*F33)</f>
        <v/>
      </c>
      <c r="G68" s="15">
        <f>(G67*G33)</f>
        <v/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-165.363324167</v>
      </c>
      <c r="E69" s="13" t="n">
        <v>39.029782584</v>
      </c>
      <c r="F69" s="15">
        <f>(F67-F68)</f>
        <v/>
      </c>
      <c r="G69" s="15">
        <f>(G67-G68)</f>
        <v/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1400</v>
      </c>
      <c r="E70" s="13" t="n">
        <v>1400</v>
      </c>
      <c r="F70" s="15">
        <f>(E70*(1+F35))</f>
        <v/>
      </c>
      <c r="G70" s="15">
        <f>(F70*(1+G35))</f>
        <v/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-118.1166601192857</v>
      </c>
      <c r="E71" s="20" t="n">
        <v>27.87841613142857</v>
      </c>
      <c r="F71" s="21">
        <f>(IF(F70=0,0,F69/F70)*$C$8)</f>
        <v/>
      </c>
      <c r="G71" s="21">
        <f>(IF(G70=0,0,G69/G70)*$C$8)</f>
        <v/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1">
        <f>(MAX(F71,0)*F34)</f>
        <v/>
      </c>
      <c r="G72" s="21">
        <f>(MAX(G71,0)*G34)</f>
        <v/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5">
        <f>IF($C$8=0,0,(E72*E70)/$C$8)</f>
        <v/>
      </c>
      <c r="G73" s="15">
        <f>IF($C$8=0,0,(F72*F70)/$C$8)</f>
        <v/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7.191254433</v>
      </c>
      <c r="E74" s="13" t="n">
        <v>6.994160188</v>
      </c>
      <c r="F74" s="15">
        <f>(IF(1000=0,0,((F41*F25)*$C$10)/1000)+F26)</f>
        <v/>
      </c>
      <c r="G74" s="15">
        <f>(IF(1000=0,0,((G41*G25)*$C$10)/1000)+G26)</f>
        <v/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-27.44550927899999</v>
      </c>
      <c r="F75" s="15">
        <f>(F80-E80)</f>
        <v/>
      </c>
      <c r="G75" s="15">
        <f>(G80-F80)</f>
        <v/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102.9898424515885</v>
      </c>
      <c r="F76" s="15">
        <f>((((F59*(1-F28))+F60)-F74)-F75)</f>
        <v/>
      </c>
      <c r="G76" s="15">
        <f>((((G59*(1-G28))+G60)-G74)-G75)</f>
        <v/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-18.06946316099999</v>
      </c>
      <c r="F77" s="15">
        <f>F31</f>
        <v/>
      </c>
      <c r="G77" s="15">
        <f>G31</f>
        <v/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5">
        <f>(MAX(E68,0)*F34)</f>
        <v/>
      </c>
      <c r="G78" s="15">
        <f>(MAX(F68,0)*G34)</f>
        <v/>
      </c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5">
        <f>(((((F67+F60)-F74)-F75)+F77)-F78)</f>
        <v/>
      </c>
      <c r="G79" s="15">
        <f>(((((G67+G60)-G74)-G75)+G77)-G78)</f>
        <v/>
      </c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-23.86304908700001</v>
      </c>
      <c r="E80" s="13" t="n">
        <v>-51.308558366</v>
      </c>
      <c r="F80" s="15">
        <f>(F55*F27)</f>
        <v/>
      </c>
      <c r="G80" s="15">
        <f>(G55*G27)</f>
        <v/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1.942543427</v>
      </c>
      <c r="E81" s="13" t="n">
        <v>15.314049786</v>
      </c>
      <c r="F81" s="15">
        <f>(((((((E81+F67)+F60)-F74)-F75)+F77)-F73)-F78)</f>
        <v/>
      </c>
      <c r="G81" s="15">
        <f>(((((((F81+G67)+G60)-G74)-G75)+G77)-G73)-G78)</f>
        <v/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218.276145693</v>
      </c>
      <c r="E82" s="13" t="n">
        <v>200.206682532</v>
      </c>
      <c r="F82" s="15">
        <f>(E82+F77)</f>
        <v/>
      </c>
      <c r="G82" s="15">
        <f>(F82+G77)</f>
        <v/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362.982797183</v>
      </c>
      <c r="E83" s="13" t="n">
        <v>354.19444453</v>
      </c>
      <c r="F83" s="15">
        <f>((E83+F74)-F60)</f>
        <v/>
      </c>
      <c r="G83" s="15">
        <f>((F83+G74)-G60)</f>
        <v/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-78.016564558</v>
      </c>
      <c r="E84" s="13" t="n">
        <v>-39.383249599</v>
      </c>
      <c r="F84" s="15">
        <f>((E84+F69)-F73)</f>
        <v/>
      </c>
      <c r="G84" s="15">
        <f>((F84+G69)-G73)</f>
        <v/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0.002301699</v>
      </c>
      <c r="E85" s="13" t="n">
        <v>0.000569324</v>
      </c>
      <c r="F85" s="15">
        <f>((E85+F68)-F78)</f>
        <v/>
      </c>
      <c r="G85" s="15">
        <f>((F85+G68)-G78)</f>
        <v/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-200.800408689</v>
      </c>
      <c r="E86" s="13" t="n">
        <v>-157.375933693</v>
      </c>
      <c r="F86" s="15">
        <f>E86</f>
        <v/>
      </c>
      <c r="G86" s="15">
        <f>F86</f>
        <v/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5">
        <f>((((((F81+F80)+F83)+F86)-F82)-F84)-F85)</f>
        <v/>
      </c>
      <c r="G87" s="15">
        <f>((((((G81+G80)+G83)+G86)-G82)-G84)-G85)</f>
        <v/>
      </c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216.333602266</v>
      </c>
      <c r="E88" s="13" t="n">
        <v>184.892632746</v>
      </c>
      <c r="F88" s="15">
        <f>(F82-F81)</f>
        <v/>
      </c>
      <c r="G88" s="15">
        <f>(G82-G81)</f>
        <v/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-55.72611754142856</v>
      </c>
      <c r="E89" s="20" t="n">
        <v>-28.13089257071429</v>
      </c>
      <c r="F89" s="21">
        <f>(IF(F70=0,0,F84/F70)*$C$8)</f>
        <v/>
      </c>
      <c r="G89" s="21">
        <f>(IF(G70=0,0,G84/G70)*$C$8)</f>
        <v/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9.494401883434714</v>
      </c>
      <c r="F90" s="17">
        <f>(IF(E55=0,0,F55/E55)-1)</f>
        <v/>
      </c>
      <c r="G90" s="17">
        <f>(IF(F55=0,0,G55/F55)-1)</f>
        <v/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-0.5746079466389662</v>
      </c>
      <c r="E91" s="4" t="n">
        <v>0.4042557630902776</v>
      </c>
      <c r="F91" s="17">
        <f>IF(F55=0,0,F57/F55)</f>
        <v/>
      </c>
      <c r="G91" s="17">
        <f>IF(G55=0,0,G57/G55)</f>
        <v/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-1.44829874728529</v>
      </c>
      <c r="E92" s="4" t="n">
        <v>0.175390862860592</v>
      </c>
      <c r="F92" s="17">
        <f>IF(F55=0,0,F61/F55)</f>
        <v/>
      </c>
      <c r="G92" s="17">
        <f>IF(G55=0,0,G61/G55)</f>
        <v/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-1.650970361970613</v>
      </c>
      <c r="E93" s="4" t="n">
        <v>0.1502353578650461</v>
      </c>
      <c r="F93" s="17">
        <f>IF(F55=0,0,F59/F55)</f>
        <v/>
      </c>
      <c r="G93" s="17">
        <f>IF(G55=0,0,G59/G55)</f>
        <v/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-3.799420101227445</v>
      </c>
      <c r="E94" s="4" t="n">
        <v>0.08545088453636646</v>
      </c>
      <c r="F94" s="17">
        <f>IF(F55=0,0,F69/F55)</f>
        <v/>
      </c>
      <c r="G94" s="17">
        <f>IF(G55=0,0,G69/G55)</f>
        <v/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-1.23602441944493</v>
      </c>
      <c r="F95" s="17">
        <f>(IF(E71=0,0,F71/E71)-1)</f>
        <v/>
      </c>
      <c r="G95" s="17">
        <f>(IF(F71=0,0,G71/F71)-1)</f>
        <v/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-0.6649036519223968</v>
      </c>
      <c r="F96" s="17">
        <f>IF(IF(2=0,0,(F84+E84)/2)=0,0,F69/IF(2=0,0,(F84+E84)/2))</f>
        <v/>
      </c>
      <c r="G96" s="17">
        <f>IF(IF(2=0,0,(G84+F84)/2)=0,0,G69/IF(2=0,0,(G84+F84)/2))</f>
        <v/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-3.431973683695313</v>
      </c>
      <c r="E97" s="22" t="n">
        <v>2.307985481152798</v>
      </c>
      <c r="F97" s="23">
        <f>IF(F61=0,0,F88/F61)</f>
        <v/>
      </c>
      <c r="G97" s="23">
        <f>IF(G61=0,0,G88/G61)</f>
        <v/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-0</v>
      </c>
      <c r="E98" s="4" t="n">
        <v>0</v>
      </c>
      <c r="F98" s="17">
        <f>IF(F71=0,0,F72/F71)</f>
        <v/>
      </c>
      <c r="G98" s="17">
        <f>IF(G71=0,0,G72/G71)</f>
        <v/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0.1652276693360866</v>
      </c>
      <c r="E99" s="4" t="n">
        <v>0.01531284919067535</v>
      </c>
      <c r="F99" s="17">
        <f>IF(F55=0,0,F74/F55)</f>
        <v/>
      </c>
      <c r="G99" s="17">
        <f>IF(G55=0,0,G74/G55)</f>
        <v/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</v>
      </c>
    </row>
    <row r="103">
      <c r="A103" t="inlineStr">
        <is>
          <t>Shares outstanding (m)</t>
        </is>
      </c>
      <c r="C103" s="13" t="n">
        <v>1400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200.206682532</v>
      </c>
    </row>
    <row r="106">
      <c r="A106" t="inlineStr">
        <is>
          <t>Cash at balance-sheet date</t>
        </is>
      </c>
      <c r="C106" s="13" t="n">
        <v>15.314049786</v>
      </c>
    </row>
    <row r="107">
      <c r="A107" t="inlineStr">
        <is>
          <t>Minority interest (book)</t>
        </is>
      </c>
      <c r="C107" s="13" t="n">
        <v>0.000569324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-39.383818923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F126" s="6" t="n">
        <v>0.996578</v>
      </c>
      <c r="G126" s="6" t="n">
        <v>0.999316</v>
      </c>
      <c r="H126" s="6" t="n">
        <v>0.996578</v>
      </c>
      <c r="I126" s="6" t="n">
        <v>0.996578</v>
      </c>
      <c r="J126" s="6" t="n">
        <v>0.996578</v>
      </c>
      <c r="K126" s="6" t="n">
        <v>0.999316</v>
      </c>
      <c r="L126" s="6" t="n">
        <v>0.996578</v>
      </c>
      <c r="M126" s="6" t="n">
        <v>0.996578</v>
      </c>
      <c r="N126" s="6" t="n">
        <v>0.996578</v>
      </c>
      <c r="O126" s="6" t="n">
        <v>0.999316</v>
      </c>
    </row>
    <row r="127">
      <c r="A127" t="inlineStr">
        <is>
          <t>Discount time from valuation date (years)</t>
        </is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0.673511</v>
      </c>
      <c r="K127" s="6" t="n">
        <v>1.672827</v>
      </c>
      <c r="L127" s="6" t="n">
        <v>2.67488</v>
      </c>
      <c r="M127" s="6" t="n">
        <v>3.674196</v>
      </c>
      <c r="N127" s="6" t="n">
        <v>4.673511</v>
      </c>
      <c r="O127" s="6" t="n">
        <v>5.672827</v>
      </c>
    </row>
    <row r="128">
      <c r="A128" t="inlineStr">
        <is>
          <t>Discount factor</t>
        </is>
      </c>
      <c r="F128">
        <f>1/(1+$C$122)^F127</f>
        <v/>
      </c>
      <c r="G128">
        <f>1/(1+$C$122)^G127</f>
        <v/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</row>
    <row r="129">
      <c r="A129" t="inlineStr">
        <is>
          <t>PV of FCFF</t>
        </is>
      </c>
      <c r="F129" s="26">
        <f>F76*F126*F128</f>
        <v/>
      </c>
      <c r="G129" s="26">
        <f>G76*G126*G128</f>
        <v/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</row>
    <row r="130">
      <c r="A130" t="inlineStr">
        <is>
          <t>Cumulative PV (production stops at its peak)</t>
        </is>
      </c>
      <c r="F130" s="26">
        <f>F129</f>
        <v/>
      </c>
      <c r="G130" s="26">
        <f>F130+G129</f>
        <v/>
      </c>
      <c r="H130" s="26">
        <f>G130+H129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</row>
    <row r="131">
      <c r="A131" t="inlineStr">
        <is>
          <t>Best cumulative PV (never below zero)</t>
        </is>
      </c>
      <c r="C131" s="26">
        <f>MAX(0,MAX(F130:O130))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144.4498755162188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52.826495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63.892778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74.498706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84.630081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94.272706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6.737707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627.9195356888853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2131.155854216001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7052.285653758222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2006.672018</v>
      </c>
      <c r="E167" s="27" t="n">
        <v>2343.401718</v>
      </c>
      <c r="F167" s="27" t="n">
        <v>3168.585551</v>
      </c>
      <c r="G167" s="27" t="n">
        <v>4242.430245</v>
      </c>
      <c r="H167" s="27" t="n">
        <v>5330.530264</v>
      </c>
    </row>
    <row r="168">
      <c r="C168" s="1" t="n">
        <v>0.95</v>
      </c>
      <c r="D168" s="27" t="n">
        <v>2118.153797</v>
      </c>
      <c r="E168" s="27" t="n">
        <v>2473.590703</v>
      </c>
      <c r="F168" s="27" t="n">
        <v>3344.618082</v>
      </c>
      <c r="G168" s="27" t="n">
        <v>4478.120814</v>
      </c>
      <c r="H168" s="27" t="n">
        <v>5626.670834</v>
      </c>
    </row>
    <row r="169">
      <c r="C169" s="1" t="n">
        <v>1</v>
      </c>
      <c r="D169" s="27" t="n">
        <v>2229.635575</v>
      </c>
      <c r="E169" s="27" t="n">
        <v>2603.779687</v>
      </c>
      <c r="F169" s="27" t="n">
        <v>3520.650612</v>
      </c>
      <c r="G169" s="27" t="n">
        <v>4713.811383</v>
      </c>
      <c r="H169" s="27" t="n">
        <v>5922.811405</v>
      </c>
    </row>
    <row r="170">
      <c r="C170" s="1" t="n">
        <v>1.05</v>
      </c>
      <c r="D170" s="27" t="n">
        <v>2341.117354</v>
      </c>
      <c r="E170" s="27" t="n">
        <v>2733.968671</v>
      </c>
      <c r="F170" s="27" t="n">
        <v>3696.683143</v>
      </c>
      <c r="G170" s="27" t="n">
        <v>4949.501952</v>
      </c>
      <c r="H170" s="27" t="n">
        <v>6218.951975</v>
      </c>
    </row>
    <row r="171">
      <c r="C171" s="1" t="n">
        <v>1.1</v>
      </c>
      <c r="D171" s="27" t="n">
        <v>2452.599133</v>
      </c>
      <c r="E171" s="27" t="n">
        <v>2864.157656</v>
      </c>
      <c r="F171" s="27" t="n">
        <v>3872.715673</v>
      </c>
      <c r="G171" s="27" t="n">
        <v>5185.192521</v>
      </c>
      <c r="H171" s="27" t="n">
        <v>6515.092545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4943.287906</v>
      </c>
      <c r="E175" s="27" t="n">
        <v>4265.811782</v>
      </c>
      <c r="F175" s="27" t="n">
        <v>3588.335657</v>
      </c>
      <c r="G175" s="27" t="n">
        <v>2910.859533</v>
      </c>
      <c r="H175" s="27" t="n">
        <v>2489.712299</v>
      </c>
    </row>
    <row r="176">
      <c r="C176" s="1" t="n">
        <v>0.95</v>
      </c>
      <c r="D176" s="27" t="n">
        <v>5096.762039</v>
      </c>
      <c r="E176" s="27" t="n">
        <v>4381.648352</v>
      </c>
      <c r="F176" s="27" t="n">
        <v>3666.534665</v>
      </c>
      <c r="G176" s="27" t="n">
        <v>2951.420978</v>
      </c>
      <c r="H176" s="27" t="n">
        <v>2506.876676</v>
      </c>
    </row>
    <row r="177">
      <c r="C177" s="1" t="n">
        <v>1</v>
      </c>
      <c r="D177" s="27" t="n">
        <v>5250.236172</v>
      </c>
      <c r="E177" s="27" t="n">
        <v>4497.484922</v>
      </c>
      <c r="F177" s="27" t="n">
        <v>3744.733673</v>
      </c>
      <c r="G177" s="27" t="n">
        <v>2991.982423</v>
      </c>
      <c r="H177" s="27" t="n">
        <v>2524.041053</v>
      </c>
    </row>
    <row r="178">
      <c r="C178" s="1" t="n">
        <v>1.05</v>
      </c>
      <c r="D178" s="27" t="n">
        <v>5403.710304</v>
      </c>
      <c r="E178" s="27" t="n">
        <v>4613.321492</v>
      </c>
      <c r="F178" s="27" t="n">
        <v>3822.932681</v>
      </c>
      <c r="G178" s="27" t="n">
        <v>3032.543869</v>
      </c>
      <c r="H178" s="27" t="n">
        <v>2541.205429</v>
      </c>
    </row>
    <row r="179">
      <c r="C179" s="1" t="n">
        <v>1.1</v>
      </c>
      <c r="D179" s="27" t="n">
        <v>5557.184437</v>
      </c>
      <c r="E179" s="27" t="n">
        <v>4729.158063</v>
      </c>
      <c r="F179" s="27" t="n">
        <v>3901.131688</v>
      </c>
      <c r="G179" s="27" t="n">
        <v>3073.105314</v>
      </c>
      <c r="H179" s="27" t="n">
        <v>2558.369806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0.0168</v>
      </c>
      <c r="I27" s="4" t="n">
        <v>0.0168</v>
      </c>
      <c r="J27" s="4" t="n">
        <v>0.0168</v>
      </c>
      <c r="K27" s="4" t="n">
        <v>0.0168</v>
      </c>
      <c r="L27" s="4" t="n">
        <v>0.0168</v>
      </c>
      <c r="M27" s="4" t="n">
        <v>0.0168</v>
      </c>
      <c r="N27" s="4" t="n">
        <v>0.0168</v>
      </c>
      <c r="O27" s="4" t="n">
        <v>0.0168</v>
      </c>
      <c r="P27" s="4" t="n">
        <v>0.0168</v>
      </c>
      <c r="Q27" s="4" t="n">
        <v>0.0168</v>
      </c>
      <c r="R27" s="4" t="n">
        <v>0.0168</v>
      </c>
      <c r="S27" s="4" t="n">
        <v>0.0168</v>
      </c>
      <c r="T27" s="4" t="n">
        <v>0.0168</v>
      </c>
      <c r="U27" s="4" t="n">
        <v>0.0168</v>
      </c>
      <c r="V27" s="4" t="n">
        <v>0.0168</v>
      </c>
      <c r="W27" s="4" t="n">
        <v>0.0168</v>
      </c>
      <c r="X27" s="4" t="n">
        <v>0.0168</v>
      </c>
      <c r="Y27" s="4" t="n">
        <v>0.0168</v>
      </c>
      <c r="Z27" s="4" t="n">
        <v>0.0168</v>
      </c>
      <c r="AA27" s="4" t="n">
        <v>0.0168</v>
      </c>
      <c r="AB27" s="4" t="n">
        <v>0.0168</v>
      </c>
      <c r="AC27" s="4" t="n">
        <v>0.0168</v>
      </c>
      <c r="AD27" s="4" t="n">
        <v>0.0168</v>
      </c>
      <c r="AE27" s="4" t="n">
        <v>0.0168</v>
      </c>
      <c r="AF27" s="4" t="n">
        <v>0.0168</v>
      </c>
      <c r="AG27" s="4" t="n">
        <v>0.0168</v>
      </c>
      <c r="AH27" s="4" t="n">
        <v>0.0168</v>
      </c>
      <c r="AI27" s="4" t="n">
        <v>0.0168</v>
      </c>
      <c r="AJ27" s="4" t="n">
        <v>0.0168</v>
      </c>
      <c r="AK27" s="4" t="n">
        <v>0.0168</v>
      </c>
      <c r="AL27" s="4" t="n">
        <v>0.0168</v>
      </c>
      <c r="AM27" s="4" t="n">
        <v>0.0168</v>
      </c>
      <c r="AN27" s="4" t="n">
        <v>0.0168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  <c r="W47" s="9">
        <f>VLOOKUP(Drivers!$AA$5,Drivers!$B$25:$C$30,2,TRUE)</f>
        <v/>
      </c>
      <c r="X47" s="9">
        <f>VLOOKUP(Drivers!$AB$5,Drivers!$B$25:$C$30,2,TRUE)</f>
        <v/>
      </c>
      <c r="Y47" s="9">
        <f>VLOOKUP(Drivers!$AC$5,Drivers!$B$25:$C$30,2,TRUE)</f>
        <v/>
      </c>
      <c r="Z47" s="9">
        <f>VLOOKUP(Drivers!$AD$5,Drivers!$B$25:$C$30,2,TRUE)</f>
        <v/>
      </c>
      <c r="AA47" s="9">
        <f>VLOOKUP(Drivers!$AE$5,Drivers!$B$25:$C$30,2,TRUE)</f>
        <v/>
      </c>
      <c r="AB47" s="9">
        <f>VLOOKUP(Drivers!$AF$5,Drivers!$B$25:$C$30,2,TRUE)</f>
        <v/>
      </c>
      <c r="AC47" s="9">
        <f>VLOOKUP(Drivers!$AG$5,Drivers!$B$25:$C$30,2,TRUE)</f>
        <v/>
      </c>
      <c r="AD47" s="9">
        <f>VLOOKUP(Drivers!$AH$5,Drivers!$B$25:$C$30,2,TRUE)</f>
        <v/>
      </c>
      <c r="AE47" s="9">
        <f>VLOOKUP(Drivers!$AI$5,Drivers!$B$25:$C$30,2,TRUE)</f>
        <v/>
      </c>
      <c r="AF47" s="9">
        <f>VLOOKUP(Drivers!$AJ$5,Drivers!$B$25:$C$30,2,TRUE)</f>
        <v/>
      </c>
      <c r="AG47" s="9">
        <f>VLOOKUP(Drivers!$AK$5,Drivers!$B$25:$C$30,2,TRUE)</f>
        <v/>
      </c>
      <c r="AH47" s="9">
        <f>VLOOKUP(Drivers!$AL$5,Drivers!$B$25:$C$30,2,TRUE)</f>
        <v/>
      </c>
      <c r="AI47" s="9">
        <f>VLOOKUP(Drivers!$AM$5,Drivers!$B$25:$C$30,2,TRUE)</f>
        <v/>
      </c>
      <c r="AJ47" s="9">
        <f>VLOOKUP(Drivers!$AN$5,Drivers!$B$25:$C$30,2,TRUE)</f>
        <v/>
      </c>
      <c r="AK47" s="9">
        <f>VLOOKUP(Drivers!$AO$5,Drivers!$B$25:$C$30,2,TRUE)</f>
        <v/>
      </c>
      <c r="AL47" s="9">
        <f>VLOOKUP(Drivers!$AP$5,Drivers!$B$25:$C$30,2,TRUE)</f>
        <v/>
      </c>
      <c r="AM47" s="9">
        <f>VLOOKUP(Drivers!$AQ$5,Drivers!$B$25:$C$30,2,TRUE)</f>
        <v/>
      </c>
      <c r="AN47" s="9">
        <f>VLOOKUP(Drivers!$AR$5,Drivers!$B$25:$C$30,2,TRUE)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0.2563722278902275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  <c r="AL127" s="6" t="n">
        <v>29.675565</v>
      </c>
      <c r="AM127" s="6" t="n">
        <v>30.677618</v>
      </c>
      <c r="AN127" s="6" t="n">
        <v>31.676934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17.79743181398716</v>
      </c>
    </row>
    <row r="150">
      <c r="A150" t="inlineStr">
        <is>
          <t>Base probability</t>
        </is>
      </c>
      <c r="C150" s="4" t="n">
        <v>0.6</v>
      </c>
    </row>
    <row r="151">
      <c r="A151" t="inlineStr">
        <is>
          <t>Bull probability</t>
        </is>
      </c>
      <c r="C151" s="4" t="n">
        <v>0.15</v>
      </c>
    </row>
    <row r="152">
      <c r="A152" t="inlineStr">
        <is>
          <t>Bull 12-month value (engine)</t>
        </is>
      </c>
      <c r="C152" s="20" t="n">
        <v>242.6781500729762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2.560272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16.002294</v>
      </c>
      <c r="E170" s="27" t="n">
        <v>16.002294</v>
      </c>
      <c r="F170" s="27" t="n">
        <v>19.59707</v>
      </c>
      <c r="G170" s="27" t="n">
        <v>62.228221</v>
      </c>
      <c r="H170" s="27" t="n">
        <v>101.203257</v>
      </c>
    </row>
    <row r="171">
      <c r="C171" s="1" t="n">
        <v>0.95</v>
      </c>
      <c r="D171" s="27" t="n">
        <v>16.899435</v>
      </c>
      <c r="E171" s="27" t="n">
        <v>16.899435</v>
      </c>
      <c r="F171" s="27" t="n">
        <v>20.698771</v>
      </c>
      <c r="G171" s="27" t="n">
        <v>65.729163</v>
      </c>
      <c r="H171" s="27" t="n">
        <v>106.89918</v>
      </c>
    </row>
    <row r="172">
      <c r="C172" s="1" t="n">
        <v>1</v>
      </c>
      <c r="D172" s="27" t="n">
        <v>17.797432</v>
      </c>
      <c r="E172" s="27" t="n">
        <v>17.797432</v>
      </c>
      <c r="F172" s="27" t="n">
        <v>21.801776</v>
      </c>
      <c r="G172" s="27" t="n">
        <v>69.234471</v>
      </c>
      <c r="H172" s="27" t="n">
        <v>112.602397</v>
      </c>
    </row>
    <row r="173">
      <c r="C173" s="1" t="n">
        <v>1.05</v>
      </c>
      <c r="D173" s="27" t="n">
        <v>18.696284</v>
      </c>
      <c r="E173" s="27" t="n">
        <v>18.696284</v>
      </c>
      <c r="F173" s="27" t="n">
        <v>22.906078</v>
      </c>
      <c r="G173" s="27" t="n">
        <v>72.74411600000001</v>
      </c>
      <c r="H173" s="27" t="n">
        <v>118.312855</v>
      </c>
    </row>
    <row r="174">
      <c r="C174" s="1" t="n">
        <v>1.1</v>
      </c>
      <c r="D174" s="27" t="n">
        <v>19.595991</v>
      </c>
      <c r="E174" s="27" t="n">
        <v>19.595991</v>
      </c>
      <c r="F174" s="27" t="n">
        <v>24.011671</v>
      </c>
      <c r="G174" s="27" t="n">
        <v>76.25807</v>
      </c>
      <c r="H174" s="27" t="n">
        <v>124.030504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73.559146</v>
      </c>
      <c r="E178" s="27" t="n">
        <v>50.261084</v>
      </c>
      <c r="F178" s="27" t="n">
        <v>28.602648</v>
      </c>
      <c r="G178" s="27" t="n">
        <v>17.797432</v>
      </c>
      <c r="H178" s="27" t="n">
        <v>17.797432</v>
      </c>
    </row>
    <row r="179">
      <c r="C179" s="1" t="n">
        <v>0.95</v>
      </c>
      <c r="D179" s="27" t="n">
        <v>78.505134</v>
      </c>
      <c r="E179" s="27" t="n">
        <v>53.912735</v>
      </c>
      <c r="F179" s="27" t="n">
        <v>31.051053</v>
      </c>
      <c r="G179" s="27" t="n">
        <v>17.797432</v>
      </c>
      <c r="H179" s="27" t="n">
        <v>17.797432</v>
      </c>
    </row>
    <row r="180">
      <c r="C180" s="1" t="n">
        <v>1</v>
      </c>
      <c r="D180" s="27" t="n">
        <v>83.451123</v>
      </c>
      <c r="E180" s="27" t="n">
        <v>57.564387</v>
      </c>
      <c r="F180" s="27" t="n">
        <v>33.499458</v>
      </c>
      <c r="G180" s="27" t="n">
        <v>17.797432</v>
      </c>
      <c r="H180" s="27" t="n">
        <v>17.797432</v>
      </c>
    </row>
    <row r="181">
      <c r="C181" s="1" t="n">
        <v>1.05</v>
      </c>
      <c r="D181" s="27" t="n">
        <v>88.397111</v>
      </c>
      <c r="E181" s="27" t="n">
        <v>61.216038</v>
      </c>
      <c r="F181" s="27" t="n">
        <v>35.947863</v>
      </c>
      <c r="G181" s="27" t="n">
        <v>17.797432</v>
      </c>
      <c r="H181" s="27" t="n">
        <v>17.797432</v>
      </c>
    </row>
    <row r="182">
      <c r="C182" s="1" t="n">
        <v>1.1</v>
      </c>
      <c r="D182" s="27" t="n">
        <v>93.343099</v>
      </c>
      <c r="E182" s="27" t="n">
        <v>64.86769</v>
      </c>
      <c r="F182" s="27" t="n">
        <v>38.396268</v>
      </c>
      <c r="G182" s="27" t="n">
        <v>17.797432</v>
      </c>
      <c r="H182" s="27" t="n">
        <v>17.797432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73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548.734972133355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1954.186570514294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6209.875719579937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2.405814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1907.075049</v>
      </c>
      <c r="E176" s="27" t="n">
        <v>2567.028751</v>
      </c>
      <c r="F176" s="27" t="n">
        <v>3352.965018</v>
      </c>
      <c r="G176" s="27" t="n">
        <v>4205.518374</v>
      </c>
      <c r="H176" s="27" t="n">
        <v>5071.403855</v>
      </c>
    </row>
    <row r="177">
      <c r="C177" s="1" t="n">
        <v>0.95</v>
      </c>
      <c r="D177" s="27" t="n">
        <v>2013.023663</v>
      </c>
      <c r="E177" s="27" t="n">
        <v>2709.641459</v>
      </c>
      <c r="F177" s="27" t="n">
        <v>3539.240852</v>
      </c>
      <c r="G177" s="27" t="n">
        <v>4439.158284</v>
      </c>
      <c r="H177" s="27" t="n">
        <v>5353.148514</v>
      </c>
    </row>
    <row r="178">
      <c r="C178" s="1" t="n">
        <v>1</v>
      </c>
      <c r="D178" s="27" t="n">
        <v>2118.972276</v>
      </c>
      <c r="E178" s="27" t="n">
        <v>2852.254168</v>
      </c>
      <c r="F178" s="27" t="n">
        <v>3725.516686</v>
      </c>
      <c r="G178" s="27" t="n">
        <v>4672.798194</v>
      </c>
      <c r="H178" s="27" t="n">
        <v>5634.893173</v>
      </c>
    </row>
    <row r="179">
      <c r="C179" s="1" t="n">
        <v>1.05</v>
      </c>
      <c r="D179" s="27" t="n">
        <v>2224.92089</v>
      </c>
      <c r="E179" s="27" t="n">
        <v>2994.866876</v>
      </c>
      <c r="F179" s="27" t="n">
        <v>3911.792521</v>
      </c>
      <c r="G179" s="27" t="n">
        <v>4906.438103</v>
      </c>
      <c r="H179" s="27" t="n">
        <v>5916.637831</v>
      </c>
    </row>
    <row r="180">
      <c r="C180" s="1" t="n">
        <v>1.1</v>
      </c>
      <c r="D180" s="27" t="n">
        <v>2330.869504</v>
      </c>
      <c r="E180" s="27" t="n">
        <v>3137.479584</v>
      </c>
      <c r="F180" s="27" t="n">
        <v>4098.068355</v>
      </c>
      <c r="G180" s="27" t="n">
        <v>5140.078013</v>
      </c>
      <c r="H180" s="27" t="n">
        <v>6198.38249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4911.969411</v>
      </c>
      <c r="E184" s="27" t="n">
        <v>4533.201251</v>
      </c>
      <c r="F184" s="27" t="n">
        <v>4154.43309</v>
      </c>
      <c r="G184" s="27" t="n">
        <v>3775.66493</v>
      </c>
      <c r="H184" s="27" t="n">
        <v>3396.896769</v>
      </c>
    </row>
    <row r="185">
      <c r="C185" s="1" t="n">
        <v>0.95</v>
      </c>
      <c r="D185" s="27" t="n">
        <v>5107.204171</v>
      </c>
      <c r="E185" s="27" t="n">
        <v>4707.393335</v>
      </c>
      <c r="F185" s="27" t="n">
        <v>4307.582499</v>
      </c>
      <c r="G185" s="27" t="n">
        <v>3907.771663</v>
      </c>
      <c r="H185" s="27" t="n">
        <v>3507.960827</v>
      </c>
    </row>
    <row r="186">
      <c r="C186" s="1" t="n">
        <v>1</v>
      </c>
      <c r="D186" s="27" t="n">
        <v>5302.438931</v>
      </c>
      <c r="E186" s="27" t="n">
        <v>4881.585419</v>
      </c>
      <c r="F186" s="27" t="n">
        <v>4460.731908</v>
      </c>
      <c r="G186" s="27" t="n">
        <v>4039.878396</v>
      </c>
      <c r="H186" s="27" t="n">
        <v>3619.024885</v>
      </c>
    </row>
    <row r="187">
      <c r="C187" s="1" t="n">
        <v>1.05</v>
      </c>
      <c r="D187" s="27" t="n">
        <v>5477.875548</v>
      </c>
      <c r="E187" s="27" t="n">
        <v>5039.498391</v>
      </c>
      <c r="F187" s="27" t="n">
        <v>4601.121234</v>
      </c>
      <c r="G187" s="27" t="n">
        <v>4162.744077</v>
      </c>
      <c r="H187" s="27" t="n">
        <v>3724.36692</v>
      </c>
    </row>
    <row r="188">
      <c r="C188" s="1" t="n">
        <v>1.1</v>
      </c>
      <c r="D188" s="27" t="n">
        <v>5630.716435</v>
      </c>
      <c r="E188" s="27" t="n">
        <v>5177.553671</v>
      </c>
      <c r="F188" s="27" t="n">
        <v>4724.390906</v>
      </c>
      <c r="G188" s="27" t="n">
        <v>4271.228142</v>
      </c>
      <c r="H188" s="27" t="n">
        <v>3818.065378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0.05619248716384326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5.783851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807.1685376188219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2376.335254786597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11488.12154430275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1.160983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2238.668585</v>
      </c>
      <c r="E170" s="27" t="n">
        <v>3557.893876</v>
      </c>
      <c r="F170" s="27" t="n">
        <v>5416.733374</v>
      </c>
      <c r="G170" s="27" t="n">
        <v>7325.864857</v>
      </c>
      <c r="H170" s="27" t="n">
        <v>9234.99634</v>
      </c>
    </row>
    <row r="171">
      <c r="C171" s="1" t="n">
        <v>0.95</v>
      </c>
      <c r="D171" s="27" t="n">
        <v>2363.32842</v>
      </c>
      <c r="E171" s="27" t="n">
        <v>3756.089731</v>
      </c>
      <c r="F171" s="27" t="n">
        <v>5718.580661</v>
      </c>
      <c r="G171" s="27" t="n">
        <v>7734.172425</v>
      </c>
      <c r="H171" s="27" t="n">
        <v>9749.764187999999</v>
      </c>
    </row>
    <row r="172">
      <c r="C172" s="1" t="n">
        <v>1</v>
      </c>
      <c r="D172" s="27" t="n">
        <v>2488.018689</v>
      </c>
      <c r="E172" s="27" t="n">
        <v>3954.341493</v>
      </c>
      <c r="F172" s="27" t="n">
        <v>6020.523338</v>
      </c>
      <c r="G172" s="27" t="n">
        <v>8142.616378</v>
      </c>
      <c r="H172" s="27" t="n">
        <v>10264.709419</v>
      </c>
    </row>
    <row r="173">
      <c r="C173" s="1" t="n">
        <v>1.05</v>
      </c>
      <c r="D173" s="27" t="n">
        <v>2612.739387</v>
      </c>
      <c r="E173" s="27" t="n">
        <v>4152.649103</v>
      </c>
      <c r="F173" s="27" t="n">
        <v>6322.561232</v>
      </c>
      <c r="G173" s="27" t="n">
        <v>8551.196427999999</v>
      </c>
      <c r="H173" s="27" t="n">
        <v>10779.831623</v>
      </c>
    </row>
    <row r="174">
      <c r="C174" s="1" t="n">
        <v>1.1</v>
      </c>
      <c r="D174" s="27" t="n">
        <v>2737.490511</v>
      </c>
      <c r="E174" s="27" t="n">
        <v>4351.012504</v>
      </c>
      <c r="F174" s="27" t="n">
        <v>6624.694175</v>
      </c>
      <c r="G174" s="27" t="n">
        <v>8959.912286000001</v>
      </c>
      <c r="H174" s="27" t="n">
        <v>11295.130397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7585.561275</v>
      </c>
      <c r="E178" s="27" t="n">
        <v>6972.82877</v>
      </c>
      <c r="F178" s="27" t="n">
        <v>6360.096265</v>
      </c>
      <c r="G178" s="27" t="n">
        <v>5747.363761</v>
      </c>
      <c r="H178" s="27" t="n">
        <v>5134.631256</v>
      </c>
    </row>
    <row r="179">
      <c r="C179" s="1" t="n">
        <v>0.95</v>
      </c>
      <c r="D179" s="27" t="n">
        <v>7877.68755</v>
      </c>
      <c r="E179" s="27" t="n">
        <v>7230.914351</v>
      </c>
      <c r="F179" s="27" t="n">
        <v>6584.141152</v>
      </c>
      <c r="G179" s="27" t="n">
        <v>5937.367952</v>
      </c>
      <c r="H179" s="27" t="n">
        <v>5290.594753</v>
      </c>
    </row>
    <row r="180">
      <c r="C180" s="1" t="n">
        <v>1</v>
      </c>
      <c r="D180" s="27" t="n">
        <v>8169.813826</v>
      </c>
      <c r="E180" s="27" t="n">
        <v>7488.999932</v>
      </c>
      <c r="F180" s="27" t="n">
        <v>6808.186038</v>
      </c>
      <c r="G180" s="27" t="n">
        <v>6127.372143</v>
      </c>
      <c r="H180" s="27" t="n">
        <v>5446.558249</v>
      </c>
    </row>
    <row r="181">
      <c r="C181" s="1" t="n">
        <v>1.05</v>
      </c>
      <c r="D181" s="27" t="n">
        <v>8461.940101</v>
      </c>
      <c r="E181" s="27" t="n">
        <v>7747.085512</v>
      </c>
      <c r="F181" s="27" t="n">
        <v>7032.230924</v>
      </c>
      <c r="G181" s="27" t="n">
        <v>6317.376335</v>
      </c>
      <c r="H181" s="27" t="n">
        <v>5602.521746</v>
      </c>
    </row>
    <row r="182">
      <c r="C182" s="1" t="n">
        <v>1.1</v>
      </c>
      <c r="D182" s="27" t="n">
        <v>8754.066376999999</v>
      </c>
      <c r="E182" s="27" t="n">
        <v>8005.171093</v>
      </c>
      <c r="F182" s="27" t="n">
        <v>7256.27581</v>
      </c>
      <c r="G182" s="27" t="n">
        <v>6507.380526</v>
      </c>
      <c r="H182" s="27" t="n">
        <v>5758.485242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Garda Tujuh Buana Tbk (GTBO.JK)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0.45</v>
      </c>
      <c r="I14" s="13" t="n">
        <v>0.82</v>
      </c>
      <c r="J14" s="13" t="n">
        <v>0.82</v>
      </c>
      <c r="K14" s="13" t="n">
        <v>0.82</v>
      </c>
      <c r="L14" s="13" t="n">
        <v>0.82</v>
      </c>
      <c r="M14" s="13" t="n">
        <v>0.82</v>
      </c>
      <c r="N14" s="13" t="n">
        <v>0.82</v>
      </c>
      <c r="O14" s="13" t="n">
        <v>0.82</v>
      </c>
      <c r="P14" s="13" t="n">
        <v>0.82</v>
      </c>
      <c r="Q14" s="13" t="n">
        <v>0.82</v>
      </c>
      <c r="R14" s="13" t="n">
        <v>0.82</v>
      </c>
      <c r="S14" s="13" t="n">
        <v>0.82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</v>
      </c>
      <c r="I15" s="14" t="n">
        <v>0.3</v>
      </c>
      <c r="J15" s="14" t="n">
        <v>0.3</v>
      </c>
      <c r="K15" s="14" t="n">
        <v>0.3</v>
      </c>
      <c r="L15" s="14" t="n">
        <v>0.3</v>
      </c>
      <c r="M15" s="14" t="n">
        <v>0.3</v>
      </c>
      <c r="N15" s="14" t="n">
        <v>0.3</v>
      </c>
      <c r="O15" s="14" t="n">
        <v>0.3</v>
      </c>
      <c r="P15" s="14" t="n">
        <v>0.3</v>
      </c>
      <c r="Q15" s="14" t="n">
        <v>0.3</v>
      </c>
      <c r="R15" s="14" t="n">
        <v>0.3</v>
      </c>
      <c r="S15" s="14" t="n">
        <v>0.3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13</v>
      </c>
      <c r="I18" s="3" t="n">
        <v>13</v>
      </c>
      <c r="J18" s="3" t="n">
        <v>13</v>
      </c>
      <c r="K18" s="3" t="n">
        <v>13</v>
      </c>
      <c r="L18" s="3" t="n">
        <v>13</v>
      </c>
      <c r="M18" s="3" t="n">
        <v>13.26</v>
      </c>
      <c r="N18" s="3" t="n">
        <v>13.5252</v>
      </c>
      <c r="O18" s="3" t="n">
        <v>13.795704</v>
      </c>
      <c r="P18" s="3" t="n">
        <v>14.07161808</v>
      </c>
      <c r="Q18" s="3" t="n">
        <v>14.3530504416</v>
      </c>
      <c r="R18" s="3" t="n">
        <v>14.640111450432</v>
      </c>
      <c r="S18" s="3" t="n">
        <v>14.93291367944064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6</v>
      </c>
      <c r="I20" s="3" t="n">
        <v>6</v>
      </c>
      <c r="J20" s="3" t="n">
        <v>6</v>
      </c>
      <c r="K20" s="3" t="n">
        <v>6</v>
      </c>
      <c r="L20" s="3" t="n">
        <v>6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0.05</v>
      </c>
      <c r="I21" s="4" t="n">
        <v>0.05</v>
      </c>
      <c r="J21" s="4" t="n">
        <v>0.05</v>
      </c>
      <c r="K21" s="4" t="n">
        <v>0.05</v>
      </c>
      <c r="L21" s="4" t="n">
        <v>0.05</v>
      </c>
      <c r="M21" s="4" t="n">
        <v>0.05</v>
      </c>
      <c r="N21" s="4" t="n">
        <v>0.05</v>
      </c>
      <c r="O21" s="4" t="n">
        <v>0.05</v>
      </c>
      <c r="P21" s="4" t="n">
        <v>0.05</v>
      </c>
      <c r="Q21" s="4" t="n">
        <v>0.05</v>
      </c>
      <c r="R21" s="4" t="n">
        <v>0.05</v>
      </c>
      <c r="S21" s="4" t="n">
        <v>0.05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0.4</v>
      </c>
      <c r="I24" s="3" t="n">
        <v>0.4</v>
      </c>
      <c r="J24" s="3" t="n">
        <v>0.4</v>
      </c>
      <c r="K24" s="3" t="n">
        <v>0.4</v>
      </c>
      <c r="L24" s="3" t="n">
        <v>0.4</v>
      </c>
      <c r="M24" s="3" t="n">
        <v>0.408</v>
      </c>
      <c r="N24" s="3" t="n">
        <v>0.41616</v>
      </c>
      <c r="O24" s="3" t="n">
        <v>0.4244832000000001</v>
      </c>
      <c r="P24" s="3" t="n">
        <v>0.432972864</v>
      </c>
      <c r="Q24" s="3" t="n">
        <v>0.44163232128</v>
      </c>
      <c r="R24" s="3" t="n">
        <v>0.4504649677056001</v>
      </c>
      <c r="S24" s="3" t="n">
        <v>0.4594742670597121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0.25</v>
      </c>
      <c r="I25" s="3" t="n">
        <v>0.25</v>
      </c>
      <c r="J25" s="3" t="n">
        <v>0.25</v>
      </c>
      <c r="K25" s="3" t="n">
        <v>0.25</v>
      </c>
      <c r="L25" s="3" t="n">
        <v>0.25</v>
      </c>
      <c r="M25" s="3" t="n">
        <v>0.255</v>
      </c>
      <c r="N25" s="3" t="n">
        <v>0.2601</v>
      </c>
      <c r="O25" s="3" t="n">
        <v>0.265302</v>
      </c>
      <c r="P25" s="3" t="n">
        <v>0.27060804</v>
      </c>
      <c r="Q25" s="3" t="n">
        <v>0.2760202008</v>
      </c>
      <c r="R25" s="3" t="n">
        <v>0.281540604816</v>
      </c>
      <c r="S25" s="3" t="n">
        <v>0.28717141691232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</v>
      </c>
      <c r="I27" s="4" t="n">
        <v>0.1</v>
      </c>
      <c r="J27" s="4" t="n">
        <v>0.1</v>
      </c>
      <c r="K27" s="4" t="n">
        <v>0.1</v>
      </c>
      <c r="L27" s="4" t="n">
        <v>0.1</v>
      </c>
      <c r="M27" s="4" t="n">
        <v>0.1</v>
      </c>
      <c r="N27" s="4" t="n">
        <v>0.1</v>
      </c>
      <c r="O27" s="4" t="n">
        <v>0.1</v>
      </c>
      <c r="P27" s="4" t="n">
        <v>0.1</v>
      </c>
      <c r="Q27" s="4" t="n">
        <v>0.1</v>
      </c>
      <c r="R27" s="4" t="n">
        <v>0.1</v>
      </c>
      <c r="S27" s="4" t="n">
        <v>0.1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0.092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-4.56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0.33</v>
      </c>
      <c r="I37" s="4" t="n">
        <v>0.33</v>
      </c>
      <c r="J37" s="4" t="n">
        <v>0.33</v>
      </c>
      <c r="K37" s="4" t="n">
        <v>0.33</v>
      </c>
      <c r="L37" s="4" t="n">
        <v>0.33</v>
      </c>
      <c r="M37" s="4" t="n">
        <v>0.33</v>
      </c>
      <c r="N37" s="4" t="n">
        <v>0.33</v>
      </c>
      <c r="O37" s="4" t="n">
        <v>0.33</v>
      </c>
      <c r="P37" s="4" t="n">
        <v>0.33</v>
      </c>
      <c r="Q37" s="4" t="n">
        <v>0.33</v>
      </c>
      <c r="R37" s="4" t="n">
        <v>0.33</v>
      </c>
      <c r="S37" s="4" t="n">
        <v>0.33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/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/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49.267169</v>
      </c>
      <c r="E55" s="13" t="n">
        <v>58.797005</v>
      </c>
      <c r="F55" s="13" t="n">
        <v>27.251542</v>
      </c>
      <c r="G55" s="13" t="n">
        <v>10.011092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22.058313</v>
      </c>
      <c r="E56" s="13" t="n">
        <v>33.40405</v>
      </c>
      <c r="F56" s="13" t="n">
        <v>20.505601</v>
      </c>
      <c r="G56" s="13" t="n">
        <v>15.22053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27.208856</v>
      </c>
      <c r="E57" s="13" t="n">
        <v>25.392955</v>
      </c>
      <c r="F57" s="13" t="n">
        <v>6.745941</v>
      </c>
      <c r="G57" s="13" t="n">
        <v>-5.209438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16.396878</v>
      </c>
      <c r="E58" s="13" t="n">
        <v>19.373945</v>
      </c>
      <c r="F58" s="13" t="n">
        <v>9.806524</v>
      </c>
      <c r="G58" s="13" t="n">
        <v>1.508584000000001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10.811978</v>
      </c>
      <c r="E59" s="13" t="n">
        <v>6.01901</v>
      </c>
      <c r="F59" s="13" t="n">
        <v>-3.060583</v>
      </c>
      <c r="G59" s="13" t="n">
        <v>-6.718022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/>
      <c r="G60" s="13" t="n"/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/>
      <c r="G61" s="13" t="n"/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1.319642</v>
      </c>
      <c r="E62" s="13" t="n">
        <v>0.227114</v>
      </c>
      <c r="F62" s="13" t="n">
        <v>0</v>
      </c>
      <c r="G62" s="13" t="n"/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3" t="n"/>
      <c r="G63" s="13" t="n"/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3" t="n"/>
      <c r="G64" s="13" t="n"/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7.647865</v>
      </c>
      <c r="E65" s="13" t="n">
        <v>5.485607</v>
      </c>
      <c r="F65" s="13" t="n">
        <v>-3.213678</v>
      </c>
      <c r="G65" s="13" t="n">
        <v>-7.840751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0.148697</v>
      </c>
      <c r="E66" s="13" t="n">
        <v>1.333356</v>
      </c>
      <c r="F66" s="13" t="n">
        <v>0</v>
      </c>
      <c r="G66" s="13" t="n">
        <v>0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7.499168</v>
      </c>
      <c r="E67" s="13" t="n">
        <v>4.152251</v>
      </c>
      <c r="F67" s="13" t="n">
        <v>-3.213678</v>
      </c>
      <c r="G67" s="13" t="n">
        <v>-7.840751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0</v>
      </c>
      <c r="F68" s="13" t="n">
        <v>0</v>
      </c>
      <c r="G68" s="13" t="n">
        <v>0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7.499168</v>
      </c>
      <c r="E69" s="13" t="n">
        <v>4.152251</v>
      </c>
      <c r="F69" s="13" t="n">
        <v>-3.213678</v>
      </c>
      <c r="G69" s="13" t="n">
        <v>-7.840751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2500</v>
      </c>
      <c r="E70" s="13" t="n">
        <v>2500</v>
      </c>
      <c r="F70" s="13" t="n">
        <v>2500</v>
      </c>
      <c r="G70" s="13" t="n">
        <v>2500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0.0029996672</v>
      </c>
      <c r="E71" s="20" t="n">
        <v>0.0016609004</v>
      </c>
      <c r="F71" s="20" t="n">
        <v>-0.0012854712</v>
      </c>
      <c r="G71" s="20" t="n">
        <v>-0.0031363004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0.0004065095440084836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3.185182</v>
      </c>
      <c r="E73" s="13" t="n">
        <v>1.019164</v>
      </c>
      <c r="F73" s="13" t="n">
        <v>0</v>
      </c>
      <c r="G73" s="13" t="n">
        <v>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0.514699</v>
      </c>
      <c r="E74" s="13" t="n">
        <v>0.001167</v>
      </c>
      <c r="F74" s="13" t="n">
        <v>0.00457</v>
      </c>
      <c r="G74" s="13" t="n">
        <v>0.018481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-5.942722000000002</v>
      </c>
      <c r="F75" s="13" t="n">
        <v>2.808843000000001</v>
      </c>
      <c r="G75" s="13" t="n">
        <v>2.488152999999999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/>
      <c r="G76" s="13" t="n"/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0.01850099999999988</v>
      </c>
      <c r="F77" s="13" t="n">
        <v>-0.71515</v>
      </c>
      <c r="G77" s="13" t="n">
        <v>-0.05964699999999995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4.879371000000001</v>
      </c>
      <c r="E80" s="13" t="n">
        <v>-1.063351000000001</v>
      </c>
      <c r="F80" s="13" t="n">
        <v>1.745492</v>
      </c>
      <c r="G80" s="13" t="n">
        <v>4.233644999999999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0.093428</v>
      </c>
      <c r="E81" s="13" t="n">
        <v>8.052683</v>
      </c>
      <c r="F81" s="13" t="n">
        <v>0.949872</v>
      </c>
      <c r="G81" s="13" t="n">
        <v>0.006932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1.234442</v>
      </c>
      <c r="E82" s="13" t="n">
        <v>1.252943</v>
      </c>
      <c r="F82" s="13" t="n">
        <v>0.537793</v>
      </c>
      <c r="G82" s="13" t="n">
        <v>0.478146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6.042139</v>
      </c>
      <c r="E83" s="13" t="n">
        <v>0.431169</v>
      </c>
      <c r="F83" s="13" t="n">
        <v>0.31326</v>
      </c>
      <c r="G83" s="13" t="n">
        <v>0.20668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46.919036</v>
      </c>
      <c r="E84" s="13" t="n">
        <v>49.701014</v>
      </c>
      <c r="F84" s="13" t="n">
        <v>45.792938</v>
      </c>
      <c r="G84" s="13" t="n">
        <v>41.83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</v>
      </c>
      <c r="E85" s="13" t="n">
        <v>0</v>
      </c>
      <c r="F85" s="13" t="n">
        <v>0</v>
      </c>
      <c r="G85" s="13" t="n">
        <v>0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37.13854</v>
      </c>
      <c r="E86" s="13" t="n">
        <v>43.533456</v>
      </c>
      <c r="F86" s="13" t="n">
        <v>43.322107</v>
      </c>
      <c r="G86" s="13" t="n">
        <v>37.86088900000001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1.141014</v>
      </c>
      <c r="E88" s="13" t="n">
        <v>-6.79974</v>
      </c>
      <c r="F88" s="13" t="n">
        <v>-0.4120790000000001</v>
      </c>
      <c r="G88" s="13" t="n">
        <v>0.471214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0.0187676144</v>
      </c>
      <c r="E89" s="20" t="n">
        <v>0.0198804056</v>
      </c>
      <c r="F89" s="20" t="n">
        <v>0.0183171752</v>
      </c>
      <c r="G89" s="20" t="n">
        <v>0.016732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0.1934317760373039</v>
      </c>
      <c r="F90" s="4" t="n">
        <v>-0.5365147935681418</v>
      </c>
      <c r="G90" s="4" t="n">
        <v>-0.6326412648502606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0.5522715543083062</v>
      </c>
      <c r="E91" s="4" t="n">
        <v>0.4318749739038579</v>
      </c>
      <c r="F91" s="4" t="n">
        <v>0.2475434601095234</v>
      </c>
      <c r="G91" s="4" t="n">
        <v>-0.5203666093569013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/>
      <c r="G92" s="4" t="n"/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0.219456043841285</v>
      </c>
      <c r="E93" s="4" t="n">
        <v>0.1023693298663767</v>
      </c>
      <c r="F93" s="4" t="n">
        <v>-0.1123086172518238</v>
      </c>
      <c r="G93" s="4" t="n">
        <v>-0.6710578626187833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0.1522143072600741</v>
      </c>
      <c r="E94" s="4" t="n">
        <v>0.0706201106672015</v>
      </c>
      <c r="F94" s="4" t="n">
        <v>-0.1179264644914405</v>
      </c>
      <c r="G94" s="4" t="n">
        <v>-0.7832063674971722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-0.4463051101135487</v>
      </c>
      <c r="F95" s="4" t="n">
        <v>-1.77396043736277</v>
      </c>
      <c r="G95" s="4" t="n">
        <v>1.439806041551145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0.08595009006929721</v>
      </c>
      <c r="F96" s="4" t="n">
        <v>-0.06730641957304269</v>
      </c>
      <c r="G96" s="4" t="n">
        <v>-0.1789657178580339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/>
      <c r="G97" s="22" t="n"/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0.1355182148234589</v>
      </c>
      <c r="E98" s="4" t="n">
        <v>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0.01044709916252748</v>
      </c>
      <c r="E99" s="4" t="n">
        <v>1.984794973825623e-05</v>
      </c>
      <c r="F99" s="4" t="n">
        <v>0.0001676969325258732</v>
      </c>
      <c r="G99" s="4" t="n">
        <v>0.001846052358723704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170</v>
      </c>
    </row>
    <row r="103">
      <c r="A103" t="inlineStr">
        <is>
          <t>Shares outstanding (m)</t>
        </is>
      </c>
      <c r="C103" s="13" t="n">
        <v>2500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0.481733</v>
      </c>
    </row>
    <row r="106">
      <c r="A106" t="inlineStr">
        <is>
          <t>Cash at balance-sheet date</t>
        </is>
      </c>
      <c r="C106" s="13" t="n">
        <v>0.039354</v>
      </c>
    </row>
    <row r="107">
      <c r="A107" t="inlineStr">
        <is>
          <t>Minority interest (book)</t>
        </is>
      </c>
      <c r="C107" s="13" t="n">
        <v>0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-16.5</v>
      </c>
    </row>
    <row r="110">
      <c r="A110" t="inlineStr">
        <is>
          <t>Parent equity at balance-sheet date</t>
        </is>
      </c>
      <c r="C110" s="13" t="n">
        <v>22.952616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0.02061023797411765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0.3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</v>
      </c>
    </row>
    <row r="146">
      <c r="A146" t="inlineStr">
        <is>
          <t>Bull 12-month value (engine)</t>
        </is>
      </c>
      <c r="C146" s="20" t="n">
        <v>381.8405679321917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24.787825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26.169326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27.551284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28.933697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30.316564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0.152</v>
      </c>
      <c r="I15" s="14" t="n">
        <v>0.18</v>
      </c>
      <c r="J15" s="14" t="n">
        <v>0.195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1.16</v>
      </c>
      <c r="I25" s="3" t="n">
        <v>1.16</v>
      </c>
      <c r="J25" s="3" t="n">
        <v>1.16</v>
      </c>
      <c r="K25" s="3" t="n">
        <v>1.16</v>
      </c>
      <c r="L25" s="3" t="n">
        <v>1.16</v>
      </c>
      <c r="M25" s="3" t="n">
        <v>1.1832</v>
      </c>
      <c r="N25" s="3" t="n">
        <v>1.206864</v>
      </c>
      <c r="O25" s="3" t="n">
        <v>1.23100128</v>
      </c>
      <c r="P25" s="3" t="n">
        <v>1.2556213056</v>
      </c>
      <c r="Q25" s="3" t="n">
        <v>1.280733731712</v>
      </c>
      <c r="R25" s="3" t="n">
        <v>1.30634840634624</v>
      </c>
      <c r="S25" s="3" t="n">
        <v>1.332475374473165</v>
      </c>
      <c r="T25" s="3" t="n">
        <v>1.359124881962628</v>
      </c>
      <c r="U25" s="3" t="n">
        <v>1.386307379601881</v>
      </c>
      <c r="V25" s="3" t="n">
        <v>1.414033527193918</v>
      </c>
      <c r="W25" s="3" t="n">
        <v>1.442314197737797</v>
      </c>
      <c r="X25" s="3" t="n">
        <v>1.471160481692553</v>
      </c>
      <c r="Y25" s="3" t="n">
        <v>1.500583691326404</v>
      </c>
      <c r="Z25" s="3" t="n">
        <v>1.530595365152932</v>
      </c>
      <c r="AA25" s="3" t="n">
        <v>1.561207272455991</v>
      </c>
      <c r="AB25" s="3" t="n">
        <v>1.59243141790511</v>
      </c>
      <c r="AC25" s="3" t="n">
        <v>1.624280046263213</v>
      </c>
      <c r="AD25" s="3" t="n">
        <v>1.656765647188477</v>
      </c>
      <c r="AE25" s="3" t="n">
        <v>1.689900960132247</v>
      </c>
      <c r="AF25" s="3" t="n">
        <v>1.723698979334892</v>
      </c>
      <c r="AG25" s="3" t="n">
        <v>1.758172958921589</v>
      </c>
      <c r="AH25" s="3" t="n">
        <v>1.793336418100021</v>
      </c>
      <c r="AI25" s="3" t="n">
        <v>1.829203146462022</v>
      </c>
      <c r="AJ25" s="3" t="n">
        <v>1.865787209391262</v>
      </c>
      <c r="AK25" s="3" t="n">
        <v>1.903102953579087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  <c r="AK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18.810965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0.3567478455585289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0.0083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12.39550668791004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131.133868305676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11.141201</v>
      </c>
      <c r="E161" s="27" t="n">
        <v>17.184811</v>
      </c>
      <c r="F161" s="27" t="n">
        <v>39.487532</v>
      </c>
      <c r="G161" s="27" t="n">
        <v>63.85673</v>
      </c>
      <c r="H161" s="27" t="n">
        <v>89.473507</v>
      </c>
    </row>
    <row r="162">
      <c r="C162" s="1" t="n">
        <v>0.95</v>
      </c>
      <c r="D162" s="27" t="n">
        <v>11.767944</v>
      </c>
      <c r="E162" s="27" t="n">
        <v>18.167123</v>
      </c>
      <c r="F162" s="27" t="n">
        <v>41.743448</v>
      </c>
      <c r="G162" s="27" t="n">
        <v>67.50769099999999</v>
      </c>
      <c r="H162" s="27" t="n">
        <v>94.59356099999999</v>
      </c>
    </row>
    <row r="163">
      <c r="C163" s="1" t="n">
        <v>1</v>
      </c>
      <c r="D163" s="27" t="n">
        <v>12.395507</v>
      </c>
      <c r="E163" s="27" t="n">
        <v>19.151946</v>
      </c>
      <c r="F163" s="27" t="n">
        <v>44.00504</v>
      </c>
      <c r="G163" s="27" t="n">
        <v>71.16807</v>
      </c>
      <c r="H163" s="27" t="n">
        <v>99.727181</v>
      </c>
    </row>
    <row r="164">
      <c r="C164" s="1" t="n">
        <v>1.05</v>
      </c>
      <c r="D164" s="27" t="n">
        <v>13.023889</v>
      </c>
      <c r="E164" s="27" t="n">
        <v>20.139237</v>
      </c>
      <c r="F164" s="27" t="n">
        <v>46.272213</v>
      </c>
      <c r="G164" s="27" t="n">
        <v>74.837704</v>
      </c>
      <c r="H164" s="27" t="n">
        <v>104.87413</v>
      </c>
    </row>
    <row r="165">
      <c r="C165" s="1" t="n">
        <v>1.1</v>
      </c>
      <c r="D165" s="27" t="n">
        <v>13.653091</v>
      </c>
      <c r="E165" s="27" t="n">
        <v>21.128953</v>
      </c>
      <c r="F165" s="27" t="n">
        <v>48.544875</v>
      </c>
      <c r="G165" s="27" t="n">
        <v>78.516437</v>
      </c>
      <c r="H165" s="27" t="n">
        <v>110.034178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95.045102</v>
      </c>
      <c r="E169" s="27" t="n">
        <v>80.14581099999999</v>
      </c>
      <c r="F169" s="27" t="n">
        <v>65.246521</v>
      </c>
      <c r="G169" s="27" t="n">
        <v>50.34723</v>
      </c>
      <c r="H169" s="27" t="n">
        <v>35.447939</v>
      </c>
    </row>
    <row r="170">
      <c r="C170" s="1" t="n">
        <v>0.95</v>
      </c>
      <c r="D170" s="27" t="n">
        <v>100.683059</v>
      </c>
      <c r="E170" s="27" t="n">
        <v>84.95603</v>
      </c>
      <c r="F170" s="27" t="n">
        <v>69.229001</v>
      </c>
      <c r="G170" s="27" t="n">
        <v>53.501971</v>
      </c>
      <c r="H170" s="27" t="n">
        <v>37.774942</v>
      </c>
    </row>
    <row r="171">
      <c r="C171" s="1" t="n">
        <v>1</v>
      </c>
      <c r="D171" s="27" t="n">
        <v>106.321015</v>
      </c>
      <c r="E171" s="27" t="n">
        <v>89.766248</v>
      </c>
      <c r="F171" s="27" t="n">
        <v>73.21147999999999</v>
      </c>
      <c r="G171" s="27" t="n">
        <v>56.656713</v>
      </c>
      <c r="H171" s="27" t="n">
        <v>40.101946</v>
      </c>
    </row>
    <row r="172">
      <c r="C172" s="1" t="n">
        <v>1.05</v>
      </c>
      <c r="D172" s="27" t="n">
        <v>111.958972</v>
      </c>
      <c r="E172" s="27" t="n">
        <v>94.576466</v>
      </c>
      <c r="F172" s="27" t="n">
        <v>77.19396</v>
      </c>
      <c r="G172" s="27" t="n">
        <v>59.811454</v>
      </c>
      <c r="H172" s="27" t="n">
        <v>42.428949</v>
      </c>
    </row>
    <row r="173">
      <c r="C173" s="1" t="n">
        <v>1.1</v>
      </c>
      <c r="D173" s="27" t="n">
        <v>117.596928</v>
      </c>
      <c r="E173" s="27" t="n">
        <v>99.386684</v>
      </c>
      <c r="F173" s="27" t="n">
        <v>81.17644</v>
      </c>
      <c r="G173" s="27" t="n">
        <v>62.966196</v>
      </c>
      <c r="H173" s="27" t="n">
        <v>44.755952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5.967732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109.9915772394228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451.3474526987154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3195.829349935996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405.890964</v>
      </c>
      <c r="E167" s="27" t="n">
        <v>466.623878</v>
      </c>
      <c r="F167" s="27" t="n">
        <v>527.356793</v>
      </c>
      <c r="G167" s="27" t="n">
        <v>1331.132787</v>
      </c>
      <c r="H167" s="27" t="n">
        <v>2714.876357</v>
      </c>
    </row>
    <row r="168">
      <c r="C168" s="1" t="n">
        <v>0.95</v>
      </c>
      <c r="D168" s="27" t="n">
        <v>430.0259</v>
      </c>
      <c r="E168" s="27" t="n">
        <v>494.511791</v>
      </c>
      <c r="F168" s="27" t="n">
        <v>558.9976820000001</v>
      </c>
      <c r="G168" s="27" t="n">
        <v>1411.005936</v>
      </c>
      <c r="H168" s="27" t="n">
        <v>2877.504229</v>
      </c>
    </row>
    <row r="169">
      <c r="C169" s="1" t="n">
        <v>1</v>
      </c>
      <c r="D169" s="27" t="n">
        <v>454.323381</v>
      </c>
      <c r="E169" s="27" t="n">
        <v>522.601098</v>
      </c>
      <c r="F169" s="27" t="n">
        <v>590.878815</v>
      </c>
      <c r="G169" s="27" t="n">
        <v>1491.460046</v>
      </c>
      <c r="H169" s="27" t="n">
        <v>3041.28167</v>
      </c>
    </row>
    <row r="170">
      <c r="C170" s="1" t="n">
        <v>1.05</v>
      </c>
      <c r="D170" s="27" t="n">
        <v>477.03955</v>
      </c>
      <c r="E170" s="27" t="n">
        <v>548.7311529999999</v>
      </c>
      <c r="F170" s="27" t="n">
        <v>620.4227550000001</v>
      </c>
      <c r="G170" s="27" t="n">
        <v>1566.033048</v>
      </c>
      <c r="H170" s="27" t="n">
        <v>3193.345753</v>
      </c>
    </row>
    <row r="171">
      <c r="C171" s="1" t="n">
        <v>1.1</v>
      </c>
      <c r="D171" s="27" t="n">
        <v>499.75572</v>
      </c>
      <c r="E171" s="27" t="n">
        <v>574.861208</v>
      </c>
      <c r="F171" s="27" t="n">
        <v>649.966696</v>
      </c>
      <c r="G171" s="27" t="n">
        <v>1640.60605</v>
      </c>
      <c r="H171" s="27" t="n">
        <v>3345.409836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2109.017751</v>
      </c>
      <c r="E175" s="27" t="n">
        <v>1268.788373</v>
      </c>
      <c r="F175" s="27" t="n">
        <v>571.271414</v>
      </c>
      <c r="G175" s="27" t="n">
        <v>544.3104039999999</v>
      </c>
      <c r="H175" s="27" t="n">
        <v>517.349395</v>
      </c>
    </row>
    <row r="176">
      <c r="C176" s="1" t="n">
        <v>0.95</v>
      </c>
      <c r="D176" s="27" t="n">
        <v>2273.23613</v>
      </c>
      <c r="E176" s="27" t="n">
        <v>1386.327342</v>
      </c>
      <c r="F176" s="27" t="n">
        <v>581.075114</v>
      </c>
      <c r="G176" s="27" t="n">
        <v>552.616271</v>
      </c>
      <c r="H176" s="27" t="n">
        <v>524.157428</v>
      </c>
    </row>
    <row r="177">
      <c r="C177" s="1" t="n">
        <v>1</v>
      </c>
      <c r="D177" s="27" t="n">
        <v>2437.454508</v>
      </c>
      <c r="E177" s="27" t="n">
        <v>1503.86631</v>
      </c>
      <c r="F177" s="27" t="n">
        <v>590.878815</v>
      </c>
      <c r="G177" s="27" t="n">
        <v>560.922137</v>
      </c>
      <c r="H177" s="27" t="n">
        <v>530.96546</v>
      </c>
    </row>
    <row r="178">
      <c r="C178" s="1" t="n">
        <v>1.05</v>
      </c>
      <c r="D178" s="27" t="n">
        <v>2608.287769</v>
      </c>
      <c r="E178" s="27" t="n">
        <v>1638.552551</v>
      </c>
      <c r="F178" s="27" t="n">
        <v>668.817334</v>
      </c>
      <c r="G178" s="27" t="n">
        <v>569.2280040000001</v>
      </c>
      <c r="H178" s="27" t="n">
        <v>537.773493</v>
      </c>
    </row>
    <row r="179">
      <c r="C179" s="1" t="n">
        <v>1.1</v>
      </c>
      <c r="D179" s="27" t="n">
        <v>2789.162458</v>
      </c>
      <c r="E179" s="27" t="n">
        <v>1799.268447</v>
      </c>
      <c r="F179" s="27" t="n">
        <v>809.3744369999999</v>
      </c>
      <c r="G179" s="27" t="n">
        <v>577.53387</v>
      </c>
      <c r="H179" s="27" t="n">
        <v>544.5815250000001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0.06423735485570126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4.264659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3949.472157450425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18058.33601404424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41761.69221234167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16348.287324</v>
      </c>
      <c r="E167" s="27" t="n">
        <v>17527.729056</v>
      </c>
      <c r="F167" s="27" t="n">
        <v>20263.183396</v>
      </c>
      <c r="G167" s="27" t="n">
        <v>25726.218963</v>
      </c>
      <c r="H167" s="27" t="n">
        <v>32848.414357</v>
      </c>
    </row>
    <row r="168">
      <c r="C168" s="1" t="n">
        <v>0.95</v>
      </c>
      <c r="D168" s="27" t="n">
        <v>17258.812038</v>
      </c>
      <c r="E168" s="27" t="n">
        <v>18504.063059</v>
      </c>
      <c r="F168" s="27" t="n">
        <v>21392.023611</v>
      </c>
      <c r="G168" s="27" t="n">
        <v>27159.670881</v>
      </c>
      <c r="H168" s="27" t="n">
        <v>34679.177281</v>
      </c>
    </row>
    <row r="169">
      <c r="C169" s="1" t="n">
        <v>1</v>
      </c>
      <c r="D169" s="27" t="n">
        <v>18169.57744</v>
      </c>
      <c r="E169" s="27" t="n">
        <v>19480.667707</v>
      </c>
      <c r="F169" s="27" t="n">
        <v>22521.190615</v>
      </c>
      <c r="G169" s="27" t="n">
        <v>28593.564727</v>
      </c>
      <c r="H169" s="27" t="n">
        <v>36510.550576</v>
      </c>
    </row>
    <row r="170">
      <c r="C170" s="1" t="n">
        <v>1.05</v>
      </c>
      <c r="D170" s="27" t="n">
        <v>19080.583529</v>
      </c>
      <c r="E170" s="27" t="n">
        <v>20457.542998</v>
      </c>
      <c r="F170" s="27" t="n">
        <v>23650.684359</v>
      </c>
      <c r="G170" s="27" t="n">
        <v>30027.900218</v>
      </c>
      <c r="H170" s="27" t="n">
        <v>38342.533465</v>
      </c>
    </row>
    <row r="171">
      <c r="C171" s="1" t="n">
        <v>1.1</v>
      </c>
      <c r="D171" s="27" t="n">
        <v>19991.830305</v>
      </c>
      <c r="E171" s="27" t="n">
        <v>21434.688928</v>
      </c>
      <c r="F171" s="27" t="n">
        <v>24780.504793</v>
      </c>
      <c r="G171" s="27" t="n">
        <v>31462.677072</v>
      </c>
      <c r="H171" s="27" t="n">
        <v>40175.125178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30091.700009</v>
      </c>
      <c r="E175" s="27" t="n">
        <v>26134.007878</v>
      </c>
      <c r="F175" s="27" t="n">
        <v>22249.441254</v>
      </c>
      <c r="G175" s="27" t="n">
        <v>20407.015624</v>
      </c>
      <c r="H175" s="27" t="n">
        <v>19587.28739</v>
      </c>
    </row>
    <row r="176">
      <c r="C176" s="1" t="n">
        <v>0.95</v>
      </c>
      <c r="D176" s="27" t="n">
        <v>30763.635389</v>
      </c>
      <c r="E176" s="27" t="n">
        <v>26702.438212</v>
      </c>
      <c r="F176" s="27" t="n">
        <v>22641.241034</v>
      </c>
      <c r="G176" s="27" t="n">
        <v>20567.105501</v>
      </c>
      <c r="H176" s="27" t="n">
        <v>19701.836809</v>
      </c>
    </row>
    <row r="177">
      <c r="C177" s="1" t="n">
        <v>1</v>
      </c>
      <c r="D177" s="27" t="n">
        <v>31376.597159</v>
      </c>
      <c r="E177" s="27" t="n">
        <v>27218.900049</v>
      </c>
      <c r="F177" s="27" t="n">
        <v>23061.202939</v>
      </c>
      <c r="G177" s="27" t="n">
        <v>20727.195377</v>
      </c>
      <c r="H177" s="27" t="n">
        <v>19816.386228</v>
      </c>
    </row>
    <row r="178">
      <c r="C178" s="1" t="n">
        <v>1.05</v>
      </c>
      <c r="D178" s="27" t="n">
        <v>32000.354478</v>
      </c>
      <c r="E178" s="27" t="n">
        <v>27753.380528</v>
      </c>
      <c r="F178" s="27" t="n">
        <v>23506.406577</v>
      </c>
      <c r="G178" s="27" t="n">
        <v>20899.963092</v>
      </c>
      <c r="H178" s="27" t="n">
        <v>19930.935647</v>
      </c>
    </row>
    <row r="179">
      <c r="C179" s="1" t="n">
        <v>1.1</v>
      </c>
      <c r="D179" s="27" t="n">
        <v>32620.768429</v>
      </c>
      <c r="E179" s="27" t="n">
        <v>28288.417666</v>
      </c>
      <c r="F179" s="27" t="n">
        <v>23956.066903</v>
      </c>
      <c r="G179" s="27" t="n">
        <v>21073.909152</v>
      </c>
      <c r="H179" s="27" t="n">
        <v>20045.485066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Resource Alam Indonesia Tbk (KKGI.JK) — Coal producers</t>
        </is>
      </c>
    </row>
    <row r="2">
      <c r="A2" s="5" t="inlineStr">
        <is>
          <t>Units: USD m; per-share in USD unless marked IDR. Model asof 2026-10-29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137.894154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2.84</v>
      </c>
      <c r="I14" s="13" t="n">
        <v>2.84</v>
      </c>
      <c r="J14" s="13" t="n">
        <v>2.84</v>
      </c>
      <c r="K14" s="13" t="n">
        <v>2.84</v>
      </c>
      <c r="L14" s="13" t="n">
        <v>2.84</v>
      </c>
      <c r="M14" s="13" t="n">
        <v>2.84</v>
      </c>
      <c r="N14" s="13" t="n">
        <v>2.84</v>
      </c>
      <c r="O14" s="13" t="n">
        <v>2.84</v>
      </c>
      <c r="P14" s="13" t="n">
        <v>2.84</v>
      </c>
      <c r="Q14" s="13" t="n">
        <v>2.84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0.38</v>
      </c>
      <c r="I15" s="14" t="n">
        <v>0.38</v>
      </c>
      <c r="J15" s="14" t="n">
        <v>0.38</v>
      </c>
      <c r="K15" s="14" t="n">
        <v>0.38</v>
      </c>
      <c r="L15" s="14" t="n">
        <v>0.38</v>
      </c>
      <c r="M15" s="14" t="n">
        <v>0.38</v>
      </c>
      <c r="N15" s="14" t="n">
        <v>0.38</v>
      </c>
      <c r="O15" s="14" t="n">
        <v>0.38</v>
      </c>
      <c r="P15" s="14" t="n">
        <v>0.38</v>
      </c>
      <c r="Q15" s="14" t="n">
        <v>0.38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7.24</v>
      </c>
      <c r="I17" s="14" t="n">
        <v>7.24</v>
      </c>
      <c r="J17" s="14" t="n">
        <v>7.24</v>
      </c>
      <c r="K17" s="14" t="n">
        <v>7.24</v>
      </c>
      <c r="L17" s="14" t="n">
        <v>7.24</v>
      </c>
      <c r="M17" s="14" t="n">
        <v>7.24</v>
      </c>
      <c r="N17" s="14" t="n">
        <v>7.24</v>
      </c>
      <c r="O17" s="14" t="n">
        <v>7.24</v>
      </c>
      <c r="P17" s="14" t="n">
        <v>7.24</v>
      </c>
      <c r="Q17" s="14" t="n">
        <v>7.24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3.345</v>
      </c>
      <c r="I18" s="3" t="n">
        <v>3.345</v>
      </c>
      <c r="J18" s="3" t="n">
        <v>3.345</v>
      </c>
      <c r="K18" s="3" t="n">
        <v>3.345</v>
      </c>
      <c r="L18" s="3" t="n">
        <v>3.345</v>
      </c>
      <c r="M18" s="3" t="n">
        <v>3.4119</v>
      </c>
      <c r="N18" s="3" t="n">
        <v>3.480138</v>
      </c>
      <c r="O18" s="3" t="n">
        <v>3.549740760000001</v>
      </c>
      <c r="P18" s="3" t="n">
        <v>3.6207355752</v>
      </c>
      <c r="Q18" s="3" t="n">
        <v>3.693150286704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4.44</v>
      </c>
      <c r="I20" s="3" t="n">
        <v>4.44</v>
      </c>
      <c r="J20" s="3" t="n">
        <v>4.44</v>
      </c>
      <c r="K20" s="3" t="n">
        <v>4.44</v>
      </c>
      <c r="L20" s="3" t="n">
        <v>4.44</v>
      </c>
      <c r="M20" s="3" t="n">
        <v>4.5288</v>
      </c>
      <c r="N20" s="3" t="n">
        <v>4.619376</v>
      </c>
      <c r="O20" s="3" t="n">
        <v>4.711763520000001</v>
      </c>
      <c r="P20" s="3" t="n">
        <v>4.8059987904</v>
      </c>
      <c r="Q20" s="3" t="n">
        <v>4.902118766208001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  <c r="K21" s="4" t="n">
        <v>0.135</v>
      </c>
      <c r="L21" s="4" t="n">
        <v>0.135</v>
      </c>
      <c r="M21" s="4" t="n">
        <v>0.135</v>
      </c>
      <c r="N21" s="4" t="n">
        <v>0.135</v>
      </c>
      <c r="O21" s="4" t="n">
        <v>0.135</v>
      </c>
      <c r="P21" s="4" t="n">
        <v>0.135</v>
      </c>
      <c r="Q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2.58</v>
      </c>
      <c r="I22" s="13" t="n">
        <v>2.58</v>
      </c>
      <c r="J22" s="13" t="n">
        <v>2.58</v>
      </c>
      <c r="K22" s="13" t="n">
        <v>2.58</v>
      </c>
      <c r="L22" s="13" t="n">
        <v>2.58</v>
      </c>
      <c r="M22" s="13" t="n">
        <v>2.6316</v>
      </c>
      <c r="N22" s="13" t="n">
        <v>2.684232</v>
      </c>
      <c r="O22" s="13" t="n">
        <v>2.73791664</v>
      </c>
      <c r="P22" s="13" t="n">
        <v>2.7926749728</v>
      </c>
      <c r="Q22" s="13" t="n">
        <v>2.848528472256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0.89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0.87</v>
      </c>
      <c r="I24" s="3" t="n">
        <v>0.87</v>
      </c>
      <c r="J24" s="3" t="n">
        <v>0.87</v>
      </c>
      <c r="K24" s="3" t="n">
        <v>0.87</v>
      </c>
      <c r="L24" s="3" t="n">
        <v>0.87</v>
      </c>
      <c r="M24" s="3" t="n">
        <v>0.8874</v>
      </c>
      <c r="N24" s="3" t="n">
        <v>0.905148</v>
      </c>
      <c r="O24" s="3" t="n">
        <v>0.9232509600000002</v>
      </c>
      <c r="P24" s="3" t="n">
        <v>0.9417159791999999</v>
      </c>
      <c r="Q24" s="3" t="n">
        <v>0.960550298784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1.15</v>
      </c>
      <c r="I25" s="3" t="n">
        <v>1.15</v>
      </c>
      <c r="J25" s="3" t="n">
        <v>1.15</v>
      </c>
      <c r="K25" s="3" t="n">
        <v>1.15</v>
      </c>
      <c r="L25" s="3" t="n">
        <v>1.15</v>
      </c>
      <c r="M25" s="3" t="n">
        <v>1.173</v>
      </c>
      <c r="N25" s="3" t="n">
        <v>1.19646</v>
      </c>
      <c r="O25" s="3" t="n">
        <v>1.2203892</v>
      </c>
      <c r="P25" s="3" t="n">
        <v>1.244796984</v>
      </c>
      <c r="Q25" s="3" t="n">
        <v>1.26969292368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0.1635</v>
      </c>
      <c r="I27" s="4" t="n">
        <v>0.1635</v>
      </c>
      <c r="J27" s="4" t="n">
        <v>0.1635</v>
      </c>
      <c r="K27" s="4" t="n">
        <v>0.1635</v>
      </c>
      <c r="L27" s="4" t="n">
        <v>0.1635</v>
      </c>
      <c r="M27" s="4" t="n">
        <v>0.1635</v>
      </c>
      <c r="N27" s="4" t="n">
        <v>0.1635</v>
      </c>
      <c r="O27" s="4" t="n">
        <v>0.1635</v>
      </c>
      <c r="P27" s="4" t="n">
        <v>0.1635</v>
      </c>
      <c r="Q27" s="4" t="n">
        <v>0.1635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</v>
      </c>
      <c r="I28" s="4" t="n">
        <v>0.4</v>
      </c>
      <c r="J28" s="4" t="n">
        <v>0.4</v>
      </c>
      <c r="K28" s="4" t="n">
        <v>0.4</v>
      </c>
      <c r="L28" s="4" t="n">
        <v>0.4</v>
      </c>
      <c r="M28" s="4" t="n">
        <v>0.4</v>
      </c>
      <c r="N28" s="4" t="n">
        <v>0.4</v>
      </c>
      <c r="O28" s="4" t="n">
        <v>0.4</v>
      </c>
      <c r="P28" s="4" t="n">
        <v>0.4</v>
      </c>
      <c r="Q28" s="4" t="n">
        <v>0.4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0.115972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0.02478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-4.2</v>
      </c>
      <c r="I32" s="13" t="n">
        <v>-2</v>
      </c>
      <c r="J32" s="13" t="n">
        <v>-2</v>
      </c>
      <c r="K32" s="13" t="n">
        <v>-2</v>
      </c>
      <c r="L32" s="13" t="n">
        <v>-2</v>
      </c>
      <c r="M32" s="13" t="n">
        <v>-2.04</v>
      </c>
      <c r="N32" s="13" t="n">
        <v>-2.0808</v>
      </c>
      <c r="O32" s="13" t="n">
        <v>-2.122416</v>
      </c>
      <c r="P32" s="13" t="n">
        <v>-2.16486432</v>
      </c>
      <c r="Q32" s="13" t="n">
        <v>-2.2081616064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0.34</v>
      </c>
      <c r="I34" s="4" t="n">
        <v>0.34</v>
      </c>
      <c r="J34" s="4" t="n">
        <v>0.34</v>
      </c>
      <c r="K34" s="4" t="n">
        <v>0.34</v>
      </c>
      <c r="L34" s="4" t="n">
        <v>0.34</v>
      </c>
      <c r="M34" s="4" t="n">
        <v>0.34</v>
      </c>
      <c r="N34" s="4" t="n">
        <v>0.34</v>
      </c>
      <c r="O34" s="4" t="n">
        <v>0.34</v>
      </c>
      <c r="P34" s="4" t="n">
        <v>0.34</v>
      </c>
      <c r="Q34" s="4" t="n">
        <v>0.34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0.1263</v>
      </c>
      <c r="I37" s="4" t="n">
        <v>0.1263</v>
      </c>
      <c r="J37" s="4" t="n">
        <v>0.1263</v>
      </c>
      <c r="K37" s="4" t="n">
        <v>0.1263</v>
      </c>
      <c r="L37" s="4" t="n">
        <v>0.1263</v>
      </c>
      <c r="M37" s="4" t="n">
        <v>0.1263</v>
      </c>
      <c r="N37" s="4" t="n">
        <v>0.1263</v>
      </c>
      <c r="O37" s="4" t="n">
        <v>0.1263</v>
      </c>
      <c r="P37" s="4" t="n">
        <v>0.1263</v>
      </c>
      <c r="Q37" s="4" t="n">
        <v>0.1263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137.894154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5.231561</v>
      </c>
      <c r="F41" s="13" t="n">
        <v>6.249049</v>
      </c>
      <c r="G41" s="13" t="n">
        <v>3.634008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63.09</v>
      </c>
      <c r="F43" s="3" t="n">
        <v>52.24</v>
      </c>
      <c r="G43" s="3" t="n">
        <v>41.33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28.61</v>
      </c>
      <c r="G45" s="3" t="n">
        <v>27.93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>
        <v>8.74</v>
      </c>
      <c r="F46" s="14" t="n">
        <v>7.29</v>
      </c>
      <c r="G46" s="14" t="n">
        <v>7.24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7.364088271168013</v>
      </c>
      <c r="F48" s="3" t="n">
        <v>10.77286511915653</v>
      </c>
      <c r="G48" s="3" t="n">
        <v>2.451756297729669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255.241076</v>
      </c>
      <c r="E55" s="13" t="n">
        <v>294.672016</v>
      </c>
      <c r="F55" s="13" t="n">
        <v>326.804875</v>
      </c>
      <c r="G55" s="13" t="n">
        <v>153.117575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181.501046</v>
      </c>
      <c r="E56" s="13" t="n">
        <v>241.887753</v>
      </c>
      <c r="F56" s="13" t="n">
        <v>223.660192</v>
      </c>
      <c r="G56" s="13" t="n">
        <v>127.039167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73.74003</v>
      </c>
      <c r="E57" s="13" t="n">
        <v>52.784263</v>
      </c>
      <c r="F57" s="13" t="n">
        <v>103.144683</v>
      </c>
      <c r="G57" s="13" t="n">
        <v>26.078408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13.649923</v>
      </c>
      <c r="E58" s="13" t="n">
        <v>14.709281</v>
      </c>
      <c r="F58" s="13" t="n">
        <v>38.91248400000001</v>
      </c>
      <c r="G58" s="13" t="n">
        <v>20.328894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60.090107</v>
      </c>
      <c r="E59" s="13" t="n">
        <v>38.074982</v>
      </c>
      <c r="F59" s="13" t="n">
        <v>64.23219899999999</v>
      </c>
      <c r="G59" s="13" t="n">
        <v>5.749514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0.220724</v>
      </c>
      <c r="E60" s="13" t="n">
        <v>0.450695</v>
      </c>
      <c r="F60" s="13" t="n">
        <v>3.087963</v>
      </c>
      <c r="G60" s="13" t="n">
        <v>3.160188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60.310831</v>
      </c>
      <c r="E61" s="13" t="n">
        <v>38.525677</v>
      </c>
      <c r="F61" s="13" t="n">
        <v>67.320162</v>
      </c>
      <c r="G61" s="13" t="n">
        <v>8.909701999999999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0.7346819999999999</v>
      </c>
      <c r="E62" s="13" t="n">
        <v>0.576888</v>
      </c>
      <c r="F62" s="13" t="n">
        <v>0.515363</v>
      </c>
      <c r="G62" s="13" t="n">
        <v>0.195066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0.525289</v>
      </c>
      <c r="E63" s="13" t="n">
        <v>1.209992</v>
      </c>
      <c r="F63" s="13" t="n">
        <v>1.520747</v>
      </c>
      <c r="G63" s="13" t="n">
        <v>0.873901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-1.821897000000006</v>
      </c>
      <c r="E64" s="13" t="n">
        <v>0.4152259999999999</v>
      </c>
      <c r="F64" s="13" t="n">
        <v>-4.941001999999991</v>
      </c>
      <c r="G64" s="13" t="n">
        <v>-0.8877789999999999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58.058817</v>
      </c>
      <c r="E65" s="13" t="n">
        <v>39.123312</v>
      </c>
      <c r="F65" s="13" t="n">
        <v>60.296581</v>
      </c>
      <c r="G65" s="13" t="n">
        <v>5.54057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19.002911</v>
      </c>
      <c r="E66" s="13" t="n">
        <v>12.320751</v>
      </c>
      <c r="F66" s="13" t="n">
        <v>20.150343</v>
      </c>
      <c r="G66" s="13" t="n">
        <v>3.499847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39.055906</v>
      </c>
      <c r="E67" s="13" t="n">
        <v>26.802561</v>
      </c>
      <c r="F67" s="13" t="n">
        <v>40.146238</v>
      </c>
      <c r="G67" s="13" t="n">
        <v>2.040723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0.3867910000000023</v>
      </c>
      <c r="E68" s="13" t="n">
        <v>-0.07818999999999932</v>
      </c>
      <c r="F68" s="13" t="n">
        <v>0.0691009999999963</v>
      </c>
      <c r="G68" s="13" t="n">
        <v>-0.3808230000000004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38.669115</v>
      </c>
      <c r="E69" s="13" t="n">
        <v>26.880751</v>
      </c>
      <c r="F69" s="13" t="n">
        <v>40.077137</v>
      </c>
      <c r="G69" s="13" t="n">
        <v>2.421546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4861.419842</v>
      </c>
      <c r="E70" s="13" t="n">
        <v>4692.490195</v>
      </c>
      <c r="F70" s="13" t="n">
        <v>4873.320227</v>
      </c>
      <c r="G70" s="13" t="n">
        <v>4873.3294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0.007954284192021446</v>
      </c>
      <c r="E71" s="20" t="n">
        <v>0.005728461836455686</v>
      </c>
      <c r="F71" s="20" t="n">
        <v>0.008223784839329418</v>
      </c>
      <c r="G71" s="20" t="n">
        <v>0.0004968976650747229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0.00159093670466596</v>
      </c>
      <c r="E72" s="20" t="n">
        <v>0.003045986894080901</v>
      </c>
      <c r="F72" s="20" t="n">
        <v>0.002863374432253888</v>
      </c>
      <c r="G72" s="20" t="n">
        <v>0.001797080588242018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6.318379</v>
      </c>
      <c r="E73" s="13" t="n">
        <v>7.658665</v>
      </c>
      <c r="F73" s="13" t="n">
        <v>15.281189</v>
      </c>
      <c r="G73" s="13" t="n">
        <v>9.801574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1.67369</v>
      </c>
      <c r="E74" s="13" t="n">
        <v>5.352067</v>
      </c>
      <c r="F74" s="13" t="n">
        <v>3.390581</v>
      </c>
      <c r="G74" s="13" t="n">
        <v>3.202403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10.236613</v>
      </c>
      <c r="F75" s="13" t="n">
        <v>-7.295930999999982</v>
      </c>
      <c r="G75" s="13" t="n">
        <v>7.188342999999985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10.94638709070904</v>
      </c>
      <c r="F76" s="13" t="n">
        <v>49.75993600831553</v>
      </c>
      <c r="G76" s="13" t="n">
        <v>-5.112875981972598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2.0758</v>
      </c>
      <c r="F77" s="13" t="n">
        <v>-2.650571999999999</v>
      </c>
      <c r="G77" s="13" t="n">
        <v>0.566033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14.90935199999999</v>
      </c>
      <c r="E80" s="13" t="n">
        <v>25.14596499999999</v>
      </c>
      <c r="F80" s="13" t="n">
        <v>17.85003400000001</v>
      </c>
      <c r="G80" s="13" t="n">
        <v>25.03837699999999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43.517021</v>
      </c>
      <c r="E81" s="13" t="n">
        <v>45.09847</v>
      </c>
      <c r="F81" s="13" t="n">
        <v>68.20206399999999</v>
      </c>
      <c r="G81" s="13" t="n">
        <v>42.348117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3.242721</v>
      </c>
      <c r="E82" s="13" t="n">
        <v>5.318521</v>
      </c>
      <c r="F82" s="13" t="n">
        <v>2.667949</v>
      </c>
      <c r="G82" s="13" t="n">
        <v>3.233982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34.383719</v>
      </c>
      <c r="E83" s="13" t="n">
        <v>40.448071</v>
      </c>
      <c r="F83" s="13" t="n">
        <v>40.958695</v>
      </c>
      <c r="G83" s="13" t="n">
        <v>39.413366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122.106297</v>
      </c>
      <c r="E84" s="13" t="n">
        <v>138.586</v>
      </c>
      <c r="F84" s="13" t="n">
        <v>160.730649</v>
      </c>
      <c r="G84" s="13" t="n">
        <v>150.494432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0.832847</v>
      </c>
      <c r="E85" s="13" t="n">
        <v>0.754657</v>
      </c>
      <c r="F85" s="13" t="n">
        <v>0.12459</v>
      </c>
      <c r="G85" s="13" t="n">
        <v>0.659466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33.371773</v>
      </c>
      <c r="E86" s="13" t="n">
        <v>33.96667200000005</v>
      </c>
      <c r="F86" s="13" t="n">
        <v>36.51239500000001</v>
      </c>
      <c r="G86" s="13" t="n">
        <v>47.58801999999999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-40.2743</v>
      </c>
      <c r="E88" s="13" t="n">
        <v>-39.779949</v>
      </c>
      <c r="F88" s="13" t="n">
        <v>-65.53411499999999</v>
      </c>
      <c r="G88" s="13" t="n">
        <v>-39.114135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0.0251174144526808</v>
      </c>
      <c r="E89" s="20" t="n">
        <v>0.0295335726322173</v>
      </c>
      <c r="F89" s="20" t="n">
        <v>0.03298175402254353</v>
      </c>
      <c r="G89" s="20" t="n">
        <v>0.03088123532138008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0.154485087658853</v>
      </c>
      <c r="F90" s="4" t="n">
        <v>0.1090461844194937</v>
      </c>
      <c r="G90" s="4" t="n">
        <v>-0.5314709580143198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0.2889034600371298</v>
      </c>
      <c r="E91" s="4" t="n">
        <v>0.1791288623755844</v>
      </c>
      <c r="F91" s="4" t="n">
        <v>0.3156154968618507</v>
      </c>
      <c r="G91" s="4" t="n">
        <v>0.170316229211441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0.2362896754125892</v>
      </c>
      <c r="E92" s="4" t="n">
        <v>0.1307408742878387</v>
      </c>
      <c r="F92" s="4" t="n">
        <v>0.2059949748301643</v>
      </c>
      <c r="G92" s="4" t="n">
        <v>0.05818863053441122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0.2354249086459736</v>
      </c>
      <c r="E93" s="4" t="n">
        <v>0.1292113941352341</v>
      </c>
      <c r="F93" s="4" t="n">
        <v>0.1965460245964813</v>
      </c>
      <c r="G93" s="4" t="n">
        <v>0.03754966730631673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0.1515003603887017</v>
      </c>
      <c r="E94" s="4" t="n">
        <v>0.09122261205828246</v>
      </c>
      <c r="F94" s="4" t="n">
        <v>0.1226332287729796</v>
      </c>
      <c r="G94" s="4" t="n">
        <v>0.01581494482263059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-0.2798268583109432</v>
      </c>
      <c r="F95" s="4" t="n">
        <v>0.4356008775328839</v>
      </c>
      <c r="G95" s="4" t="n">
        <v>-0.9395779832786529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0.2062258939703155</v>
      </c>
      <c r="F96" s="4" t="n">
        <v>0.2677908972581075</v>
      </c>
      <c r="G96" s="4" t="n">
        <v>0.01556138080015473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-0.6677788936451563</v>
      </c>
      <c r="E97" s="22" t="n">
        <v>-1.032556780248145</v>
      </c>
      <c r="F97" s="22" t="n">
        <v>-0.9734693597439648</v>
      </c>
      <c r="G97" s="22" t="n">
        <v>-4.390060969491461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0.2000100406598183</v>
      </c>
      <c r="E98" s="4" t="n">
        <v>0.5317285828276573</v>
      </c>
      <c r="F98" s="4" t="n">
        <v>0.3481820704452395</v>
      </c>
      <c r="G98" s="4" t="n">
        <v>3.616600991618214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0.006557290958920734</v>
      </c>
      <c r="E99" s="4" t="n">
        <v>0.01816279357860707</v>
      </c>
      <c r="F99" s="4" t="n">
        <v>0.01037494009231043</v>
      </c>
      <c r="G99" s="4" t="n">
        <v>0.02091466639280305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288</v>
      </c>
    </row>
    <row r="103">
      <c r="A103" t="inlineStr">
        <is>
          <t>Shares outstanding (m)</t>
        </is>
      </c>
      <c r="C103" s="13" t="n">
        <v>4873.3294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2.576074</v>
      </c>
    </row>
    <row r="106">
      <c r="A106" t="inlineStr">
        <is>
          <t>Cash at balance-sheet date</t>
        </is>
      </c>
      <c r="C106" s="13" t="n">
        <v>44.673165</v>
      </c>
    </row>
    <row r="107">
      <c r="A107" t="inlineStr">
        <is>
          <t>Minority interest (book)</t>
        </is>
      </c>
      <c r="C107" s="13" t="n">
        <v>0.338921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38.68299999999999</v>
      </c>
    </row>
    <row r="110">
      <c r="A110" t="inlineStr">
        <is>
          <t>Parent equity at balance-sheet date</t>
        </is>
      </c>
      <c r="C110" s="13" t="n">
        <v>144.494795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0.03337379684495916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11.68369051451857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332.2853066280189</v>
      </c>
    </row>
    <row r="144">
      <c r="A144" t="inlineStr">
        <is>
          <t>Base probability</t>
        </is>
      </c>
      <c r="C144" s="4" t="n">
        <v>0.65</v>
      </c>
    </row>
    <row r="145">
      <c r="A145" t="inlineStr">
        <is>
          <t>Bull probability</t>
        </is>
      </c>
      <c r="C145" s="4" t="n">
        <v>0.1</v>
      </c>
    </row>
    <row r="146">
      <c r="A146" t="inlineStr">
        <is>
          <t>Bull 12-month value (engine)</t>
        </is>
      </c>
      <c r="C146" s="20" t="n">
        <v>879.2223418824829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303.587698</v>
      </c>
      <c r="E155" s="27" t="n">
        <v>311.735208</v>
      </c>
      <c r="F155" s="27" t="n">
        <v>338.765138</v>
      </c>
      <c r="G155" s="27" t="n">
        <v>415.645432</v>
      </c>
      <c r="H155" s="27" t="n">
        <v>526.442594</v>
      </c>
    </row>
    <row r="156">
      <c r="C156" s="1" t="n">
        <v>0.95</v>
      </c>
      <c r="D156" s="27" t="n">
        <v>320.4739</v>
      </c>
      <c r="E156" s="27" t="n">
        <v>329.074819</v>
      </c>
      <c r="F156" s="27" t="n">
        <v>357.608974</v>
      </c>
      <c r="G156" s="27" t="n">
        <v>438.768144</v>
      </c>
      <c r="H156" s="27" t="n">
        <v>555.733099</v>
      </c>
    </row>
    <row r="157">
      <c r="C157" s="1" t="n">
        <v>1</v>
      </c>
      <c r="D157" s="27" t="n">
        <v>337.36223</v>
      </c>
      <c r="E157" s="27" t="n">
        <v>346.41664</v>
      </c>
      <c r="F157" s="27" t="n">
        <v>376.455287</v>
      </c>
      <c r="G157" s="27" t="n">
        <v>461.894142</v>
      </c>
      <c r="H157" s="27" t="n">
        <v>585.028181</v>
      </c>
    </row>
    <row r="158">
      <c r="C158" s="1" t="n">
        <v>1.05</v>
      </c>
      <c r="D158" s="27" t="n">
        <v>354.252688</v>
      </c>
      <c r="E158" s="27" t="n">
        <v>363.76067</v>
      </c>
      <c r="F158" s="27" t="n">
        <v>395.304079</v>
      </c>
      <c r="G158" s="27" t="n">
        <v>485.023427</v>
      </c>
      <c r="H158" s="27" t="n">
        <v>614.327837</v>
      </c>
    </row>
    <row r="159">
      <c r="C159" s="1" t="n">
        <v>1.1</v>
      </c>
      <c r="D159" s="27" t="n">
        <v>371.145275</v>
      </c>
      <c r="E159" s="27" t="n">
        <v>381.106908</v>
      </c>
      <c r="F159" s="27" t="n">
        <v>414.155348</v>
      </c>
      <c r="G159" s="27" t="n">
        <v>508.155996</v>
      </c>
      <c r="H159" s="27" t="n">
        <v>643.632064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512.839055</v>
      </c>
      <c r="E163" s="27" t="n">
        <v>437.711515</v>
      </c>
      <c r="F163" s="27" t="n">
        <v>378.33067</v>
      </c>
      <c r="G163" s="27" t="n">
        <v>357.836859</v>
      </c>
      <c r="H163" s="27" t="n">
        <v>343.843676</v>
      </c>
    </row>
    <row r="164">
      <c r="C164" s="1" t="n">
        <v>0.95</v>
      </c>
      <c r="D164" s="27" t="n">
        <v>518.237628</v>
      </c>
      <c r="E164" s="27" t="n">
        <v>438.936335</v>
      </c>
      <c r="F164" s="27" t="n">
        <v>377.392979</v>
      </c>
      <c r="G164" s="27" t="n">
        <v>355.990118</v>
      </c>
      <c r="H164" s="27" t="n">
        <v>341.219536</v>
      </c>
    </row>
    <row r="165">
      <c r="C165" s="1" t="n">
        <v>1</v>
      </c>
      <c r="D165" s="27" t="n">
        <v>523.6362</v>
      </c>
      <c r="E165" s="27" t="n">
        <v>440.161155</v>
      </c>
      <c r="F165" s="27" t="n">
        <v>376.455287</v>
      </c>
      <c r="G165" s="27" t="n">
        <v>354.143377</v>
      </c>
      <c r="H165" s="27" t="n">
        <v>338.595396</v>
      </c>
    </row>
    <row r="166">
      <c r="C166" s="1" t="n">
        <v>1.05</v>
      </c>
      <c r="D166" s="27" t="n">
        <v>529.034773</v>
      </c>
      <c r="E166" s="27" t="n">
        <v>441.385975</v>
      </c>
      <c r="F166" s="27" t="n">
        <v>375.517596</v>
      </c>
      <c r="G166" s="27" t="n">
        <v>352.296636</v>
      </c>
      <c r="H166" s="27" t="n">
        <v>335.971255</v>
      </c>
    </row>
    <row r="167">
      <c r="C167" s="1" t="n">
        <v>1.1</v>
      </c>
      <c r="D167" s="27" t="n">
        <v>534.433345</v>
      </c>
      <c r="E167" s="27" t="n">
        <v>442.610795</v>
      </c>
      <c r="F167" s="27" t="n">
        <v>374.579905</v>
      </c>
      <c r="G167" s="27" t="n">
        <v>350.449895</v>
      </c>
      <c r="H167" s="27" t="n">
        <v>333.347115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4.05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61.7202</v>
      </c>
      <c r="J18" s="3" t="n">
        <v>62.954604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5.1127</v>
      </c>
      <c r="I24" s="3" t="n">
        <v>5.1127</v>
      </c>
      <c r="J24" s="3" t="n">
        <v>5.1127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0.0945</v>
      </c>
      <c r="I37" s="4" t="n">
        <v>0.0945</v>
      </c>
      <c r="J37" s="4" t="n">
        <v>0.0945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4.05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VLOOKUP(Drivers!$L$5,Drivers!$B$20:$C$22,2,TRUE)</f>
        <v/>
      </c>
      <c r="I47" s="9">
        <f>VLOOKUP(Drivers!$M$5,Drivers!$B$20:$C$22,2,TRUE)</f>
        <v/>
      </c>
      <c r="J47" s="9">
        <f>VLOOKUP(Drivers!$N$5,Drivers!$B$20:$C$22,2,TRUE)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10.87964052863436</v>
      </c>
      <c r="G48" s="3" t="n">
        <v>5.136092857142858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5.149893</v>
      </c>
      <c r="G60" s="13" t="n">
        <v>8.252966000000001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24.696784</v>
      </c>
      <c r="G61" s="13" t="n">
        <v>8.628636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7.819482790978912</v>
      </c>
      <c r="G76" s="13" t="n">
        <v>-45.72852321535846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0.113335885451382</v>
      </c>
      <c r="G92" s="4" t="n">
        <v>0.05233604408762293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-4.85915089187321</v>
      </c>
      <c r="G97" s="22" t="n">
        <v>-8.226365094089029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8.930532000000003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0.3495850531547235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6.374272</v>
      </c>
    </row>
    <row r="139">
      <c r="A139" t="inlineStr">
        <is>
          <t>Metric (LTM, or next-12m DPS for yield)</t>
        </is>
      </c>
      <c r="C139" s="13" t="n">
        <v>8.628636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1877.918781245521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2455.314674701974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1644.126484</v>
      </c>
      <c r="E161" s="27" t="n">
        <v>1714.085965</v>
      </c>
      <c r="F161" s="27" t="n">
        <v>1809.044737</v>
      </c>
      <c r="G161" s="27" t="n">
        <v>1937.632806</v>
      </c>
      <c r="H161" s="27" t="n">
        <v>2066.220875</v>
      </c>
    </row>
    <row r="162">
      <c r="C162" s="1" t="n">
        <v>0.95</v>
      </c>
      <c r="D162" s="27" t="n">
        <v>1736.601592</v>
      </c>
      <c r="E162" s="27" t="n">
        <v>1810.498153</v>
      </c>
      <c r="F162" s="27" t="n">
        <v>1910.80215</v>
      </c>
      <c r="G162" s="27" t="n">
        <v>2046.630865</v>
      </c>
      <c r="H162" s="27" t="n">
        <v>2182.459579</v>
      </c>
    </row>
    <row r="163">
      <c r="C163" s="1" t="n">
        <v>1</v>
      </c>
      <c r="D163" s="27" t="n">
        <v>1829.196147</v>
      </c>
      <c r="E163" s="27" t="n">
        <v>1907.035044</v>
      </c>
      <c r="F163" s="27" t="n">
        <v>2012.691498</v>
      </c>
      <c r="G163" s="27" t="n">
        <v>2155.770844</v>
      </c>
      <c r="H163" s="27" t="n">
        <v>2298.850191</v>
      </c>
    </row>
    <row r="164">
      <c r="C164" s="1" t="n">
        <v>1.05</v>
      </c>
      <c r="D164" s="27" t="n">
        <v>1921.910149</v>
      </c>
      <c r="E164" s="27" t="n">
        <v>2003.696629</v>
      </c>
      <c r="F164" s="27" t="n">
        <v>2114.71276</v>
      </c>
      <c r="G164" s="27" t="n">
        <v>2265.052704</v>
      </c>
      <c r="H164" s="27" t="n">
        <v>2415.392647</v>
      </c>
    </row>
    <row r="165">
      <c r="C165" s="1" t="n">
        <v>1.1</v>
      </c>
      <c r="D165" s="27" t="n">
        <v>2014.743598</v>
      </c>
      <c r="E165" s="27" t="n">
        <v>2100.482903</v>
      </c>
      <c r="F165" s="27" t="n">
        <v>2216.865922</v>
      </c>
      <c r="G165" s="27" t="n">
        <v>2374.476405</v>
      </c>
      <c r="H165" s="27" t="n">
        <v>2532.086887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2261.355011</v>
      </c>
      <c r="E169" s="27" t="n">
        <v>2140.716363</v>
      </c>
      <c r="F169" s="27" t="n">
        <v>2020.077715</v>
      </c>
      <c r="G169" s="27" t="n">
        <v>1926.862429</v>
      </c>
      <c r="H169" s="27" t="n">
        <v>1850.17046</v>
      </c>
    </row>
    <row r="170">
      <c r="C170" s="1" t="n">
        <v>0.95</v>
      </c>
      <c r="D170" s="27" t="n">
        <v>2271.066196</v>
      </c>
      <c r="E170" s="27" t="n">
        <v>2143.725401</v>
      </c>
      <c r="F170" s="27" t="n">
        <v>2016.384606</v>
      </c>
      <c r="G170" s="27" t="n">
        <v>1920.240738</v>
      </c>
      <c r="H170" s="27" t="n">
        <v>1839.288104</v>
      </c>
    </row>
    <row r="171">
      <c r="C171" s="1" t="n">
        <v>1</v>
      </c>
      <c r="D171" s="27" t="n">
        <v>2280.777382</v>
      </c>
      <c r="E171" s="27" t="n">
        <v>2146.73444</v>
      </c>
      <c r="F171" s="27" t="n">
        <v>2012.691498</v>
      </c>
      <c r="G171" s="27" t="n">
        <v>1913.619046</v>
      </c>
      <c r="H171" s="27" t="n">
        <v>1828.405747</v>
      </c>
    </row>
    <row r="172">
      <c r="C172" s="1" t="n">
        <v>1.05</v>
      </c>
      <c r="D172" s="27" t="n">
        <v>2316.189801</v>
      </c>
      <c r="E172" s="27" t="n">
        <v>2183.050867</v>
      </c>
      <c r="F172" s="27" t="n">
        <v>2049.911934</v>
      </c>
      <c r="G172" s="27" t="n">
        <v>1916.773001</v>
      </c>
      <c r="H172" s="27" t="n">
        <v>1817.523391</v>
      </c>
    </row>
    <row r="173">
      <c r="C173" s="1" t="n">
        <v>1.1</v>
      </c>
      <c r="D173" s="27" t="n">
        <v>2351.60222</v>
      </c>
      <c r="E173" s="27" t="n">
        <v>2219.367295</v>
      </c>
      <c r="F173" s="27" t="n">
        <v>2087.132371</v>
      </c>
      <c r="G173" s="27" t="n">
        <v>1954.897447</v>
      </c>
      <c r="H173" s="27" t="n">
        <v>1822.662523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0.08233119718353643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6.09241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322.7852163909182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2730.485971248739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6719.990772108074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0.996337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-0.25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0.2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0.6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2634.270429</v>
      </c>
      <c r="E176" s="27" t="n">
        <v>3354.331309</v>
      </c>
      <c r="F176" s="27" t="n">
        <v>4067.101369</v>
      </c>
      <c r="G176" s="27" t="n">
        <v>4774.063348</v>
      </c>
      <c r="H176" s="27" t="n">
        <v>5471.72981</v>
      </c>
    </row>
    <row r="177">
      <c r="C177" s="1" t="n">
        <v>0.95</v>
      </c>
      <c r="D177" s="27" t="n">
        <v>2781.104197</v>
      </c>
      <c r="E177" s="27" t="n">
        <v>3541.355085</v>
      </c>
      <c r="F177" s="27" t="n">
        <v>4293.908116</v>
      </c>
      <c r="G177" s="27" t="n">
        <v>5040.328854</v>
      </c>
      <c r="H177" s="27" t="n">
        <v>5776.935902</v>
      </c>
    </row>
    <row r="178">
      <c r="C178" s="1" t="n">
        <v>1</v>
      </c>
      <c r="D178" s="27" t="n">
        <v>2927.988758</v>
      </c>
      <c r="E178" s="27" t="n">
        <v>3728.448914</v>
      </c>
      <c r="F178" s="27" t="n">
        <v>4520.803969</v>
      </c>
      <c r="G178" s="27" t="n">
        <v>5306.702355</v>
      </c>
      <c r="H178" s="27" t="n">
        <v>6082.268696</v>
      </c>
    </row>
    <row r="179">
      <c r="C179" s="1" t="n">
        <v>1.05</v>
      </c>
      <c r="D179" s="27" t="n">
        <v>3074.924068</v>
      </c>
      <c r="E179" s="27" t="n">
        <v>3915.612701</v>
      </c>
      <c r="F179" s="27" t="n">
        <v>4747.78878</v>
      </c>
      <c r="G179" s="27" t="n">
        <v>5573.183651</v>
      </c>
      <c r="H179" s="27" t="n">
        <v>6387.727939</v>
      </c>
    </row>
    <row r="180">
      <c r="C180" s="1" t="n">
        <v>1.1</v>
      </c>
      <c r="D180" s="27" t="n">
        <v>3221.910088</v>
      </c>
      <c r="E180" s="27" t="n">
        <v>4102.846354</v>
      </c>
      <c r="F180" s="27" t="n">
        <v>4974.862402</v>
      </c>
      <c r="G180" s="27" t="n">
        <v>5839.772544</v>
      </c>
      <c r="H180" s="27" t="n">
        <v>6693.313381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5397.804653</v>
      </c>
      <c r="E184" s="27" t="n">
        <v>4991.503291</v>
      </c>
      <c r="F184" s="27" t="n">
        <v>4585.201928</v>
      </c>
      <c r="G184" s="27" t="n">
        <v>4178.900566</v>
      </c>
      <c r="H184" s="27" t="n">
        <v>3772.599203</v>
      </c>
    </row>
    <row r="185">
      <c r="C185" s="1" t="n">
        <v>0.95</v>
      </c>
      <c r="D185" s="27" t="n">
        <v>5467.609321</v>
      </c>
      <c r="E185" s="27" t="n">
        <v>5038.73566</v>
      </c>
      <c r="F185" s="27" t="n">
        <v>4609.862</v>
      </c>
      <c r="G185" s="27" t="n">
        <v>4180.98834</v>
      </c>
      <c r="H185" s="27" t="n">
        <v>3752.114679</v>
      </c>
    </row>
    <row r="186">
      <c r="C186" s="1" t="n">
        <v>1</v>
      </c>
      <c r="D186" s="27" t="n">
        <v>5537.413988</v>
      </c>
      <c r="E186" s="27" t="n">
        <v>5085.96803</v>
      </c>
      <c r="F186" s="27" t="n">
        <v>4634.522071</v>
      </c>
      <c r="G186" s="27" t="n">
        <v>4183.076113</v>
      </c>
      <c r="H186" s="27" t="n">
        <v>3731.630155</v>
      </c>
    </row>
    <row r="187">
      <c r="C187" s="1" t="n">
        <v>1.05</v>
      </c>
      <c r="D187" s="27" t="n">
        <v>5607.218655</v>
      </c>
      <c r="E187" s="27" t="n">
        <v>5133.200399</v>
      </c>
      <c r="F187" s="27" t="n">
        <v>4659.182143</v>
      </c>
      <c r="G187" s="27" t="n">
        <v>4185.163887</v>
      </c>
      <c r="H187" s="27" t="n">
        <v>3711.14563</v>
      </c>
    </row>
    <row r="188">
      <c r="C188" s="1" t="n">
        <v>1.1</v>
      </c>
      <c r="D188" s="27" t="n">
        <v>5677.023323</v>
      </c>
      <c r="E188" s="27" t="n">
        <v>5180.432768</v>
      </c>
      <c r="F188" s="27" t="n">
        <v>4683.842214</v>
      </c>
      <c r="G188" s="27" t="n">
        <v>4187.25166</v>
      </c>
      <c r="H188" s="27" t="n">
        <v>3690.661106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O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2026-10-28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60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49.5</v>
      </c>
      <c r="I14" s="13" t="n">
        <v>50</v>
      </c>
      <c r="J14" s="13" t="n">
        <v>50</v>
      </c>
      <c r="K14" s="13" t="n">
        <v>50</v>
      </c>
      <c r="L14" s="13" t="n">
        <v>50</v>
      </c>
      <c r="M14" s="13" t="n">
        <v>50</v>
      </c>
      <c r="N14" s="13" t="n">
        <v>50</v>
      </c>
      <c r="O14" s="13" t="n">
        <v>50</v>
      </c>
      <c r="P14" s="13" t="n">
        <v>50</v>
      </c>
      <c r="Q14" s="13" t="n">
        <v>50</v>
      </c>
      <c r="R14" s="13" t="n">
        <v>50</v>
      </c>
      <c r="S14" s="13" t="n">
        <v>50</v>
      </c>
      <c r="T14" s="13" t="n">
        <v>50</v>
      </c>
      <c r="U14" s="13" t="n">
        <v>50</v>
      </c>
      <c r="V14" s="13" t="n">
        <v>50</v>
      </c>
      <c r="W14" s="13" t="n">
        <v>50</v>
      </c>
      <c r="X14" s="13" t="n">
        <v>50</v>
      </c>
      <c r="Y14" s="13" t="n">
        <v>50</v>
      </c>
      <c r="Z14" s="13" t="n">
        <v>50</v>
      </c>
      <c r="AA14" s="13" t="n">
        <v>50</v>
      </c>
      <c r="AB14" s="13" t="n">
        <v>50</v>
      </c>
      <c r="AC14" s="13" t="n">
        <v>50</v>
      </c>
      <c r="AD14" s="13" t="n">
        <v>50</v>
      </c>
      <c r="AE14" s="13" t="n">
        <v>50</v>
      </c>
      <c r="AF14" s="13" t="n">
        <v>50</v>
      </c>
      <c r="AG14" s="13" t="n">
        <v>50</v>
      </c>
      <c r="AH14" s="13" t="n">
        <v>50</v>
      </c>
      <c r="AI14" s="13" t="n">
        <v>50</v>
      </c>
      <c r="AJ14" s="13" t="n">
        <v>50</v>
      </c>
      <c r="AK14" s="13" t="n">
        <v>50</v>
      </c>
      <c r="AL14" s="13" t="n">
        <v>50</v>
      </c>
      <c r="AM14" s="13" t="n">
        <v>50</v>
      </c>
      <c r="AN14" s="13" t="n">
        <v>50</v>
      </c>
      <c r="AO14" s="13" t="n">
        <v>50</v>
      </c>
      <c r="AP14" s="13" t="n">
        <v>50</v>
      </c>
      <c r="AQ14" s="13" t="n">
        <v>50</v>
      </c>
      <c r="AR14" s="13" t="n">
        <v>50</v>
      </c>
      <c r="AS14" s="13" t="n">
        <v>50</v>
      </c>
      <c r="AT14" s="13" t="n">
        <v>50</v>
      </c>
      <c r="AU14" s="13" t="n">
        <v>50</v>
      </c>
      <c r="AV14" s="13" t="n">
        <v>50</v>
      </c>
      <c r="AW14" s="13" t="n">
        <v>50</v>
      </c>
      <c r="AX14" s="13" t="n">
        <v>50</v>
      </c>
      <c r="AY14" s="13" t="n">
        <v>50</v>
      </c>
      <c r="AZ14" s="13" t="n">
        <v>50</v>
      </c>
      <c r="BA14" s="13" t="n">
        <v>50</v>
      </c>
      <c r="BB14" s="13" t="n">
        <v>50</v>
      </c>
      <c r="BC14" s="13" t="n">
        <v>50</v>
      </c>
      <c r="BD14" s="13" t="n">
        <v>50</v>
      </c>
      <c r="BE14" s="13" t="n">
        <v>50</v>
      </c>
      <c r="BF14" s="13" t="n">
        <v>50</v>
      </c>
      <c r="BG14" s="13" t="n">
        <v>50</v>
      </c>
      <c r="BH14" s="13" t="n">
        <v>50</v>
      </c>
      <c r="BI14" s="13" t="n">
        <v>50</v>
      </c>
      <c r="BJ14" s="13" t="n">
        <v>50</v>
      </c>
      <c r="BK14" s="13" t="n">
        <v>50</v>
      </c>
      <c r="BL14" s="13" t="n">
        <v>50</v>
      </c>
      <c r="BM14" s="13" t="n">
        <v>50</v>
      </c>
      <c r="BN14" s="13" t="n">
        <v>50</v>
      </c>
      <c r="BO14" s="13" t="n">
        <v>50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0.4635</v>
      </c>
      <c r="I15" s="14" t="n">
        <v>0.5175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0.54</v>
      </c>
      <c r="I16" s="4" t="n">
        <v>0.54</v>
      </c>
      <c r="J16" s="4" t="n">
        <v>0.54</v>
      </c>
      <c r="K16" s="4" t="n">
        <v>0.54</v>
      </c>
      <c r="L16" s="4" t="n">
        <v>0.54</v>
      </c>
      <c r="M16" s="4" t="n">
        <v>0.54</v>
      </c>
      <c r="N16" s="4" t="n">
        <v>0.54</v>
      </c>
      <c r="O16" s="4" t="n">
        <v>0.54</v>
      </c>
      <c r="P16" s="4" t="n">
        <v>0.54</v>
      </c>
      <c r="Q16" s="4" t="n">
        <v>0.54</v>
      </c>
      <c r="R16" s="4" t="n">
        <v>0.54</v>
      </c>
      <c r="S16" s="4" t="n">
        <v>0.54</v>
      </c>
      <c r="T16" s="4" t="n">
        <v>0.54</v>
      </c>
      <c r="U16" s="4" t="n">
        <v>0.54</v>
      </c>
      <c r="V16" s="4" t="n">
        <v>0.54</v>
      </c>
      <c r="W16" s="4" t="n">
        <v>0.54</v>
      </c>
      <c r="X16" s="4" t="n">
        <v>0.54</v>
      </c>
      <c r="Y16" s="4" t="n">
        <v>0.54</v>
      </c>
      <c r="Z16" s="4" t="n">
        <v>0.54</v>
      </c>
      <c r="AA16" s="4" t="n">
        <v>0.54</v>
      </c>
      <c r="AB16" s="4" t="n">
        <v>0.54</v>
      </c>
      <c r="AC16" s="4" t="n">
        <v>0.54</v>
      </c>
      <c r="AD16" s="4" t="n">
        <v>0.54</v>
      </c>
      <c r="AE16" s="4" t="n">
        <v>0.54</v>
      </c>
      <c r="AF16" s="4" t="n">
        <v>0.54</v>
      </c>
      <c r="AG16" s="4" t="n">
        <v>0.54</v>
      </c>
      <c r="AH16" s="4" t="n">
        <v>0.54</v>
      </c>
      <c r="AI16" s="4" t="n">
        <v>0.54</v>
      </c>
      <c r="AJ16" s="4" t="n">
        <v>0.54</v>
      </c>
      <c r="AK16" s="4" t="n">
        <v>0.54</v>
      </c>
      <c r="AL16" s="4" t="n">
        <v>0.54</v>
      </c>
      <c r="AM16" s="4" t="n">
        <v>0.54</v>
      </c>
      <c r="AN16" s="4" t="n">
        <v>0.54</v>
      </c>
      <c r="AO16" s="4" t="n">
        <v>0.54</v>
      </c>
      <c r="AP16" s="4" t="n">
        <v>0.54</v>
      </c>
      <c r="AQ16" s="4" t="n">
        <v>0.54</v>
      </c>
      <c r="AR16" s="4" t="n">
        <v>0.54</v>
      </c>
      <c r="AS16" s="4" t="n">
        <v>0.54</v>
      </c>
      <c r="AT16" s="4" t="n">
        <v>0.54</v>
      </c>
      <c r="AU16" s="4" t="n">
        <v>0.54</v>
      </c>
      <c r="AV16" s="4" t="n">
        <v>0.54</v>
      </c>
      <c r="AW16" s="4" t="n">
        <v>0.54</v>
      </c>
      <c r="AX16" s="4" t="n">
        <v>0.54</v>
      </c>
      <c r="AY16" s="4" t="n">
        <v>0.54</v>
      </c>
      <c r="AZ16" s="4" t="n">
        <v>0.54</v>
      </c>
      <c r="BA16" s="4" t="n">
        <v>0.54</v>
      </c>
      <c r="BB16" s="4" t="n">
        <v>0.54</v>
      </c>
      <c r="BC16" s="4" t="n">
        <v>0.54</v>
      </c>
      <c r="BD16" s="4" t="n">
        <v>0.54</v>
      </c>
      <c r="BE16" s="4" t="n">
        <v>0.54</v>
      </c>
      <c r="BF16" s="4" t="n">
        <v>0.54</v>
      </c>
      <c r="BG16" s="4" t="n">
        <v>0.54</v>
      </c>
      <c r="BH16" s="4" t="n">
        <v>0.54</v>
      </c>
      <c r="BI16" s="4" t="n">
        <v>0.54</v>
      </c>
      <c r="BJ16" s="4" t="n">
        <v>0.54</v>
      </c>
      <c r="BK16" s="4" t="n">
        <v>0.54</v>
      </c>
      <c r="BL16" s="4" t="n">
        <v>0.54</v>
      </c>
      <c r="BM16" s="4" t="n">
        <v>0.54</v>
      </c>
      <c r="BN16" s="4" t="n">
        <v>0.54</v>
      </c>
      <c r="BO16" s="4" t="n">
        <v>0.54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6.06</v>
      </c>
      <c r="I17" s="14" t="n">
        <v>6.06</v>
      </c>
      <c r="J17" s="14" t="n">
        <v>6.06</v>
      </c>
      <c r="K17" s="14" t="n">
        <v>6.06</v>
      </c>
      <c r="L17" s="14" t="n">
        <v>6.06</v>
      </c>
      <c r="M17" s="14" t="n">
        <v>6.06</v>
      </c>
      <c r="N17" s="14" t="n">
        <v>6.06</v>
      </c>
      <c r="O17" s="14" t="n">
        <v>6.06</v>
      </c>
      <c r="P17" s="14" t="n">
        <v>6.06</v>
      </c>
      <c r="Q17" s="14" t="n">
        <v>6.06</v>
      </c>
      <c r="R17" s="14" t="n">
        <v>6.06</v>
      </c>
      <c r="S17" s="14" t="n">
        <v>6.06</v>
      </c>
      <c r="T17" s="14" t="n">
        <v>6.06</v>
      </c>
      <c r="U17" s="14" t="n">
        <v>6.06</v>
      </c>
      <c r="V17" s="14" t="n">
        <v>6.06</v>
      </c>
      <c r="W17" s="14" t="n">
        <v>6.06</v>
      </c>
      <c r="X17" s="14" t="n">
        <v>6.06</v>
      </c>
      <c r="Y17" s="14" t="n">
        <v>6.06</v>
      </c>
      <c r="Z17" s="14" t="n">
        <v>6.06</v>
      </c>
      <c r="AA17" s="14" t="n">
        <v>6.06</v>
      </c>
      <c r="AB17" s="14" t="n">
        <v>6.06</v>
      </c>
      <c r="AC17" s="14" t="n">
        <v>6.06</v>
      </c>
      <c r="AD17" s="14" t="n">
        <v>6.06</v>
      </c>
      <c r="AE17" s="14" t="n">
        <v>6.06</v>
      </c>
      <c r="AF17" s="14" t="n">
        <v>6.06</v>
      </c>
      <c r="AG17" s="14" t="n">
        <v>6.06</v>
      </c>
      <c r="AH17" s="14" t="n">
        <v>6.06</v>
      </c>
      <c r="AI17" s="14" t="n">
        <v>6.06</v>
      </c>
      <c r="AJ17" s="14" t="n">
        <v>6.06</v>
      </c>
      <c r="AK17" s="14" t="n">
        <v>6.06</v>
      </c>
      <c r="AL17" s="14" t="n">
        <v>6.06</v>
      </c>
      <c r="AM17" s="14" t="n">
        <v>6.06</v>
      </c>
      <c r="AN17" s="14" t="n">
        <v>6.06</v>
      </c>
      <c r="AO17" s="14" t="n">
        <v>6.06</v>
      </c>
      <c r="AP17" s="14" t="n">
        <v>6.06</v>
      </c>
      <c r="AQ17" s="14" t="n">
        <v>6.06</v>
      </c>
      <c r="AR17" s="14" t="n">
        <v>6.06</v>
      </c>
      <c r="AS17" s="14" t="n">
        <v>6.06</v>
      </c>
      <c r="AT17" s="14" t="n">
        <v>6.06</v>
      </c>
      <c r="AU17" s="14" t="n">
        <v>6.06</v>
      </c>
      <c r="AV17" s="14" t="n">
        <v>6.06</v>
      </c>
      <c r="AW17" s="14" t="n">
        <v>6.06</v>
      </c>
      <c r="AX17" s="14" t="n">
        <v>6.06</v>
      </c>
      <c r="AY17" s="14" t="n">
        <v>6.06</v>
      </c>
      <c r="AZ17" s="14" t="n">
        <v>6.06</v>
      </c>
      <c r="BA17" s="14" t="n">
        <v>6.06</v>
      </c>
      <c r="BB17" s="14" t="n">
        <v>6.06</v>
      </c>
      <c r="BC17" s="14" t="n">
        <v>6.06</v>
      </c>
      <c r="BD17" s="14" t="n">
        <v>6.06</v>
      </c>
      <c r="BE17" s="14" t="n">
        <v>6.06</v>
      </c>
      <c r="BF17" s="14" t="n">
        <v>6.06</v>
      </c>
      <c r="BG17" s="14" t="n">
        <v>6.06</v>
      </c>
      <c r="BH17" s="14" t="n">
        <v>6.06</v>
      </c>
      <c r="BI17" s="14" t="n">
        <v>6.06</v>
      </c>
      <c r="BJ17" s="14" t="n">
        <v>6.06</v>
      </c>
      <c r="BK17" s="14" t="n">
        <v>6.06</v>
      </c>
      <c r="BL17" s="14" t="n">
        <v>6.06</v>
      </c>
      <c r="BM17" s="14" t="n">
        <v>6.06</v>
      </c>
      <c r="BN17" s="14" t="n">
        <v>6.06</v>
      </c>
      <c r="BO17" s="14" t="n">
        <v>6.06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350597</v>
      </c>
      <c r="I20" s="3" t="n">
        <v>350597</v>
      </c>
      <c r="J20" s="3" t="n">
        <v>350597</v>
      </c>
      <c r="K20" s="3" t="n">
        <v>350597</v>
      </c>
      <c r="L20" s="3" t="n">
        <v>350597</v>
      </c>
      <c r="M20" s="3" t="n">
        <v>359361.925</v>
      </c>
      <c r="N20" s="3" t="n">
        <v>368345.973125</v>
      </c>
      <c r="O20" s="3" t="n">
        <v>377554.6224531249</v>
      </c>
      <c r="P20" s="3" t="n">
        <v>386993.488014453</v>
      </c>
      <c r="Q20" s="3" t="n">
        <v>396668.3252148143</v>
      </c>
      <c r="R20" s="3" t="n">
        <v>406585.0333451846</v>
      </c>
      <c r="S20" s="3" t="n">
        <v>416749.6591788142</v>
      </c>
      <c r="T20" s="3" t="n">
        <v>427168.4006582845</v>
      </c>
      <c r="U20" s="3" t="n">
        <v>437847.6106747416</v>
      </c>
      <c r="V20" s="3" t="n">
        <v>448793.8009416101</v>
      </c>
      <c r="W20" s="3" t="n">
        <v>460013.6459651503</v>
      </c>
      <c r="X20" s="3" t="n">
        <v>471513.987114279</v>
      </c>
      <c r="Y20" s="3" t="n">
        <v>483301.8367921359</v>
      </c>
      <c r="Z20" s="3" t="n">
        <v>495384.3827119393</v>
      </c>
      <c r="AA20" s="3" t="n">
        <v>507768.9922797377</v>
      </c>
      <c r="AB20" s="3" t="n">
        <v>520463.2170867312</v>
      </c>
      <c r="AC20" s="3" t="n">
        <v>533474.7975138994</v>
      </c>
      <c r="AD20" s="3" t="n">
        <v>546811.6674517468</v>
      </c>
      <c r="AE20" s="3" t="n">
        <v>560481.9591380404</v>
      </c>
      <c r="AF20" s="3" t="n">
        <v>574494.0081164914</v>
      </c>
      <c r="AG20" s="3" t="n">
        <v>588856.3583194036</v>
      </c>
      <c r="AH20" s="3" t="n">
        <v>603577.7672773886</v>
      </c>
      <c r="AI20" s="3" t="n">
        <v>618667.2114593233</v>
      </c>
      <c r="AJ20" s="3" t="n">
        <v>634133.8917458063</v>
      </c>
      <c r="AK20" s="3" t="n">
        <v>649987.2390394515</v>
      </c>
      <c r="AL20" s="3" t="n">
        <v>666236.9200154376</v>
      </c>
      <c r="AM20" s="3" t="n">
        <v>682892.8430158235</v>
      </c>
      <c r="AN20" s="3" t="n">
        <v>699965.1640912191</v>
      </c>
      <c r="AO20" s="3" t="n">
        <v>717464.2931934996</v>
      </c>
      <c r="AP20" s="3" t="n">
        <v>735400.9005233368</v>
      </c>
      <c r="AQ20" s="3" t="n">
        <v>753785.9230364204</v>
      </c>
      <c r="AR20" s="3" t="n">
        <v>772630.5711123308</v>
      </c>
      <c r="AS20" s="3" t="n">
        <v>791946.3353901389</v>
      </c>
      <c r="AT20" s="3" t="n">
        <v>811744.9937748923</v>
      </c>
      <c r="AU20" s="3" t="n">
        <v>832038.6186192646</v>
      </c>
      <c r="AV20" s="3" t="n">
        <v>852839.5840847461</v>
      </c>
      <c r="AW20" s="3" t="n">
        <v>874160.5736868647</v>
      </c>
      <c r="AX20" s="3" t="n">
        <v>896014.5880290363</v>
      </c>
      <c r="AY20" s="3" t="n">
        <v>918414.9527297619</v>
      </c>
      <c r="AZ20" s="3" t="n">
        <v>941375.3265480059</v>
      </c>
      <c r="BA20" s="3" t="n">
        <v>964909.7097117061</v>
      </c>
      <c r="BB20" s="3" t="n">
        <v>989032.4524544986</v>
      </c>
      <c r="BC20" s="3" t="n">
        <v>1013758.263765861</v>
      </c>
      <c r="BD20" s="3" t="n">
        <v>1039102.220360007</v>
      </c>
      <c r="BE20" s="3" t="n">
        <v>1065079.775869008</v>
      </c>
      <c r="BF20" s="3" t="n">
        <v>1091706.770265733</v>
      </c>
      <c r="BG20" s="3" t="n">
        <v>1118999.439522376</v>
      </c>
      <c r="BH20" s="3" t="n">
        <v>1146974.425510435</v>
      </c>
      <c r="BI20" s="3" t="n">
        <v>1175648.786148196</v>
      </c>
      <c r="BJ20" s="3" t="n">
        <v>1205040.005801901</v>
      </c>
      <c r="BK20" s="3" t="n">
        <v>1235166.005946948</v>
      </c>
      <c r="BL20" s="3" t="n">
        <v>1266045.156095622</v>
      </c>
      <c r="BM20" s="3" t="n">
        <v>1297696.284998012</v>
      </c>
      <c r="BN20" s="3" t="n">
        <v>1330138.692122962</v>
      </c>
      <c r="BO20" s="3" t="n">
        <v>1363392.159426036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  <c r="AO42" s="16">
        <f>Drivers!$AS$6</f>
        <v/>
      </c>
      <c r="AP42" s="16">
        <f>Drivers!$AT$6</f>
        <v/>
      </c>
      <c r="AQ42" s="16">
        <f>Drivers!$AU$6</f>
        <v/>
      </c>
      <c r="AR42" s="16">
        <f>Drivers!$AV$6</f>
        <v/>
      </c>
      <c r="AS42" s="16">
        <f>Drivers!$AW$6</f>
        <v/>
      </c>
      <c r="AT42" s="16">
        <f>Drivers!$AX$6</f>
        <v/>
      </c>
      <c r="AU42" s="16">
        <f>Drivers!$AY$6</f>
        <v/>
      </c>
      <c r="AV42" s="16">
        <f>Drivers!$AZ$6</f>
        <v/>
      </c>
      <c r="AW42" s="16">
        <f>Drivers!$BA$6</f>
        <v/>
      </c>
      <c r="AX42" s="16">
        <f>Drivers!$BB$6</f>
        <v/>
      </c>
      <c r="AY42" s="16">
        <f>Drivers!$BC$6</f>
        <v/>
      </c>
      <c r="AZ42" s="16">
        <f>Drivers!$BD$6</f>
        <v/>
      </c>
      <c r="BA42" s="16">
        <f>Drivers!$BE$6</f>
        <v/>
      </c>
      <c r="BB42" s="16">
        <f>Drivers!$BF$6</f>
        <v/>
      </c>
      <c r="BC42" s="16">
        <f>Drivers!$BG$6</f>
        <v/>
      </c>
      <c r="BD42" s="16">
        <f>Drivers!$BH$6</f>
        <v/>
      </c>
      <c r="BE42" s="16">
        <f>Drivers!$BI$6</f>
        <v/>
      </c>
      <c r="BF42" s="16">
        <f>Drivers!$BJ$6</f>
        <v/>
      </c>
      <c r="BG42" s="16">
        <f>Drivers!$BK$6</f>
        <v/>
      </c>
      <c r="BH42" s="16">
        <f>Drivers!$BL$6</f>
        <v/>
      </c>
      <c r="BI42" s="16">
        <f>Drivers!$BM$6</f>
        <v/>
      </c>
      <c r="BJ42" s="16">
        <f>Drivers!$BN$6</f>
        <v/>
      </c>
      <c r="BK42" s="16">
        <f>Drivers!$BO$6</f>
        <v/>
      </c>
      <c r="BL42" s="16">
        <f>Drivers!$BP$6</f>
        <v/>
      </c>
      <c r="BM42" s="16">
        <f>Drivers!$BQ$6</f>
        <v/>
      </c>
      <c r="BN42" s="16">
        <f>Drivers!$BR$6</f>
        <v/>
      </c>
      <c r="BO42" s="16">
        <f>Drivers!$BS$6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  <c r="AO43" s="16">
        <f>(((AO15*AO42)*(1-AO16))+(MIN(Drivers!$AS$4,(AO15*AO42))*AO16))</f>
        <v/>
      </c>
      <c r="AP43" s="16">
        <f>(((AP15*AP42)*(1-AP16))+(MIN(Drivers!$AT$4,(AP15*AP42))*AP16))</f>
        <v/>
      </c>
      <c r="AQ43" s="16">
        <f>(((AQ15*AQ42)*(1-AQ16))+(MIN(Drivers!$AU$4,(AQ15*AQ42))*AQ16))</f>
        <v/>
      </c>
      <c r="AR43" s="16">
        <f>(((AR15*AR42)*(1-AR16))+(MIN(Drivers!$AV$4,(AR15*AR42))*AR16))</f>
        <v/>
      </c>
      <c r="AS43" s="16">
        <f>(((AS15*AS42)*(1-AS16))+(MIN(Drivers!$AW$4,(AS15*AS42))*AS16))</f>
        <v/>
      </c>
      <c r="AT43" s="16">
        <f>(((AT15*AT42)*(1-AT16))+(MIN(Drivers!$AX$4,(AT15*AT42))*AT16))</f>
        <v/>
      </c>
      <c r="AU43" s="16">
        <f>(((AU15*AU42)*(1-AU16))+(MIN(Drivers!$AY$4,(AU15*AU42))*AU16))</f>
        <v/>
      </c>
      <c r="AV43" s="16">
        <f>(((AV15*AV42)*(1-AV16))+(MIN(Drivers!$AZ$4,(AV15*AV42))*AV16))</f>
        <v/>
      </c>
      <c r="AW43" s="16">
        <f>(((AW15*AW42)*(1-AW16))+(MIN(Drivers!$BA$4,(AW15*AW42))*AW16))</f>
        <v/>
      </c>
      <c r="AX43" s="16">
        <f>(((AX15*AX42)*(1-AX16))+(MIN(Drivers!$BB$4,(AX15*AX42))*AX16))</f>
        <v/>
      </c>
      <c r="AY43" s="16">
        <f>(((AY15*AY42)*(1-AY16))+(MIN(Drivers!$BC$4,(AY15*AY42))*AY16))</f>
        <v/>
      </c>
      <c r="AZ43" s="16">
        <f>(((AZ15*AZ42)*(1-AZ16))+(MIN(Drivers!$BD$4,(AZ15*AZ42))*AZ16))</f>
        <v/>
      </c>
      <c r="BA43" s="16">
        <f>(((BA15*BA42)*(1-BA16))+(MIN(Drivers!$BE$4,(BA15*BA42))*BA16))</f>
        <v/>
      </c>
      <c r="BB43" s="16">
        <f>(((BB15*BB42)*(1-BB16))+(MIN(Drivers!$BF$4,(BB15*BB42))*BB16))</f>
        <v/>
      </c>
      <c r="BC43" s="16">
        <f>(((BC15*BC42)*(1-BC16))+(MIN(Drivers!$BG$4,(BC15*BC42))*BC16))</f>
        <v/>
      </c>
      <c r="BD43" s="16">
        <f>(((BD15*BD42)*(1-BD16))+(MIN(Drivers!$BH$4,(BD15*BD42))*BD16))</f>
        <v/>
      </c>
      <c r="BE43" s="16">
        <f>(((BE15*BE42)*(1-BE16))+(MIN(Drivers!$BI$4,(BE15*BE42))*BE16))</f>
        <v/>
      </c>
      <c r="BF43" s="16">
        <f>(((BF15*BF42)*(1-BF16))+(MIN(Drivers!$BJ$4,(BF15*BF42))*BF16))</f>
        <v/>
      </c>
      <c r="BG43" s="16">
        <f>(((BG15*BG42)*(1-BG16))+(MIN(Drivers!$BK$4,(BG15*BG42))*BG16))</f>
        <v/>
      </c>
      <c r="BH43" s="16">
        <f>(((BH15*BH42)*(1-BH16))+(MIN(Drivers!$BL$4,(BH15*BH42))*BH16))</f>
        <v/>
      </c>
      <c r="BI43" s="16">
        <f>(((BI15*BI42)*(1-BI16))+(MIN(Drivers!$BM$4,(BI15*BI42))*BI16))</f>
        <v/>
      </c>
      <c r="BJ43" s="16">
        <f>(((BJ15*BJ42)*(1-BJ16))+(MIN(Drivers!$BN$4,(BJ15*BJ42))*BJ16))</f>
        <v/>
      </c>
      <c r="BK43" s="16">
        <f>(((BK15*BK42)*(1-BK16))+(MIN(Drivers!$BO$4,(BK15*BK42))*BK16))</f>
        <v/>
      </c>
      <c r="BL43" s="16">
        <f>(((BL15*BL42)*(1-BL16))+(MIN(Drivers!$BP$4,(BL15*BL42))*BL16))</f>
        <v/>
      </c>
      <c r="BM43" s="16">
        <f>(((BM15*BM42)*(1-BM16))+(MIN(Drivers!$BQ$4,(BM15*BM42))*BM16))</f>
        <v/>
      </c>
      <c r="BN43" s="16">
        <f>(((BN15*BN42)*(1-BN16))+(MIN(Drivers!$BR$4,(BN15*BN42))*BN16))</f>
        <v/>
      </c>
      <c r="BO43" s="16">
        <f>(((BO15*BO42)*(1-BO16))+(MIN(Drivers!$BS$4,(BO15*BO42))*BO16))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  <c r="AO45" s="16">
        <f>(((AO17*AO18)*(1+($C$19*(IF(Drivers!$J$8=0,0,Drivers!$AS$8/Drivers!$J$8)-1))))+AO20)</f>
        <v/>
      </c>
      <c r="AP45" s="16">
        <f>(((AP17*AP18)*(1+($C$19*(IF(Drivers!$J$8=0,0,Drivers!$AT$8/Drivers!$J$8)-1))))+AP20)</f>
        <v/>
      </c>
      <c r="AQ45" s="16">
        <f>(((AQ17*AQ18)*(1+($C$19*(IF(Drivers!$J$8=0,0,Drivers!$AU$8/Drivers!$J$8)-1))))+AQ20)</f>
        <v/>
      </c>
      <c r="AR45" s="16">
        <f>(((AR17*AR18)*(1+($C$19*(IF(Drivers!$J$8=0,0,Drivers!$AV$8/Drivers!$J$8)-1))))+AR20)</f>
        <v/>
      </c>
      <c r="AS45" s="16">
        <f>(((AS17*AS18)*(1+($C$19*(IF(Drivers!$J$8=0,0,Drivers!$AW$8/Drivers!$J$8)-1))))+AS20)</f>
        <v/>
      </c>
      <c r="AT45" s="16">
        <f>(((AT17*AT18)*(1+($C$19*(IF(Drivers!$J$8=0,0,Drivers!$AX$8/Drivers!$J$8)-1))))+AT20)</f>
        <v/>
      </c>
      <c r="AU45" s="16">
        <f>(((AU17*AU18)*(1+($C$19*(IF(Drivers!$J$8=0,0,Drivers!$AY$8/Drivers!$J$8)-1))))+AU20)</f>
        <v/>
      </c>
      <c r="AV45" s="16">
        <f>(((AV17*AV18)*(1+($C$19*(IF(Drivers!$J$8=0,0,Drivers!$AZ$8/Drivers!$J$8)-1))))+AV20)</f>
        <v/>
      </c>
      <c r="AW45" s="16">
        <f>(((AW17*AW18)*(1+($C$19*(IF(Drivers!$J$8=0,0,Drivers!$BA$8/Drivers!$J$8)-1))))+AW20)</f>
        <v/>
      </c>
      <c r="AX45" s="16">
        <f>(((AX17*AX18)*(1+($C$19*(IF(Drivers!$J$8=0,0,Drivers!$BB$8/Drivers!$J$8)-1))))+AX20)</f>
        <v/>
      </c>
      <c r="AY45" s="16">
        <f>(((AY17*AY18)*(1+($C$19*(IF(Drivers!$J$8=0,0,Drivers!$BC$8/Drivers!$J$8)-1))))+AY20)</f>
        <v/>
      </c>
      <c r="AZ45" s="16">
        <f>(((AZ17*AZ18)*(1+($C$19*(IF(Drivers!$J$8=0,0,Drivers!$BD$8/Drivers!$J$8)-1))))+AZ20)</f>
        <v/>
      </c>
      <c r="BA45" s="16">
        <f>(((BA17*BA18)*(1+($C$19*(IF(Drivers!$J$8=0,0,Drivers!$BE$8/Drivers!$J$8)-1))))+BA20)</f>
        <v/>
      </c>
      <c r="BB45" s="16">
        <f>(((BB17*BB18)*(1+($C$19*(IF(Drivers!$J$8=0,0,Drivers!$BF$8/Drivers!$J$8)-1))))+BB20)</f>
        <v/>
      </c>
      <c r="BC45" s="16">
        <f>(((BC17*BC18)*(1+($C$19*(IF(Drivers!$J$8=0,0,Drivers!$BG$8/Drivers!$J$8)-1))))+BC20)</f>
        <v/>
      </c>
      <c r="BD45" s="16">
        <f>(((BD17*BD18)*(1+($C$19*(IF(Drivers!$J$8=0,0,Drivers!$BH$8/Drivers!$J$8)-1))))+BD20)</f>
        <v/>
      </c>
      <c r="BE45" s="16">
        <f>(((BE17*BE18)*(1+($C$19*(IF(Drivers!$J$8=0,0,Drivers!$BI$8/Drivers!$J$8)-1))))+BE20)</f>
        <v/>
      </c>
      <c r="BF45" s="16">
        <f>(((BF17*BF18)*(1+($C$19*(IF(Drivers!$J$8=0,0,Drivers!$BJ$8/Drivers!$J$8)-1))))+BF20)</f>
        <v/>
      </c>
      <c r="BG45" s="16">
        <f>(((BG17*BG18)*(1+($C$19*(IF(Drivers!$J$8=0,0,Drivers!$BK$8/Drivers!$J$8)-1))))+BG20)</f>
        <v/>
      </c>
      <c r="BH45" s="16">
        <f>(((BH17*BH18)*(1+($C$19*(IF(Drivers!$J$8=0,0,Drivers!$BL$8/Drivers!$J$8)-1))))+BH20)</f>
        <v/>
      </c>
      <c r="BI45" s="16">
        <f>(((BI17*BI18)*(1+($C$19*(IF(Drivers!$J$8=0,0,Drivers!$BM$8/Drivers!$J$8)-1))))+BI20)</f>
        <v/>
      </c>
      <c r="BJ45" s="16">
        <f>(((BJ17*BJ18)*(1+($C$19*(IF(Drivers!$J$8=0,0,Drivers!$BN$8/Drivers!$J$8)-1))))+BJ20)</f>
        <v/>
      </c>
      <c r="BK45" s="16">
        <f>(((BK17*BK18)*(1+($C$19*(IF(Drivers!$J$8=0,0,Drivers!$BO$8/Drivers!$J$8)-1))))+BK20)</f>
        <v/>
      </c>
      <c r="BL45" s="16">
        <f>(((BL17*BL18)*(1+($C$19*(IF(Drivers!$J$8=0,0,Drivers!$BP$8/Drivers!$J$8)-1))))+BL20)</f>
        <v/>
      </c>
      <c r="BM45" s="16">
        <f>(((BM17*BM18)*(1+($C$19*(IF(Drivers!$J$8=0,0,Drivers!$BQ$8/Drivers!$J$8)-1))))+BM20)</f>
        <v/>
      </c>
      <c r="BN45" s="16">
        <f>(((BN17*BN18)*(1+($C$19*(IF(Drivers!$J$8=0,0,Drivers!$BR$8/Drivers!$J$8)-1))))+BN20)</f>
        <v/>
      </c>
      <c r="BO45" s="16">
        <f>(((BO17*BO18)*(1+($C$19*(IF(Drivers!$J$8=0,0,Drivers!$BS$8/Drivers!$J$8)-1))))+BO20)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  <c r="AK48" s="16">
        <f>IF(IF(1000=0,0,((AK41*$C$10)*Drivers!$AO$7)/1000)=0,0,AK61/IF(1000=0,0,((AK41*$C$10)*Drivers!$AO$7)/1000))</f>
        <v/>
      </c>
      <c r="AL48" s="16">
        <f>IF(IF(1000=0,0,((AL41*$C$10)*Drivers!$AP$7)/1000)=0,0,AL61/IF(1000=0,0,((AL41*$C$10)*Drivers!$AP$7)/1000))</f>
        <v/>
      </c>
      <c r="AM48" s="16">
        <f>IF(IF(1000=0,0,((AM41*$C$10)*Drivers!$AQ$7)/1000)=0,0,AM61/IF(1000=0,0,((AM41*$C$10)*Drivers!$AQ$7)/1000))</f>
        <v/>
      </c>
      <c r="AN48" s="16">
        <f>IF(IF(1000=0,0,((AN41*$C$10)*Drivers!$AR$7)/1000)=0,0,AN61/IF(1000=0,0,((AN41*$C$10)*Drivers!$AR$7)/1000))</f>
        <v/>
      </c>
      <c r="AO48" s="16">
        <f>IF(IF(1000=0,0,((AO41*$C$10)*Drivers!$AS$7)/1000)=0,0,AO61/IF(1000=0,0,((AO41*$C$10)*Drivers!$AS$7)/1000))</f>
        <v/>
      </c>
      <c r="AP48" s="16">
        <f>IF(IF(1000=0,0,((AP41*$C$10)*Drivers!$AT$7)/1000)=0,0,AP61/IF(1000=0,0,((AP41*$C$10)*Drivers!$AT$7)/1000))</f>
        <v/>
      </c>
      <c r="AQ48" s="16">
        <f>IF(IF(1000=0,0,((AQ41*$C$10)*Drivers!$AU$7)/1000)=0,0,AQ61/IF(1000=0,0,((AQ41*$C$10)*Drivers!$AU$7)/1000))</f>
        <v/>
      </c>
      <c r="AR48" s="16">
        <f>IF(IF(1000=0,0,((AR41*$C$10)*Drivers!$AV$7)/1000)=0,0,AR61/IF(1000=0,0,((AR41*$C$10)*Drivers!$AV$7)/1000))</f>
        <v/>
      </c>
      <c r="AS48" s="16">
        <f>IF(IF(1000=0,0,((AS41*$C$10)*Drivers!$AW$7)/1000)=0,0,AS61/IF(1000=0,0,((AS41*$C$10)*Drivers!$AW$7)/1000))</f>
        <v/>
      </c>
      <c r="AT48" s="16">
        <f>IF(IF(1000=0,0,((AT41*$C$10)*Drivers!$AX$7)/1000)=0,0,AT61/IF(1000=0,0,((AT41*$C$10)*Drivers!$AX$7)/1000))</f>
        <v/>
      </c>
      <c r="AU48" s="16">
        <f>IF(IF(1000=0,0,((AU41*$C$10)*Drivers!$AY$7)/1000)=0,0,AU61/IF(1000=0,0,((AU41*$C$10)*Drivers!$AY$7)/1000))</f>
        <v/>
      </c>
      <c r="AV48" s="16">
        <f>IF(IF(1000=0,0,((AV41*$C$10)*Drivers!$AZ$7)/1000)=0,0,AV61/IF(1000=0,0,((AV41*$C$10)*Drivers!$AZ$7)/1000))</f>
        <v/>
      </c>
      <c r="AW48" s="16">
        <f>IF(IF(1000=0,0,((AW41*$C$10)*Drivers!$BA$7)/1000)=0,0,AW61/IF(1000=0,0,((AW41*$C$10)*Drivers!$BA$7)/1000))</f>
        <v/>
      </c>
      <c r="AX48" s="16">
        <f>IF(IF(1000=0,0,((AX41*$C$10)*Drivers!$BB$7)/1000)=0,0,AX61/IF(1000=0,0,((AX41*$C$10)*Drivers!$BB$7)/1000))</f>
        <v/>
      </c>
      <c r="AY48" s="16">
        <f>IF(IF(1000=0,0,((AY41*$C$10)*Drivers!$BC$7)/1000)=0,0,AY61/IF(1000=0,0,((AY41*$C$10)*Drivers!$BC$7)/1000))</f>
        <v/>
      </c>
      <c r="AZ48" s="16">
        <f>IF(IF(1000=0,0,((AZ41*$C$10)*Drivers!$BD$7)/1000)=0,0,AZ61/IF(1000=0,0,((AZ41*$C$10)*Drivers!$BD$7)/1000))</f>
        <v/>
      </c>
      <c r="BA48" s="16">
        <f>IF(IF(1000=0,0,((BA41*$C$10)*Drivers!$BE$7)/1000)=0,0,BA61/IF(1000=0,0,((BA41*$C$10)*Drivers!$BE$7)/1000))</f>
        <v/>
      </c>
      <c r="BB48" s="16">
        <f>IF(IF(1000=0,0,((BB41*$C$10)*Drivers!$BF$7)/1000)=0,0,BB61/IF(1000=0,0,((BB41*$C$10)*Drivers!$BF$7)/1000))</f>
        <v/>
      </c>
      <c r="BC48" s="16">
        <f>IF(IF(1000=0,0,((BC41*$C$10)*Drivers!$BG$7)/1000)=0,0,BC61/IF(1000=0,0,((BC41*$C$10)*Drivers!$BG$7)/1000))</f>
        <v/>
      </c>
      <c r="BD48" s="16">
        <f>IF(IF(1000=0,0,((BD41*$C$10)*Drivers!$BH$7)/1000)=0,0,BD61/IF(1000=0,0,((BD41*$C$10)*Drivers!$BH$7)/1000))</f>
        <v/>
      </c>
      <c r="BE48" s="16">
        <f>IF(IF(1000=0,0,((BE41*$C$10)*Drivers!$BI$7)/1000)=0,0,BE61/IF(1000=0,0,((BE41*$C$10)*Drivers!$BI$7)/1000))</f>
        <v/>
      </c>
      <c r="BF48" s="16">
        <f>IF(IF(1000=0,0,((BF41*$C$10)*Drivers!$BJ$7)/1000)=0,0,BF61/IF(1000=0,0,((BF41*$C$10)*Drivers!$BJ$7)/1000))</f>
        <v/>
      </c>
      <c r="BG48" s="16">
        <f>IF(IF(1000=0,0,((BG41*$C$10)*Drivers!$BK$7)/1000)=0,0,BG61/IF(1000=0,0,((BG41*$C$10)*Drivers!$BK$7)/1000))</f>
        <v/>
      </c>
      <c r="BH48" s="16">
        <f>IF(IF(1000=0,0,((BH41*$C$10)*Drivers!$BL$7)/1000)=0,0,BH61/IF(1000=0,0,((BH41*$C$10)*Drivers!$BL$7)/1000))</f>
        <v/>
      </c>
      <c r="BI48" s="16">
        <f>IF(IF(1000=0,0,((BI41*$C$10)*Drivers!$BM$7)/1000)=0,0,BI61/IF(1000=0,0,((BI41*$C$10)*Drivers!$BM$7)/1000))</f>
        <v/>
      </c>
      <c r="BJ48" s="16">
        <f>IF(IF(1000=0,0,((BJ41*$C$10)*Drivers!$BN$7)/1000)=0,0,BJ61/IF(1000=0,0,((BJ41*$C$10)*Drivers!$BN$7)/1000))</f>
        <v/>
      </c>
      <c r="BK48" s="16">
        <f>IF(IF(1000=0,0,((BK41*$C$10)*Drivers!$BO$7)/1000)=0,0,BK61/IF(1000=0,0,((BK41*$C$10)*Drivers!$BO$7)/1000))</f>
        <v/>
      </c>
      <c r="BL48" s="16">
        <f>IF(IF(1000=0,0,((BL41*$C$10)*Drivers!$BP$7)/1000)=0,0,BL61/IF(1000=0,0,((BL41*$C$10)*Drivers!$BP$7)/1000))</f>
        <v/>
      </c>
      <c r="BM48" s="16">
        <f>IF(IF(1000=0,0,((BM41*$C$10)*Drivers!$BQ$7)/1000)=0,0,BM61/IF(1000=0,0,((BM41*$C$10)*Drivers!$BQ$7)/1000))</f>
        <v/>
      </c>
      <c r="BN48" s="16">
        <f>IF(IF(1000=0,0,((BN41*$C$10)*Drivers!$BR$7)/1000)=0,0,BN61/IF(1000=0,0,((BN41*$C$10)*Drivers!$BR$7)/1000))</f>
        <v/>
      </c>
      <c r="BO48" s="16">
        <f>IF(IF(1000=0,0,((BO41*$C$10)*Drivers!$BS$7)/1000)=0,0,BO61/IF(1000=0,0,((BO41*$C$10)*Drivers!$BS$7)/1000))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  <c r="AK49" s="16">
        <f>IF(IF(1000=0,0,((AK41*$C$10)*Drivers!$AO$7)/1000)=0,0,(AK53+AK52)/IF(1000=0,0,((AK41*$C$10)*Drivers!$AO$7)/1000))</f>
        <v/>
      </c>
      <c r="AL49" s="16">
        <f>IF(IF(1000=0,0,((AL41*$C$10)*Drivers!$AP$7)/1000)=0,0,(AL53+AL52)/IF(1000=0,0,((AL41*$C$10)*Drivers!$AP$7)/1000))</f>
        <v/>
      </c>
      <c r="AM49" s="16">
        <f>IF(IF(1000=0,0,((AM41*$C$10)*Drivers!$AQ$7)/1000)=0,0,(AM53+AM52)/IF(1000=0,0,((AM41*$C$10)*Drivers!$AQ$7)/1000))</f>
        <v/>
      </c>
      <c r="AN49" s="16">
        <f>IF(IF(1000=0,0,((AN41*$C$10)*Drivers!$AR$7)/1000)=0,0,(AN53+AN52)/IF(1000=0,0,((AN41*$C$10)*Drivers!$AR$7)/1000))</f>
        <v/>
      </c>
      <c r="AO49" s="16">
        <f>IF(IF(1000=0,0,((AO41*$C$10)*Drivers!$AS$7)/1000)=0,0,(AO53+AO52)/IF(1000=0,0,((AO41*$C$10)*Drivers!$AS$7)/1000))</f>
        <v/>
      </c>
      <c r="AP49" s="16">
        <f>IF(IF(1000=0,0,((AP41*$C$10)*Drivers!$AT$7)/1000)=0,0,(AP53+AP52)/IF(1000=0,0,((AP41*$C$10)*Drivers!$AT$7)/1000))</f>
        <v/>
      </c>
      <c r="AQ49" s="16">
        <f>IF(IF(1000=0,0,((AQ41*$C$10)*Drivers!$AU$7)/1000)=0,0,(AQ53+AQ52)/IF(1000=0,0,((AQ41*$C$10)*Drivers!$AU$7)/1000))</f>
        <v/>
      </c>
      <c r="AR49" s="16">
        <f>IF(IF(1000=0,0,((AR41*$C$10)*Drivers!$AV$7)/1000)=0,0,(AR53+AR52)/IF(1000=0,0,((AR41*$C$10)*Drivers!$AV$7)/1000))</f>
        <v/>
      </c>
      <c r="AS49" s="16">
        <f>IF(IF(1000=0,0,((AS41*$C$10)*Drivers!$AW$7)/1000)=0,0,(AS53+AS52)/IF(1000=0,0,((AS41*$C$10)*Drivers!$AW$7)/1000))</f>
        <v/>
      </c>
      <c r="AT49" s="16">
        <f>IF(IF(1000=0,0,((AT41*$C$10)*Drivers!$AX$7)/1000)=0,0,(AT53+AT52)/IF(1000=0,0,((AT41*$C$10)*Drivers!$AX$7)/1000))</f>
        <v/>
      </c>
      <c r="AU49" s="16">
        <f>IF(IF(1000=0,0,((AU41*$C$10)*Drivers!$AY$7)/1000)=0,0,(AU53+AU52)/IF(1000=0,0,((AU41*$C$10)*Drivers!$AY$7)/1000))</f>
        <v/>
      </c>
      <c r="AV49" s="16">
        <f>IF(IF(1000=0,0,((AV41*$C$10)*Drivers!$AZ$7)/1000)=0,0,(AV53+AV52)/IF(1000=0,0,((AV41*$C$10)*Drivers!$AZ$7)/1000))</f>
        <v/>
      </c>
      <c r="AW49" s="16">
        <f>IF(IF(1000=0,0,((AW41*$C$10)*Drivers!$BA$7)/1000)=0,0,(AW53+AW52)/IF(1000=0,0,((AW41*$C$10)*Drivers!$BA$7)/1000))</f>
        <v/>
      </c>
      <c r="AX49" s="16">
        <f>IF(IF(1000=0,0,((AX41*$C$10)*Drivers!$BB$7)/1000)=0,0,(AX53+AX52)/IF(1000=0,0,((AX41*$C$10)*Drivers!$BB$7)/1000))</f>
        <v/>
      </c>
      <c r="AY49" s="16">
        <f>IF(IF(1000=0,0,((AY41*$C$10)*Drivers!$BC$7)/1000)=0,0,(AY53+AY52)/IF(1000=0,0,((AY41*$C$10)*Drivers!$BC$7)/1000))</f>
        <v/>
      </c>
      <c r="AZ49" s="16">
        <f>IF(IF(1000=0,0,((AZ41*$C$10)*Drivers!$BD$7)/1000)=0,0,(AZ53+AZ52)/IF(1000=0,0,((AZ41*$C$10)*Drivers!$BD$7)/1000))</f>
        <v/>
      </c>
      <c r="BA49" s="16">
        <f>IF(IF(1000=0,0,((BA41*$C$10)*Drivers!$BE$7)/1000)=0,0,(BA53+BA52)/IF(1000=0,0,((BA41*$C$10)*Drivers!$BE$7)/1000))</f>
        <v/>
      </c>
      <c r="BB49" s="16">
        <f>IF(IF(1000=0,0,((BB41*$C$10)*Drivers!$BF$7)/1000)=0,0,(BB53+BB52)/IF(1000=0,0,((BB41*$C$10)*Drivers!$BF$7)/1000))</f>
        <v/>
      </c>
      <c r="BC49" s="16">
        <f>IF(IF(1000=0,0,((BC41*$C$10)*Drivers!$BG$7)/1000)=0,0,(BC53+BC52)/IF(1000=0,0,((BC41*$C$10)*Drivers!$BG$7)/1000))</f>
        <v/>
      </c>
      <c r="BD49" s="16">
        <f>IF(IF(1000=0,0,((BD41*$C$10)*Drivers!$BH$7)/1000)=0,0,(BD53+BD52)/IF(1000=0,0,((BD41*$C$10)*Drivers!$BH$7)/1000))</f>
        <v/>
      </c>
      <c r="BE49" s="16">
        <f>IF(IF(1000=0,0,((BE41*$C$10)*Drivers!$BI$7)/1000)=0,0,(BE53+BE52)/IF(1000=0,0,((BE41*$C$10)*Drivers!$BI$7)/1000))</f>
        <v/>
      </c>
      <c r="BF49" s="16">
        <f>IF(IF(1000=0,0,((BF41*$C$10)*Drivers!$BJ$7)/1000)=0,0,(BF53+BF52)/IF(1000=0,0,((BF41*$C$10)*Drivers!$BJ$7)/1000))</f>
        <v/>
      </c>
      <c r="BG49" s="16">
        <f>IF(IF(1000=0,0,((BG41*$C$10)*Drivers!$BK$7)/1000)=0,0,(BG53+BG52)/IF(1000=0,0,((BG41*$C$10)*Drivers!$BK$7)/1000))</f>
        <v/>
      </c>
      <c r="BH49" s="16">
        <f>IF(IF(1000=0,0,((BH41*$C$10)*Drivers!$BL$7)/1000)=0,0,(BH53+BH52)/IF(1000=0,0,((BH41*$C$10)*Drivers!$BL$7)/1000))</f>
        <v/>
      </c>
      <c r="BI49" s="16">
        <f>IF(IF(1000=0,0,((BI41*$C$10)*Drivers!$BM$7)/1000)=0,0,(BI53+BI52)/IF(1000=0,0,((BI41*$C$10)*Drivers!$BM$7)/1000))</f>
        <v/>
      </c>
      <c r="BJ49" s="16">
        <f>IF(IF(1000=0,0,((BJ41*$C$10)*Drivers!$BN$7)/1000)=0,0,(BJ53+BJ52)/IF(1000=0,0,((BJ41*$C$10)*Drivers!$BN$7)/1000))</f>
        <v/>
      </c>
      <c r="BK49" s="16">
        <f>IF(IF(1000=0,0,((BK41*$C$10)*Drivers!$BO$7)/1000)=0,0,(BK53+BK52)/IF(1000=0,0,((BK41*$C$10)*Drivers!$BO$7)/1000))</f>
        <v/>
      </c>
      <c r="BL49" s="16">
        <f>IF(IF(1000=0,0,((BL41*$C$10)*Drivers!$BP$7)/1000)=0,0,(BL53+BL52)/IF(1000=0,0,((BL41*$C$10)*Drivers!$BP$7)/1000))</f>
        <v/>
      </c>
      <c r="BM49" s="16">
        <f>IF(IF(1000=0,0,((BM41*$C$10)*Drivers!$BQ$7)/1000)=0,0,(BM53+BM52)/IF(1000=0,0,((BM41*$C$10)*Drivers!$BQ$7)/1000))</f>
        <v/>
      </c>
      <c r="BN49" s="16">
        <f>IF(IF(1000=0,0,((BN41*$C$10)*Drivers!$BR$7)/1000)=0,0,(BN53+BN52)/IF(1000=0,0,((BN41*$C$10)*Drivers!$BR$7)/1000))</f>
        <v/>
      </c>
      <c r="BO49" s="16">
        <f>IF(IF(1000=0,0,((BO41*$C$10)*Drivers!$BS$7)/1000)=0,0,(BO53+BO52)/IF(1000=0,0,((BO41*$C$10)*Drivers!$BS$7)/1000))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  <c r="AK50" s="31">
        <f>IF(1000=0,0,(((AK41*AK43)*$C$10)*Drivers!$AO$7)/1000)</f>
        <v/>
      </c>
      <c r="AL50" s="31">
        <f>IF(1000=0,0,(((AL41*AL43)*$C$10)*Drivers!$AP$7)/1000)</f>
        <v/>
      </c>
      <c r="AM50" s="31">
        <f>IF(1000=0,0,(((AM41*AM43)*$C$10)*Drivers!$AQ$7)/1000)</f>
        <v/>
      </c>
      <c r="AN50" s="31">
        <f>IF(1000=0,0,(((AN41*AN43)*$C$10)*Drivers!$AR$7)/1000)</f>
        <v/>
      </c>
      <c r="AO50" s="31">
        <f>IF(1000=0,0,(((AO41*AO43)*$C$10)*Drivers!$AS$7)/1000)</f>
        <v/>
      </c>
      <c r="AP50" s="31">
        <f>IF(1000=0,0,(((AP41*AP43)*$C$10)*Drivers!$AT$7)/1000)</f>
        <v/>
      </c>
      <c r="AQ50" s="31">
        <f>IF(1000=0,0,(((AQ41*AQ43)*$C$10)*Drivers!$AU$7)/1000)</f>
        <v/>
      </c>
      <c r="AR50" s="31">
        <f>IF(1000=0,0,(((AR41*AR43)*$C$10)*Drivers!$AV$7)/1000)</f>
        <v/>
      </c>
      <c r="AS50" s="31">
        <f>IF(1000=0,0,(((AS41*AS43)*$C$10)*Drivers!$AW$7)/1000)</f>
        <v/>
      </c>
      <c r="AT50" s="31">
        <f>IF(1000=0,0,(((AT41*AT43)*$C$10)*Drivers!$AX$7)/1000)</f>
        <v/>
      </c>
      <c r="AU50" s="31">
        <f>IF(1000=0,0,(((AU41*AU43)*$C$10)*Drivers!$AY$7)/1000)</f>
        <v/>
      </c>
      <c r="AV50" s="31">
        <f>IF(1000=0,0,(((AV41*AV43)*$C$10)*Drivers!$AZ$7)/1000)</f>
        <v/>
      </c>
      <c r="AW50" s="31">
        <f>IF(1000=0,0,(((AW41*AW43)*$C$10)*Drivers!$BA$7)/1000)</f>
        <v/>
      </c>
      <c r="AX50" s="31">
        <f>IF(1000=0,0,(((AX41*AX43)*$C$10)*Drivers!$BB$7)/1000)</f>
        <v/>
      </c>
      <c r="AY50" s="31">
        <f>IF(1000=0,0,(((AY41*AY43)*$C$10)*Drivers!$BC$7)/1000)</f>
        <v/>
      </c>
      <c r="AZ50" s="31">
        <f>IF(1000=0,0,(((AZ41*AZ43)*$C$10)*Drivers!$BD$7)/1000)</f>
        <v/>
      </c>
      <c r="BA50" s="31">
        <f>IF(1000=0,0,(((BA41*BA43)*$C$10)*Drivers!$BE$7)/1000)</f>
        <v/>
      </c>
      <c r="BB50" s="31">
        <f>IF(1000=0,0,(((BB41*BB43)*$C$10)*Drivers!$BF$7)/1000)</f>
        <v/>
      </c>
      <c r="BC50" s="31">
        <f>IF(1000=0,0,(((BC41*BC43)*$C$10)*Drivers!$BG$7)/1000)</f>
        <v/>
      </c>
      <c r="BD50" s="31">
        <f>IF(1000=0,0,(((BD41*BD43)*$C$10)*Drivers!$BH$7)/1000)</f>
        <v/>
      </c>
      <c r="BE50" s="31">
        <f>IF(1000=0,0,(((BE41*BE43)*$C$10)*Drivers!$BI$7)/1000)</f>
        <v/>
      </c>
      <c r="BF50" s="31">
        <f>IF(1000=0,0,(((BF41*BF43)*$C$10)*Drivers!$BJ$7)/1000)</f>
        <v/>
      </c>
      <c r="BG50" s="31">
        <f>IF(1000=0,0,(((BG41*BG43)*$C$10)*Drivers!$BK$7)/1000)</f>
        <v/>
      </c>
      <c r="BH50" s="31">
        <f>IF(1000=0,0,(((BH41*BH43)*$C$10)*Drivers!$BL$7)/1000)</f>
        <v/>
      </c>
      <c r="BI50" s="31">
        <f>IF(1000=0,0,(((BI41*BI43)*$C$10)*Drivers!$BM$7)/1000)</f>
        <v/>
      </c>
      <c r="BJ50" s="31">
        <f>IF(1000=0,0,(((BJ41*BJ43)*$C$10)*Drivers!$BN$7)/1000)</f>
        <v/>
      </c>
      <c r="BK50" s="31">
        <f>IF(1000=0,0,(((BK41*BK43)*$C$10)*Drivers!$BO$7)/1000)</f>
        <v/>
      </c>
      <c r="BL50" s="31">
        <f>IF(1000=0,0,(((BL41*BL43)*$C$10)*Drivers!$BP$7)/1000)</f>
        <v/>
      </c>
      <c r="BM50" s="31">
        <f>IF(1000=0,0,(((BM41*BM43)*$C$10)*Drivers!$BQ$7)/1000)</f>
        <v/>
      </c>
      <c r="BN50" s="31">
        <f>IF(1000=0,0,(((BN41*BN43)*$C$10)*Drivers!$BR$7)/1000)</f>
        <v/>
      </c>
      <c r="BO50" s="31">
        <f>IF(1000=0,0,(((BO41*BO43)*$C$10)*Drivers!$BS$7)/1000)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3280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0.07904418527615843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  <c r="AK127" s="6" t="n">
        <v>28.676249</v>
      </c>
      <c r="AL127" s="6" t="n">
        <v>29.675565</v>
      </c>
      <c r="AM127" s="6" t="n">
        <v>30.677618</v>
      </c>
      <c r="AN127" s="6" t="n">
        <v>31.676934</v>
      </c>
      <c r="AO127" s="6" t="n">
        <v>32.676249</v>
      </c>
      <c r="AP127" s="6" t="n">
        <v>33.675565</v>
      </c>
      <c r="AQ127" s="6" t="n">
        <v>34.677618</v>
      </c>
      <c r="AR127" s="6" t="n">
        <v>35.676934</v>
      </c>
      <c r="AS127" s="6" t="n">
        <v>36.676249</v>
      </c>
      <c r="AT127" s="6" t="n">
        <v>37.675565</v>
      </c>
      <c r="AU127" s="6" t="n">
        <v>38.677618</v>
      </c>
      <c r="AV127" s="6" t="n">
        <v>39.676934</v>
      </c>
      <c r="AW127" s="6" t="n">
        <v>40.676249</v>
      </c>
      <c r="AX127" s="6" t="n">
        <v>41.675565</v>
      </c>
      <c r="AY127" s="6" t="n">
        <v>42.677618</v>
      </c>
      <c r="AZ127" s="6" t="n">
        <v>43.676934</v>
      </c>
      <c r="BA127" s="6" t="n">
        <v>44.676249</v>
      </c>
      <c r="BB127" s="6" t="n">
        <v>45.675565</v>
      </c>
      <c r="BC127" s="6" t="n">
        <v>46.677618</v>
      </c>
      <c r="BD127" s="6" t="n">
        <v>47.676934</v>
      </c>
      <c r="BE127" s="6" t="n">
        <v>48.676249</v>
      </c>
      <c r="BF127" s="6" t="n">
        <v>49.675565</v>
      </c>
      <c r="BG127" s="6" t="n">
        <v>50.677618</v>
      </c>
      <c r="BH127" s="6" t="n">
        <v>51.676934</v>
      </c>
      <c r="BI127" s="6" t="n">
        <v>52.676249</v>
      </c>
      <c r="BJ127" s="6" t="n">
        <v>53.675565</v>
      </c>
      <c r="BK127" s="6" t="n">
        <v>54.677618</v>
      </c>
      <c r="BL127" s="6" t="n">
        <v>55.676934</v>
      </c>
      <c r="BM127" s="6" t="n">
        <v>56.676249</v>
      </c>
      <c r="BN127" s="6" t="n">
        <v>57.675565</v>
      </c>
      <c r="BO127" s="6" t="n">
        <v>58.677618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</row>
    <row r="131">
      <c r="A131" t="inlineStr">
        <is>
          <t>Best cumulative PV (never below zero)</t>
        </is>
      </c>
      <c r="C131" s="26">
        <f>MAX(0,MAX(H130:BO130))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5.487957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382.464307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382.4643067129094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2261.191703034531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9425.623213588378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2261.191703</v>
      </c>
      <c r="E167" s="27" t="n">
        <v>1933.46698</v>
      </c>
      <c r="F167" s="27" t="n">
        <v>2413.273534</v>
      </c>
      <c r="G167" s="27" t="n">
        <v>3489.092245</v>
      </c>
      <c r="H167" s="27" t="n">
        <v>4653.193731</v>
      </c>
    </row>
    <row r="168">
      <c r="C168" s="1" t="n">
        <v>0.95</v>
      </c>
      <c r="D168" s="27" t="n">
        <v>2261.191703</v>
      </c>
      <c r="E168" s="27" t="n">
        <v>2042.493845</v>
      </c>
      <c r="F168" s="27" t="n">
        <v>2974.610018</v>
      </c>
      <c r="G168" s="27" t="n">
        <v>4264.283207</v>
      </c>
      <c r="H168" s="27" t="n">
        <v>5601.478953</v>
      </c>
    </row>
    <row r="169">
      <c r="C169" s="1" t="n">
        <v>1</v>
      </c>
      <c r="D169" s="27" t="n">
        <v>1925.656098</v>
      </c>
      <c r="E169" s="27" t="n">
        <v>2413.273534</v>
      </c>
      <c r="F169" s="27" t="n">
        <v>3623.211723</v>
      </c>
      <c r="G169" s="27" t="n">
        <v>5104.388218</v>
      </c>
      <c r="H169" s="27" t="n">
        <v>6600.393356</v>
      </c>
    </row>
    <row r="170">
      <c r="C170" s="1" t="n">
        <v>1.05</v>
      </c>
      <c r="D170" s="27" t="n">
        <v>1984.787594</v>
      </c>
      <c r="E170" s="27" t="n">
        <v>2916.037728</v>
      </c>
      <c r="F170" s="27" t="n">
        <v>4338.215058</v>
      </c>
      <c r="G170" s="27" t="n">
        <v>5994.469484</v>
      </c>
      <c r="H170" s="27" t="n">
        <v>7638.189124</v>
      </c>
    </row>
    <row r="171">
      <c r="C171" s="1" t="n">
        <v>1.1</v>
      </c>
      <c r="D171" s="27" t="n">
        <v>2220.428422</v>
      </c>
      <c r="E171" s="27" t="n">
        <v>3489.092245</v>
      </c>
      <c r="F171" s="27" t="n">
        <v>5104.388218</v>
      </c>
      <c r="G171" s="27" t="n">
        <v>6926.98698</v>
      </c>
      <c r="H171" s="27" t="n">
        <v>8708.211428000001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5573.62858</v>
      </c>
      <c r="E175" s="27" t="n">
        <v>5013.609263</v>
      </c>
      <c r="F175" s="27" t="n">
        <v>4468.853237</v>
      </c>
      <c r="G175" s="27" t="n">
        <v>3942.142397</v>
      </c>
      <c r="H175" s="27" t="n">
        <v>3434.733158</v>
      </c>
    </row>
    <row r="176">
      <c r="C176" s="1" t="n">
        <v>0.95</v>
      </c>
      <c r="D176" s="27" t="n">
        <v>5777.805459</v>
      </c>
      <c r="E176" s="27" t="n">
        <v>5186.691852</v>
      </c>
      <c r="F176" s="27" t="n">
        <v>4611.694459</v>
      </c>
      <c r="G176" s="27" t="n">
        <v>4055.740547</v>
      </c>
      <c r="H176" s="27" t="n">
        <v>3520.163885</v>
      </c>
    </row>
    <row r="177">
      <c r="C177" s="1" t="n">
        <v>1</v>
      </c>
      <c r="D177" s="27" t="n">
        <v>5981.982338</v>
      </c>
      <c r="E177" s="27" t="n">
        <v>5359.77444</v>
      </c>
      <c r="F177" s="27" t="n">
        <v>4754.535681</v>
      </c>
      <c r="G177" s="27" t="n">
        <v>4169.338698</v>
      </c>
      <c r="H177" s="27" t="n">
        <v>3605.594612</v>
      </c>
    </row>
    <row r="178">
      <c r="C178" s="1" t="n">
        <v>1.05</v>
      </c>
      <c r="D178" s="27" t="n">
        <v>6186.159217</v>
      </c>
      <c r="E178" s="27" t="n">
        <v>5532.857028</v>
      </c>
      <c r="F178" s="27" t="n">
        <v>4897.376903</v>
      </c>
      <c r="G178" s="27" t="n">
        <v>4282.936848</v>
      </c>
      <c r="H178" s="27" t="n">
        <v>3691.025339</v>
      </c>
    </row>
    <row r="179">
      <c r="C179" s="1" t="n">
        <v>1.1</v>
      </c>
      <c r="D179" s="27" t="n">
        <v>6390.336096</v>
      </c>
      <c r="E179" s="27" t="n">
        <v>5705.939617</v>
      </c>
      <c r="F179" s="27" t="n">
        <v>5040.218126</v>
      </c>
      <c r="G179" s="27" t="n">
        <v>4396.534999</v>
      </c>
      <c r="H179" s="27" t="n">
        <v>3776.456065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0.065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0.162698963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  <c r="M127" s="6" t="n">
        <v>4.676249</v>
      </c>
      <c r="N127" s="6" t="n">
        <v>5.675565</v>
      </c>
      <c r="O127" s="6" t="n">
        <v>6.677618</v>
      </c>
      <c r="P127" s="6" t="n">
        <v>7.676934</v>
      </c>
      <c r="Q127" s="6" t="n">
        <v>8.676249</v>
      </c>
      <c r="R127" s="6" t="n">
        <v>9.675565000000001</v>
      </c>
      <c r="S127" s="6" t="n">
        <v>10.677618</v>
      </c>
      <c r="T127" s="6" t="n">
        <v>11.676934</v>
      </c>
      <c r="U127" s="6" t="n">
        <v>12.676249</v>
      </c>
      <c r="V127" s="6" t="n">
        <v>13.675565</v>
      </c>
      <c r="W127" s="6" t="n">
        <v>14.677618</v>
      </c>
      <c r="X127" s="6" t="n">
        <v>15.676934</v>
      </c>
      <c r="Y127" s="6" t="n">
        <v>16.676249</v>
      </c>
      <c r="Z127" s="6" t="n">
        <v>17.675565</v>
      </c>
      <c r="AA127" s="6" t="n">
        <v>18.677618</v>
      </c>
      <c r="AB127" s="6" t="n">
        <v>19.676934</v>
      </c>
      <c r="AC127" s="6" t="n">
        <v>20.676249</v>
      </c>
      <c r="AD127" s="6" t="n">
        <v>21.675565</v>
      </c>
      <c r="AE127" s="6" t="n">
        <v>22.677618</v>
      </c>
      <c r="AF127" s="6" t="n">
        <v>23.676934</v>
      </c>
      <c r="AG127" s="6" t="n">
        <v>24.676249</v>
      </c>
      <c r="AH127" s="6" t="n">
        <v>25.675565</v>
      </c>
      <c r="AI127" s="6" t="n">
        <v>26.677618</v>
      </c>
      <c r="AJ127" s="6" t="n">
        <v>27.676934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6.439428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0.9</v>
      </c>
    </row>
    <row r="144">
      <c r="A144" t="inlineStr">
        <is>
          <t>Weight: EV/EBITDA</t>
        </is>
      </c>
      <c r="C144" s="4" t="n">
        <v>0.1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827.9225327570874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3165.613475953626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5.431779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766.638335</v>
      </c>
      <c r="E170" s="27" t="n">
        <v>849.094608</v>
      </c>
      <c r="F170" s="27" t="n">
        <v>1022.22613</v>
      </c>
      <c r="G170" s="27" t="n">
        <v>1466.77425</v>
      </c>
      <c r="H170" s="27" t="n">
        <v>2026.536154</v>
      </c>
    </row>
    <row r="171">
      <c r="C171" s="1" t="n">
        <v>0.95</v>
      </c>
      <c r="D171" s="27" t="n">
        <v>787.057595</v>
      </c>
      <c r="E171" s="27" t="n">
        <v>904.92792</v>
      </c>
      <c r="F171" s="27" t="n">
        <v>1250.613443</v>
      </c>
      <c r="G171" s="27" t="n">
        <v>1798.563349</v>
      </c>
      <c r="H171" s="27" t="n">
        <v>2443.277212</v>
      </c>
    </row>
    <row r="172">
      <c r="C172" s="1" t="n">
        <v>1</v>
      </c>
      <c r="D172" s="27" t="n">
        <v>836.6872059999999</v>
      </c>
      <c r="E172" s="27" t="n">
        <v>1022.22613</v>
      </c>
      <c r="F172" s="27" t="n">
        <v>1523.369472</v>
      </c>
      <c r="G172" s="27" t="n">
        <v>2162.71505</v>
      </c>
      <c r="H172" s="27" t="n">
        <v>2884.015055</v>
      </c>
    </row>
    <row r="173">
      <c r="C173" s="1" t="n">
        <v>1.05</v>
      </c>
      <c r="D173" s="27" t="n">
        <v>886.316816</v>
      </c>
      <c r="E173" s="27" t="n">
        <v>1226.245423</v>
      </c>
      <c r="F173" s="27" t="n">
        <v>1830.041413</v>
      </c>
      <c r="G173" s="27" t="n">
        <v>2551.643436</v>
      </c>
      <c r="H173" s="27" t="n">
        <v>3343.19298</v>
      </c>
    </row>
    <row r="174">
      <c r="C174" s="1" t="n">
        <v>1.1</v>
      </c>
      <c r="D174" s="27" t="n">
        <v>945.557695</v>
      </c>
      <c r="E174" s="27" t="n">
        <v>1466.77425</v>
      </c>
      <c r="F174" s="27" t="n">
        <v>2162.71505</v>
      </c>
      <c r="G174" s="27" t="n">
        <v>2959.612092</v>
      </c>
      <c r="H174" s="27" t="n">
        <v>3816.73668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2443.546195</v>
      </c>
      <c r="E178" s="27" t="n">
        <v>2269.498919</v>
      </c>
      <c r="F178" s="27" t="n">
        <v>2095.451644</v>
      </c>
      <c r="G178" s="27" t="n">
        <v>1921.404369</v>
      </c>
      <c r="H178" s="27" t="n">
        <v>1747.357093</v>
      </c>
    </row>
    <row r="179">
      <c r="C179" s="1" t="n">
        <v>0.95</v>
      </c>
      <c r="D179" s="27" t="n">
        <v>2542.554664</v>
      </c>
      <c r="E179" s="27" t="n">
        <v>2358.838096</v>
      </c>
      <c r="F179" s="27" t="n">
        <v>2175.121527</v>
      </c>
      <c r="G179" s="27" t="n">
        <v>1991.404959</v>
      </c>
      <c r="H179" s="27" t="n">
        <v>1807.68839</v>
      </c>
    </row>
    <row r="180">
      <c r="C180" s="1" t="n">
        <v>1</v>
      </c>
      <c r="D180" s="27" t="n">
        <v>2641.563134</v>
      </c>
      <c r="E180" s="27" t="n">
        <v>2448.177272</v>
      </c>
      <c r="F180" s="27" t="n">
        <v>2254.791411</v>
      </c>
      <c r="G180" s="27" t="n">
        <v>2061.405549</v>
      </c>
      <c r="H180" s="27" t="n">
        <v>1868.019687</v>
      </c>
    </row>
    <row r="181">
      <c r="C181" s="1" t="n">
        <v>1.05</v>
      </c>
      <c r="D181" s="27" t="n">
        <v>2724.083642</v>
      </c>
      <c r="E181" s="27" t="n">
        <v>2522.999555</v>
      </c>
      <c r="F181" s="27" t="n">
        <v>2321.915467</v>
      </c>
      <c r="G181" s="27" t="n">
        <v>2120.83138</v>
      </c>
      <c r="H181" s="27" t="n">
        <v>1919.747292</v>
      </c>
    </row>
    <row r="182">
      <c r="C182" s="1" t="n">
        <v>1.1</v>
      </c>
      <c r="D182" s="27" t="n">
        <v>2797.094382</v>
      </c>
      <c r="E182" s="27" t="n">
        <v>2588.976768</v>
      </c>
      <c r="F182" s="27" t="n">
        <v>2380.859153</v>
      </c>
      <c r="G182" s="27" t="n">
        <v>2172.741539</v>
      </c>
      <c r="H182" s="27" t="n">
        <v>1964.623925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2026-10-28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18183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0.05525096227162703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0.676249</v>
      </c>
      <c r="J127" s="6" t="n">
        <v>1.675565</v>
      </c>
      <c r="K127" s="6" t="n">
        <v>2.677618</v>
      </c>
      <c r="L127" s="6" t="n">
        <v>3.676934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30.65627067483003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850.0993514038249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9.719484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27.12595</v>
      </c>
      <c r="E170" s="27" t="n">
        <v>79.06858800000001</v>
      </c>
      <c r="F170" s="27" t="n">
        <v>190.85947</v>
      </c>
      <c r="G170" s="27" t="n">
        <v>358.740771</v>
      </c>
      <c r="H170" s="27" t="n">
        <v>526.622073</v>
      </c>
    </row>
    <row r="171">
      <c r="C171" s="1" t="n">
        <v>0.95</v>
      </c>
      <c r="D171" s="27" t="n">
        <v>28.636411</v>
      </c>
      <c r="E171" s="27" t="n">
        <v>83.471812</v>
      </c>
      <c r="F171" s="27" t="n">
        <v>201.488511</v>
      </c>
      <c r="G171" s="27" t="n">
        <v>378.720599</v>
      </c>
      <c r="H171" s="27" t="n">
        <v>555.952686</v>
      </c>
    </row>
    <row r="172">
      <c r="C172" s="1" t="n">
        <v>1</v>
      </c>
      <c r="D172" s="27" t="n">
        <v>30.147237</v>
      </c>
      <c r="E172" s="27" t="n">
        <v>87.876143</v>
      </c>
      <c r="F172" s="27" t="n">
        <v>212.120253</v>
      </c>
      <c r="G172" s="27" t="n">
        <v>398.705635</v>
      </c>
      <c r="H172" s="27" t="n">
        <v>585.291018</v>
      </c>
    </row>
    <row r="173">
      <c r="C173" s="1" t="n">
        <v>1.05</v>
      </c>
      <c r="D173" s="27" t="n">
        <v>31.658427</v>
      </c>
      <c r="E173" s="27" t="n">
        <v>92.281582</v>
      </c>
      <c r="F173" s="27" t="n">
        <v>222.754694</v>
      </c>
      <c r="G173" s="27" t="n">
        <v>418.695877</v>
      </c>
      <c r="H173" s="27" t="n">
        <v>614.637061</v>
      </c>
    </row>
    <row r="174">
      <c r="C174" s="1" t="n">
        <v>1.1</v>
      </c>
      <c r="D174" s="27" t="n">
        <v>33.169981</v>
      </c>
      <c r="E174" s="27" t="n">
        <v>96.68812800000001</v>
      </c>
      <c r="F174" s="27" t="n">
        <v>233.391833</v>
      </c>
      <c r="G174" s="27" t="n">
        <v>438.691319</v>
      </c>
      <c r="H174" s="27" t="n">
        <v>643.990806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211.611058</v>
      </c>
      <c r="E178" s="27" t="n">
        <v>200.813442</v>
      </c>
      <c r="F178" s="27" t="n">
        <v>190.015827</v>
      </c>
      <c r="G178" s="27" t="n">
        <v>179.218211</v>
      </c>
      <c r="H178" s="27" t="n">
        <v>168.420596</v>
      </c>
    </row>
    <row r="179">
      <c r="C179" s="1" t="n">
        <v>0.95</v>
      </c>
      <c r="D179" s="27" t="n">
        <v>223.863006</v>
      </c>
      <c r="E179" s="27" t="n">
        <v>212.465523</v>
      </c>
      <c r="F179" s="27" t="n">
        <v>201.06804</v>
      </c>
      <c r="G179" s="27" t="n">
        <v>189.670557</v>
      </c>
      <c r="H179" s="27" t="n">
        <v>178.273074</v>
      </c>
    </row>
    <row r="180">
      <c r="C180" s="1" t="n">
        <v>1</v>
      </c>
      <c r="D180" s="27" t="n">
        <v>236.114954</v>
      </c>
      <c r="E180" s="27" t="n">
        <v>224.117603</v>
      </c>
      <c r="F180" s="27" t="n">
        <v>212.120253</v>
      </c>
      <c r="G180" s="27" t="n">
        <v>200.122902</v>
      </c>
      <c r="H180" s="27" t="n">
        <v>188.125551</v>
      </c>
    </row>
    <row r="181">
      <c r="C181" s="1" t="n">
        <v>1.05</v>
      </c>
      <c r="D181" s="27" t="n">
        <v>248.366902</v>
      </c>
      <c r="E181" s="27" t="n">
        <v>235.769684</v>
      </c>
      <c r="F181" s="27" t="n">
        <v>223.172466</v>
      </c>
      <c r="G181" s="27" t="n">
        <v>210.575247</v>
      </c>
      <c r="H181" s="27" t="n">
        <v>197.978029</v>
      </c>
    </row>
    <row r="182">
      <c r="C182" s="1" t="n">
        <v>1.1</v>
      </c>
      <c r="D182" s="27" t="n">
        <v>260.61885</v>
      </c>
      <c r="E182" s="27" t="n">
        <v>247.421764</v>
      </c>
      <c r="F182" s="27" t="n">
        <v>234.224679</v>
      </c>
      <c r="G182" s="27" t="n">
        <v>221.027593</v>
      </c>
      <c r="H182" s="27" t="n">
        <v>207.830507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2026-10-28T22:05:21Z</dcterms:created>
  <dcterms:modified xsi:type="dcterms:W3CDTF">2026-10-28T22:05:22Z</dcterms:modified>
</cp:coreProperties>
</file>