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ARII" sheetId="6" state="visible" r:id="rId6"/>
    <sheet name="BOSS" sheetId="7" state="visible" r:id="rId7"/>
    <sheet name="BSSR" sheetId="8" state="visible" r:id="rId8"/>
    <sheet name="BUMI" sheetId="9" state="visible" r:id="rId9"/>
    <sheet name="BYAN" sheetId="10" state="visible" r:id="rId10"/>
    <sheet name="GEMS" sheetId="11" state="visible" r:id="rId11"/>
    <sheet name="GTBO" sheetId="12" state="visible" r:id="rId12"/>
    <sheet name="IATA" sheetId="13" state="visible" r:id="rId13"/>
    <sheet name="INDY" sheetId="14" state="visible" r:id="rId14"/>
    <sheet name="ITMG" sheetId="15" state="visible" r:id="rId15"/>
    <sheet name="KKGI" sheetId="16" state="visible" r:id="rId16"/>
    <sheet name="MBAP" sheetId="17" state="visible" r:id="rId17"/>
    <sheet name="MCOL" sheetId="18" state="visible" r:id="rId18"/>
    <sheet name="PTBA" sheetId="19" state="visible" r:id="rId19"/>
    <sheet name="SINI" sheetId="20" state="visible" r:id="rId20"/>
    <sheet name="SMMT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6" fontId="6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2026-10-30T01:55:59+07:00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ARII.JK — PT Atlas Resources Tbk</t>
        </is>
      </c>
    </row>
    <row r="12">
      <c r="A12" t="inlineStr">
        <is>
          <t>BOSS.JK — PT. Borneo Olah Sarana Sukses Tbk</t>
        </is>
      </c>
    </row>
    <row r="13">
      <c r="A13" t="inlineStr">
        <is>
          <t>BSSR.JK — PT Baramulti Suksessarana Tbk</t>
        </is>
      </c>
    </row>
    <row r="14">
      <c r="A14" t="inlineStr">
        <is>
          <t>BUMI.JK — PT Bumi Resources Tbk</t>
        </is>
      </c>
    </row>
    <row r="15">
      <c r="A15" t="inlineStr">
        <is>
          <t>BYAN.JK — PT Bayan Resources Tbk.</t>
        </is>
      </c>
    </row>
    <row r="16">
      <c r="A16" t="inlineStr">
        <is>
          <t>GEMS.JK — PT Golden Energy Mines Tbk</t>
        </is>
      </c>
    </row>
    <row r="17">
      <c r="A17" t="inlineStr">
        <is>
          <t>GTBO.JK — PT Garda Tujuh Buana Tbk</t>
        </is>
      </c>
    </row>
    <row r="18">
      <c r="A18" t="inlineStr">
        <is>
          <t>IATA.JK — PT MNC Energy Investments Tbk</t>
        </is>
      </c>
    </row>
    <row r="19">
      <c r="A19" t="inlineStr">
        <is>
          <t>INDY.JK — PT. Indika Energy Tbk</t>
        </is>
      </c>
    </row>
    <row r="20">
      <c r="A20" t="inlineStr">
        <is>
          <t>ITMG.JK — PT Indo Tambangraya Megah Tbk</t>
        </is>
      </c>
    </row>
    <row r="21">
      <c r="A21" t="inlineStr">
        <is>
          <t>KKGI.JK — PT Resource Alam Indonesia Tbk</t>
        </is>
      </c>
    </row>
    <row r="22">
      <c r="A22" t="inlineStr">
        <is>
          <t>MBAP.JK — PT Mitrabara Adiperdana Tbk</t>
        </is>
      </c>
    </row>
    <row r="23">
      <c r="A23" t="inlineStr">
        <is>
          <t>MCOL.JK — PT Prima Andalan Mandiri Tbk</t>
        </is>
      </c>
    </row>
    <row r="24">
      <c r="A24" t="inlineStr">
        <is>
          <t>PTBA.JK — PT Bukit Asam (Persero) Tbk</t>
        </is>
      </c>
    </row>
    <row r="25">
      <c r="A25" t="inlineStr">
        <is>
          <t>SINI.JK — PT Singaraja Putra Tbk</t>
        </is>
      </c>
    </row>
    <row r="26">
      <c r="A26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FY2023E</t>
        </is>
      </c>
      <c r="H3" s="1" t="inlineStr">
        <is>
          <t>FY2024A</t>
        </is>
      </c>
      <c r="I3" s="1" t="inlineStr">
        <is>
          <t>FY2024E</t>
        </is>
      </c>
      <c r="J3" s="1" t="inlineStr">
        <is>
          <t>FY2025A</t>
        </is>
      </c>
      <c r="K3" s="1" t="inlineStr">
        <is>
          <t>FY2025E</t>
        </is>
      </c>
      <c r="L3" s="1" t="inlineStr">
        <is>
          <t>FY2026E</t>
        </is>
      </c>
      <c r="M3" s="1" t="inlineStr">
        <is>
          <t>FY2027E</t>
        </is>
      </c>
      <c r="N3" s="1" t="inlineStr">
        <is>
          <t>FY2028E</t>
        </is>
      </c>
      <c r="O3" s="1" t="inlineStr">
        <is>
          <t>FY2029E</t>
        </is>
      </c>
      <c r="P3" s="1" t="inlineStr">
        <is>
          <t>FY2030E</t>
        </is>
      </c>
      <c r="Q3" s="1" t="inlineStr">
        <is>
          <t>FY2031E</t>
        </is>
      </c>
      <c r="R3" s="1" t="inlineStr">
        <is>
          <t>FY2032E</t>
        </is>
      </c>
      <c r="S3" s="1" t="inlineStr">
        <is>
          <t>FY2033E</t>
        </is>
      </c>
      <c r="T3" s="1" t="inlineStr">
        <is>
          <t>FY2034E</t>
        </is>
      </c>
      <c r="U3" s="1" t="inlineStr">
        <is>
          <t>FY2035E</t>
        </is>
      </c>
      <c r="V3" s="1" t="inlineStr">
        <is>
          <t>FY2036E</t>
        </is>
      </c>
      <c r="W3" s="1" t="inlineStr">
        <is>
          <t>FY2037E</t>
        </is>
      </c>
      <c r="X3" s="1" t="inlineStr">
        <is>
          <t>FY2038E</t>
        </is>
      </c>
      <c r="Y3" s="1" t="inlineStr">
        <is>
          <t>FY2039E</t>
        </is>
      </c>
      <c r="Z3" s="1" t="inlineStr">
        <is>
          <t>FY2040E</t>
        </is>
      </c>
      <c r="AA3" s="1" t="inlineStr">
        <is>
          <t>FY2041E</t>
        </is>
      </c>
      <c r="AB3" s="1" t="inlineStr">
        <is>
          <t>FY2042E</t>
        </is>
      </c>
      <c r="AC3" s="1" t="inlineStr">
        <is>
          <t>FY2043E</t>
        </is>
      </c>
      <c r="AD3" s="1" t="inlineStr">
        <is>
          <t>FY2044E</t>
        </is>
      </c>
      <c r="AE3" s="1" t="inlineStr">
        <is>
          <t>FY2045E</t>
        </is>
      </c>
      <c r="AF3" s="1" t="inlineStr">
        <is>
          <t>FY2046E</t>
        </is>
      </c>
      <c r="AG3" s="1" t="inlineStr">
        <is>
          <t>FY2047E</t>
        </is>
      </c>
      <c r="AH3" s="1" t="inlineStr">
        <is>
          <t>FY2048E</t>
        </is>
      </c>
      <c r="AI3" s="1" t="inlineStr">
        <is>
          <t>FY2049E</t>
        </is>
      </c>
      <c r="AJ3" s="1" t="inlineStr">
        <is>
          <t>FY2050E</t>
        </is>
      </c>
      <c r="AK3" s="1" t="inlineStr">
        <is>
          <t>FY2051E</t>
        </is>
      </c>
      <c r="AL3" s="1" t="inlineStr">
        <is>
          <t>FY2052E</t>
        </is>
      </c>
      <c r="AM3" s="1" t="inlineStr">
        <is>
          <t>FY2053E</t>
        </is>
      </c>
      <c r="AN3" s="1" t="inlineStr">
        <is>
          <t>FY2054E</t>
        </is>
      </c>
      <c r="AO3" s="1" t="inlineStr">
        <is>
          <t>FY2055E</t>
        </is>
      </c>
      <c r="AP3" s="1" t="inlineStr">
        <is>
          <t>FY2056E</t>
        </is>
      </c>
      <c r="AQ3" s="1" t="inlineStr">
        <is>
          <t>FY2057E</t>
        </is>
      </c>
      <c r="AR3" s="1" t="inlineStr">
        <is>
          <t>FY2058E</t>
        </is>
      </c>
      <c r="AS3" s="1" t="inlineStr">
        <is>
          <t>FY2059E</t>
        </is>
      </c>
      <c r="AT3" s="1" t="inlineStr">
        <is>
          <t>FY2060E</t>
        </is>
      </c>
      <c r="AU3" s="1" t="inlineStr">
        <is>
          <t>FY2061E</t>
        </is>
      </c>
      <c r="AV3" s="1" t="inlineStr">
        <is>
          <t>FY2062E</t>
        </is>
      </c>
      <c r="AW3" s="1" t="inlineStr">
        <is>
          <t>FY2063E</t>
        </is>
      </c>
      <c r="AX3" s="1" t="inlineStr">
        <is>
          <t>FY2064E</t>
        </is>
      </c>
      <c r="AY3" s="1" t="inlineStr">
        <is>
          <t>FY2065E</t>
        </is>
      </c>
      <c r="AZ3" s="1" t="inlineStr">
        <is>
          <t>FY2066E</t>
        </is>
      </c>
      <c r="BA3" s="1" t="inlineStr">
        <is>
          <t>FY2067E</t>
        </is>
      </c>
      <c r="BB3" s="1" t="inlineStr">
        <is>
          <t>FY2068E</t>
        </is>
      </c>
      <c r="BC3" s="1" t="inlineStr">
        <is>
          <t>FY2069E</t>
        </is>
      </c>
      <c r="BD3" s="1" t="inlineStr">
        <is>
          <t>FY2070E</t>
        </is>
      </c>
      <c r="BE3" s="1" t="inlineStr">
        <is>
          <t>FY2071E</t>
        </is>
      </c>
      <c r="BF3" s="1" t="inlineStr">
        <is>
          <t>FY2072E</t>
        </is>
      </c>
      <c r="BG3" s="1" t="inlineStr">
        <is>
          <t>FY2073E</t>
        </is>
      </c>
      <c r="BH3" s="1" t="inlineStr">
        <is>
          <t>FY2074E</t>
        </is>
      </c>
      <c r="BI3" s="1" t="inlineStr">
        <is>
          <t>FY2075E</t>
        </is>
      </c>
      <c r="BJ3" s="1" t="inlineStr">
        <is>
          <t>FY2076E</t>
        </is>
      </c>
      <c r="BK3" s="1" t="inlineStr">
        <is>
          <t>FY2077E</t>
        </is>
      </c>
      <c r="BL3" s="1" t="inlineStr">
        <is>
          <t>FY2078E</t>
        </is>
      </c>
      <c r="BM3" s="1" t="inlineStr">
        <is>
          <t>FY2079E</t>
        </is>
      </c>
      <c r="BN3" s="1" t="inlineStr">
        <is>
          <t>FY2080E</t>
        </is>
      </c>
      <c r="BO3" s="1" t="inlineStr">
        <is>
          <t>FY2081E</t>
        </is>
      </c>
      <c r="BP3" s="1" t="inlineStr">
        <is>
          <t>FY2082E</t>
        </is>
      </c>
      <c r="BQ3" s="1" t="inlineStr">
        <is>
          <t>FY2083E</t>
        </is>
      </c>
      <c r="BR3" s="1" t="inlineStr">
        <is>
          <t>FY2084E</t>
        </is>
      </c>
      <c r="BS3" s="1" t="inlineStr">
        <is>
          <t>FY2085E</t>
        </is>
      </c>
      <c r="BT3" s="1" t="inlineStr">
        <is>
          <t>FY2086E</t>
        </is>
      </c>
      <c r="BU3" s="1" t="inlineStr">
        <is>
          <t>FY2087E</t>
        </is>
      </c>
      <c r="BV3" s="1" t="inlineStr">
        <is>
          <t>FY2088E</t>
        </is>
      </c>
      <c r="BW3" s="1" t="inlineStr">
        <is>
          <t>FY2089E</t>
        </is>
      </c>
      <c r="BX3" s="1" t="inlineStr">
        <is>
          <t>FY2090E</t>
        </is>
      </c>
      <c r="BY3" s="1" t="inlineStr">
        <is>
          <t>FY2091E</t>
        </is>
      </c>
      <c r="BZ3" s="1" t="inlineStr">
        <is>
          <t>FY2092E</t>
        </is>
      </c>
      <c r="CA3" s="1" t="inlineStr">
        <is>
          <t>FY2093E</t>
        </is>
      </c>
      <c r="CB3" s="1" t="inlineStr">
        <is>
          <t>FY2094E</t>
        </is>
      </c>
      <c r="CC3" s="1" t="inlineStr">
        <is>
          <t>FY2095E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>
        <v>70</v>
      </c>
      <c r="H4" s="3" t="n"/>
      <c r="I4" s="3" t="n">
        <v>70</v>
      </c>
      <c r="J4" s="3" t="n"/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  <c r="BP4" s="3" t="n">
        <v>70</v>
      </c>
      <c r="BQ4" s="3" t="n">
        <v>70</v>
      </c>
      <c r="BR4" s="3" t="n">
        <v>70</v>
      </c>
      <c r="BS4" s="3" t="n">
        <v>70</v>
      </c>
      <c r="BT4" s="3" t="n">
        <v>70</v>
      </c>
      <c r="BU4" s="3" t="n">
        <v>70</v>
      </c>
      <c r="BV4" s="3" t="n">
        <v>70</v>
      </c>
      <c r="BW4" s="3" t="n">
        <v>70</v>
      </c>
      <c r="BX4" s="3" t="n">
        <v>70</v>
      </c>
      <c r="BY4" s="3" t="n">
        <v>70</v>
      </c>
      <c r="BZ4" s="3" t="n">
        <v>70</v>
      </c>
      <c r="CA4" s="3" t="n">
        <v>70</v>
      </c>
      <c r="CB4" s="3" t="n">
        <v>70</v>
      </c>
      <c r="CC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>
        <v>105</v>
      </c>
      <c r="H5" s="3" t="n"/>
      <c r="I5" s="3" t="n">
        <v>105</v>
      </c>
      <c r="J5" s="3" t="n"/>
      <c r="K5" s="3" t="n">
        <v>105</v>
      </c>
      <c r="L5" s="3" t="n">
        <v>118</v>
      </c>
      <c r="M5" s="3" t="n">
        <v>112</v>
      </c>
      <c r="N5" s="3" t="n">
        <v>108</v>
      </c>
      <c r="O5" s="3" t="n">
        <v>105</v>
      </c>
      <c r="P5" s="3" t="n">
        <v>107.1</v>
      </c>
      <c r="Q5" s="3" t="n">
        <v>109.242</v>
      </c>
      <c r="R5" s="3" t="n">
        <v>111.42684</v>
      </c>
      <c r="S5" s="3" t="n">
        <v>113.6553768</v>
      </c>
      <c r="T5" s="3" t="n">
        <v>115.928484336</v>
      </c>
      <c r="U5" s="3" t="n">
        <v>118.24705402272</v>
      </c>
      <c r="V5" s="3" t="n">
        <v>120.6119951031744</v>
      </c>
      <c r="W5" s="3" t="n">
        <v>123.0242350052379</v>
      </c>
      <c r="X5" s="3" t="n">
        <v>125.4847197053427</v>
      </c>
      <c r="Y5" s="3" t="n">
        <v>127.9944140994495</v>
      </c>
      <c r="Z5" s="3" t="n">
        <v>130.5543023814385</v>
      </c>
      <c r="AA5" s="3" t="n">
        <v>133.1653884290673</v>
      </c>
      <c r="AB5" s="3" t="n">
        <v>135.8286961976486</v>
      </c>
      <c r="AC5" s="3" t="n">
        <v>138.5452701216016</v>
      </c>
      <c r="AD5" s="3" t="n">
        <v>141.3161755240336</v>
      </c>
      <c r="AE5" s="3" t="n">
        <v>144.1424990345143</v>
      </c>
      <c r="AF5" s="3" t="n">
        <v>147.0253490152046</v>
      </c>
      <c r="AG5" s="3" t="n">
        <v>149.9658559955087</v>
      </c>
      <c r="AH5" s="3" t="n">
        <v>152.9651731154189</v>
      </c>
      <c r="AI5" s="3" t="n">
        <v>156.0244765777273</v>
      </c>
      <c r="AJ5" s="3" t="n">
        <v>159.1449661092818</v>
      </c>
      <c r="AK5" s="3" t="n">
        <v>162.3278654314674</v>
      </c>
      <c r="AL5" s="3" t="n">
        <v>165.5744227400968</v>
      </c>
      <c r="AM5" s="3" t="n">
        <v>168.8859111948987</v>
      </c>
      <c r="AN5" s="3" t="n">
        <v>172.2636294187967</v>
      </c>
      <c r="AO5" s="3" t="n">
        <v>175.7089020071726</v>
      </c>
      <c r="AP5" s="3" t="n">
        <v>179.2230800473161</v>
      </c>
      <c r="AQ5" s="3" t="n">
        <v>182.8075416482625</v>
      </c>
      <c r="AR5" s="3" t="n">
        <v>186.4636924812277</v>
      </c>
      <c r="AS5" s="3" t="n">
        <v>190.1929663308522</v>
      </c>
      <c r="AT5" s="3" t="n">
        <v>193.9968256574693</v>
      </c>
      <c r="AU5" s="3" t="n">
        <v>197.8767621706187</v>
      </c>
      <c r="AV5" s="3" t="n">
        <v>201.8342974140311</v>
      </c>
      <c r="AW5" s="3" t="n">
        <v>205.8709833623117</v>
      </c>
      <c r="AX5" s="3" t="n">
        <v>209.9884030295579</v>
      </c>
      <c r="AY5" s="3" t="n">
        <v>214.1881710901491</v>
      </c>
      <c r="AZ5" s="3" t="n">
        <v>218.4719345119521</v>
      </c>
      <c r="BA5" s="3" t="n">
        <v>222.8413732021911</v>
      </c>
      <c r="BB5" s="3" t="n">
        <v>227.2982006662349</v>
      </c>
      <c r="BC5" s="3" t="n">
        <v>231.8441646795596</v>
      </c>
      <c r="BD5" s="3" t="n">
        <v>236.4810479731509</v>
      </c>
      <c r="BE5" s="3" t="n">
        <v>241.2106689326139</v>
      </c>
      <c r="BF5" s="3" t="n">
        <v>246.0348823112662</v>
      </c>
      <c r="BG5" s="3" t="n">
        <v>250.9555799574915</v>
      </c>
      <c r="BH5" s="3" t="n">
        <v>255.9746915566413</v>
      </c>
      <c r="BI5" s="3" t="n">
        <v>261.0941853877741</v>
      </c>
      <c r="BJ5" s="3" t="n">
        <v>266.3160690955296</v>
      </c>
      <c r="BK5" s="3" t="n">
        <v>271.6423904774402</v>
      </c>
      <c r="BL5" s="3" t="n">
        <v>277.075238286989</v>
      </c>
      <c r="BM5" s="3" t="n">
        <v>282.6167430527289</v>
      </c>
      <c r="BN5" s="3" t="n">
        <v>288.2690779137834</v>
      </c>
      <c r="BO5" s="3" t="n">
        <v>294.0344594720591</v>
      </c>
      <c r="BP5" s="3" t="n">
        <v>299.9151486615002</v>
      </c>
      <c r="BQ5" s="3" t="n">
        <v>305.9134516347303</v>
      </c>
      <c r="BR5" s="3" t="n">
        <v>312.0317206674249</v>
      </c>
      <c r="BS5" s="3" t="n">
        <v>318.2723550807734</v>
      </c>
      <c r="BT5" s="3" t="n">
        <v>324.6378021823888</v>
      </c>
      <c r="BU5" s="3" t="n">
        <v>331.1305582260367</v>
      </c>
      <c r="BV5" s="3" t="n">
        <v>337.7531693905574</v>
      </c>
      <c r="BW5" s="3" t="n">
        <v>344.5082327783686</v>
      </c>
      <c r="BX5" s="3" t="n">
        <v>351.3983974339359</v>
      </c>
      <c r="BY5" s="3" t="n">
        <v>358.4263653826146</v>
      </c>
      <c r="BZ5" s="3" t="n">
        <v>365.5948926902669</v>
      </c>
      <c r="CA5" s="3" t="n">
        <v>372.9067905440723</v>
      </c>
      <c r="CB5" s="3" t="n">
        <v>380.3649263549538</v>
      </c>
      <c r="CC5" s="3" t="n">
        <v>387.9722248820528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/>
      <c r="G6" s="3" t="n">
        <v>105</v>
      </c>
      <c r="H6" s="3" t="n">
        <v>136.1</v>
      </c>
      <c r="I6" s="3" t="n">
        <v>105</v>
      </c>
      <c r="J6" s="3" t="n">
        <v>108.4</v>
      </c>
      <c r="K6" s="3" t="n">
        <v>105</v>
      </c>
      <c r="L6" s="3" t="n">
        <v>137</v>
      </c>
      <c r="M6" s="3" t="n">
        <v>118</v>
      </c>
      <c r="N6" s="3" t="n">
        <v>110</v>
      </c>
      <c r="O6" s="3" t="n">
        <v>105</v>
      </c>
      <c r="P6" s="3" t="n">
        <v>107.1</v>
      </c>
      <c r="Q6" s="3" t="n">
        <v>109.242</v>
      </c>
      <c r="R6" s="3" t="n">
        <v>111.42684</v>
      </c>
      <c r="S6" s="3" t="n">
        <v>113.6553768</v>
      </c>
      <c r="T6" s="3" t="n">
        <v>115.928484336</v>
      </c>
      <c r="U6" s="3" t="n">
        <v>118.24705402272</v>
      </c>
      <c r="V6" s="3" t="n">
        <v>120.6119951031744</v>
      </c>
      <c r="W6" s="3" t="n">
        <v>123.0242350052379</v>
      </c>
      <c r="X6" s="3" t="n">
        <v>125.4847197053427</v>
      </c>
      <c r="Y6" s="3" t="n">
        <v>127.9944140994495</v>
      </c>
      <c r="Z6" s="3" t="n">
        <v>130.5543023814385</v>
      </c>
      <c r="AA6" s="3" t="n">
        <v>133.1653884290673</v>
      </c>
      <c r="AB6" s="3" t="n">
        <v>135.8286961976486</v>
      </c>
      <c r="AC6" s="3" t="n">
        <v>138.5452701216016</v>
      </c>
      <c r="AD6" s="3" t="n">
        <v>141.3161755240336</v>
      </c>
      <c r="AE6" s="3" t="n">
        <v>144.1424990345143</v>
      </c>
      <c r="AF6" s="3" t="n">
        <v>147.0253490152046</v>
      </c>
      <c r="AG6" s="3" t="n">
        <v>149.9658559955087</v>
      </c>
      <c r="AH6" s="3" t="n">
        <v>152.9651731154189</v>
      </c>
      <c r="AI6" s="3" t="n">
        <v>156.0244765777273</v>
      </c>
      <c r="AJ6" s="3" t="n">
        <v>159.1449661092818</v>
      </c>
      <c r="AK6" s="3" t="n">
        <v>162.3278654314674</v>
      </c>
      <c r="AL6" s="3" t="n">
        <v>165.5744227400968</v>
      </c>
      <c r="AM6" s="3" t="n">
        <v>168.8859111948987</v>
      </c>
      <c r="AN6" s="3" t="n">
        <v>172.2636294187967</v>
      </c>
      <c r="AO6" s="3" t="n">
        <v>175.7089020071726</v>
      </c>
      <c r="AP6" s="3" t="n">
        <v>179.2230800473161</v>
      </c>
      <c r="AQ6" s="3" t="n">
        <v>182.8075416482625</v>
      </c>
      <c r="AR6" s="3" t="n">
        <v>186.4636924812277</v>
      </c>
      <c r="AS6" s="3" t="n">
        <v>190.1929663308522</v>
      </c>
      <c r="AT6" s="3" t="n">
        <v>193.9968256574693</v>
      </c>
      <c r="AU6" s="3" t="n">
        <v>197.8767621706187</v>
      </c>
      <c r="AV6" s="3" t="n">
        <v>201.8342974140311</v>
      </c>
      <c r="AW6" s="3" t="n">
        <v>205.8709833623117</v>
      </c>
      <c r="AX6" s="3" t="n">
        <v>209.9884030295579</v>
      </c>
      <c r="AY6" s="3" t="n">
        <v>214.1881710901491</v>
      </c>
      <c r="AZ6" s="3" t="n">
        <v>218.4719345119521</v>
      </c>
      <c r="BA6" s="3" t="n">
        <v>222.8413732021911</v>
      </c>
      <c r="BB6" s="3" t="n">
        <v>227.2982006662349</v>
      </c>
      <c r="BC6" s="3" t="n">
        <v>231.8441646795596</v>
      </c>
      <c r="BD6" s="3" t="n">
        <v>236.4810479731509</v>
      </c>
      <c r="BE6" s="3" t="n">
        <v>241.2106689326139</v>
      </c>
      <c r="BF6" s="3" t="n">
        <v>246.0348823112662</v>
      </c>
      <c r="BG6" s="3" t="n">
        <v>250.9555799574915</v>
      </c>
      <c r="BH6" s="3" t="n">
        <v>255.9746915566413</v>
      </c>
      <c r="BI6" s="3" t="n">
        <v>261.0941853877741</v>
      </c>
      <c r="BJ6" s="3" t="n">
        <v>266.3160690955296</v>
      </c>
      <c r="BK6" s="3" t="n">
        <v>271.6423904774402</v>
      </c>
      <c r="BL6" s="3" t="n">
        <v>277.075238286989</v>
      </c>
      <c r="BM6" s="3" t="n">
        <v>282.6167430527289</v>
      </c>
      <c r="BN6" s="3" t="n">
        <v>288.2690779137834</v>
      </c>
      <c r="BO6" s="3" t="n">
        <v>294.0344594720591</v>
      </c>
      <c r="BP6" s="3" t="n">
        <v>299.9151486615002</v>
      </c>
      <c r="BQ6" s="3" t="n">
        <v>305.9134516347303</v>
      </c>
      <c r="BR6" s="3" t="n">
        <v>312.0317206674249</v>
      </c>
      <c r="BS6" s="3" t="n">
        <v>318.2723550807734</v>
      </c>
      <c r="BT6" s="3" t="n">
        <v>324.6378021823888</v>
      </c>
      <c r="BU6" s="3" t="n">
        <v>331.1305582260367</v>
      </c>
      <c r="BV6" s="3" t="n">
        <v>337.7531693905574</v>
      </c>
      <c r="BW6" s="3" t="n">
        <v>344.5082327783686</v>
      </c>
      <c r="BX6" s="3" t="n">
        <v>351.3983974339359</v>
      </c>
      <c r="BY6" s="3" t="n">
        <v>358.4263653826146</v>
      </c>
      <c r="BZ6" s="3" t="n">
        <v>365.5948926902669</v>
      </c>
      <c r="CA6" s="3" t="n">
        <v>372.9067905440723</v>
      </c>
      <c r="CB6" s="3" t="n">
        <v>380.3649263549538</v>
      </c>
      <c r="CC6" s="3" t="n">
        <v>387.9722248820528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14310.5396</v>
      </c>
      <c r="E7" s="3" t="n">
        <v>14843.1773</v>
      </c>
      <c r="F7" s="3" t="n">
        <v>15228.8</v>
      </c>
      <c r="G7" s="3" t="n">
        <v>19000</v>
      </c>
      <c r="H7" s="3" t="n">
        <v>15846.2378</v>
      </c>
      <c r="I7" s="3" t="n">
        <v>19000</v>
      </c>
      <c r="J7" s="3" t="n">
        <v>16448.0929</v>
      </c>
      <c r="K7" s="3" t="n">
        <v>19000</v>
      </c>
      <c r="L7" s="3" t="n">
        <v>17570</v>
      </c>
      <c r="M7" s="3" t="n">
        <v>18350</v>
      </c>
      <c r="N7" s="3" t="n">
        <v>18600</v>
      </c>
      <c r="O7" s="3" t="n">
        <v>18850</v>
      </c>
      <c r="P7" s="3" t="n">
        <v>19093.13725490196</v>
      </c>
      <c r="Q7" s="3" t="n">
        <v>19186.73106497501</v>
      </c>
      <c r="R7" s="3" t="n">
        <v>19280.78366823469</v>
      </c>
      <c r="S7" s="3" t="n">
        <v>19375.29731366722</v>
      </c>
      <c r="T7" s="3" t="n">
        <v>19470.27426128323</v>
      </c>
      <c r="U7" s="3" t="n">
        <v>19565.71678217187</v>
      </c>
      <c r="V7" s="3" t="n">
        <v>19661.62715855507</v>
      </c>
      <c r="W7" s="3" t="n">
        <v>19758.0076838421</v>
      </c>
      <c r="X7" s="3" t="n">
        <v>19854.86066268446</v>
      </c>
      <c r="Y7" s="3" t="n">
        <v>19952.18841103096</v>
      </c>
      <c r="Z7" s="3" t="n">
        <v>20049.99325618306</v>
      </c>
      <c r="AA7" s="3" t="n">
        <v>20148.27753685063</v>
      </c>
      <c r="AB7" s="3" t="n">
        <v>20247.04360320774</v>
      </c>
      <c r="AC7" s="3" t="n">
        <v>20346.29381694896</v>
      </c>
      <c r="AD7" s="3" t="n">
        <v>20446.03055134577</v>
      </c>
      <c r="AE7" s="3" t="n">
        <v>20546.25619130334</v>
      </c>
      <c r="AF7" s="3" t="n">
        <v>20646.97313341757</v>
      </c>
      <c r="AG7" s="3" t="n">
        <v>20748.18378603236</v>
      </c>
      <c r="AH7" s="3" t="n">
        <v>20849.89056929723</v>
      </c>
      <c r="AI7" s="3" t="n">
        <v>20952.09591522516</v>
      </c>
      <c r="AJ7" s="3" t="n">
        <v>21054.80226775077</v>
      </c>
      <c r="AK7" s="3" t="n">
        <v>21158.01208278876</v>
      </c>
      <c r="AL7" s="3" t="n">
        <v>21261.72782829263</v>
      </c>
      <c r="AM7" s="3" t="n">
        <v>21365.95198431367</v>
      </c>
      <c r="AN7" s="3" t="n">
        <v>21470.6870430603</v>
      </c>
      <c r="AO7" s="3" t="n">
        <v>21575.93550895766</v>
      </c>
      <c r="AP7" s="3" t="n">
        <v>21681.69989870745</v>
      </c>
      <c r="AQ7" s="3" t="n">
        <v>21787.98274134817</v>
      </c>
      <c r="AR7" s="3" t="n">
        <v>21894.78657831556</v>
      </c>
      <c r="AS7" s="3" t="n">
        <v>22002.11396350339</v>
      </c>
      <c r="AT7" s="3" t="n">
        <v>22109.96746332448</v>
      </c>
      <c r="AU7" s="3" t="n">
        <v>22218.34965677215</v>
      </c>
      <c r="AV7" s="3" t="n">
        <v>22327.26313548182</v>
      </c>
      <c r="AW7" s="3" t="n">
        <v>22436.710503793</v>
      </c>
      <c r="AX7" s="3" t="n">
        <v>22546.6943788116</v>
      </c>
      <c r="AY7" s="3" t="n">
        <v>22657.21739047244</v>
      </c>
      <c r="AZ7" s="3" t="n">
        <v>22768.2821816022</v>
      </c>
      <c r="BA7" s="3" t="n">
        <v>22879.89140798261</v>
      </c>
      <c r="BB7" s="3" t="n">
        <v>22992.04773841389</v>
      </c>
      <c r="BC7" s="3" t="n">
        <v>23104.75385477867</v>
      </c>
      <c r="BD7" s="3" t="n">
        <v>23218.01245210601</v>
      </c>
      <c r="BE7" s="3" t="n">
        <v>23331.82623863595</v>
      </c>
      <c r="BF7" s="3" t="n">
        <v>23446.19793588416</v>
      </c>
      <c r="BG7" s="3" t="n">
        <v>23561.13027870712</v>
      </c>
      <c r="BH7" s="3" t="n">
        <v>23676.62601536745</v>
      </c>
      <c r="BI7" s="3" t="n">
        <v>23792.68790759964</v>
      </c>
      <c r="BJ7" s="3" t="n">
        <v>23909.31873067611</v>
      </c>
      <c r="BK7" s="3" t="n">
        <v>24026.52127347354</v>
      </c>
      <c r="BL7" s="3" t="n">
        <v>24144.29833853959</v>
      </c>
      <c r="BM7" s="3" t="n">
        <v>24262.65274215988</v>
      </c>
      <c r="BN7" s="3" t="n">
        <v>24381.58731442537</v>
      </c>
      <c r="BO7" s="3" t="n">
        <v>24501.1048993</v>
      </c>
      <c r="BP7" s="3" t="n">
        <v>24621.20835468873</v>
      </c>
      <c r="BQ7" s="3" t="n">
        <v>24741.90055250583</v>
      </c>
      <c r="BR7" s="3" t="n">
        <v>24863.1843787436</v>
      </c>
      <c r="BS7" s="3" t="n">
        <v>24985.06273354136</v>
      </c>
      <c r="BT7" s="3" t="n">
        <v>25107.5385312548</v>
      </c>
      <c r="BU7" s="3" t="n">
        <v>25230.61470052566</v>
      </c>
      <c r="BV7" s="3" t="n">
        <v>25354.29418435177</v>
      </c>
      <c r="BW7" s="3" t="n">
        <v>25478.57994015741</v>
      </c>
      <c r="BX7" s="3" t="n">
        <v>25603.47493986406</v>
      </c>
      <c r="BY7" s="3" t="n">
        <v>25728.98216996143</v>
      </c>
      <c r="BZ7" s="3" t="n">
        <v>25855.1046315789</v>
      </c>
      <c r="CA7" s="3" t="n">
        <v>25981.84534055722</v>
      </c>
      <c r="CB7" s="3" t="n">
        <v>26109.20732752073</v>
      </c>
      <c r="CC7" s="3" t="n">
        <v>26237.19363794976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70.9538</v>
      </c>
      <c r="E8" s="3" t="n">
        <v>98.9663</v>
      </c>
      <c r="F8" s="3" t="n">
        <v>82.1904</v>
      </c>
      <c r="G8" s="3" t="n">
        <v>75</v>
      </c>
      <c r="H8" s="3" t="n">
        <v>79.82129999999999</v>
      </c>
      <c r="I8" s="3" t="n">
        <v>75</v>
      </c>
      <c r="J8" s="3" t="n">
        <v>68.1015</v>
      </c>
      <c r="K8" s="3" t="n">
        <v>75</v>
      </c>
      <c r="L8" s="3" t="n">
        <v>96</v>
      </c>
      <c r="M8" s="3" t="n">
        <v>84</v>
      </c>
      <c r="N8" s="3" t="n">
        <v>80</v>
      </c>
      <c r="O8" s="3" t="n">
        <v>78</v>
      </c>
      <c r="P8" s="3" t="n">
        <v>76.5</v>
      </c>
      <c r="Q8" s="3" t="n">
        <v>78.03</v>
      </c>
      <c r="R8" s="3" t="n">
        <v>79.59060000000001</v>
      </c>
      <c r="S8" s="3" t="n">
        <v>81.182412</v>
      </c>
      <c r="T8" s="3" t="n">
        <v>82.80606024000001</v>
      </c>
      <c r="U8" s="3" t="n">
        <v>84.46218144480001</v>
      </c>
      <c r="V8" s="3" t="n">
        <v>86.151425073696</v>
      </c>
      <c r="W8" s="3" t="n">
        <v>87.87445357516994</v>
      </c>
      <c r="X8" s="3" t="n">
        <v>89.63194264667332</v>
      </c>
      <c r="Y8" s="3" t="n">
        <v>91.4245814996068</v>
      </c>
      <c r="Z8" s="3" t="n">
        <v>93.25307312959893</v>
      </c>
      <c r="AA8" s="3" t="n">
        <v>95.11813459219091</v>
      </c>
      <c r="AB8" s="3" t="n">
        <v>97.02049728403475</v>
      </c>
      <c r="AC8" s="3" t="n">
        <v>98.96090722971543</v>
      </c>
      <c r="AD8" s="3" t="n">
        <v>100.9401253743097</v>
      </c>
      <c r="AE8" s="3" t="n">
        <v>102.9589278817959</v>
      </c>
      <c r="AF8" s="3" t="n">
        <v>105.0181064394319</v>
      </c>
      <c r="AG8" s="3" t="n">
        <v>107.1184685682205</v>
      </c>
      <c r="AH8" s="3" t="n">
        <v>109.2608379395849</v>
      </c>
      <c r="AI8" s="3" t="n">
        <v>111.4460546983766</v>
      </c>
      <c r="AJ8" s="3" t="n">
        <v>113.6749757923441</v>
      </c>
      <c r="AK8" s="3" t="n">
        <v>115.948475308191</v>
      </c>
      <c r="AL8" s="3" t="n">
        <v>118.2674448143549</v>
      </c>
      <c r="AM8" s="3" t="n">
        <v>120.632793710642</v>
      </c>
      <c r="AN8" s="3" t="n">
        <v>123.0454495848548</v>
      </c>
      <c r="AO8" s="3" t="n">
        <v>125.5063585765519</v>
      </c>
      <c r="AP8" s="3" t="n">
        <v>128.0164857480829</v>
      </c>
      <c r="AQ8" s="3" t="n">
        <v>130.5768154630446</v>
      </c>
      <c r="AR8" s="3" t="n">
        <v>133.1883517723055</v>
      </c>
      <c r="AS8" s="3" t="n">
        <v>135.8521188077516</v>
      </c>
      <c r="AT8" s="3" t="n">
        <v>138.5691611839066</v>
      </c>
      <c r="AU8" s="3" t="n">
        <v>141.3405444075848</v>
      </c>
      <c r="AV8" s="3" t="n">
        <v>144.1673552957365</v>
      </c>
      <c r="AW8" s="3" t="n">
        <v>147.0507024016512</v>
      </c>
      <c r="AX8" s="3" t="n">
        <v>149.9917164496842</v>
      </c>
      <c r="AY8" s="3" t="n">
        <v>152.9915507786779</v>
      </c>
      <c r="AZ8" s="3" t="n">
        <v>156.0513817942515</v>
      </c>
      <c r="BA8" s="3" t="n">
        <v>159.1724094301365</v>
      </c>
      <c r="BB8" s="3" t="n">
        <v>162.3558576187392</v>
      </c>
      <c r="BC8" s="3" t="n">
        <v>165.602974771114</v>
      </c>
      <c r="BD8" s="3" t="n">
        <v>168.9150342665363</v>
      </c>
      <c r="BE8" s="3" t="n">
        <v>172.2933349518671</v>
      </c>
      <c r="BF8" s="3" t="n">
        <v>175.7392016509044</v>
      </c>
      <c r="BG8" s="3" t="n">
        <v>179.2539856839225</v>
      </c>
      <c r="BH8" s="3" t="n">
        <v>182.8390653976009</v>
      </c>
      <c r="BI8" s="3" t="n">
        <v>186.4958467055529</v>
      </c>
      <c r="BJ8" s="3" t="n">
        <v>190.225763639664</v>
      </c>
      <c r="BK8" s="3" t="n">
        <v>194.0302789124573</v>
      </c>
      <c r="BL8" s="3" t="n">
        <v>197.9108844907065</v>
      </c>
      <c r="BM8" s="3" t="n">
        <v>201.8691021805206</v>
      </c>
      <c r="BN8" s="3" t="n">
        <v>205.906484224131</v>
      </c>
      <c r="BO8" s="3" t="n">
        <v>210.0246139086136</v>
      </c>
      <c r="BP8" s="3" t="n">
        <v>214.2251061867859</v>
      </c>
      <c r="BQ8" s="3" t="n">
        <v>218.5096083105216</v>
      </c>
      <c r="BR8" s="3" t="n">
        <v>222.8798004767321</v>
      </c>
      <c r="BS8" s="3" t="n">
        <v>227.3373964862667</v>
      </c>
      <c r="BT8" s="3" t="n">
        <v>231.884144415992</v>
      </c>
      <c r="BU8" s="3" t="n">
        <v>236.5218273043119</v>
      </c>
      <c r="BV8" s="3" t="n">
        <v>241.2522638503981</v>
      </c>
      <c r="BW8" s="3" t="n">
        <v>246.0773091274061</v>
      </c>
      <c r="BX8" s="3" t="n">
        <v>250.9988553099542</v>
      </c>
      <c r="BY8" s="3" t="n">
        <v>256.0188324161533</v>
      </c>
      <c r="BZ8" s="3" t="n">
        <v>261.1392090644763</v>
      </c>
      <c r="CA8" s="3" t="n">
        <v>266.3619932457659</v>
      </c>
      <c r="CB8" s="3" t="n">
        <v>271.6892331106812</v>
      </c>
      <c r="CC8" s="3" t="n">
        <v>277.1230177728949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0.05009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2026-10-29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2026-10-29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2026-10-29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coal.royalty_iup_high: IUP open-pit coal royalty by HBA band — above 5,200 kcal/kg GAR</t>
        </is>
      </c>
    </row>
    <row r="20">
      <c r="B20" s="6" t="n">
        <v>0</v>
      </c>
      <c r="C20" s="4" t="n">
        <v>0.095</v>
      </c>
    </row>
    <row r="21">
      <c r="B21" s="6" t="n">
        <v>70</v>
      </c>
      <c r="C21" s="4" t="n">
        <v>0.115</v>
      </c>
    </row>
    <row r="22">
      <c r="B22" s="6" t="n">
        <v>90</v>
      </c>
      <c r="C22" s="4" t="n">
        <v>0.135</v>
      </c>
    </row>
    <row r="24">
      <c r="A24" s="1" t="inlineStr">
        <is>
          <t>Table coal.royalty_iupk: IUPK (ex-PKP2B) coal royalty rate by HBA band</t>
        </is>
      </c>
    </row>
    <row r="25">
      <c r="B25" s="6" t="n">
        <v>0</v>
      </c>
      <c r="C25" s="4" t="n">
        <v>0.15</v>
      </c>
    </row>
    <row r="26">
      <c r="B26" s="6" t="n">
        <v>70</v>
      </c>
      <c r="C26" s="4" t="n">
        <v>0.18</v>
      </c>
    </row>
    <row r="27">
      <c r="B27" s="6" t="n">
        <v>120</v>
      </c>
      <c r="C27" s="4" t="n">
        <v>0.19</v>
      </c>
    </row>
    <row r="28">
      <c r="B28" s="6" t="n">
        <v>140</v>
      </c>
      <c r="C28" s="4" t="n">
        <v>0.22</v>
      </c>
    </row>
    <row r="29">
      <c r="B29" s="6" t="n">
        <v>160</v>
      </c>
      <c r="C29" s="4" t="n">
        <v>0.25</v>
      </c>
    </row>
    <row r="30">
      <c r="B30" s="6" t="n">
        <v>180</v>
      </c>
      <c r="C30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3.906412</v>
      </c>
      <c r="I2" s="10" t="n">
        <v>2.23553</v>
      </c>
      <c r="J2" s="11" t="n">
        <v>0.217591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7.979202</v>
      </c>
      <c r="I3" s="10" t="n">
        <v>6.06217</v>
      </c>
      <c r="J3" s="11" t="n">
        <v>0.043864</v>
      </c>
    </row>
    <row r="4">
      <c r="A4" t="inlineStr">
        <is>
          <t>ARII.JK</t>
        </is>
      </c>
      <c r="B4" t="inlineStr">
        <is>
          <t>PT Atlas Resources Tbk</t>
        </is>
      </c>
      <c r="C4" s="7">
        <f>'ARII'!$C$151</f>
        <v/>
      </c>
      <c r="D4" s="8">
        <f>'ARII'!$C$149</f>
        <v/>
      </c>
      <c r="E4" s="8">
        <f>'ARII'!$C$102</f>
        <v/>
      </c>
      <c r="F4" s="9">
        <f>'ARII'!$C$150</f>
        <v/>
      </c>
      <c r="G4" s="8">
        <f>'ARII'!$C$139</f>
        <v/>
      </c>
      <c r="H4" s="10" t="n">
        <v>5.504058</v>
      </c>
      <c r="I4" s="10" t="n">
        <v>1.418874</v>
      </c>
      <c r="J4" s="11" t="n">
        <v>0</v>
      </c>
    </row>
    <row r="5">
      <c r="A5" t="inlineStr">
        <is>
          <t>BOSS.JK</t>
        </is>
      </c>
      <c r="B5" t="inlineStr">
        <is>
          <t>PT. Borneo Olah Sarana Sukses Tbk</t>
        </is>
      </c>
      <c r="C5" s="7">
        <f>'BOSS'!$C$151</f>
        <v/>
      </c>
      <c r="D5" s="8">
        <f>'BOSS'!$C$149</f>
        <v/>
      </c>
      <c r="E5" s="8">
        <f>'BOSS'!$C$102</f>
        <v/>
      </c>
      <c r="F5" s="9">
        <f>'BOSS'!$C$150</f>
        <v/>
      </c>
      <c r="G5" s="8">
        <f>'BOSS'!$C$139</f>
        <v/>
      </c>
      <c r="H5" s="10" t="n"/>
      <c r="I5" s="10" t="n"/>
      <c r="J5" s="11" t="n">
        <v>0</v>
      </c>
    </row>
    <row r="6">
      <c r="A6" t="inlineStr">
        <is>
          <t>BSSR.JK</t>
        </is>
      </c>
      <c r="B6" t="inlineStr">
        <is>
          <t>PT Baramulti Suksessarana Tbk</t>
        </is>
      </c>
      <c r="C6" s="7">
        <f>'BSSR'!$C$163</f>
        <v/>
      </c>
      <c r="D6" s="8">
        <f>'BSSR'!$C$161</f>
        <v/>
      </c>
      <c r="E6" s="8">
        <f>'BSSR'!$C$102</f>
        <v/>
      </c>
      <c r="F6" s="9">
        <f>'BSSR'!$C$162</f>
        <v/>
      </c>
      <c r="G6" s="8">
        <f>'BSSR'!$C$151</f>
        <v/>
      </c>
      <c r="H6" s="10" t="n">
        <v>5.84343</v>
      </c>
      <c r="I6" s="10" t="n">
        <v>3.923129</v>
      </c>
      <c r="J6" s="11" t="n">
        <v>0.119793</v>
      </c>
    </row>
    <row r="7">
      <c r="A7" t="inlineStr">
        <is>
          <t>BUMI.JK</t>
        </is>
      </c>
      <c r="B7" t="inlineStr">
        <is>
          <t>PT Bumi Resources Tbk</t>
        </is>
      </c>
      <c r="C7" s="7">
        <f>'BUMI'!$C$166</f>
        <v/>
      </c>
      <c r="D7" s="8">
        <f>'BUMI'!$C$164</f>
        <v/>
      </c>
      <c r="E7" s="8">
        <f>'BUMI'!$C$102</f>
        <v/>
      </c>
      <c r="F7" s="9">
        <f>'BUMI'!$C$165</f>
        <v/>
      </c>
      <c r="G7" s="8">
        <f>'BUMI'!$C$145</f>
        <v/>
      </c>
      <c r="H7" s="10" t="n">
        <v>11.196148</v>
      </c>
      <c r="I7" s="10" t="n">
        <v>3.576963</v>
      </c>
      <c r="J7" s="11" t="n">
        <v>0</v>
      </c>
    </row>
    <row r="8">
      <c r="A8" t="inlineStr">
        <is>
          <t>BYAN.JK</t>
        </is>
      </c>
      <c r="B8" t="inlineStr">
        <is>
          <t>PT Bayan Resources Tbk.</t>
        </is>
      </c>
      <c r="C8" s="7">
        <f>'BYAN'!$C$172</f>
        <v/>
      </c>
      <c r="D8" s="8">
        <f>'BYAN'!$C$170</f>
        <v/>
      </c>
      <c r="E8" s="8">
        <f>'BYAN'!$C$102</f>
        <v/>
      </c>
      <c r="F8" s="9">
        <f>'BYAN'!$C$171</f>
        <v/>
      </c>
      <c r="G8" s="8">
        <f>'BYAN'!$C$151</f>
        <v/>
      </c>
      <c r="H8" s="10" t="n">
        <v>13.979826</v>
      </c>
      <c r="I8" s="10" t="n">
        <v>9.349405000000001</v>
      </c>
      <c r="J8" s="11" t="n">
        <v>0.052218</v>
      </c>
    </row>
    <row r="9">
      <c r="A9" t="inlineStr">
        <is>
          <t>GEMS.JK</t>
        </is>
      </c>
      <c r="B9" t="inlineStr">
        <is>
          <t>PT Golden Energy Mines Tbk</t>
        </is>
      </c>
      <c r="C9" s="7">
        <f>'GEMS'!$C$166</f>
        <v/>
      </c>
      <c r="D9" s="8">
        <f>'GEMS'!$C$164</f>
        <v/>
      </c>
      <c r="E9" s="8">
        <f>'GEMS'!$C$102</f>
        <v/>
      </c>
      <c r="F9" s="9">
        <f>'GEMS'!$C$165</f>
        <v/>
      </c>
      <c r="G9" s="8">
        <f>'GEMS'!$C$145</f>
        <v/>
      </c>
      <c r="H9" s="10" t="n">
        <v>4.15225</v>
      </c>
      <c r="I9" s="10" t="n">
        <v>2.606225</v>
      </c>
      <c r="J9" s="11" t="n">
        <v>0.109097</v>
      </c>
    </row>
    <row r="10">
      <c r="A10" t="inlineStr">
        <is>
          <t>GTBO.JK</t>
        </is>
      </c>
      <c r="B10" t="inlineStr">
        <is>
          <t>PT Garda Tujuh Buana Tbk</t>
        </is>
      </c>
      <c r="C10" s="7">
        <f>'GTBO'!$C$151</f>
        <v/>
      </c>
      <c r="D10" s="8">
        <f>'GTBO'!$C$149</f>
        <v/>
      </c>
      <c r="E10" s="8">
        <f>'GTBO'!$C$102</f>
        <v/>
      </c>
      <c r="F10" s="9">
        <f>'GTBO'!$C$150</f>
        <v/>
      </c>
      <c r="G10" s="8">
        <f>'GTBO'!$C$139</f>
        <v/>
      </c>
      <c r="H10" s="10" t="n"/>
      <c r="I10" s="10" t="n">
        <v>7.999909</v>
      </c>
      <c r="J10" s="11" t="n">
        <v>0</v>
      </c>
    </row>
    <row r="11">
      <c r="A11" t="inlineStr">
        <is>
          <t>IATA.JK</t>
        </is>
      </c>
      <c r="B11" t="inlineStr">
        <is>
          <t>PT MNC Energy Investments Tbk</t>
        </is>
      </c>
      <c r="C11" s="7">
        <f>'IATA'!$C$157</f>
        <v/>
      </c>
      <c r="D11" s="8">
        <f>'IATA'!$C$155</f>
        <v/>
      </c>
      <c r="E11" s="8">
        <f>'IATA'!$C$102</f>
        <v/>
      </c>
      <c r="F11" s="9">
        <f>'IATA'!$C$156</f>
        <v/>
      </c>
      <c r="G11" s="8">
        <f>'IATA'!$C$145</f>
        <v/>
      </c>
      <c r="H11" s="10" t="n">
        <v>58.544673</v>
      </c>
      <c r="I11" s="10" t="n">
        <v>20.332322</v>
      </c>
      <c r="J11" s="11" t="n">
        <v>0</v>
      </c>
    </row>
    <row r="12">
      <c r="A12" t="inlineStr">
        <is>
          <t>INDY.JK</t>
        </is>
      </c>
      <c r="B12" t="inlineStr">
        <is>
          <t>PT. Indika Energy Tbk</t>
        </is>
      </c>
      <c r="C12" s="7">
        <f>'INDY'!$C$163</f>
        <v/>
      </c>
      <c r="D12" s="8">
        <f>'INDY'!$C$161</f>
        <v/>
      </c>
      <c r="E12" s="8">
        <f>'INDY'!$C$102</f>
        <v/>
      </c>
      <c r="F12" s="9">
        <f>'INDY'!$C$162</f>
        <v/>
      </c>
      <c r="G12" s="8">
        <f>'INDY'!$C$151</f>
        <v/>
      </c>
      <c r="H12" s="10" t="n">
        <v>5.992299</v>
      </c>
      <c r="I12" s="10" t="n">
        <v>2.649977</v>
      </c>
      <c r="J12" s="11" t="n">
        <v>0.050064</v>
      </c>
    </row>
    <row r="13">
      <c r="A13" t="inlineStr">
        <is>
          <t>ITMG.JK</t>
        </is>
      </c>
      <c r="B13" t="inlineStr">
        <is>
          <t>PT Indo Tambangraya Megah Tbk</t>
        </is>
      </c>
      <c r="C13" s="7">
        <f>'ITMG'!$C$163</f>
        <v/>
      </c>
      <c r="D13" s="8">
        <f>'ITMG'!$C$161</f>
        <v/>
      </c>
      <c r="E13" s="8">
        <f>'ITMG'!$C$102</f>
        <v/>
      </c>
      <c r="F13" s="9">
        <f>'ITMG'!$C$162</f>
        <v/>
      </c>
      <c r="G13" s="8">
        <f>'ITMG'!$C$151</f>
        <v/>
      </c>
      <c r="H13" s="10" t="n">
        <v>3.886332</v>
      </c>
      <c r="I13" s="10" t="n">
        <v>1.107237</v>
      </c>
      <c r="J13" s="11" t="n">
        <v>0.154387</v>
      </c>
    </row>
    <row r="14">
      <c r="A14" t="inlineStr">
        <is>
          <t>KKGI.JK</t>
        </is>
      </c>
      <c r="B14" t="inlineStr">
        <is>
          <t>PT Resource Alam Indonesia Tbk</t>
        </is>
      </c>
      <c r="C14" s="7">
        <f>'KKGI'!$C$151</f>
        <v/>
      </c>
      <c r="D14" s="8">
        <f>'KKGI'!$C$149</f>
        <v/>
      </c>
      <c r="E14" s="8">
        <f>'KKGI'!$C$102</f>
        <v/>
      </c>
      <c r="F14" s="9">
        <f>'KKGI'!$C$150</f>
        <v/>
      </c>
      <c r="G14" s="8">
        <f>'KKGI'!$C$139</f>
        <v/>
      </c>
      <c r="H14" s="10" t="n">
        <v>8.407731999999999</v>
      </c>
      <c r="I14" s="10" t="n">
        <v>1.806394</v>
      </c>
      <c r="J14" s="11" t="n">
        <v>0.040439</v>
      </c>
    </row>
    <row r="15">
      <c r="A15" t="inlineStr">
        <is>
          <t>MBAP.JK</t>
        </is>
      </c>
      <c r="B15" t="inlineStr">
        <is>
          <t>PT Mitrabara Adiperdana Tbk</t>
        </is>
      </c>
      <c r="C15" s="7">
        <f>'MBAP'!$C$157</f>
        <v/>
      </c>
      <c r="D15" s="8">
        <f>'MBAP'!$C$155</f>
        <v/>
      </c>
      <c r="E15" s="8">
        <f>'MBAP'!$C$102</f>
        <v/>
      </c>
      <c r="F15" s="9">
        <f>'MBAP'!$C$156</f>
        <v/>
      </c>
      <c r="G15" s="8">
        <f>'MBAP'!$C$145</f>
        <v/>
      </c>
      <c r="H15" s="10" t="n">
        <v>9.04626</v>
      </c>
      <c r="I15" s="10" t="n">
        <v>1.431842</v>
      </c>
      <c r="J15" s="11" t="n">
        <v>0</v>
      </c>
    </row>
    <row r="16">
      <c r="A16" t="inlineStr">
        <is>
          <t>MCOL.JK</t>
        </is>
      </c>
      <c r="B16" t="inlineStr">
        <is>
          <t>PT Prima Andalan Mandiri Tbk</t>
        </is>
      </c>
      <c r="C16" s="7">
        <f>'MCOL'!$C$172</f>
        <v/>
      </c>
      <c r="D16" s="8">
        <f>'MCOL'!$C$170</f>
        <v/>
      </c>
      <c r="E16" s="8">
        <f>'MCOL'!$C$102</f>
        <v/>
      </c>
      <c r="F16" s="9">
        <f>'MCOL'!$C$171</f>
        <v/>
      </c>
      <c r="G16" s="8">
        <f>'MCOL'!$C$151</f>
        <v/>
      </c>
      <c r="H16" s="10" t="n">
        <v>6.340609</v>
      </c>
      <c r="I16" s="10" t="n">
        <v>2.51632</v>
      </c>
      <c r="J16" s="11" t="n">
        <v>0.089129</v>
      </c>
    </row>
    <row r="17">
      <c r="A17" t="inlineStr">
        <is>
          <t>PTBA.JK</t>
        </is>
      </c>
      <c r="B17" t="inlineStr">
        <is>
          <t>PT Bukit Asam (Persero) Tbk</t>
        </is>
      </c>
      <c r="C17" s="7">
        <f>'PTBA'!$C$163</f>
        <v/>
      </c>
      <c r="D17" s="8">
        <f>'PTBA'!$C$161</f>
        <v/>
      </c>
      <c r="E17" s="8">
        <f>'PTBA'!$C$102</f>
        <v/>
      </c>
      <c r="F17" s="9">
        <f>'PTBA'!$C$162</f>
        <v/>
      </c>
      <c r="G17" s="8">
        <f>'PTBA'!$C$151</f>
        <v/>
      </c>
      <c r="H17" s="10" t="n">
        <v>4.618029</v>
      </c>
      <c r="I17" s="10" t="n">
        <v>2.702912</v>
      </c>
      <c r="J17" s="11" t="n">
        <v>0.129926</v>
      </c>
    </row>
    <row r="18">
      <c r="A18" t="inlineStr">
        <is>
          <t>SINI.JK</t>
        </is>
      </c>
      <c r="B18" t="inlineStr">
        <is>
          <t>PT Singaraja Putra Tbk</t>
        </is>
      </c>
      <c r="C18" s="7">
        <f>'SINI'!$C$166</f>
        <v/>
      </c>
      <c r="D18" s="8">
        <f>'SINI'!$C$164</f>
        <v/>
      </c>
      <c r="E18" s="8">
        <f>'SINI'!$C$102</f>
        <v/>
      </c>
      <c r="F18" s="9">
        <f>'SINI'!$C$165</f>
        <v/>
      </c>
      <c r="G18" s="8">
        <f>'SINI'!$C$145</f>
        <v/>
      </c>
      <c r="H18" s="10" t="n"/>
      <c r="I18" s="10" t="n">
        <v>111.674749</v>
      </c>
      <c r="J18" s="11" t="n">
        <v>0</v>
      </c>
    </row>
    <row r="19">
      <c r="A19" t="inlineStr">
        <is>
          <t>SMMT.JK</t>
        </is>
      </c>
      <c r="B19" t="inlineStr">
        <is>
          <t>PT Golden Eagle Energy Tbk</t>
        </is>
      </c>
      <c r="C19" s="7">
        <f>'SMMT'!$C$166</f>
        <v/>
      </c>
      <c r="D19" s="8">
        <f>'SMMT'!$C$164</f>
        <v/>
      </c>
      <c r="E19" s="8">
        <f>'SMMT'!$C$102</f>
        <v/>
      </c>
      <c r="F19" s="9">
        <f>'SMMT'!$C$165</f>
        <v/>
      </c>
      <c r="G19" s="8">
        <f>'SMMT'!$C$145</f>
        <v/>
      </c>
      <c r="H19" s="10" t="n">
        <v>25.361206</v>
      </c>
      <c r="I19" s="10" t="n">
        <v>16.464464</v>
      </c>
      <c r="J19" s="11" t="n">
        <v>0.009858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0.2066732532503126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6.39749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2475.097346138362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4079.945728326766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21330.99651630697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3672.001784</v>
      </c>
      <c r="E161" s="27" t="n">
        <v>5344.123633</v>
      </c>
      <c r="F161" s="27" t="n">
        <v>8936.573968000001</v>
      </c>
      <c r="G161" s="27" t="n">
        <v>12325.764053</v>
      </c>
      <c r="H161" s="27" t="n">
        <v>15383.477801</v>
      </c>
    </row>
    <row r="162">
      <c r="C162" s="1" t="n">
        <v>0.95</v>
      </c>
      <c r="D162" s="27" t="n">
        <v>3878.010263</v>
      </c>
      <c r="E162" s="27" t="n">
        <v>5644.134345</v>
      </c>
      <c r="F162" s="27" t="n">
        <v>9438.628653</v>
      </c>
      <c r="G162" s="27" t="n">
        <v>13018.551057</v>
      </c>
      <c r="H162" s="27" t="n">
        <v>16248.353019</v>
      </c>
    </row>
    <row r="163">
      <c r="C163" s="1" t="n">
        <v>1</v>
      </c>
      <c r="D163" s="27" t="n">
        <v>4084.230054</v>
      </c>
      <c r="E163" s="27" t="n">
        <v>5944.469303</v>
      </c>
      <c r="F163" s="27" t="n">
        <v>9941.253627</v>
      </c>
      <c r="G163" s="27" t="n">
        <v>13712.151305</v>
      </c>
      <c r="H163" s="27" t="n">
        <v>17114.261918</v>
      </c>
    </row>
    <row r="164">
      <c r="C164" s="1" t="n">
        <v>1.05</v>
      </c>
      <c r="D164" s="27" t="n">
        <v>4290.661145</v>
      </c>
      <c r="E164" s="27" t="n">
        <v>6245.128055</v>
      </c>
      <c r="F164" s="27" t="n">
        <v>10444.446797</v>
      </c>
      <c r="G164" s="27" t="n">
        <v>14406.560933</v>
      </c>
      <c r="H164" s="27" t="n">
        <v>17981.199058</v>
      </c>
    </row>
    <row r="165">
      <c r="C165" s="1" t="n">
        <v>1.1</v>
      </c>
      <c r="D165" s="27" t="n">
        <v>4497.303525</v>
      </c>
      <c r="E165" s="27" t="n">
        <v>6546.110166</v>
      </c>
      <c r="F165" s="27" t="n">
        <v>10948.206141</v>
      </c>
      <c r="G165" s="27" t="n">
        <v>15101.776207</v>
      </c>
      <c r="H165" s="27" t="n">
        <v>18849.159179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12420.537531</v>
      </c>
      <c r="E169" s="27" t="n">
        <v>11619.429054</v>
      </c>
      <c r="F169" s="27" t="n">
        <v>10818.320576</v>
      </c>
      <c r="G169" s="27" t="n">
        <v>10017.212099</v>
      </c>
      <c r="H169" s="27" t="n">
        <v>9216.103621</v>
      </c>
    </row>
    <row r="170">
      <c r="C170" s="1" t="n">
        <v>0.95</v>
      </c>
      <c r="D170" s="27" t="n">
        <v>12861.404562</v>
      </c>
      <c r="E170" s="27" t="n">
        <v>12015.790058</v>
      </c>
      <c r="F170" s="27" t="n">
        <v>11170.175554</v>
      </c>
      <c r="G170" s="27" t="n">
        <v>10324.56105</v>
      </c>
      <c r="H170" s="27" t="n">
        <v>9478.946545999999</v>
      </c>
    </row>
    <row r="171">
      <c r="C171" s="1" t="n">
        <v>1</v>
      </c>
      <c r="D171" s="27" t="n">
        <v>13302.271592</v>
      </c>
      <c r="E171" s="27" t="n">
        <v>12412.151062</v>
      </c>
      <c r="F171" s="27" t="n">
        <v>11522.030531</v>
      </c>
      <c r="G171" s="27" t="n">
        <v>10631.91</v>
      </c>
      <c r="H171" s="27" t="n">
        <v>9741.78947</v>
      </c>
    </row>
    <row r="172">
      <c r="C172" s="1" t="n">
        <v>1.05</v>
      </c>
      <c r="D172" s="27" t="n">
        <v>13743.138623</v>
      </c>
      <c r="E172" s="27" t="n">
        <v>12808.512066</v>
      </c>
      <c r="F172" s="27" t="n">
        <v>11873.885508</v>
      </c>
      <c r="G172" s="27" t="n">
        <v>10939.258951</v>
      </c>
      <c r="H172" s="27" t="n">
        <v>10004.632394</v>
      </c>
    </row>
    <row r="173">
      <c r="C173" s="1" t="n">
        <v>1.1</v>
      </c>
      <c r="D173" s="27" t="n">
        <v>14184.005653</v>
      </c>
      <c r="E173" s="27" t="n">
        <v>13204.87307</v>
      </c>
      <c r="F173" s="27" t="n">
        <v>12225.740486</v>
      </c>
      <c r="G173" s="27" t="n">
        <v>11246.607902</v>
      </c>
      <c r="H173" s="27" t="n">
        <v>10267.475319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0.6282848618846506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7.466871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57.24256652440419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481.3985304115698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1402.951391395237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447.361322</v>
      </c>
      <c r="E167" s="27" t="n">
        <v>629.266443</v>
      </c>
      <c r="F167" s="27" t="n">
        <v>821.921295</v>
      </c>
      <c r="G167" s="27" t="n">
        <v>1015.973559</v>
      </c>
      <c r="H167" s="27" t="n">
        <v>1210.596675</v>
      </c>
    </row>
    <row r="168">
      <c r="C168" s="1" t="n">
        <v>0.95</v>
      </c>
      <c r="D168" s="27" t="n">
        <v>472.889067</v>
      </c>
      <c r="E168" s="27" t="n">
        <v>665.229875</v>
      </c>
      <c r="F168" s="27" t="n">
        <v>868.949709</v>
      </c>
      <c r="G168" s="27" t="n">
        <v>1074.149074</v>
      </c>
      <c r="H168" s="27" t="n">
        <v>1279.952884</v>
      </c>
    </row>
    <row r="169">
      <c r="C169" s="1" t="n">
        <v>1</v>
      </c>
      <c r="D169" s="27" t="n">
        <v>498.484488</v>
      </c>
      <c r="E169" s="27" t="n">
        <v>701.292245</v>
      </c>
      <c r="F169" s="27" t="n">
        <v>916.11101</v>
      </c>
      <c r="G169" s="27" t="n">
        <v>1132.491799</v>
      </c>
      <c r="H169" s="27" t="n">
        <v>1349.510779</v>
      </c>
    </row>
    <row r="170">
      <c r="C170" s="1" t="n">
        <v>1.05</v>
      </c>
      <c r="D170" s="27" t="n">
        <v>524.147283</v>
      </c>
      <c r="E170" s="27" t="n">
        <v>737.452932</v>
      </c>
      <c r="F170" s="27" t="n">
        <v>963.404197</v>
      </c>
      <c r="G170" s="27" t="n">
        <v>1191.000342</v>
      </c>
      <c r="H170" s="27" t="n">
        <v>1419.268575</v>
      </c>
    </row>
    <row r="171">
      <c r="C171" s="1" t="n">
        <v>1.1</v>
      </c>
      <c r="D171" s="27" t="n">
        <v>549.877173</v>
      </c>
      <c r="E171" s="27" t="n">
        <v>773.711363</v>
      </c>
      <c r="F171" s="27" t="n">
        <v>1010.828344</v>
      </c>
      <c r="G171" s="27" t="n">
        <v>1249.673413</v>
      </c>
      <c r="H171" s="27" t="n">
        <v>1489.224616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1103.493981</v>
      </c>
      <c r="E175" s="27" t="n">
        <v>1063.874771</v>
      </c>
      <c r="F175" s="27" t="n">
        <v>1024.255561</v>
      </c>
      <c r="G175" s="27" t="n">
        <v>984.636352</v>
      </c>
      <c r="H175" s="27" t="n">
        <v>945.017142</v>
      </c>
    </row>
    <row r="176">
      <c r="C176" s="1" t="n">
        <v>0.95</v>
      </c>
      <c r="D176" s="27" t="n">
        <v>1156.140051</v>
      </c>
      <c r="E176" s="27" t="n">
        <v>1114.319774</v>
      </c>
      <c r="F176" s="27" t="n">
        <v>1072.499497</v>
      </c>
      <c r="G176" s="27" t="n">
        <v>1030.67922</v>
      </c>
      <c r="H176" s="27" t="n">
        <v>988.858943</v>
      </c>
    </row>
    <row r="177">
      <c r="C177" s="1" t="n">
        <v>1</v>
      </c>
      <c r="D177" s="27" t="n">
        <v>1202.579933</v>
      </c>
      <c r="E177" s="27" t="n">
        <v>1158.868118</v>
      </c>
      <c r="F177" s="27" t="n">
        <v>1115.156304</v>
      </c>
      <c r="G177" s="27" t="n">
        <v>1071.444489</v>
      </c>
      <c r="H177" s="27" t="n">
        <v>1027.732675</v>
      </c>
    </row>
    <row r="178">
      <c r="C178" s="1" t="n">
        <v>1.05</v>
      </c>
      <c r="D178" s="27" t="n">
        <v>1239.608275</v>
      </c>
      <c r="E178" s="27" t="n">
        <v>1194.552393</v>
      </c>
      <c r="F178" s="27" t="n">
        <v>1149.49651</v>
      </c>
      <c r="G178" s="27" t="n">
        <v>1104.440627</v>
      </c>
      <c r="H178" s="27" t="n">
        <v>1059.384744</v>
      </c>
    </row>
    <row r="179">
      <c r="C179" s="1" t="n">
        <v>1.1</v>
      </c>
      <c r="D179" s="27" t="n">
        <v>1274.327452</v>
      </c>
      <c r="E179" s="27" t="n">
        <v>1227.991939</v>
      </c>
      <c r="F179" s="27" t="n">
        <v>1181.656427</v>
      </c>
      <c r="G179" s="27" t="n">
        <v>1135.320914</v>
      </c>
      <c r="H179" s="27" t="n">
        <v>1088.985401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Atlas Resources Tbk (ARII.JK) — Coal producers</t>
        </is>
      </c>
    </row>
    <row r="2">
      <c r="A2" s="5" t="inlineStr">
        <is>
          <t>Units: USD m; per-share in USD unless marked IDR. Model asof 2026-10-29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4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268.43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7.535464</v>
      </c>
      <c r="I14" s="13" t="n">
        <v>7.535464</v>
      </c>
      <c r="J14" s="13" t="n">
        <v>7.535464</v>
      </c>
      <c r="K14" s="13" t="n">
        <v>7.535464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0.4453</v>
      </c>
      <c r="I15" s="14" t="n">
        <v>0.4453</v>
      </c>
      <c r="J15" s="14" t="n">
        <v>0.4453</v>
      </c>
      <c r="K15" s="14" t="n">
        <v>0.4453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0.504</v>
      </c>
      <c r="I16" s="4" t="n">
        <v>0.504</v>
      </c>
      <c r="J16" s="4" t="n">
        <v>0.504</v>
      </c>
      <c r="K16" s="4" t="n">
        <v>0.504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6.62</v>
      </c>
      <c r="I17" s="14" t="n">
        <v>6.62</v>
      </c>
      <c r="J17" s="14" t="n">
        <v>6.62</v>
      </c>
      <c r="K17" s="14" t="n">
        <v>6.62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2.398</v>
      </c>
      <c r="I18" s="3" t="n">
        <v>2.398</v>
      </c>
      <c r="J18" s="3" t="n">
        <v>2.398</v>
      </c>
      <c r="K18" s="3" t="n">
        <v>2.398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20.56</v>
      </c>
      <c r="I20" s="3" t="n">
        <v>20.56</v>
      </c>
      <c r="J20" s="3" t="n">
        <v>20.56</v>
      </c>
      <c r="K20" s="3" t="n">
        <v>20.56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0.0883</v>
      </c>
      <c r="I21" s="4" t="n">
        <v>0.0883</v>
      </c>
      <c r="J21" s="4" t="n">
        <v>0.0883</v>
      </c>
      <c r="K21" s="4" t="n">
        <v>0.0883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4.469</v>
      </c>
      <c r="I24" s="3" t="n">
        <v>4.469</v>
      </c>
      <c r="J24" s="3" t="n">
        <v>4.469</v>
      </c>
      <c r="K24" s="3" t="n">
        <v>4.469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3.975</v>
      </c>
      <c r="I25" s="3" t="n">
        <v>3.975</v>
      </c>
      <c r="J25" s="3" t="n">
        <v>3.975</v>
      </c>
      <c r="K25" s="3" t="n">
        <v>3.975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-0.15894</v>
      </c>
      <c r="I27" s="4" t="n">
        <v>-0.15894</v>
      </c>
      <c r="J27" s="4" t="n">
        <v>-0.15894</v>
      </c>
      <c r="K27" s="4" t="n">
        <v>-0.15894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0.356</v>
      </c>
      <c r="I28" s="4" t="n">
        <v>0.356</v>
      </c>
      <c r="J28" s="4" t="n">
        <v>0.356</v>
      </c>
      <c r="K28" s="4" t="n">
        <v>0.356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0.043895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0.45</v>
      </c>
      <c r="I33" s="4" t="n">
        <v>0.45</v>
      </c>
      <c r="J33" s="4" t="n">
        <v>0.45</v>
      </c>
      <c r="K33" s="4" t="n">
        <v>0.45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0.08687</v>
      </c>
      <c r="I37" s="4" t="n">
        <v>0.08687</v>
      </c>
      <c r="J37" s="4" t="n">
        <v>0.08687</v>
      </c>
      <c r="K37" s="4" t="n">
        <v>0.08687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268.43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5.445246</v>
      </c>
      <c r="G41" s="13" t="n">
        <v>7.535464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6.62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3.8363739673102</v>
      </c>
      <c r="G48" s="3" t="n">
        <v>3.447564741865929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245.981</v>
      </c>
      <c r="E55" s="13" t="n">
        <v>280.609</v>
      </c>
      <c r="F55" s="13" t="n">
        <v>315.151</v>
      </c>
      <c r="G55" s="13" t="n">
        <v>363.677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189.515</v>
      </c>
      <c r="E56" s="13" t="n">
        <v>254.659</v>
      </c>
      <c r="F56" s="13" t="n">
        <v>298.584</v>
      </c>
      <c r="G56" s="13" t="n">
        <v>337.366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56.466</v>
      </c>
      <c r="E57" s="13" t="n">
        <v>25.95</v>
      </c>
      <c r="F57" s="13" t="n">
        <v>16.567</v>
      </c>
      <c r="G57" s="13" t="n">
        <v>26.311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14.864</v>
      </c>
      <c r="E58" s="13" t="n">
        <v>19.211</v>
      </c>
      <c r="F58" s="13" t="n">
        <v>21.004</v>
      </c>
      <c r="G58" s="13" t="n">
        <v>34.509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41.602</v>
      </c>
      <c r="E59" s="13" t="n">
        <v>6.739</v>
      </c>
      <c r="F59" s="13" t="n">
        <v>-5.545</v>
      </c>
      <c r="G59" s="13" t="n">
        <v>-7.696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2.07</v>
      </c>
      <c r="E60" s="13" t="n">
        <v>2.382</v>
      </c>
      <c r="F60" s="13" t="n">
        <v>26.435</v>
      </c>
      <c r="G60" s="13" t="n">
        <v>33.675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43.672</v>
      </c>
      <c r="E61" s="13" t="n">
        <v>9.121</v>
      </c>
      <c r="F61" s="13" t="n">
        <v>20.89</v>
      </c>
      <c r="G61" s="13" t="n">
        <v>25.979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3.662</v>
      </c>
      <c r="E62" s="13" t="n">
        <v>4.32</v>
      </c>
      <c r="F62" s="13" t="n">
        <v>3.419</v>
      </c>
      <c r="G62" s="13" t="n">
        <v>5.07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0.103</v>
      </c>
      <c r="E63" s="13" t="n">
        <v>0.144</v>
      </c>
      <c r="F63" s="13" t="n">
        <v>0.419</v>
      </c>
      <c r="G63" s="13" t="n">
        <v>0.332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-2.211999999999994</v>
      </c>
      <c r="E64" s="13" t="n">
        <v>0.6480000000000002</v>
      </c>
      <c r="F64" s="13" t="n">
        <v>10.54</v>
      </c>
      <c r="G64" s="13" t="n">
        <v>19.212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35.831</v>
      </c>
      <c r="E65" s="13" t="n">
        <v>3.211</v>
      </c>
      <c r="F65" s="13" t="n">
        <v>1.995</v>
      </c>
      <c r="G65" s="13" t="n">
        <v>6.778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9.756</v>
      </c>
      <c r="E66" s="13" t="n">
        <v>2.483</v>
      </c>
      <c r="F66" s="13" t="n">
        <v>1.179</v>
      </c>
      <c r="G66" s="13" t="n">
        <v>4.417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26.075</v>
      </c>
      <c r="E67" s="13" t="n">
        <v>0.728</v>
      </c>
      <c r="F67" s="13" t="n">
        <v>0.8159999999999999</v>
      </c>
      <c r="G67" s="13" t="n">
        <v>2.361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3.742000000000001</v>
      </c>
      <c r="E68" s="13" t="n">
        <v>1.682</v>
      </c>
      <c r="F68" s="13" t="n">
        <v>-0.5080000000000001</v>
      </c>
      <c r="G68" s="13" t="n">
        <v>1.069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22.333</v>
      </c>
      <c r="E69" s="13" t="n">
        <v>-0.954</v>
      </c>
      <c r="F69" s="13" t="n">
        <v>1.324</v>
      </c>
      <c r="G69" s="13" t="n">
        <v>1.292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3431</v>
      </c>
      <c r="E70" s="13" t="n">
        <v>3431</v>
      </c>
      <c r="F70" s="13" t="n">
        <v>3431</v>
      </c>
      <c r="G70" s="13" t="n">
        <v>3750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0.006509180996793937</v>
      </c>
      <c r="E71" s="20" t="n">
        <v>-0.0002780530457592539</v>
      </c>
      <c r="F71" s="20" t="n">
        <v>0.0003858933255610609</v>
      </c>
      <c r="G71" s="20" t="n">
        <v>0.0003445333333333333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24.284</v>
      </c>
      <c r="E74" s="13" t="n">
        <v>33.337</v>
      </c>
      <c r="F74" s="13" t="n">
        <v>52.579</v>
      </c>
      <c r="G74" s="13" t="n">
        <v>32.731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-47.63799999999995</v>
      </c>
      <c r="F75" s="13" t="n">
        <v>-26.244</v>
      </c>
      <c r="G75" s="13" t="n">
        <v>63.16399999999993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18.21087044534407</v>
      </c>
      <c r="F76" s="13" t="n">
        <v>-2.168030075187971</v>
      </c>
      <c r="G76" s="13" t="n">
        <v>-64.90076954853933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-5.090999999999994</v>
      </c>
      <c r="F77" s="13" t="n">
        <v>-3.299999999999997</v>
      </c>
      <c r="G77" s="13" t="n">
        <v>-13.723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-47.08699999999999</v>
      </c>
      <c r="E80" s="13" t="n">
        <v>-94.72499999999994</v>
      </c>
      <c r="F80" s="13" t="n">
        <v>-120.9689999999999</v>
      </c>
      <c r="G80" s="13" t="n">
        <v>-57.80500000000001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4.756</v>
      </c>
      <c r="E81" s="13" t="n">
        <v>15.325</v>
      </c>
      <c r="F81" s="13" t="n">
        <v>19.255</v>
      </c>
      <c r="G81" s="13" t="n">
        <v>12.885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102.082</v>
      </c>
      <c r="E82" s="13" t="n">
        <v>96.991</v>
      </c>
      <c r="F82" s="13" t="n">
        <v>93.691</v>
      </c>
      <c r="G82" s="13" t="n">
        <v>79.968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196.972</v>
      </c>
      <c r="E83" s="13" t="n">
        <v>213.742</v>
      </c>
      <c r="F83" s="13" t="n">
        <v>242.789</v>
      </c>
      <c r="G83" s="13" t="n">
        <v>227.275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67.038</v>
      </c>
      <c r="E84" s="13" t="n">
        <v>66.16800000000001</v>
      </c>
      <c r="F84" s="13" t="n">
        <v>67.371</v>
      </c>
      <c r="G84" s="13" t="n">
        <v>73.532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3.195</v>
      </c>
      <c r="E85" s="13" t="n">
        <v>4.885</v>
      </c>
      <c r="F85" s="13" t="n">
        <v>4.286</v>
      </c>
      <c r="G85" s="13" t="n">
        <v>5.338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17.67399999999998</v>
      </c>
      <c r="E86" s="13" t="n">
        <v>33.70199999999994</v>
      </c>
      <c r="F86" s="13" t="n">
        <v>24.27299999999997</v>
      </c>
      <c r="G86" s="13" t="n">
        <v>-23.517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97.32599999999999</v>
      </c>
      <c r="E88" s="13" t="n">
        <v>81.666</v>
      </c>
      <c r="F88" s="13" t="n">
        <v>74.43600000000001</v>
      </c>
      <c r="G88" s="13" t="n">
        <v>67.083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0.01953890993879335</v>
      </c>
      <c r="E89" s="20" t="n">
        <v>0.01928533955115127</v>
      </c>
      <c r="F89" s="20" t="n">
        <v>0.01963596619061498</v>
      </c>
      <c r="G89" s="20" t="n">
        <v>0.01960853333333333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0.1407751005158935</v>
      </c>
      <c r="F90" s="4" t="n">
        <v>0.1230965507164774</v>
      </c>
      <c r="G90" s="4" t="n">
        <v>0.1539769824623751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0.2295543151706839</v>
      </c>
      <c r="E91" s="4" t="n">
        <v>0.09247743301177083</v>
      </c>
      <c r="F91" s="4" t="n">
        <v>0.05256845131381464</v>
      </c>
      <c r="G91" s="4" t="n">
        <v>0.07234716520428841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0.177542167891016</v>
      </c>
      <c r="E92" s="4" t="n">
        <v>0.03250430314066905</v>
      </c>
      <c r="F92" s="4" t="n">
        <v>0.06628568527467785</v>
      </c>
      <c r="G92" s="4" t="n">
        <v>0.07143426722063809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0.1691268837837069</v>
      </c>
      <c r="E93" s="4" t="n">
        <v>0.02401562316247875</v>
      </c>
      <c r="F93" s="4" t="n">
        <v>-0.01759474029909472</v>
      </c>
      <c r="G93" s="4" t="n">
        <v>-0.02116163518726782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0.09079156520219041</v>
      </c>
      <c r="E94" s="4" t="n">
        <v>-0.003399748404363367</v>
      </c>
      <c r="F94" s="4" t="n">
        <v>0.004201160713435782</v>
      </c>
      <c r="G94" s="4" t="n">
        <v>0.003552602996615128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-1.04271705547844</v>
      </c>
      <c r="F95" s="4" t="n">
        <v>-2.387840670859539</v>
      </c>
      <c r="G95" s="4" t="n">
        <v>-0.1071798590130917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-0.01432367911355344</v>
      </c>
      <c r="F96" s="4" t="n">
        <v>0.0198294131302466</v>
      </c>
      <c r="G96" s="4" t="n">
        <v>0.01833885722802212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2.228567503205715</v>
      </c>
      <c r="E97" s="22" t="n">
        <v>8.953623506194495</v>
      </c>
      <c r="F97" s="22" t="n">
        <v>3.563235998085208</v>
      </c>
      <c r="G97" s="22" t="n">
        <v>2.582201008506871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0.09872307210719528</v>
      </c>
      <c r="E99" s="4" t="n">
        <v>0.1188023192413643</v>
      </c>
      <c r="F99" s="4" t="n">
        <v>0.16683748425358</v>
      </c>
      <c r="G99" s="4" t="n">
        <v>0.09000019247849053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500</v>
      </c>
    </row>
    <row r="103">
      <c r="A103" t="inlineStr">
        <is>
          <t>Shares outstanding (m)</t>
        </is>
      </c>
      <c r="C103" s="13" t="n">
        <v>3750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75.462</v>
      </c>
    </row>
    <row r="106">
      <c r="A106" t="inlineStr">
        <is>
          <t>Cash at balance-sheet date</t>
        </is>
      </c>
      <c r="C106" s="13" t="n">
        <v>21.385</v>
      </c>
    </row>
    <row r="107">
      <c r="A107" t="inlineStr">
        <is>
          <t>Minority interest (book)</t>
        </is>
      </c>
      <c r="C107" s="13" t="n">
        <v>10.221</v>
      </c>
    </row>
    <row r="108">
      <c r="A108" t="inlineStr">
        <is>
          <t>Associates &amp; investments (book)</t>
        </is>
      </c>
      <c r="C108" s="13" t="n">
        <v>19.738</v>
      </c>
    </row>
    <row r="109">
      <c r="A109" t="inlineStr">
        <is>
          <t>Post-balance-sheet &amp; other items (sourced, probability-weighted)</t>
        </is>
      </c>
      <c r="C109" s="13" t="n">
        <v>43.18535</v>
      </c>
    </row>
    <row r="110">
      <c r="A110" t="inlineStr">
        <is>
          <t>Parent equity at balance-sheet date</t>
        </is>
      </c>
      <c r="C110" s="13" t="n">
        <v>80.40900000000001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0.7294660000000001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</row>
    <row r="131">
      <c r="A131" t="inlineStr">
        <is>
          <t>Best cumulative PV (never below zero)</t>
        </is>
      </c>
      <c r="C131" s="26">
        <f>MAX(0,MAX(H130:K130))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1066.375509673493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51.444793</v>
      </c>
      <c r="F155" s="27" t="n">
        <v>130.181396</v>
      </c>
      <c r="G155" s="27" t="n">
        <v>369.985518</v>
      </c>
      <c r="H155" s="27" t="n">
        <v>678.977128</v>
      </c>
    </row>
    <row r="156">
      <c r="C156" s="1" t="n">
        <v>0.95</v>
      </c>
      <c r="D156" s="27" t="n">
        <v>0</v>
      </c>
      <c r="E156" s="27" t="n">
        <v>54.376008</v>
      </c>
      <c r="F156" s="27" t="n">
        <v>137.598863</v>
      </c>
      <c r="G156" s="27" t="n">
        <v>391.084147</v>
      </c>
      <c r="H156" s="27" t="n">
        <v>717.716497</v>
      </c>
    </row>
    <row r="157">
      <c r="C157" s="1" t="n">
        <v>1</v>
      </c>
      <c r="D157" s="27" t="n">
        <v>0</v>
      </c>
      <c r="E157" s="27" t="n">
        <v>57.314926</v>
      </c>
      <c r="F157" s="27" t="n">
        <v>145.035821</v>
      </c>
      <c r="G157" s="27" t="n">
        <v>412.239296</v>
      </c>
      <c r="H157" s="27" t="n">
        <v>756.560886</v>
      </c>
    </row>
    <row r="158">
      <c r="C158" s="1" t="n">
        <v>1.05</v>
      </c>
      <c r="D158" s="27" t="n">
        <v>0</v>
      </c>
      <c r="E158" s="27" t="n">
        <v>60.261546</v>
      </c>
      <c r="F158" s="27" t="n">
        <v>152.492269</v>
      </c>
      <c r="G158" s="27" t="n">
        <v>433.450903</v>
      </c>
      <c r="H158" s="27" t="n">
        <v>795.510112</v>
      </c>
    </row>
    <row r="159">
      <c r="C159" s="1" t="n">
        <v>1.1</v>
      </c>
      <c r="D159" s="27" t="n">
        <v>0</v>
      </c>
      <c r="E159" s="27" t="n">
        <v>63.215869</v>
      </c>
      <c r="F159" s="27" t="n">
        <v>159.968209</v>
      </c>
      <c r="G159" s="27" t="n">
        <v>454.71891</v>
      </c>
      <c r="H159" s="27" t="n">
        <v>834.564001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224.674904</v>
      </c>
      <c r="E163" s="27" t="n">
        <v>158.436813</v>
      </c>
      <c r="F163" s="27" t="n">
        <v>113.815909</v>
      </c>
      <c r="G163" s="27" t="n">
        <v>97.592195</v>
      </c>
      <c r="H163" s="27" t="n">
        <v>81.467538</v>
      </c>
    </row>
    <row r="164">
      <c r="C164" s="1" t="n">
        <v>0.95</v>
      </c>
      <c r="D164" s="27" t="n">
        <v>246.443692</v>
      </c>
      <c r="E164" s="27" t="n">
        <v>176.525707</v>
      </c>
      <c r="F164" s="27" t="n">
        <v>129.425865</v>
      </c>
      <c r="G164" s="27" t="n">
        <v>112.300833</v>
      </c>
      <c r="H164" s="27" t="n">
        <v>95.280362</v>
      </c>
    </row>
    <row r="165">
      <c r="C165" s="1" t="n">
        <v>1</v>
      </c>
      <c r="D165" s="27" t="n">
        <v>268.212481</v>
      </c>
      <c r="E165" s="27" t="n">
        <v>194.614602</v>
      </c>
      <c r="F165" s="27" t="n">
        <v>145.035821</v>
      </c>
      <c r="G165" s="27" t="n">
        <v>127.009471</v>
      </c>
      <c r="H165" s="27" t="n">
        <v>109.093185</v>
      </c>
    </row>
    <row r="166">
      <c r="C166" s="1" t="n">
        <v>1.05</v>
      </c>
      <c r="D166" s="27" t="n">
        <v>289.98127</v>
      </c>
      <c r="E166" s="27" t="n">
        <v>212.703497</v>
      </c>
      <c r="F166" s="27" t="n">
        <v>160.645776</v>
      </c>
      <c r="G166" s="27" t="n">
        <v>141.718109</v>
      </c>
      <c r="H166" s="27" t="n">
        <v>122.906009</v>
      </c>
    </row>
    <row r="167">
      <c r="C167" s="1" t="n">
        <v>1.1</v>
      </c>
      <c r="D167" s="27" t="n">
        <v>311.750058</v>
      </c>
      <c r="E167" s="27" t="n">
        <v>230.792391</v>
      </c>
      <c r="F167" s="27" t="n">
        <v>176.255732</v>
      </c>
      <c r="G167" s="27" t="n">
        <v>156.426747</v>
      </c>
      <c r="H167" s="27" t="n">
        <v>136.718833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Borneo Olah Sarana Sukses Tbk (BOSS.JK) — Coal producers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FY2023E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10.83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F14" s="13" t="n">
        <v>0.0765</v>
      </c>
      <c r="G14" s="13" t="n">
        <v>0.0765</v>
      </c>
      <c r="H14" s="13" t="n">
        <v>0.0765</v>
      </c>
      <c r="I14" s="13" t="n">
        <v>0.15</v>
      </c>
      <c r="J14" s="13" t="n">
        <v>0.4</v>
      </c>
      <c r="K14" s="13" t="n">
        <v>0.48</v>
      </c>
      <c r="L14" s="13" t="n">
        <v>0.48</v>
      </c>
      <c r="M14" s="13" t="n">
        <v>0.48</v>
      </c>
      <c r="N14" s="13" t="n">
        <v>0.48</v>
      </c>
      <c r="O14" s="13" t="n">
        <v>0.48</v>
      </c>
    </row>
    <row r="15">
      <c r="A15" t="inlineStr">
        <is>
          <t>Realised price / benchmark</t>
        </is>
      </c>
      <c r="B15" t="inlineStr">
        <is>
          <t>a.realisation</t>
        </is>
      </c>
      <c r="F15" s="14" t="n">
        <v>0.93</v>
      </c>
      <c r="G15" s="14" t="n">
        <v>0.93</v>
      </c>
      <c r="H15" s="14" t="n">
        <v>0.93</v>
      </c>
      <c r="I15" s="14" t="n">
        <v>0.93</v>
      </c>
      <c r="J15" s="14" t="n">
        <v>0.93</v>
      </c>
      <c r="K15" s="14" t="n">
        <v>0.93</v>
      </c>
      <c r="L15" s="14" t="n">
        <v>0.93</v>
      </c>
      <c r="M15" s="14" t="n">
        <v>0.93</v>
      </c>
      <c r="N15" s="14" t="n">
        <v>0.93</v>
      </c>
      <c r="O15" s="14" t="n">
        <v>0.93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F17" s="14" t="n">
        <v>1</v>
      </c>
      <c r="G17" s="14" t="n">
        <v>1</v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F18" s="3" t="n">
        <v>104.55</v>
      </c>
      <c r="G18" s="3" t="n">
        <v>104.55</v>
      </c>
      <c r="H18" s="3" t="n">
        <v>104.55</v>
      </c>
      <c r="I18" s="3" t="n">
        <v>62.1</v>
      </c>
      <c r="J18" s="3" t="n">
        <v>62.1</v>
      </c>
      <c r="K18" s="3" t="n">
        <v>63.34200000000001</v>
      </c>
      <c r="L18" s="3" t="n">
        <v>64.60884</v>
      </c>
      <c r="M18" s="3" t="n">
        <v>65.90101680000001</v>
      </c>
      <c r="N18" s="3" t="n">
        <v>67.219037136</v>
      </c>
      <c r="O18" s="3" t="n">
        <v>68.56341787872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F20" s="3" t="n">
        <v>34.1</v>
      </c>
      <c r="G20" s="3" t="n">
        <v>34.1</v>
      </c>
      <c r="H20" s="3" t="n">
        <v>34.1</v>
      </c>
      <c r="I20" s="3" t="n">
        <v>20.3</v>
      </c>
      <c r="J20" s="3" t="n">
        <v>20.3</v>
      </c>
      <c r="K20" s="3" t="n">
        <v>20.706</v>
      </c>
      <c r="L20" s="3" t="n">
        <v>21.12012</v>
      </c>
      <c r="M20" s="3" t="n">
        <v>21.5425224</v>
      </c>
      <c r="N20" s="3" t="n">
        <v>21.973372848</v>
      </c>
      <c r="O20" s="3" t="n">
        <v>22.41284030496</v>
      </c>
    </row>
    <row r="21">
      <c r="A21" t="inlineStr">
        <is>
          <t>Royalty rate (flat regimes)</t>
        </is>
      </c>
      <c r="B21" t="inlineStr">
        <is>
          <t>a.royalty_rate</t>
        </is>
      </c>
      <c r="F21" s="4" t="n">
        <v>0.121</v>
      </c>
      <c r="G21" s="4" t="n">
        <v>0.121</v>
      </c>
      <c r="H21" s="4" t="n">
        <v>0.121</v>
      </c>
      <c r="I21" s="4" t="n">
        <v>0.121</v>
      </c>
      <c r="J21" s="4" t="n">
        <v>0.121</v>
      </c>
      <c r="K21" s="4" t="n">
        <v>0.121</v>
      </c>
      <c r="L21" s="4" t="n">
        <v>0.121</v>
      </c>
      <c r="M21" s="4" t="n">
        <v>0.121</v>
      </c>
      <c r="N21" s="4" t="n">
        <v>0.121</v>
      </c>
      <c r="O21" s="4" t="n">
        <v>0.121</v>
      </c>
    </row>
    <row r="22">
      <c r="A22" t="inlineStr">
        <is>
          <t>Other revenue</t>
        </is>
      </c>
      <c r="B22" t="inlineStr">
        <is>
          <t>a.other_revenue</t>
        </is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F24" s="3" t="n">
        <v>236431</v>
      </c>
      <c r="G24" s="3" t="n">
        <v>236431</v>
      </c>
      <c r="H24" s="3" t="n">
        <v>236431</v>
      </c>
      <c r="I24" s="3" t="n">
        <v>91942</v>
      </c>
      <c r="J24" s="3" t="n">
        <v>91942</v>
      </c>
      <c r="K24" s="3" t="n">
        <v>93780.84</v>
      </c>
      <c r="L24" s="3" t="n">
        <v>95656.4568</v>
      </c>
      <c r="M24" s="3" t="n">
        <v>97569.58593600002</v>
      </c>
      <c r="N24" s="3" t="n">
        <v>99520.97765472</v>
      </c>
      <c r="O24" s="3" t="n">
        <v>101511.3972078144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F25" s="3" t="n">
        <v>26664</v>
      </c>
      <c r="G25" s="3" t="n">
        <v>26664</v>
      </c>
      <c r="H25" s="3" t="n">
        <v>26664</v>
      </c>
      <c r="I25" s="3" t="n">
        <v>26664</v>
      </c>
      <c r="J25" s="3" t="n">
        <v>26664</v>
      </c>
      <c r="K25" s="3" t="n">
        <v>27197.28</v>
      </c>
      <c r="L25" s="3" t="n">
        <v>27741.2256</v>
      </c>
      <c r="M25" s="3" t="n">
        <v>28296.050112</v>
      </c>
      <c r="N25" s="3" t="n">
        <v>28861.97111424</v>
      </c>
      <c r="O25" s="3" t="n">
        <v>29439.2105365248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F27" s="4" t="n">
        <v>-0.1123</v>
      </c>
      <c r="G27" s="4" t="n">
        <v>-0.1123</v>
      </c>
      <c r="H27" s="4" t="n">
        <v>-0.1123</v>
      </c>
      <c r="I27" s="4" t="n">
        <v>-0.1123</v>
      </c>
      <c r="J27" s="4" t="n">
        <v>-0.1123</v>
      </c>
      <c r="K27" s="4" t="n">
        <v>-0.1123</v>
      </c>
      <c r="L27" s="4" t="n">
        <v>-0.1123</v>
      </c>
      <c r="M27" s="4" t="n">
        <v>-0.1123</v>
      </c>
      <c r="N27" s="4" t="n">
        <v>-0.1123</v>
      </c>
      <c r="O27" s="4" t="n">
        <v>-0.1123</v>
      </c>
    </row>
    <row r="28">
      <c r="A28" t="inlineStr">
        <is>
          <t>Effective tax rate</t>
        </is>
      </c>
      <c r="B28" t="inlineStr">
        <is>
          <t>a.tax_rate</t>
        </is>
      </c>
      <c r="F28" s="4" t="n">
        <v>0.22</v>
      </c>
      <c r="G28" s="4" t="n">
        <v>0.22</v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0.1432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F31" s="13" t="n">
        <v>0</v>
      </c>
      <c r="G31" s="13" t="n">
        <v>0</v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F37" s="4" t="n">
        <v>0.1736</v>
      </c>
      <c r="G37" s="4" t="n">
        <v>0.1736</v>
      </c>
      <c r="H37" s="4" t="n">
        <v>0.1736</v>
      </c>
      <c r="I37" s="4" t="n">
        <v>0.096</v>
      </c>
      <c r="J37" s="4" t="n">
        <v>0.096</v>
      </c>
      <c r="K37" s="4" t="n">
        <v>0.096</v>
      </c>
      <c r="L37" s="4" t="n">
        <v>0.096</v>
      </c>
      <c r="M37" s="4" t="n">
        <v>0.096</v>
      </c>
      <c r="N37" s="4" t="n">
        <v>0.096</v>
      </c>
      <c r="O37" s="4" t="n">
        <v>0.096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10.83</v>
      </c>
      <c r="F40" s="15">
        <f>MAX((E40-F41),0)</f>
        <v/>
      </c>
      <c r="G40" s="15">
        <f>MAX((F40-G41),0)</f>
        <v/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>
        <v>0.061026</v>
      </c>
      <c r="E41" s="13" t="n">
        <v>0.109322</v>
      </c>
      <c r="F41" s="15">
        <f>IF(($C$9&gt;0),MIN(F14,MAX(E40,0)),F14)</f>
        <v/>
      </c>
      <c r="G41" s="15">
        <f>IF(($C$9&gt;0),MIN(G14,MAX(F40,0)),G14)</f>
        <v/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16">
        <f>Drivers!$G$6</f>
        <v/>
      </c>
      <c r="G42" s="16">
        <f>Drivers!$I$6</f>
        <v/>
      </c>
      <c r="H42" s="16">
        <f>Drivers!$K$6</f>
        <v/>
      </c>
      <c r="I42" s="16">
        <f>Drivers!$L$6</f>
        <v/>
      </c>
      <c r="J42" s="16">
        <f>Drivers!$M$6</f>
        <v/>
      </c>
      <c r="K42" s="16">
        <f>Drivers!$N$6</f>
        <v/>
      </c>
      <c r="L42" s="16">
        <f>Drivers!$O$6</f>
        <v/>
      </c>
      <c r="M42" s="16">
        <f>Drivers!$P$6</f>
        <v/>
      </c>
      <c r="N42" s="16">
        <f>Drivers!$Q$6</f>
        <v/>
      </c>
      <c r="O42" s="16">
        <f>Drivers!$R$6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175</v>
      </c>
      <c r="F43" s="16">
        <f>(((F15*F42)*(1-F16))+(MIN(Drivers!$G$4,(F15*F42))*F16))</f>
        <v/>
      </c>
      <c r="G43" s="16">
        <f>(((G15*G42)*(1-G16))+(MIN(Drivers!$I$4,(G15*G42))*G16))</f>
        <v/>
      </c>
      <c r="H43" s="16">
        <f>(((H15*H42)*(1-H16))+(MIN(Drivers!$K$4,(H15*H42))*H16))</f>
        <v/>
      </c>
      <c r="I43" s="16">
        <f>(((I15*I42)*(1-I16))+(MIN(Drivers!$L$4,(I15*I42))*I16))</f>
        <v/>
      </c>
      <c r="J43" s="16">
        <f>(((J15*J42)*(1-J16))+(MIN(Drivers!$M$4,(J15*J42))*J16))</f>
        <v/>
      </c>
      <c r="K43" s="16">
        <f>(((K15*K42)*(1-K16))+(MIN(Drivers!$N$4,(K15*K42))*K16))</f>
        <v/>
      </c>
      <c r="L43" s="16">
        <f>(((L15*L42)*(1-L16))+(MIN(Drivers!$O$4,(L15*L42))*L16))</f>
        <v/>
      </c>
      <c r="M43" s="16">
        <f>(((M15*M42)*(1-M16))+(MIN(Drivers!$P$4,(M15*M42))*M16))</f>
        <v/>
      </c>
      <c r="N43" s="16">
        <f>(((N15*N42)*(1-N16))+(MIN(Drivers!$Q$4,(N15*N42))*N16))</f>
        <v/>
      </c>
      <c r="O43" s="16">
        <f>(((O15*O42)*(1-O16))+(MIN(Drivers!$R$4,(O15*O42))*O16))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17">
        <f>IF(F42=0,0,F43/F42)</f>
        <v/>
      </c>
      <c r="G44" s="17">
        <f>IF(G42=0,0,G43/G42)</f>
        <v/>
      </c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16">
        <f>(((F17*F18)*(1+($C$19*(IF(Drivers!$E$8=0,0,Drivers!$G$8/Drivers!$E$8)-1))))+F20)</f>
        <v/>
      </c>
      <c r="G45" s="16">
        <f>(((G17*G18)*(1+($C$19*(IF(Drivers!$E$8=0,0,Drivers!$I$8/Drivers!$E$8)-1))))+G20)</f>
        <v/>
      </c>
      <c r="H45" s="16">
        <f>(((H17*H18)*(1+($C$19*(IF(Drivers!$E$8=0,0,Drivers!$K$8/Drivers!$E$8)-1))))+H20)</f>
        <v/>
      </c>
      <c r="I45" s="16">
        <f>(((I17*I18)*(1+($C$19*(IF(Drivers!$E$8=0,0,Drivers!$L$8/Drivers!$E$8)-1))))+I20)</f>
        <v/>
      </c>
      <c r="J45" s="16">
        <f>(((J17*J18)*(1+($C$19*(IF(Drivers!$E$8=0,0,Drivers!$M$8/Drivers!$E$8)-1))))+J20)</f>
        <v/>
      </c>
      <c r="K45" s="16">
        <f>(((K17*K18)*(1+($C$19*(IF(Drivers!$E$8=0,0,Drivers!$N$8/Drivers!$E$8)-1))))+K20)</f>
        <v/>
      </c>
      <c r="L45" s="16">
        <f>(((L17*L18)*(1+($C$19*(IF(Drivers!$E$8=0,0,Drivers!$O$8/Drivers!$E$8)-1))))+L20)</f>
        <v/>
      </c>
      <c r="M45" s="16">
        <f>(((M17*M18)*(1+($C$19*(IF(Drivers!$E$8=0,0,Drivers!$P$8/Drivers!$E$8)-1))))+M20)</f>
        <v/>
      </c>
      <c r="N45" s="16">
        <f>(((N17*N18)*(1+($C$19*(IF(Drivers!$E$8=0,0,Drivers!$Q$8/Drivers!$E$8)-1))))+N20)</f>
        <v/>
      </c>
      <c r="O45" s="16">
        <f>(((O17*O18)*(1+($C$19*(IF(Drivers!$E$8=0,0,Drivers!$R$8/Drivers!$E$8)-1))))+O20)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8">
        <f>F17</f>
        <v/>
      </c>
      <c r="G46" s="18">
        <f>G17</f>
        <v/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17">
        <f>F21</f>
        <v/>
      </c>
      <c r="G47" s="17">
        <f>G21</f>
        <v/>
      </c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>
        <v>-72.17871041780126</v>
      </c>
      <c r="E48" s="3" t="n">
        <v>49.36874539645579</v>
      </c>
      <c r="F48" s="16">
        <f>IF(IF(1000=0,0,((F41*$C$10)*Drivers!$G$7)/1000)=0,0,F61/IF(1000=0,0,((F41*$C$10)*Drivers!$G$7)/1000))</f>
        <v/>
      </c>
      <c r="G48" s="16">
        <f>IF(IF(1000=0,0,((G41*$C$10)*Drivers!$I$7)/1000)=0,0,G61/IF(1000=0,0,((G41*$C$10)*Drivers!$I$7)/1000))</f>
        <v/>
      </c>
      <c r="H48" s="16">
        <f>IF(IF(1000=0,0,((H41*$C$10)*Drivers!$K$7)/1000)=0,0,H61/IF(1000=0,0,((H41*$C$10)*Drivers!$K$7)/1000))</f>
        <v/>
      </c>
      <c r="I48" s="16">
        <f>IF(IF(1000=0,0,((I41*$C$10)*Drivers!$L$7)/1000)=0,0,I61/IF(1000=0,0,((I41*$C$10)*Drivers!$L$7)/1000))</f>
        <v/>
      </c>
      <c r="J48" s="16">
        <f>IF(IF(1000=0,0,((J41*$C$10)*Drivers!$M$7)/1000)=0,0,J61/IF(1000=0,0,((J41*$C$10)*Drivers!$M$7)/1000))</f>
        <v/>
      </c>
      <c r="K48" s="16">
        <f>IF(IF(1000=0,0,((K41*$C$10)*Drivers!$N$7)/1000)=0,0,K61/IF(1000=0,0,((K41*$C$10)*Drivers!$N$7)/1000))</f>
        <v/>
      </c>
      <c r="L48" s="16">
        <f>IF(IF(1000=0,0,((L41*$C$10)*Drivers!$O$7)/1000)=0,0,L61/IF(1000=0,0,((L41*$C$10)*Drivers!$O$7)/1000))</f>
        <v/>
      </c>
      <c r="M48" s="16">
        <f>IF(IF(1000=0,0,((M41*$C$10)*Drivers!$P$7)/1000)=0,0,M61/IF(1000=0,0,((M41*$C$10)*Drivers!$P$7)/1000))</f>
        <v/>
      </c>
      <c r="N48" s="16">
        <f>IF(IF(1000=0,0,((N41*$C$10)*Drivers!$Q$7)/1000)=0,0,N61/IF(1000=0,0,((N41*$C$10)*Drivers!$Q$7)/1000))</f>
        <v/>
      </c>
      <c r="O48" s="16">
        <f>IF(IF(1000=0,0,((O41*$C$10)*Drivers!$R$7)/1000)=0,0,O61/IF(1000=0,0,((O41*$C$10)*Drivers!$R$7)/1000))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16">
        <f>IF(IF(1000=0,0,((F41*$C$10)*Drivers!$G$7)/1000)=0,0,(F53+F52)/IF(1000=0,0,((F41*$C$10)*Drivers!$G$7)/1000))</f>
        <v/>
      </c>
      <c r="G49" s="16">
        <f>IF(IF(1000=0,0,((G41*$C$10)*Drivers!$I$7)/1000)=0,0,(G53+G52)/IF(1000=0,0,((G41*$C$10)*Drivers!$I$7)/1000))</f>
        <v/>
      </c>
      <c r="H49" s="16">
        <f>IF(IF(1000=0,0,((H41*$C$10)*Drivers!$K$7)/1000)=0,0,(H53+H52)/IF(1000=0,0,((H41*$C$10)*Drivers!$K$7)/1000))</f>
        <v/>
      </c>
      <c r="I49" s="16">
        <f>IF(IF(1000=0,0,((I41*$C$10)*Drivers!$L$7)/1000)=0,0,(I53+I52)/IF(1000=0,0,((I41*$C$10)*Drivers!$L$7)/1000))</f>
        <v/>
      </c>
      <c r="J49" s="16">
        <f>IF(IF(1000=0,0,((J41*$C$10)*Drivers!$M$7)/1000)=0,0,(J53+J52)/IF(1000=0,0,((J41*$C$10)*Drivers!$M$7)/1000))</f>
        <v/>
      </c>
      <c r="K49" s="16">
        <f>IF(IF(1000=0,0,((K41*$C$10)*Drivers!$N$7)/1000)=0,0,(K53+K52)/IF(1000=0,0,((K41*$C$10)*Drivers!$N$7)/1000))</f>
        <v/>
      </c>
      <c r="L49" s="16">
        <f>IF(IF(1000=0,0,((L41*$C$10)*Drivers!$O$7)/1000)=0,0,(L53+L52)/IF(1000=0,0,((L41*$C$10)*Drivers!$O$7)/1000))</f>
        <v/>
      </c>
      <c r="M49" s="16">
        <f>IF(IF(1000=0,0,((M41*$C$10)*Drivers!$P$7)/1000)=0,0,(M53+M52)/IF(1000=0,0,((M41*$C$10)*Drivers!$P$7)/1000))</f>
        <v/>
      </c>
      <c r="N49" s="16">
        <f>IF(IF(1000=0,0,((N41*$C$10)*Drivers!$Q$7)/1000)=0,0,(N53+N52)/IF(1000=0,0,((N41*$C$10)*Drivers!$Q$7)/1000))</f>
        <v/>
      </c>
      <c r="O49" s="16">
        <f>IF(IF(1000=0,0,((O41*$C$10)*Drivers!$R$7)/1000)=0,0,(O53+O52)/IF(1000=0,0,((O41*$C$10)*Drivers!$R$7)/1000))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31">
        <f>IF(1000=0,0,(((F41*F43)*$C$10)*Drivers!$G$7)/1000)</f>
        <v/>
      </c>
      <c r="G50" s="31">
        <f>IF(1000=0,0,(((G41*G43)*$C$10)*Drivers!$I$7)/1000)</f>
        <v/>
      </c>
      <c r="H50" s="31">
        <f>IF(1000=0,0,(((H41*H43)*$C$10)*Drivers!$K$7)/1000)</f>
        <v/>
      </c>
      <c r="I50" s="31">
        <f>IF(1000=0,0,(((I41*I43)*$C$10)*Drivers!$L$7)/1000)</f>
        <v/>
      </c>
      <c r="J50" s="31">
        <f>IF(1000=0,0,(((J41*J43)*$C$10)*Drivers!$M$7)/1000)</f>
        <v/>
      </c>
      <c r="K50" s="31">
        <f>IF(1000=0,0,(((K41*K43)*$C$10)*Drivers!$N$7)/1000)</f>
        <v/>
      </c>
      <c r="L50" s="31">
        <f>IF(1000=0,0,(((L41*L43)*$C$10)*Drivers!$O$7)/1000)</f>
        <v/>
      </c>
      <c r="M50" s="31">
        <f>IF(1000=0,0,(((M41*M43)*$C$10)*Drivers!$P$7)/1000)</f>
        <v/>
      </c>
      <c r="N50" s="31">
        <f>IF(1000=0,0,(((N41*N43)*$C$10)*Drivers!$Q$7)/1000)</f>
        <v/>
      </c>
      <c r="O50" s="31">
        <f>IF(1000=0,0,(((O41*O43)*$C$10)*Drivers!$R$7)/1000)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5">
        <f>F22</f>
        <v/>
      </c>
      <c r="G51" s="15">
        <f>G22</f>
        <v/>
      </c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5">
        <f>(F50*F47)</f>
        <v/>
      </c>
      <c r="G52" s="15">
        <f>(G50*G47)</f>
        <v/>
      </c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31">
        <f>IF(1000=0,0,(((F41*F45)*$C$10)*Drivers!$G$7)/1000)</f>
        <v/>
      </c>
      <c r="G53" s="31">
        <f>IF(1000=0,0,(((G41*G45)*$C$10)*Drivers!$I$7)/1000)</f>
        <v/>
      </c>
      <c r="H53" s="31">
        <f>IF(1000=0,0,(((H41*H45)*$C$10)*Drivers!$K$7)/1000)</f>
        <v/>
      </c>
      <c r="I53" s="31">
        <f>IF(1000=0,0,(((I41*I45)*$C$10)*Drivers!$L$7)/1000)</f>
        <v/>
      </c>
      <c r="J53" s="31">
        <f>IF(1000=0,0,(((J41*J45)*$C$10)*Drivers!$M$7)/1000)</f>
        <v/>
      </c>
      <c r="K53" s="31">
        <f>IF(1000=0,0,(((K41*K45)*$C$10)*Drivers!$N$7)/1000)</f>
        <v/>
      </c>
      <c r="L53" s="31">
        <f>IF(1000=0,0,(((L41*L45)*$C$10)*Drivers!$O$7)/1000)</f>
        <v/>
      </c>
      <c r="M53" s="31">
        <f>IF(1000=0,0,(((M41*M45)*$C$10)*Drivers!$P$7)/1000)</f>
        <v/>
      </c>
      <c r="N53" s="31">
        <f>IF(1000=0,0,(((N41*N45)*$C$10)*Drivers!$Q$7)/1000)</f>
        <v/>
      </c>
      <c r="O53" s="31">
        <f>IF(1000=0,0,(((O41*O45)*$C$10)*Drivers!$R$7)/1000)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5">
        <f>(F51*(1-$C$23))</f>
        <v/>
      </c>
      <c r="G54" s="15">
        <f>(G51*(1-$C$23))</f>
        <v/>
      </c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43.523306126</v>
      </c>
      <c r="E55" s="13" t="n">
        <v>456.751065782</v>
      </c>
      <c r="F55" s="15">
        <f>(F50+F51)</f>
        <v/>
      </c>
      <c r="G55" s="15">
        <f>(G50+G51)</f>
        <v/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68.53214369</v>
      </c>
      <c r="E56" s="13" t="n">
        <v>272.106815142</v>
      </c>
      <c r="F56" s="15">
        <f>(((F53+F52)+F54)+F60)</f>
        <v/>
      </c>
      <c r="G56" s="15">
        <f>(((G53+G52)+G54)+G60)</f>
        <v/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-25.008837564</v>
      </c>
      <c r="E57" s="13" t="n">
        <v>184.64425064</v>
      </c>
      <c r="F57" s="15">
        <f>(F55-F56)</f>
        <v/>
      </c>
      <c r="G57" s="15">
        <f>(G55-G56)</f>
        <v/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46.846850905</v>
      </c>
      <c r="E58" s="13" t="n">
        <v>116.024090817</v>
      </c>
      <c r="F58" s="15">
        <f>(F55*F37)</f>
        <v/>
      </c>
      <c r="G58" s="15">
        <f>(G55*G37)</f>
        <v/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-71.855688469</v>
      </c>
      <c r="E59" s="13" t="n">
        <v>68.62015982299999</v>
      </c>
      <c r="F59" s="15">
        <f>(F57-F58)</f>
        <v/>
      </c>
      <c r="G59" s="15">
        <f>(G57-G58)</f>
        <v/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8.820938729</v>
      </c>
      <c r="E60" s="13" t="n">
        <v>11.489803717</v>
      </c>
      <c r="F60" s="15">
        <f>IF(1000=0,0,((F41*F24)*$C$10)/1000)</f>
        <v/>
      </c>
      <c r="G60" s="15">
        <f>IF(1000=0,0,((G41*G24)*$C$10)/1000)</f>
        <v/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-63.03474974</v>
      </c>
      <c r="E61" s="13" t="n">
        <v>80.10996354</v>
      </c>
      <c r="F61" s="15">
        <f>(F59+F60)</f>
        <v/>
      </c>
      <c r="G61" s="15">
        <f>(G59+G60)</f>
        <v/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9.10455383</v>
      </c>
      <c r="E62" s="13" t="n">
        <v>31.257290623</v>
      </c>
      <c r="F62" s="15">
        <f>(E82*$C$29)</f>
        <v/>
      </c>
      <c r="G62" s="15">
        <f>(F82*$C$29)</f>
        <v/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5">
        <f>(E81*$C$30)</f>
        <v/>
      </c>
      <c r="G63" s="15">
        <f>(F81*$C$30)</f>
        <v/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5">
        <f>F32</f>
        <v/>
      </c>
      <c r="G64" s="15">
        <f>G32</f>
        <v/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-165.282610741</v>
      </c>
      <c r="E65" s="13" t="n">
        <v>37.694027644</v>
      </c>
      <c r="F65" s="15">
        <f>(((F59-F62)+F63)+F64)</f>
        <v/>
      </c>
      <c r="G65" s="15">
        <f>(((G59-G62)+G63)+G64)</f>
        <v/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0.0819621</v>
      </c>
      <c r="E66" s="13" t="n">
        <v>-1.334025896</v>
      </c>
      <c r="F66" s="15">
        <f>(MAX(F65,0)*F28)</f>
        <v/>
      </c>
      <c r="G66" s="15">
        <f>(MAX(G65,0)*G28)</f>
        <v/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-165.364572841</v>
      </c>
      <c r="E67" s="13" t="n">
        <v>39.02805354</v>
      </c>
      <c r="F67" s="15">
        <f>(F65-F66)</f>
        <v/>
      </c>
      <c r="G67" s="15">
        <f>(G65-G66)</f>
        <v/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-0.001248674000009942</v>
      </c>
      <c r="E68" s="13" t="n">
        <v>-0.001729044000001068</v>
      </c>
      <c r="F68" s="15">
        <f>(F67*F33)</f>
        <v/>
      </c>
      <c r="G68" s="15">
        <f>(G67*G33)</f>
        <v/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-165.363324167</v>
      </c>
      <c r="E69" s="13" t="n">
        <v>39.029782584</v>
      </c>
      <c r="F69" s="15">
        <f>(F67-F68)</f>
        <v/>
      </c>
      <c r="G69" s="15">
        <f>(G67-G68)</f>
        <v/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1400</v>
      </c>
      <c r="E70" s="13" t="n">
        <v>1400</v>
      </c>
      <c r="F70" s="15">
        <f>(E70*(1+F35))</f>
        <v/>
      </c>
      <c r="G70" s="15">
        <f>(F70*(1+G35))</f>
        <v/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-118.1166601192857</v>
      </c>
      <c r="E71" s="20" t="n">
        <v>27.87841613142857</v>
      </c>
      <c r="F71" s="21">
        <f>(IF(F70=0,0,F69/F70)*$C$8)</f>
        <v/>
      </c>
      <c r="G71" s="21">
        <f>(IF(G70=0,0,G69/G70)*$C$8)</f>
        <v/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1">
        <f>(MAX(F71,0)*F34)</f>
        <v/>
      </c>
      <c r="G72" s="21">
        <f>(MAX(G71,0)*G34)</f>
        <v/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5">
        <f>IF($C$8=0,0,(E72*E70)/$C$8)</f>
        <v/>
      </c>
      <c r="G73" s="15">
        <f>IF($C$8=0,0,(F72*F70)/$C$8)</f>
        <v/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7.191254433</v>
      </c>
      <c r="E74" s="13" t="n">
        <v>6.994160188</v>
      </c>
      <c r="F74" s="15">
        <f>(IF(1000=0,0,((F41*F25)*$C$10)/1000)+F26)</f>
        <v/>
      </c>
      <c r="G74" s="15">
        <f>(IF(1000=0,0,((G41*G25)*$C$10)/1000)+G26)</f>
        <v/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-27.44550927899999</v>
      </c>
      <c r="F75" s="15">
        <f>(F80-E80)</f>
        <v/>
      </c>
      <c r="G75" s="15">
        <f>(G80-F80)</f>
        <v/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102.9898424515885</v>
      </c>
      <c r="F76" s="15">
        <f>((((F59*(1-F28))+F60)-F74)-F75)</f>
        <v/>
      </c>
      <c r="G76" s="15">
        <f>((((G59*(1-G28))+G60)-G74)-G75)</f>
        <v/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-18.06946316099999</v>
      </c>
      <c r="F77" s="15">
        <f>F31</f>
        <v/>
      </c>
      <c r="G77" s="15">
        <f>G31</f>
        <v/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5">
        <f>(MAX(E68,0)*F34)</f>
        <v/>
      </c>
      <c r="G78" s="15">
        <f>(MAX(F68,0)*G34)</f>
        <v/>
      </c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5">
        <f>(((((F67+F60)-F74)-F75)+F77)-F78)</f>
        <v/>
      </c>
      <c r="G79" s="15">
        <f>(((((G67+G60)-G74)-G75)+G77)-G78)</f>
        <v/>
      </c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-23.86304908700001</v>
      </c>
      <c r="E80" s="13" t="n">
        <v>-51.308558366</v>
      </c>
      <c r="F80" s="15">
        <f>(F55*F27)</f>
        <v/>
      </c>
      <c r="G80" s="15">
        <f>(G55*G27)</f>
        <v/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1.942543427</v>
      </c>
      <c r="E81" s="13" t="n">
        <v>15.314049786</v>
      </c>
      <c r="F81" s="15">
        <f>(((((((E81+F67)+F60)-F74)-F75)+F77)-F73)-F78)</f>
        <v/>
      </c>
      <c r="G81" s="15">
        <f>(((((((F81+G67)+G60)-G74)-G75)+G77)-G73)-G78)</f>
        <v/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218.276145693</v>
      </c>
      <c r="E82" s="13" t="n">
        <v>200.206682532</v>
      </c>
      <c r="F82" s="15">
        <f>(E82+F77)</f>
        <v/>
      </c>
      <c r="G82" s="15">
        <f>(F82+G77)</f>
        <v/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362.982797183</v>
      </c>
      <c r="E83" s="13" t="n">
        <v>354.19444453</v>
      </c>
      <c r="F83" s="15">
        <f>((E83+F74)-F60)</f>
        <v/>
      </c>
      <c r="G83" s="15">
        <f>((F83+G74)-G60)</f>
        <v/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-78.016564558</v>
      </c>
      <c r="E84" s="13" t="n">
        <v>-39.383249599</v>
      </c>
      <c r="F84" s="15">
        <f>((E84+F69)-F73)</f>
        <v/>
      </c>
      <c r="G84" s="15">
        <f>((F84+G69)-G73)</f>
        <v/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0.002301699</v>
      </c>
      <c r="E85" s="13" t="n">
        <v>0.000569324</v>
      </c>
      <c r="F85" s="15">
        <f>((E85+F68)-F78)</f>
        <v/>
      </c>
      <c r="G85" s="15">
        <f>((F85+G68)-G78)</f>
        <v/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-200.800408689</v>
      </c>
      <c r="E86" s="13" t="n">
        <v>-157.375933693</v>
      </c>
      <c r="F86" s="15">
        <f>E86</f>
        <v/>
      </c>
      <c r="G86" s="15">
        <f>F86</f>
        <v/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5">
        <f>((((((F81+F80)+F83)+F86)-F82)-F84)-F85)</f>
        <v/>
      </c>
      <c r="G87" s="15">
        <f>((((((G81+G80)+G83)+G86)-G82)-G84)-G85)</f>
        <v/>
      </c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216.333602266</v>
      </c>
      <c r="E88" s="13" t="n">
        <v>184.892632746</v>
      </c>
      <c r="F88" s="15">
        <f>(F82-F81)</f>
        <v/>
      </c>
      <c r="G88" s="15">
        <f>(G82-G81)</f>
        <v/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-55.72611754142856</v>
      </c>
      <c r="E89" s="20" t="n">
        <v>-28.13089257071429</v>
      </c>
      <c r="F89" s="21">
        <f>(IF(F70=0,0,F84/F70)*$C$8)</f>
        <v/>
      </c>
      <c r="G89" s="21">
        <f>(IF(G70=0,0,G84/G70)*$C$8)</f>
        <v/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9.494401883434714</v>
      </c>
      <c r="F90" s="17">
        <f>(IF(E55=0,0,F55/E55)-1)</f>
        <v/>
      </c>
      <c r="G90" s="17">
        <f>(IF(F55=0,0,G55/F55)-1)</f>
        <v/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-0.5746079466389662</v>
      </c>
      <c r="E91" s="4" t="n">
        <v>0.4042557630902776</v>
      </c>
      <c r="F91" s="17">
        <f>IF(F55=0,0,F57/F55)</f>
        <v/>
      </c>
      <c r="G91" s="17">
        <f>IF(G55=0,0,G57/G55)</f>
        <v/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-1.44829874728529</v>
      </c>
      <c r="E92" s="4" t="n">
        <v>0.175390862860592</v>
      </c>
      <c r="F92" s="17">
        <f>IF(F55=0,0,F61/F55)</f>
        <v/>
      </c>
      <c r="G92" s="17">
        <f>IF(G55=0,0,G61/G55)</f>
        <v/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-1.650970361970613</v>
      </c>
      <c r="E93" s="4" t="n">
        <v>0.1502353578650461</v>
      </c>
      <c r="F93" s="17">
        <f>IF(F55=0,0,F59/F55)</f>
        <v/>
      </c>
      <c r="G93" s="17">
        <f>IF(G55=0,0,G59/G55)</f>
        <v/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-3.799420101227445</v>
      </c>
      <c r="E94" s="4" t="n">
        <v>0.08545088453636646</v>
      </c>
      <c r="F94" s="17">
        <f>IF(F55=0,0,F69/F55)</f>
        <v/>
      </c>
      <c r="G94" s="17">
        <f>IF(G55=0,0,G69/G55)</f>
        <v/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-1.23602441944493</v>
      </c>
      <c r="F95" s="17">
        <f>(IF(E71=0,0,F71/E71)-1)</f>
        <v/>
      </c>
      <c r="G95" s="17">
        <f>(IF(F71=0,0,G71/F71)-1)</f>
        <v/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-0.6649036519223968</v>
      </c>
      <c r="F96" s="17">
        <f>IF(IF(2=0,0,(F84+E84)/2)=0,0,F69/IF(2=0,0,(F84+E84)/2))</f>
        <v/>
      </c>
      <c r="G96" s="17">
        <f>IF(IF(2=0,0,(G84+F84)/2)=0,0,G69/IF(2=0,0,(G84+F84)/2))</f>
        <v/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-3.431973683695313</v>
      </c>
      <c r="E97" s="22" t="n">
        <v>2.307985481152798</v>
      </c>
      <c r="F97" s="23">
        <f>IF(F61=0,0,F88/F61)</f>
        <v/>
      </c>
      <c r="G97" s="23">
        <f>IF(G61=0,0,G88/G61)</f>
        <v/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-0</v>
      </c>
      <c r="E98" s="4" t="n">
        <v>0</v>
      </c>
      <c r="F98" s="17">
        <f>IF(F71=0,0,F72/F71)</f>
        <v/>
      </c>
      <c r="G98" s="17">
        <f>IF(G71=0,0,G72/G71)</f>
        <v/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0.1652276693360866</v>
      </c>
      <c r="E99" s="4" t="n">
        <v>0.01531284919067535</v>
      </c>
      <c r="F99" s="17">
        <f>IF(F55=0,0,F74/F55)</f>
        <v/>
      </c>
      <c r="G99" s="17">
        <f>IF(G55=0,0,G74/G55)</f>
        <v/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</v>
      </c>
    </row>
    <row r="103">
      <c r="A103" t="inlineStr">
        <is>
          <t>Shares outstanding (m)</t>
        </is>
      </c>
      <c r="C103" s="13" t="n">
        <v>1400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200.206682532</v>
      </c>
    </row>
    <row r="106">
      <c r="A106" t="inlineStr">
        <is>
          <t>Cash at balance-sheet date</t>
        </is>
      </c>
      <c r="C106" s="13" t="n">
        <v>15.314049786</v>
      </c>
    </row>
    <row r="107">
      <c r="A107" t="inlineStr">
        <is>
          <t>Minority interest (book)</t>
        </is>
      </c>
      <c r="C107" s="13" t="n">
        <v>0.000569324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-39.383818923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F126" s="6" t="n">
        <v>0.996578</v>
      </c>
      <c r="G126" s="6" t="n">
        <v>0.999316</v>
      </c>
      <c r="H126" s="6" t="n">
        <v>0.996578</v>
      </c>
      <c r="I126" s="6" t="n">
        <v>0.996578</v>
      </c>
      <c r="J126" s="6" t="n">
        <v>0.996578</v>
      </c>
      <c r="K126" s="6" t="n">
        <v>0.999316</v>
      </c>
      <c r="L126" s="6" t="n">
        <v>0.996578</v>
      </c>
      <c r="M126" s="6" t="n">
        <v>0.996578</v>
      </c>
      <c r="N126" s="6" t="n">
        <v>0.996578</v>
      </c>
      <c r="O126" s="6" t="n">
        <v>0.999316</v>
      </c>
    </row>
    <row r="127">
      <c r="A127" t="inlineStr">
        <is>
          <t>Discount time from valuation date (years)</t>
        </is>
      </c>
      <c r="F127" s="6" t="n">
        <v>0</v>
      </c>
      <c r="G127" s="6" t="n">
        <v>0</v>
      </c>
      <c r="H127" s="6" t="n">
        <v>0</v>
      </c>
      <c r="I127" s="6" t="n">
        <v>0</v>
      </c>
      <c r="J127" s="6" t="n">
        <v>0.673511</v>
      </c>
      <c r="K127" s="6" t="n">
        <v>1.672827</v>
      </c>
      <c r="L127" s="6" t="n">
        <v>2.67488</v>
      </c>
      <c r="M127" s="6" t="n">
        <v>3.674196</v>
      </c>
      <c r="N127" s="6" t="n">
        <v>4.673511</v>
      </c>
      <c r="O127" s="6" t="n">
        <v>5.672827</v>
      </c>
    </row>
    <row r="128">
      <c r="A128" t="inlineStr">
        <is>
          <t>Discount factor</t>
        </is>
      </c>
      <c r="F128">
        <f>1/(1+$C$122)^F127</f>
        <v/>
      </c>
      <c r="G128">
        <f>1/(1+$C$122)^G127</f>
        <v/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</row>
    <row r="129">
      <c r="A129" t="inlineStr">
        <is>
          <t>PV of FCFF</t>
        </is>
      </c>
      <c r="F129" s="26">
        <f>F76*F126*F128</f>
        <v/>
      </c>
      <c r="G129" s="26">
        <f>G76*G126*G128</f>
        <v/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</row>
    <row r="130">
      <c r="A130" t="inlineStr">
        <is>
          <t>Cumulative PV (production stops at its peak)</t>
        </is>
      </c>
      <c r="F130" s="26">
        <f>F129</f>
        <v/>
      </c>
      <c r="G130" s="26">
        <f>F130+G129</f>
        <v/>
      </c>
      <c r="H130" s="26">
        <f>G130+H129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</row>
    <row r="131">
      <c r="A131" t="inlineStr">
        <is>
          <t>Best cumulative PV (never below zero)</t>
        </is>
      </c>
      <c r="C131" s="26">
        <f>MAX(0,MAX(F130:O130))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144.4498755162188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52.826495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63.892778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74.498706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84.630081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94.272706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6.359162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625.916602560691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2049.695293542407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6957.55186913814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1933.027033</v>
      </c>
      <c r="E167" s="27" t="n">
        <v>2268.619833</v>
      </c>
      <c r="F167" s="27" t="n">
        <v>3091.516096</v>
      </c>
      <c r="G167" s="27" t="n">
        <v>4162.694182</v>
      </c>
      <c r="H167" s="27" t="n">
        <v>5248.112674</v>
      </c>
    </row>
    <row r="168">
      <c r="C168" s="1" t="n">
        <v>0.95</v>
      </c>
      <c r="D168" s="27" t="n">
        <v>2040.417424</v>
      </c>
      <c r="E168" s="27" t="n">
        <v>2394.654268</v>
      </c>
      <c r="F168" s="27" t="n">
        <v>3263.266991</v>
      </c>
      <c r="G168" s="27" t="n">
        <v>4393.95497</v>
      </c>
      <c r="H168" s="27" t="n">
        <v>5539.674489</v>
      </c>
    </row>
    <row r="169">
      <c r="C169" s="1" t="n">
        <v>1</v>
      </c>
      <c r="D169" s="27" t="n">
        <v>2147.807815</v>
      </c>
      <c r="E169" s="27" t="n">
        <v>2520.688703</v>
      </c>
      <c r="F169" s="27" t="n">
        <v>3435.017885</v>
      </c>
      <c r="G169" s="27" t="n">
        <v>4625.215758</v>
      </c>
      <c r="H169" s="27" t="n">
        <v>5831.236305</v>
      </c>
    </row>
    <row r="170">
      <c r="C170" s="1" t="n">
        <v>1.05</v>
      </c>
      <c r="D170" s="27" t="n">
        <v>2255.198205</v>
      </c>
      <c r="E170" s="27" t="n">
        <v>2646.723139</v>
      </c>
      <c r="F170" s="27" t="n">
        <v>3606.768779</v>
      </c>
      <c r="G170" s="27" t="n">
        <v>4856.476546</v>
      </c>
      <c r="H170" s="27" t="n">
        <v>6122.79812</v>
      </c>
    </row>
    <row r="171">
      <c r="C171" s="1" t="n">
        <v>1.1</v>
      </c>
      <c r="D171" s="27" t="n">
        <v>2362.588596</v>
      </c>
      <c r="E171" s="27" t="n">
        <v>2772.757574</v>
      </c>
      <c r="F171" s="27" t="n">
        <v>3778.519673</v>
      </c>
      <c r="G171" s="27" t="n">
        <v>5087.737334</v>
      </c>
      <c r="H171" s="27" t="n">
        <v>6414.359935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4854.514203</v>
      </c>
      <c r="E175" s="27" t="n">
        <v>4178.665511</v>
      </c>
      <c r="F175" s="27" t="n">
        <v>3502.816818</v>
      </c>
      <c r="G175" s="27" t="n">
        <v>2826.968126</v>
      </c>
      <c r="H175" s="27" t="n">
        <v>2406.98955</v>
      </c>
    </row>
    <row r="176">
      <c r="C176" s="1" t="n">
        <v>0.95</v>
      </c>
      <c r="D176" s="27" t="n">
        <v>5007.590814</v>
      </c>
      <c r="E176" s="27" t="n">
        <v>4294.194972</v>
      </c>
      <c r="F176" s="27" t="n">
        <v>3580.799131</v>
      </c>
      <c r="G176" s="27" t="n">
        <v>2867.403289</v>
      </c>
      <c r="H176" s="27" t="n">
        <v>2424.09257</v>
      </c>
    </row>
    <row r="177">
      <c r="C177" s="1" t="n">
        <v>1</v>
      </c>
      <c r="D177" s="27" t="n">
        <v>5160.667426</v>
      </c>
      <c r="E177" s="27" t="n">
        <v>4409.724434</v>
      </c>
      <c r="F177" s="27" t="n">
        <v>3658.781443</v>
      </c>
      <c r="G177" s="27" t="n">
        <v>2907.838452</v>
      </c>
      <c r="H177" s="27" t="n">
        <v>2441.195589</v>
      </c>
    </row>
    <row r="178">
      <c r="C178" s="1" t="n">
        <v>1.05</v>
      </c>
      <c r="D178" s="27" t="n">
        <v>5313.744037</v>
      </c>
      <c r="E178" s="27" t="n">
        <v>4525.253896</v>
      </c>
      <c r="F178" s="27" t="n">
        <v>3736.763756</v>
      </c>
      <c r="G178" s="27" t="n">
        <v>2948.273615</v>
      </c>
      <c r="H178" s="27" t="n">
        <v>2458.298609</v>
      </c>
    </row>
    <row r="179">
      <c r="C179" s="1" t="n">
        <v>1.1</v>
      </c>
      <c r="D179" s="27" t="n">
        <v>5466.820649</v>
      </c>
      <c r="E179" s="27" t="n">
        <v>4640.783358</v>
      </c>
      <c r="F179" s="27" t="n">
        <v>3814.746068</v>
      </c>
      <c r="G179" s="27" t="n">
        <v>2988.708778</v>
      </c>
      <c r="H179" s="27" t="n">
        <v>2475.401628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0.0168</v>
      </c>
      <c r="I27" s="4" t="n">
        <v>0.0168</v>
      </c>
      <c r="J27" s="4" t="n">
        <v>0.0168</v>
      </c>
      <c r="K27" s="4" t="n">
        <v>0.0168</v>
      </c>
      <c r="L27" s="4" t="n">
        <v>0.0168</v>
      </c>
      <c r="M27" s="4" t="n">
        <v>0.0168</v>
      </c>
      <c r="N27" s="4" t="n">
        <v>0.0168</v>
      </c>
      <c r="O27" s="4" t="n">
        <v>0.0168</v>
      </c>
      <c r="P27" s="4" t="n">
        <v>0.0168</v>
      </c>
      <c r="Q27" s="4" t="n">
        <v>0.0168</v>
      </c>
      <c r="R27" s="4" t="n">
        <v>0.0168</v>
      </c>
      <c r="S27" s="4" t="n">
        <v>0.0168</v>
      </c>
      <c r="T27" s="4" t="n">
        <v>0.0168</v>
      </c>
      <c r="U27" s="4" t="n">
        <v>0.0168</v>
      </c>
      <c r="V27" s="4" t="n">
        <v>0.0168</v>
      </c>
      <c r="W27" s="4" t="n">
        <v>0.0168</v>
      </c>
      <c r="X27" s="4" t="n">
        <v>0.0168</v>
      </c>
      <c r="Y27" s="4" t="n">
        <v>0.0168</v>
      </c>
      <c r="Z27" s="4" t="n">
        <v>0.0168</v>
      </c>
      <c r="AA27" s="4" t="n">
        <v>0.0168</v>
      </c>
      <c r="AB27" s="4" t="n">
        <v>0.0168</v>
      </c>
      <c r="AC27" s="4" t="n">
        <v>0.0168</v>
      </c>
      <c r="AD27" s="4" t="n">
        <v>0.0168</v>
      </c>
      <c r="AE27" s="4" t="n">
        <v>0.0168</v>
      </c>
      <c r="AF27" s="4" t="n">
        <v>0.0168</v>
      </c>
      <c r="AG27" s="4" t="n">
        <v>0.0168</v>
      </c>
      <c r="AH27" s="4" t="n">
        <v>0.0168</v>
      </c>
      <c r="AI27" s="4" t="n">
        <v>0.0168</v>
      </c>
      <c r="AJ27" s="4" t="n">
        <v>0.0168</v>
      </c>
      <c r="AK27" s="4" t="n">
        <v>0.0168</v>
      </c>
      <c r="AL27" s="4" t="n">
        <v>0.0168</v>
      </c>
      <c r="AM27" s="4" t="n">
        <v>0.0168</v>
      </c>
      <c r="AN27" s="4" t="n">
        <v>0.0168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  <c r="W47" s="9">
        <f>VLOOKUP(Drivers!$AA$5,Drivers!$B$25:$C$30,2,TRUE)</f>
        <v/>
      </c>
      <c r="X47" s="9">
        <f>VLOOKUP(Drivers!$AB$5,Drivers!$B$25:$C$30,2,TRUE)</f>
        <v/>
      </c>
      <c r="Y47" s="9">
        <f>VLOOKUP(Drivers!$AC$5,Drivers!$B$25:$C$30,2,TRUE)</f>
        <v/>
      </c>
      <c r="Z47" s="9">
        <f>VLOOKUP(Drivers!$AD$5,Drivers!$B$25:$C$30,2,TRUE)</f>
        <v/>
      </c>
      <c r="AA47" s="9">
        <f>VLOOKUP(Drivers!$AE$5,Drivers!$B$25:$C$30,2,TRUE)</f>
        <v/>
      </c>
      <c r="AB47" s="9">
        <f>VLOOKUP(Drivers!$AF$5,Drivers!$B$25:$C$30,2,TRUE)</f>
        <v/>
      </c>
      <c r="AC47" s="9">
        <f>VLOOKUP(Drivers!$AG$5,Drivers!$B$25:$C$30,2,TRUE)</f>
        <v/>
      </c>
      <c r="AD47" s="9">
        <f>VLOOKUP(Drivers!$AH$5,Drivers!$B$25:$C$30,2,TRUE)</f>
        <v/>
      </c>
      <c r="AE47" s="9">
        <f>VLOOKUP(Drivers!$AI$5,Drivers!$B$25:$C$30,2,TRUE)</f>
        <v/>
      </c>
      <c r="AF47" s="9">
        <f>VLOOKUP(Drivers!$AJ$5,Drivers!$B$25:$C$30,2,TRUE)</f>
        <v/>
      </c>
      <c r="AG47" s="9">
        <f>VLOOKUP(Drivers!$AK$5,Drivers!$B$25:$C$30,2,TRUE)</f>
        <v/>
      </c>
      <c r="AH47" s="9">
        <f>VLOOKUP(Drivers!$AL$5,Drivers!$B$25:$C$30,2,TRUE)</f>
        <v/>
      </c>
      <c r="AI47" s="9">
        <f>VLOOKUP(Drivers!$AM$5,Drivers!$B$25:$C$30,2,TRUE)</f>
        <v/>
      </c>
      <c r="AJ47" s="9">
        <f>VLOOKUP(Drivers!$AN$5,Drivers!$B$25:$C$30,2,TRUE)</f>
        <v/>
      </c>
      <c r="AK47" s="9">
        <f>VLOOKUP(Drivers!$AO$5,Drivers!$B$25:$C$30,2,TRUE)</f>
        <v/>
      </c>
      <c r="AL47" s="9">
        <f>VLOOKUP(Drivers!$AP$5,Drivers!$B$25:$C$30,2,TRUE)</f>
        <v/>
      </c>
      <c r="AM47" s="9">
        <f>VLOOKUP(Drivers!$AQ$5,Drivers!$B$25:$C$30,2,TRUE)</f>
        <v/>
      </c>
      <c r="AN47" s="9">
        <f>VLOOKUP(Drivers!$AR$5,Drivers!$B$25:$C$30,2,TRUE)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0.2555544536385841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  <c r="AG127" s="6" t="n">
        <v>24.673511</v>
      </c>
      <c r="AH127" s="6" t="n">
        <v>25.672827</v>
      </c>
      <c r="AI127" s="6" t="n">
        <v>26.67488</v>
      </c>
      <c r="AJ127" s="6" t="n">
        <v>27.674196</v>
      </c>
      <c r="AK127" s="6" t="n">
        <v>28.673511</v>
      </c>
      <c r="AL127" s="6" t="n">
        <v>29.672827</v>
      </c>
      <c r="AM127" s="6" t="n">
        <v>30.67488</v>
      </c>
      <c r="AN127" s="6" t="n">
        <v>31.674196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6.294271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17.33169349201261</v>
      </c>
    </row>
    <row r="150">
      <c r="A150" t="inlineStr">
        <is>
          <t>Base probability</t>
        </is>
      </c>
      <c r="C150" s="4" t="n">
        <v>0.6</v>
      </c>
    </row>
    <row r="151">
      <c r="A151" t="inlineStr">
        <is>
          <t>Bull probability</t>
        </is>
      </c>
      <c r="C151" s="4" t="n">
        <v>0.15</v>
      </c>
    </row>
    <row r="152">
      <c r="A152" t="inlineStr">
        <is>
          <t>Bull 12-month value (engine)</t>
        </is>
      </c>
      <c r="C152" s="20" t="n">
        <v>241.7546212715495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2.582475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15.583576</v>
      </c>
      <c r="E170" s="27" t="n">
        <v>15.583576</v>
      </c>
      <c r="F170" s="27" t="n">
        <v>19.184741</v>
      </c>
      <c r="G170" s="27" t="n">
        <v>61.715362</v>
      </c>
      <c r="H170" s="27" t="n">
        <v>100.604377</v>
      </c>
    </row>
    <row r="171">
      <c r="C171" s="1" t="n">
        <v>0.95</v>
      </c>
      <c r="D171" s="27" t="n">
        <v>16.457219</v>
      </c>
      <c r="E171" s="27" t="n">
        <v>16.457219</v>
      </c>
      <c r="F171" s="27" t="n">
        <v>20.263255</v>
      </c>
      <c r="G171" s="27" t="n">
        <v>65.187304</v>
      </c>
      <c r="H171" s="27" t="n">
        <v>106.2663</v>
      </c>
    </row>
    <row r="172">
      <c r="C172" s="1" t="n">
        <v>1</v>
      </c>
      <c r="D172" s="27" t="n">
        <v>17.331693</v>
      </c>
      <c r="E172" s="27" t="n">
        <v>17.331693</v>
      </c>
      <c r="F172" s="27" t="n">
        <v>21.343045</v>
      </c>
      <c r="G172" s="27" t="n">
        <v>68.663562</v>
      </c>
      <c r="H172" s="27" t="n">
        <v>111.935447</v>
      </c>
    </row>
    <row r="173">
      <c r="C173" s="1" t="n">
        <v>1.05</v>
      </c>
      <c r="D173" s="27" t="n">
        <v>18.206998</v>
      </c>
      <c r="E173" s="27" t="n">
        <v>18.206998</v>
      </c>
      <c r="F173" s="27" t="n">
        <v>22.424105</v>
      </c>
      <c r="G173" s="27" t="n">
        <v>72.144108</v>
      </c>
      <c r="H173" s="27" t="n">
        <v>117.611765</v>
      </c>
    </row>
    <row r="174">
      <c r="C174" s="1" t="n">
        <v>1.1</v>
      </c>
      <c r="D174" s="27" t="n">
        <v>19.083133</v>
      </c>
      <c r="E174" s="27" t="n">
        <v>19.083133</v>
      </c>
      <c r="F174" s="27" t="n">
        <v>23.506426</v>
      </c>
      <c r="G174" s="27" t="n">
        <v>75.62891399999999</v>
      </c>
      <c r="H174" s="27" t="n">
        <v>123.295206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73.015199</v>
      </c>
      <c r="E178" s="27" t="n">
        <v>49.75709</v>
      </c>
      <c r="F178" s="27" t="n">
        <v>28.139271</v>
      </c>
      <c r="G178" s="27" t="n">
        <v>17.331693</v>
      </c>
      <c r="H178" s="27" t="n">
        <v>17.331693</v>
      </c>
    </row>
    <row r="179">
      <c r="C179" s="1" t="n">
        <v>0.95</v>
      </c>
      <c r="D179" s="27" t="n">
        <v>77.950444</v>
      </c>
      <c r="E179" s="27" t="n">
        <v>53.400219</v>
      </c>
      <c r="F179" s="27" t="n">
        <v>30.581409</v>
      </c>
      <c r="G179" s="27" t="n">
        <v>17.331693</v>
      </c>
      <c r="H179" s="27" t="n">
        <v>17.331693</v>
      </c>
    </row>
    <row r="180">
      <c r="C180" s="1" t="n">
        <v>1</v>
      </c>
      <c r="D180" s="27" t="n">
        <v>82.88569</v>
      </c>
      <c r="E180" s="27" t="n">
        <v>57.043347</v>
      </c>
      <c r="F180" s="27" t="n">
        <v>33.023548</v>
      </c>
      <c r="G180" s="27" t="n">
        <v>17.331693</v>
      </c>
      <c r="H180" s="27" t="n">
        <v>17.331693</v>
      </c>
    </row>
    <row r="181">
      <c r="C181" s="1" t="n">
        <v>1.05</v>
      </c>
      <c r="D181" s="27" t="n">
        <v>87.820936</v>
      </c>
      <c r="E181" s="27" t="n">
        <v>60.686476</v>
      </c>
      <c r="F181" s="27" t="n">
        <v>35.465686</v>
      </c>
      <c r="G181" s="27" t="n">
        <v>17.331693</v>
      </c>
      <c r="H181" s="27" t="n">
        <v>17.331693</v>
      </c>
    </row>
    <row r="182">
      <c r="C182" s="1" t="n">
        <v>1.1</v>
      </c>
      <c r="D182" s="27" t="n">
        <v>92.756181</v>
      </c>
      <c r="E182" s="27" t="n">
        <v>64.329604</v>
      </c>
      <c r="F182" s="27" t="n">
        <v>37.907825</v>
      </c>
      <c r="G182" s="27" t="n">
        <v>17.331693</v>
      </c>
      <c r="H182" s="27" t="n">
        <v>17.331693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73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  <c r="AE14" s="13" t="n">
        <v>80</v>
      </c>
      <c r="AF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0.4465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6.294271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0.030178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546.9846213450508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1935.109915263591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6182.5266833932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2.417606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1889.679077</v>
      </c>
      <c r="E176" s="27" t="n">
        <v>2547.97961</v>
      </c>
      <c r="F176" s="27" t="n">
        <v>3332.217137</v>
      </c>
      <c r="G176" s="27" t="n">
        <v>4183.127724</v>
      </c>
      <c r="H176" s="27" t="n">
        <v>5047.521316</v>
      </c>
    </row>
    <row r="177">
      <c r="C177" s="1" t="n">
        <v>0.95</v>
      </c>
      <c r="D177" s="27" t="n">
        <v>1994.661248</v>
      </c>
      <c r="E177" s="27" t="n">
        <v>2689.534032</v>
      </c>
      <c r="F177" s="27" t="n">
        <v>3517.340311</v>
      </c>
      <c r="G177" s="27" t="n">
        <v>4415.523709</v>
      </c>
      <c r="H177" s="27" t="n">
        <v>5327.939167</v>
      </c>
    </row>
    <row r="178">
      <c r="C178" s="1" t="n">
        <v>1</v>
      </c>
      <c r="D178" s="27" t="n">
        <v>2099.643419</v>
      </c>
      <c r="E178" s="27" t="n">
        <v>2831.088455</v>
      </c>
      <c r="F178" s="27" t="n">
        <v>3702.463485</v>
      </c>
      <c r="G178" s="27" t="n">
        <v>4647.919694</v>
      </c>
      <c r="H178" s="27" t="n">
        <v>5608.357018</v>
      </c>
    </row>
    <row r="179">
      <c r="C179" s="1" t="n">
        <v>1.05</v>
      </c>
      <c r="D179" s="27" t="n">
        <v>2204.62559</v>
      </c>
      <c r="E179" s="27" t="n">
        <v>2972.642878</v>
      </c>
      <c r="F179" s="27" t="n">
        <v>3887.586659</v>
      </c>
      <c r="G179" s="27" t="n">
        <v>4880.315679</v>
      </c>
      <c r="H179" s="27" t="n">
        <v>5888.774869</v>
      </c>
    </row>
    <row r="180">
      <c r="C180" s="1" t="n">
        <v>1.1</v>
      </c>
      <c r="D180" s="27" t="n">
        <v>2309.607761</v>
      </c>
      <c r="E180" s="27" t="n">
        <v>3114.197301</v>
      </c>
      <c r="F180" s="27" t="n">
        <v>4072.709834</v>
      </c>
      <c r="G180" s="27" t="n">
        <v>5112.711663</v>
      </c>
      <c r="H180" s="27" t="n">
        <v>6169.19272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4888.626552</v>
      </c>
      <c r="E184" s="27" t="n">
        <v>4510.415081</v>
      </c>
      <c r="F184" s="27" t="n">
        <v>4132.203611</v>
      </c>
      <c r="G184" s="27" t="n">
        <v>3753.992141</v>
      </c>
      <c r="H184" s="27" t="n">
        <v>3375.780671</v>
      </c>
    </row>
    <row r="185">
      <c r="C185" s="1" t="n">
        <v>0.95</v>
      </c>
      <c r="D185" s="27" t="n">
        <v>5083.513215</v>
      </c>
      <c r="E185" s="27" t="n">
        <v>4684.289996</v>
      </c>
      <c r="F185" s="27" t="n">
        <v>4285.066778</v>
      </c>
      <c r="G185" s="27" t="n">
        <v>3885.843559</v>
      </c>
      <c r="H185" s="27" t="n">
        <v>3486.620341</v>
      </c>
    </row>
    <row r="186">
      <c r="C186" s="1" t="n">
        <v>1</v>
      </c>
      <c r="D186" s="27" t="n">
        <v>5278.399878</v>
      </c>
      <c r="E186" s="27" t="n">
        <v>4858.164911</v>
      </c>
      <c r="F186" s="27" t="n">
        <v>4437.929945</v>
      </c>
      <c r="G186" s="27" t="n">
        <v>4017.694978</v>
      </c>
      <c r="H186" s="27" t="n">
        <v>3597.460011</v>
      </c>
    </row>
    <row r="187">
      <c r="C187" s="1" t="n">
        <v>1.05</v>
      </c>
      <c r="D187" s="27" t="n">
        <v>5453.436915</v>
      </c>
      <c r="E187" s="27" t="n">
        <v>5015.718381</v>
      </c>
      <c r="F187" s="27" t="n">
        <v>4577.999847</v>
      </c>
      <c r="G187" s="27" t="n">
        <v>4140.281313</v>
      </c>
      <c r="H187" s="27" t="n">
        <v>3702.562779</v>
      </c>
    </row>
    <row r="188">
      <c r="C188" s="1" t="n">
        <v>1.1</v>
      </c>
      <c r="D188" s="27" t="n">
        <v>5605.825858</v>
      </c>
      <c r="E188" s="27" t="n">
        <v>5153.367805</v>
      </c>
      <c r="F188" s="27" t="n">
        <v>4700.909752</v>
      </c>
      <c r="G188" s="27" t="n">
        <v>4248.451698</v>
      </c>
      <c r="H188" s="27" t="n">
        <v>3795.993645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0.453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-150.91149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0.05601324478054552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5.613743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804.5938373393361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2303.568264731141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11396.42166836387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1.173474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2172.906804</v>
      </c>
      <c r="E170" s="27" t="n">
        <v>3488.916914</v>
      </c>
      <c r="F170" s="27" t="n">
        <v>5343.871749</v>
      </c>
      <c r="G170" s="27" t="n">
        <v>7249.084753</v>
      </c>
      <c r="H170" s="27" t="n">
        <v>9154.297758000001</v>
      </c>
    </row>
    <row r="171">
      <c r="C171" s="1" t="n">
        <v>0.95</v>
      </c>
      <c r="D171" s="27" t="n">
        <v>2293.904837</v>
      </c>
      <c r="E171" s="27" t="n">
        <v>3683.270385</v>
      </c>
      <c r="F171" s="27" t="n">
        <v>5641.657692</v>
      </c>
      <c r="G171" s="27" t="n">
        <v>7653.110009</v>
      </c>
      <c r="H171" s="27" t="n">
        <v>9664.562325999999</v>
      </c>
    </row>
    <row r="172">
      <c r="C172" s="1" t="n">
        <v>1</v>
      </c>
      <c r="D172" s="27" t="n">
        <v>2414.932421</v>
      </c>
      <c r="E172" s="27" t="n">
        <v>3877.678684</v>
      </c>
      <c r="F172" s="27" t="n">
        <v>5939.537625</v>
      </c>
      <c r="G172" s="27" t="n">
        <v>8057.26992</v>
      </c>
      <c r="H172" s="27" t="n">
        <v>10175.002214</v>
      </c>
    </row>
    <row r="173">
      <c r="C173" s="1" t="n">
        <v>1.05</v>
      </c>
      <c r="D173" s="27" t="n">
        <v>2535.989555</v>
      </c>
      <c r="E173" s="27" t="n">
        <v>4072.141752</v>
      </c>
      <c r="F173" s="27" t="n">
        <v>6237.51138</v>
      </c>
      <c r="G173" s="27" t="n">
        <v>8461.564200000001</v>
      </c>
      <c r="H173" s="27" t="n">
        <v>10685.61702</v>
      </c>
    </row>
    <row r="174">
      <c r="C174" s="1" t="n">
        <v>1.1</v>
      </c>
      <c r="D174" s="27" t="n">
        <v>2657.076234</v>
      </c>
      <c r="E174" s="27" t="n">
        <v>4266.659532</v>
      </c>
      <c r="F174" s="27" t="n">
        <v>6535.57879</v>
      </c>
      <c r="G174" s="27" t="n">
        <v>8865.992566999999</v>
      </c>
      <c r="H174" s="27" t="n">
        <v>11196.406345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7502.137321</v>
      </c>
      <c r="E178" s="27" t="n">
        <v>6890.636242</v>
      </c>
      <c r="F178" s="27" t="n">
        <v>6279.135163</v>
      </c>
      <c r="G178" s="27" t="n">
        <v>5667.634083</v>
      </c>
      <c r="H178" s="27" t="n">
        <v>5056.133004</v>
      </c>
    </row>
    <row r="179">
      <c r="C179" s="1" t="n">
        <v>0.95</v>
      </c>
      <c r="D179" s="27" t="n">
        <v>7793.663035</v>
      </c>
      <c r="E179" s="27" t="n">
        <v>7148.189673</v>
      </c>
      <c r="F179" s="27" t="n">
        <v>6502.716312</v>
      </c>
      <c r="G179" s="27" t="n">
        <v>5857.24295</v>
      </c>
      <c r="H179" s="27" t="n">
        <v>5211.769589</v>
      </c>
    </row>
    <row r="180">
      <c r="C180" s="1" t="n">
        <v>1</v>
      </c>
      <c r="D180" s="27" t="n">
        <v>8085.188748</v>
      </c>
      <c r="E180" s="27" t="n">
        <v>7405.743105</v>
      </c>
      <c r="F180" s="27" t="n">
        <v>6726.297461</v>
      </c>
      <c r="G180" s="27" t="n">
        <v>6046.851817</v>
      </c>
      <c r="H180" s="27" t="n">
        <v>5367.406174</v>
      </c>
    </row>
    <row r="181">
      <c r="C181" s="1" t="n">
        <v>1.05</v>
      </c>
      <c r="D181" s="27" t="n">
        <v>8376.714462</v>
      </c>
      <c r="E181" s="27" t="n">
        <v>7663.296536</v>
      </c>
      <c r="F181" s="27" t="n">
        <v>6949.87861</v>
      </c>
      <c r="G181" s="27" t="n">
        <v>6236.460684</v>
      </c>
      <c r="H181" s="27" t="n">
        <v>5523.042758</v>
      </c>
    </row>
    <row r="182">
      <c r="C182" s="1" t="n">
        <v>1.1</v>
      </c>
      <c r="D182" s="27" t="n">
        <v>8668.240175000001</v>
      </c>
      <c r="E182" s="27" t="n">
        <v>7920.849967</v>
      </c>
      <c r="F182" s="27" t="n">
        <v>7173.459759</v>
      </c>
      <c r="G182" s="27" t="n">
        <v>6426.069551</v>
      </c>
      <c r="H182" s="27" t="n">
        <v>5678.679343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Garda Tujuh Buana Tbk (GTBO.JK)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0.45</v>
      </c>
      <c r="I14" s="13" t="n">
        <v>0.82</v>
      </c>
      <c r="J14" s="13" t="n">
        <v>0.82</v>
      </c>
      <c r="K14" s="13" t="n">
        <v>0.82</v>
      </c>
      <c r="L14" s="13" t="n">
        <v>0.82</v>
      </c>
      <c r="M14" s="13" t="n">
        <v>0.82</v>
      </c>
      <c r="N14" s="13" t="n">
        <v>0.82</v>
      </c>
      <c r="O14" s="13" t="n">
        <v>0.82</v>
      </c>
      <c r="P14" s="13" t="n">
        <v>0.82</v>
      </c>
      <c r="Q14" s="13" t="n">
        <v>0.82</v>
      </c>
      <c r="R14" s="13" t="n">
        <v>0.82</v>
      </c>
      <c r="S14" s="13" t="n">
        <v>0.82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</v>
      </c>
      <c r="I15" s="14" t="n">
        <v>0.3</v>
      </c>
      <c r="J15" s="14" t="n">
        <v>0.3</v>
      </c>
      <c r="K15" s="14" t="n">
        <v>0.3</v>
      </c>
      <c r="L15" s="14" t="n">
        <v>0.3</v>
      </c>
      <c r="M15" s="14" t="n">
        <v>0.3</v>
      </c>
      <c r="N15" s="14" t="n">
        <v>0.3</v>
      </c>
      <c r="O15" s="14" t="n">
        <v>0.3</v>
      </c>
      <c r="P15" s="14" t="n">
        <v>0.3</v>
      </c>
      <c r="Q15" s="14" t="n">
        <v>0.3</v>
      </c>
      <c r="R15" s="14" t="n">
        <v>0.3</v>
      </c>
      <c r="S15" s="14" t="n">
        <v>0.3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13</v>
      </c>
      <c r="I18" s="3" t="n">
        <v>13</v>
      </c>
      <c r="J18" s="3" t="n">
        <v>13</v>
      </c>
      <c r="K18" s="3" t="n">
        <v>13</v>
      </c>
      <c r="L18" s="3" t="n">
        <v>13</v>
      </c>
      <c r="M18" s="3" t="n">
        <v>13.26</v>
      </c>
      <c r="N18" s="3" t="n">
        <v>13.5252</v>
      </c>
      <c r="O18" s="3" t="n">
        <v>13.795704</v>
      </c>
      <c r="P18" s="3" t="n">
        <v>14.07161808</v>
      </c>
      <c r="Q18" s="3" t="n">
        <v>14.3530504416</v>
      </c>
      <c r="R18" s="3" t="n">
        <v>14.640111450432</v>
      </c>
      <c r="S18" s="3" t="n">
        <v>14.93291367944064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6</v>
      </c>
      <c r="I20" s="3" t="n">
        <v>6</v>
      </c>
      <c r="J20" s="3" t="n">
        <v>6</v>
      </c>
      <c r="K20" s="3" t="n">
        <v>6</v>
      </c>
      <c r="L20" s="3" t="n">
        <v>6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0.05</v>
      </c>
      <c r="I21" s="4" t="n">
        <v>0.05</v>
      </c>
      <c r="J21" s="4" t="n">
        <v>0.05</v>
      </c>
      <c r="K21" s="4" t="n">
        <v>0.05</v>
      </c>
      <c r="L21" s="4" t="n">
        <v>0.05</v>
      </c>
      <c r="M21" s="4" t="n">
        <v>0.05</v>
      </c>
      <c r="N21" s="4" t="n">
        <v>0.05</v>
      </c>
      <c r="O21" s="4" t="n">
        <v>0.05</v>
      </c>
      <c r="P21" s="4" t="n">
        <v>0.05</v>
      </c>
      <c r="Q21" s="4" t="n">
        <v>0.05</v>
      </c>
      <c r="R21" s="4" t="n">
        <v>0.05</v>
      </c>
      <c r="S21" s="4" t="n">
        <v>0.05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0.4</v>
      </c>
      <c r="I24" s="3" t="n">
        <v>0.4</v>
      </c>
      <c r="J24" s="3" t="n">
        <v>0.4</v>
      </c>
      <c r="K24" s="3" t="n">
        <v>0.4</v>
      </c>
      <c r="L24" s="3" t="n">
        <v>0.4</v>
      </c>
      <c r="M24" s="3" t="n">
        <v>0.408</v>
      </c>
      <c r="N24" s="3" t="n">
        <v>0.41616</v>
      </c>
      <c r="O24" s="3" t="n">
        <v>0.4244832000000001</v>
      </c>
      <c r="P24" s="3" t="n">
        <v>0.432972864</v>
      </c>
      <c r="Q24" s="3" t="n">
        <v>0.44163232128</v>
      </c>
      <c r="R24" s="3" t="n">
        <v>0.4504649677056001</v>
      </c>
      <c r="S24" s="3" t="n">
        <v>0.4594742670597121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0.25</v>
      </c>
      <c r="I25" s="3" t="n">
        <v>0.25</v>
      </c>
      <c r="J25" s="3" t="n">
        <v>0.25</v>
      </c>
      <c r="K25" s="3" t="n">
        <v>0.25</v>
      </c>
      <c r="L25" s="3" t="n">
        <v>0.25</v>
      </c>
      <c r="M25" s="3" t="n">
        <v>0.255</v>
      </c>
      <c r="N25" s="3" t="n">
        <v>0.2601</v>
      </c>
      <c r="O25" s="3" t="n">
        <v>0.265302</v>
      </c>
      <c r="P25" s="3" t="n">
        <v>0.27060804</v>
      </c>
      <c r="Q25" s="3" t="n">
        <v>0.2760202008</v>
      </c>
      <c r="R25" s="3" t="n">
        <v>0.281540604816</v>
      </c>
      <c r="S25" s="3" t="n">
        <v>0.28717141691232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</v>
      </c>
      <c r="I27" s="4" t="n">
        <v>0.1</v>
      </c>
      <c r="J27" s="4" t="n">
        <v>0.1</v>
      </c>
      <c r="K27" s="4" t="n">
        <v>0.1</v>
      </c>
      <c r="L27" s="4" t="n">
        <v>0.1</v>
      </c>
      <c r="M27" s="4" t="n">
        <v>0.1</v>
      </c>
      <c r="N27" s="4" t="n">
        <v>0.1</v>
      </c>
      <c r="O27" s="4" t="n">
        <v>0.1</v>
      </c>
      <c r="P27" s="4" t="n">
        <v>0.1</v>
      </c>
      <c r="Q27" s="4" t="n">
        <v>0.1</v>
      </c>
      <c r="R27" s="4" t="n">
        <v>0.1</v>
      </c>
      <c r="S27" s="4" t="n">
        <v>0.1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0.092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-4.56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0.33</v>
      </c>
      <c r="I37" s="4" t="n">
        <v>0.33</v>
      </c>
      <c r="J37" s="4" t="n">
        <v>0.33</v>
      </c>
      <c r="K37" s="4" t="n">
        <v>0.33</v>
      </c>
      <c r="L37" s="4" t="n">
        <v>0.33</v>
      </c>
      <c r="M37" s="4" t="n">
        <v>0.33</v>
      </c>
      <c r="N37" s="4" t="n">
        <v>0.33</v>
      </c>
      <c r="O37" s="4" t="n">
        <v>0.33</v>
      </c>
      <c r="P37" s="4" t="n">
        <v>0.33</v>
      </c>
      <c r="Q37" s="4" t="n">
        <v>0.33</v>
      </c>
      <c r="R37" s="4" t="n">
        <v>0.33</v>
      </c>
      <c r="S37" s="4" t="n">
        <v>0.33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/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/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49.267169</v>
      </c>
      <c r="E55" s="13" t="n">
        <v>58.797005</v>
      </c>
      <c r="F55" s="13" t="n">
        <v>27.251542</v>
      </c>
      <c r="G55" s="13" t="n">
        <v>10.011092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22.058313</v>
      </c>
      <c r="E56" s="13" t="n">
        <v>33.40405</v>
      </c>
      <c r="F56" s="13" t="n">
        <v>20.505601</v>
      </c>
      <c r="G56" s="13" t="n">
        <v>15.22053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27.208856</v>
      </c>
      <c r="E57" s="13" t="n">
        <v>25.392955</v>
      </c>
      <c r="F57" s="13" t="n">
        <v>6.745941</v>
      </c>
      <c r="G57" s="13" t="n">
        <v>-5.209438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16.396878</v>
      </c>
      <c r="E58" s="13" t="n">
        <v>19.373945</v>
      </c>
      <c r="F58" s="13" t="n">
        <v>9.806524</v>
      </c>
      <c r="G58" s="13" t="n">
        <v>1.508584000000001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10.811978</v>
      </c>
      <c r="E59" s="13" t="n">
        <v>6.01901</v>
      </c>
      <c r="F59" s="13" t="n">
        <v>-3.060583</v>
      </c>
      <c r="G59" s="13" t="n">
        <v>-6.718022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/>
      <c r="G60" s="13" t="n"/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/>
      <c r="G61" s="13" t="n"/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1.319642</v>
      </c>
      <c r="E62" s="13" t="n">
        <v>0.227114</v>
      </c>
      <c r="F62" s="13" t="n">
        <v>0</v>
      </c>
      <c r="G62" s="13" t="n"/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3" t="n"/>
      <c r="G63" s="13" t="n"/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3" t="n"/>
      <c r="G64" s="13" t="n"/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7.647865</v>
      </c>
      <c r="E65" s="13" t="n">
        <v>5.485607</v>
      </c>
      <c r="F65" s="13" t="n">
        <v>-3.213678</v>
      </c>
      <c r="G65" s="13" t="n">
        <v>-7.840751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0.148697</v>
      </c>
      <c r="E66" s="13" t="n">
        <v>1.333356</v>
      </c>
      <c r="F66" s="13" t="n">
        <v>0</v>
      </c>
      <c r="G66" s="13" t="n">
        <v>0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7.499168</v>
      </c>
      <c r="E67" s="13" t="n">
        <v>4.152251</v>
      </c>
      <c r="F67" s="13" t="n">
        <v>-3.213678</v>
      </c>
      <c r="G67" s="13" t="n">
        <v>-7.840751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0</v>
      </c>
      <c r="F68" s="13" t="n">
        <v>0</v>
      </c>
      <c r="G68" s="13" t="n">
        <v>0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7.499168</v>
      </c>
      <c r="E69" s="13" t="n">
        <v>4.152251</v>
      </c>
      <c r="F69" s="13" t="n">
        <v>-3.213678</v>
      </c>
      <c r="G69" s="13" t="n">
        <v>-7.840751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2500</v>
      </c>
      <c r="E70" s="13" t="n">
        <v>2500</v>
      </c>
      <c r="F70" s="13" t="n">
        <v>2500</v>
      </c>
      <c r="G70" s="13" t="n">
        <v>2500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0.0029996672</v>
      </c>
      <c r="E71" s="20" t="n">
        <v>0.0016609004</v>
      </c>
      <c r="F71" s="20" t="n">
        <v>-0.0012854712</v>
      </c>
      <c r="G71" s="20" t="n">
        <v>-0.0031363004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0.0004065095440084836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3.185182</v>
      </c>
      <c r="E73" s="13" t="n">
        <v>1.019164</v>
      </c>
      <c r="F73" s="13" t="n">
        <v>0</v>
      </c>
      <c r="G73" s="13" t="n">
        <v>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0.514699</v>
      </c>
      <c r="E74" s="13" t="n">
        <v>0.001167</v>
      </c>
      <c r="F74" s="13" t="n">
        <v>0.00457</v>
      </c>
      <c r="G74" s="13" t="n">
        <v>0.018481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-5.942722000000002</v>
      </c>
      <c r="F75" s="13" t="n">
        <v>2.808843000000001</v>
      </c>
      <c r="G75" s="13" t="n">
        <v>2.488152999999999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/>
      <c r="G76" s="13" t="n"/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0.01850099999999988</v>
      </c>
      <c r="F77" s="13" t="n">
        <v>-0.71515</v>
      </c>
      <c r="G77" s="13" t="n">
        <v>-0.05964699999999995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4.879371000000001</v>
      </c>
      <c r="E80" s="13" t="n">
        <v>-1.063351000000001</v>
      </c>
      <c r="F80" s="13" t="n">
        <v>1.745492</v>
      </c>
      <c r="G80" s="13" t="n">
        <v>4.233644999999999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0.093428</v>
      </c>
      <c r="E81" s="13" t="n">
        <v>8.052683</v>
      </c>
      <c r="F81" s="13" t="n">
        <v>0.949872</v>
      </c>
      <c r="G81" s="13" t="n">
        <v>0.006932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1.234442</v>
      </c>
      <c r="E82" s="13" t="n">
        <v>1.252943</v>
      </c>
      <c r="F82" s="13" t="n">
        <v>0.537793</v>
      </c>
      <c r="G82" s="13" t="n">
        <v>0.478146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6.042139</v>
      </c>
      <c r="E83" s="13" t="n">
        <v>0.431169</v>
      </c>
      <c r="F83" s="13" t="n">
        <v>0.31326</v>
      </c>
      <c r="G83" s="13" t="n">
        <v>0.20668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46.919036</v>
      </c>
      <c r="E84" s="13" t="n">
        <v>49.701014</v>
      </c>
      <c r="F84" s="13" t="n">
        <v>45.792938</v>
      </c>
      <c r="G84" s="13" t="n">
        <v>41.83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</v>
      </c>
      <c r="E85" s="13" t="n">
        <v>0</v>
      </c>
      <c r="F85" s="13" t="n">
        <v>0</v>
      </c>
      <c r="G85" s="13" t="n">
        <v>0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37.13854</v>
      </c>
      <c r="E86" s="13" t="n">
        <v>43.533456</v>
      </c>
      <c r="F86" s="13" t="n">
        <v>43.322107</v>
      </c>
      <c r="G86" s="13" t="n">
        <v>37.86088900000001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1.141014</v>
      </c>
      <c r="E88" s="13" t="n">
        <v>-6.79974</v>
      </c>
      <c r="F88" s="13" t="n">
        <v>-0.4120790000000001</v>
      </c>
      <c r="G88" s="13" t="n">
        <v>0.471214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0.0187676144</v>
      </c>
      <c r="E89" s="20" t="n">
        <v>0.0198804056</v>
      </c>
      <c r="F89" s="20" t="n">
        <v>0.0183171752</v>
      </c>
      <c r="G89" s="20" t="n">
        <v>0.016732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0.1934317760373039</v>
      </c>
      <c r="F90" s="4" t="n">
        <v>-0.5365147935681418</v>
      </c>
      <c r="G90" s="4" t="n">
        <v>-0.6326412648502606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0.5522715543083062</v>
      </c>
      <c r="E91" s="4" t="n">
        <v>0.4318749739038579</v>
      </c>
      <c r="F91" s="4" t="n">
        <v>0.2475434601095234</v>
      </c>
      <c r="G91" s="4" t="n">
        <v>-0.5203666093569013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/>
      <c r="G92" s="4" t="n"/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0.219456043841285</v>
      </c>
      <c r="E93" s="4" t="n">
        <v>0.1023693298663767</v>
      </c>
      <c r="F93" s="4" t="n">
        <v>-0.1123086172518238</v>
      </c>
      <c r="G93" s="4" t="n">
        <v>-0.6710578626187833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0.1522143072600741</v>
      </c>
      <c r="E94" s="4" t="n">
        <v>0.0706201106672015</v>
      </c>
      <c r="F94" s="4" t="n">
        <v>-0.1179264644914405</v>
      </c>
      <c r="G94" s="4" t="n">
        <v>-0.7832063674971722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-0.4463051101135487</v>
      </c>
      <c r="F95" s="4" t="n">
        <v>-1.77396043736277</v>
      </c>
      <c r="G95" s="4" t="n">
        <v>1.439806041551145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0.08595009006929721</v>
      </c>
      <c r="F96" s="4" t="n">
        <v>-0.06730641957304269</v>
      </c>
      <c r="G96" s="4" t="n">
        <v>-0.1789657178580339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/>
      <c r="G97" s="22" t="n"/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0.1355182148234589</v>
      </c>
      <c r="E98" s="4" t="n">
        <v>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0.01044709916252748</v>
      </c>
      <c r="E99" s="4" t="n">
        <v>1.984794973825623e-05</v>
      </c>
      <c r="F99" s="4" t="n">
        <v>0.0001676969325258732</v>
      </c>
      <c r="G99" s="4" t="n">
        <v>0.001846052358723704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170</v>
      </c>
    </row>
    <row r="103">
      <c r="A103" t="inlineStr">
        <is>
          <t>Shares outstanding (m)</t>
        </is>
      </c>
      <c r="C103" s="13" t="n">
        <v>2500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0.481733</v>
      </c>
    </row>
    <row r="106">
      <c r="A106" t="inlineStr">
        <is>
          <t>Cash at balance-sheet date</t>
        </is>
      </c>
      <c r="C106" s="13" t="n">
        <v>0.039354</v>
      </c>
    </row>
    <row r="107">
      <c r="A107" t="inlineStr">
        <is>
          <t>Minority interest (book)</t>
        </is>
      </c>
      <c r="C107" s="13" t="n">
        <v>0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-16.5</v>
      </c>
    </row>
    <row r="110">
      <c r="A110" t="inlineStr">
        <is>
          <t>Parent equity at balance-sheet date</t>
        </is>
      </c>
      <c r="C110" s="13" t="n">
        <v>22.952616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0.0205444955882353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0.3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</v>
      </c>
    </row>
    <row r="146">
      <c r="A146" t="inlineStr">
        <is>
          <t>Bull 12-month value (engine)</t>
        </is>
      </c>
      <c r="C146" s="20" t="n">
        <v>381.0236913964573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24.821603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26.204935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27.588719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28.972954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30.357639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MNC Energy Investments Tbk (IATA.JK)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298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3.2</v>
      </c>
      <c r="I14" s="13" t="n">
        <v>6.5</v>
      </c>
      <c r="J14" s="13" t="n">
        <v>7</v>
      </c>
      <c r="K14" s="13" t="n">
        <v>7</v>
      </c>
      <c r="L14" s="13" t="n">
        <v>7</v>
      </c>
      <c r="M14" s="13" t="n">
        <v>7</v>
      </c>
      <c r="N14" s="13" t="n">
        <v>7</v>
      </c>
      <c r="O14" s="13" t="n">
        <v>7</v>
      </c>
      <c r="P14" s="13" t="n">
        <v>7</v>
      </c>
      <c r="Q14" s="13" t="n">
        <v>7</v>
      </c>
      <c r="R14" s="13" t="n">
        <v>7</v>
      </c>
      <c r="S14" s="13" t="n">
        <v>7</v>
      </c>
      <c r="T14" s="13" t="n">
        <v>7</v>
      </c>
      <c r="U14" s="13" t="n">
        <v>7</v>
      </c>
      <c r="V14" s="13" t="n">
        <v>7</v>
      </c>
      <c r="W14" s="13" t="n">
        <v>7</v>
      </c>
      <c r="X14" s="13" t="n">
        <v>7</v>
      </c>
      <c r="Y14" s="13" t="n">
        <v>7</v>
      </c>
      <c r="Z14" s="13" t="n">
        <v>7</v>
      </c>
      <c r="AA14" s="13" t="n">
        <v>7</v>
      </c>
      <c r="AB14" s="13" t="n">
        <v>7</v>
      </c>
      <c r="AC14" s="13" t="n">
        <v>7</v>
      </c>
      <c r="AD14" s="13" t="n">
        <v>7</v>
      </c>
      <c r="AE14" s="13" t="n">
        <v>7</v>
      </c>
      <c r="AF14" s="13" t="n">
        <v>7</v>
      </c>
      <c r="AG14" s="13" t="n">
        <v>7</v>
      </c>
      <c r="AH14" s="13" t="n">
        <v>7</v>
      </c>
      <c r="AI14" s="13" t="n">
        <v>7</v>
      </c>
      <c r="AJ14" s="13" t="n">
        <v>7</v>
      </c>
      <c r="AK14" s="13" t="n">
        <v>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0.152</v>
      </c>
      <c r="I15" s="14" t="n">
        <v>0.18</v>
      </c>
      <c r="J15" s="14" t="n">
        <v>0.195</v>
      </c>
      <c r="K15" s="14" t="n">
        <v>0.21</v>
      </c>
      <c r="L15" s="14" t="n">
        <v>0.21</v>
      </c>
      <c r="M15" s="14" t="n">
        <v>0.21</v>
      </c>
      <c r="N15" s="14" t="n">
        <v>0.21</v>
      </c>
      <c r="O15" s="14" t="n">
        <v>0.21</v>
      </c>
      <c r="P15" s="14" t="n">
        <v>0.21</v>
      </c>
      <c r="Q15" s="14" t="n">
        <v>0.21</v>
      </c>
      <c r="R15" s="14" t="n">
        <v>0.21</v>
      </c>
      <c r="S15" s="14" t="n">
        <v>0.21</v>
      </c>
      <c r="T15" s="14" t="n">
        <v>0.21</v>
      </c>
      <c r="U15" s="14" t="n">
        <v>0.21</v>
      </c>
      <c r="V15" s="14" t="n">
        <v>0.21</v>
      </c>
      <c r="W15" s="14" t="n">
        <v>0.21</v>
      </c>
      <c r="X15" s="14" t="n">
        <v>0.21</v>
      </c>
      <c r="Y15" s="14" t="n">
        <v>0.21</v>
      </c>
      <c r="Z15" s="14" t="n">
        <v>0.21</v>
      </c>
      <c r="AA15" s="14" t="n">
        <v>0.21</v>
      </c>
      <c r="AB15" s="14" t="n">
        <v>0.21</v>
      </c>
      <c r="AC15" s="14" t="n">
        <v>0.21</v>
      </c>
      <c r="AD15" s="14" t="n">
        <v>0.21</v>
      </c>
      <c r="AE15" s="14" t="n">
        <v>0.21</v>
      </c>
      <c r="AF15" s="14" t="n">
        <v>0.21</v>
      </c>
      <c r="AG15" s="14" t="n">
        <v>0.21</v>
      </c>
      <c r="AH15" s="14" t="n">
        <v>0.21</v>
      </c>
      <c r="AI15" s="14" t="n">
        <v>0.21</v>
      </c>
      <c r="AJ15" s="14" t="n">
        <v>0.21</v>
      </c>
      <c r="AK15" s="14" t="n">
        <v>0.21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  <c r="T17" s="14" t="n">
        <v>1</v>
      </c>
      <c r="U17" s="14" t="n">
        <v>1</v>
      </c>
      <c r="V17" s="14" t="n">
        <v>1</v>
      </c>
      <c r="W17" s="14" t="n">
        <v>1</v>
      </c>
      <c r="X17" s="14" t="n">
        <v>1</v>
      </c>
      <c r="Y17" s="14" t="n">
        <v>1</v>
      </c>
      <c r="Z17" s="14" t="n">
        <v>1</v>
      </c>
      <c r="AA17" s="14" t="n">
        <v>1</v>
      </c>
      <c r="AB17" s="14" t="n">
        <v>1</v>
      </c>
      <c r="AC17" s="14" t="n">
        <v>1</v>
      </c>
      <c r="AD17" s="14" t="n">
        <v>1</v>
      </c>
      <c r="AE17" s="14" t="n">
        <v>1</v>
      </c>
      <c r="AF17" s="14" t="n">
        <v>1</v>
      </c>
      <c r="AG17" s="14" t="n">
        <v>1</v>
      </c>
      <c r="AH17" s="14" t="n">
        <v>1</v>
      </c>
      <c r="AI17" s="14" t="n">
        <v>1</v>
      </c>
      <c r="AJ17" s="14" t="n">
        <v>1</v>
      </c>
      <c r="AK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7.767</v>
      </c>
      <c r="I18" s="3" t="n">
        <v>7.767</v>
      </c>
      <c r="J18" s="3" t="n">
        <v>7.767</v>
      </c>
      <c r="K18" s="3" t="n">
        <v>7.767</v>
      </c>
      <c r="L18" s="3" t="n">
        <v>7.767</v>
      </c>
      <c r="M18" s="3" t="n">
        <v>7.92234</v>
      </c>
      <c r="N18" s="3" t="n">
        <v>8.0807868</v>
      </c>
      <c r="O18" s="3" t="n">
        <v>8.242402536000002</v>
      </c>
      <c r="P18" s="3" t="n">
        <v>8.40725058672</v>
      </c>
      <c r="Q18" s="3" t="n">
        <v>8.575395598454401</v>
      </c>
      <c r="R18" s="3" t="n">
        <v>8.74690351042349</v>
      </c>
      <c r="S18" s="3" t="n">
        <v>8.921841580631959</v>
      </c>
      <c r="T18" s="3" t="n">
        <v>9.100278412244599</v>
      </c>
      <c r="U18" s="3" t="n">
        <v>9.28228398048949</v>
      </c>
      <c r="V18" s="3" t="n">
        <v>9.46792966009928</v>
      </c>
      <c r="W18" s="3" t="n">
        <v>9.657288253301266</v>
      </c>
      <c r="X18" s="3" t="n">
        <v>9.850434018367292</v>
      </c>
      <c r="Y18" s="3" t="n">
        <v>10.04744269873464</v>
      </c>
      <c r="Z18" s="3" t="n">
        <v>10.24839155270933</v>
      </c>
      <c r="AA18" s="3" t="n">
        <v>10.45335938376352</v>
      </c>
      <c r="AB18" s="3" t="n">
        <v>10.66242657143879</v>
      </c>
      <c r="AC18" s="3" t="n">
        <v>10.87567510286756</v>
      </c>
      <c r="AD18" s="3" t="n">
        <v>11.09318860492492</v>
      </c>
      <c r="AE18" s="3" t="n">
        <v>11.31505237702341</v>
      </c>
      <c r="AF18" s="3" t="n">
        <v>11.54135342456388</v>
      </c>
      <c r="AG18" s="3" t="n">
        <v>11.77218049305516</v>
      </c>
      <c r="AH18" s="3" t="n">
        <v>12.00762410291626</v>
      </c>
      <c r="AI18" s="3" t="n">
        <v>12.24777658497459</v>
      </c>
      <c r="AJ18" s="3" t="n">
        <v>12.49273211667408</v>
      </c>
      <c r="AK18" s="3" t="n">
        <v>12.74258675900756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0.21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0.07149999999999999</v>
      </c>
      <c r="I21" s="4" t="n">
        <v>0.07149999999999999</v>
      </c>
      <c r="J21" s="4" t="n">
        <v>0.07149999999999999</v>
      </c>
      <c r="K21" s="4" t="n">
        <v>0.07149999999999999</v>
      </c>
      <c r="L21" s="4" t="n">
        <v>0.07149999999999999</v>
      </c>
      <c r="M21" s="4" t="n">
        <v>0.07149999999999999</v>
      </c>
      <c r="N21" s="4" t="n">
        <v>0.07149999999999999</v>
      </c>
      <c r="O21" s="4" t="n">
        <v>0.07149999999999999</v>
      </c>
      <c r="P21" s="4" t="n">
        <v>0.07149999999999999</v>
      </c>
      <c r="Q21" s="4" t="n">
        <v>0.07149999999999999</v>
      </c>
      <c r="R21" s="4" t="n">
        <v>0.07149999999999999</v>
      </c>
      <c r="S21" s="4" t="n">
        <v>0.07149999999999999</v>
      </c>
      <c r="T21" s="4" t="n">
        <v>0.07149999999999999</v>
      </c>
      <c r="U21" s="4" t="n">
        <v>0.07149999999999999</v>
      </c>
      <c r="V21" s="4" t="n">
        <v>0.07149999999999999</v>
      </c>
      <c r="W21" s="4" t="n">
        <v>0.07149999999999999</v>
      </c>
      <c r="X21" s="4" t="n">
        <v>0.07149999999999999</v>
      </c>
      <c r="Y21" s="4" t="n">
        <v>0.07149999999999999</v>
      </c>
      <c r="Z21" s="4" t="n">
        <v>0.07149999999999999</v>
      </c>
      <c r="AA21" s="4" t="n">
        <v>0.07149999999999999</v>
      </c>
      <c r="AB21" s="4" t="n">
        <v>0.07149999999999999</v>
      </c>
      <c r="AC21" s="4" t="n">
        <v>0.07149999999999999</v>
      </c>
      <c r="AD21" s="4" t="n">
        <v>0.07149999999999999</v>
      </c>
      <c r="AE21" s="4" t="n">
        <v>0.07149999999999999</v>
      </c>
      <c r="AF21" s="4" t="n">
        <v>0.07149999999999999</v>
      </c>
      <c r="AG21" s="4" t="n">
        <v>0.07149999999999999</v>
      </c>
      <c r="AH21" s="4" t="n">
        <v>0.07149999999999999</v>
      </c>
      <c r="AI21" s="4" t="n">
        <v>0.07149999999999999</v>
      </c>
      <c r="AJ21" s="4" t="n">
        <v>0.07149999999999999</v>
      </c>
      <c r="AK21" s="4" t="n">
        <v>0.07149999999999999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1.4</v>
      </c>
      <c r="I22" s="13" t="n">
        <v>1.4</v>
      </c>
      <c r="J22" s="13" t="n">
        <v>1.4</v>
      </c>
      <c r="K22" s="13" t="n">
        <v>1.4</v>
      </c>
      <c r="L22" s="13" t="n">
        <v>1.4</v>
      </c>
      <c r="M22" s="13" t="n">
        <v>1.428</v>
      </c>
      <c r="N22" s="13" t="n">
        <v>1.45656</v>
      </c>
      <c r="O22" s="13" t="n">
        <v>1.4856912</v>
      </c>
      <c r="P22" s="13" t="n">
        <v>1.515405024</v>
      </c>
      <c r="Q22" s="13" t="n">
        <v>1.54571312448</v>
      </c>
      <c r="R22" s="13" t="n">
        <v>1.5766273869696</v>
      </c>
      <c r="S22" s="13" t="n">
        <v>1.608159934708992</v>
      </c>
      <c r="T22" s="13" t="n">
        <v>1.640323133403172</v>
      </c>
      <c r="U22" s="13" t="n">
        <v>1.673129596071235</v>
      </c>
      <c r="V22" s="13" t="n">
        <v>1.70659218799266</v>
      </c>
      <c r="W22" s="13" t="n">
        <v>1.740724031752513</v>
      </c>
      <c r="X22" s="13" t="n">
        <v>1.775538512387564</v>
      </c>
      <c r="Y22" s="13" t="n">
        <v>1.811049282635315</v>
      </c>
      <c r="Z22" s="13" t="n">
        <v>1.847270268288021</v>
      </c>
      <c r="AA22" s="13" t="n">
        <v>1.884215673653782</v>
      </c>
      <c r="AB22" s="13" t="n">
        <v>1.921899987126857</v>
      </c>
      <c r="AC22" s="13" t="n">
        <v>1.960337986869395</v>
      </c>
      <c r="AD22" s="13" t="n">
        <v>1.999544746606783</v>
      </c>
      <c r="AE22" s="13" t="n">
        <v>2.039535641538918</v>
      </c>
      <c r="AF22" s="13" t="n">
        <v>2.080326354369697</v>
      </c>
      <c r="AG22" s="13" t="n">
        <v>2.121932881457091</v>
      </c>
      <c r="AH22" s="13" t="n">
        <v>2.164371539086233</v>
      </c>
      <c r="AI22" s="13" t="n">
        <v>2.207658969867957</v>
      </c>
      <c r="AJ22" s="13" t="n">
        <v>2.251812149265316</v>
      </c>
      <c r="AK22" s="13" t="n">
        <v>2.296848392250623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0.3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</v>
      </c>
      <c r="I24" s="3" t="n">
        <v>0.67</v>
      </c>
      <c r="J24" s="3" t="n">
        <v>0.67</v>
      </c>
      <c r="K24" s="3" t="n">
        <v>0.67</v>
      </c>
      <c r="L24" s="3" t="n">
        <v>0.67</v>
      </c>
      <c r="M24" s="3" t="n">
        <v>0.6834</v>
      </c>
      <c r="N24" s="3" t="n">
        <v>0.697068</v>
      </c>
      <c r="O24" s="3" t="n">
        <v>0.7110093600000001</v>
      </c>
      <c r="P24" s="3" t="n">
        <v>0.7252295472</v>
      </c>
      <c r="Q24" s="3" t="n">
        <v>0.739734138144</v>
      </c>
      <c r="R24" s="3" t="n">
        <v>0.7545288209068801</v>
      </c>
      <c r="S24" s="3" t="n">
        <v>0.7696193973250177</v>
      </c>
      <c r="T24" s="3" t="n">
        <v>0.785011785271518</v>
      </c>
      <c r="U24" s="3" t="n">
        <v>0.8007120209769485</v>
      </c>
      <c r="V24" s="3" t="n">
        <v>0.8167262613964874</v>
      </c>
      <c r="W24" s="3" t="n">
        <v>0.8330607866244172</v>
      </c>
      <c r="X24" s="3" t="n">
        <v>0.8497220023569055</v>
      </c>
      <c r="Y24" s="3" t="n">
        <v>0.8667164424040438</v>
      </c>
      <c r="Z24" s="3" t="n">
        <v>0.8840507712521245</v>
      </c>
      <c r="AA24" s="3" t="n">
        <v>0.901731786677167</v>
      </c>
      <c r="AB24" s="3" t="n">
        <v>0.9197664224107104</v>
      </c>
      <c r="AC24" s="3" t="n">
        <v>0.9381617508589247</v>
      </c>
      <c r="AD24" s="3" t="n">
        <v>0.9569249858761032</v>
      </c>
      <c r="AE24" s="3" t="n">
        <v>0.9760634855936252</v>
      </c>
      <c r="AF24" s="3" t="n">
        <v>0.9955847553054978</v>
      </c>
      <c r="AG24" s="3" t="n">
        <v>1.015496450411608</v>
      </c>
      <c r="AH24" s="3" t="n">
        <v>1.03580637941984</v>
      </c>
      <c r="AI24" s="3" t="n">
        <v>1.056522507008237</v>
      </c>
      <c r="AJ24" s="3" t="n">
        <v>1.077652957148401</v>
      </c>
      <c r="AK24" s="3" t="n">
        <v>1.09920601629137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1.16</v>
      </c>
      <c r="I25" s="3" t="n">
        <v>1.16</v>
      </c>
      <c r="J25" s="3" t="n">
        <v>1.16</v>
      </c>
      <c r="K25" s="3" t="n">
        <v>1.16</v>
      </c>
      <c r="L25" s="3" t="n">
        <v>1.16</v>
      </c>
      <c r="M25" s="3" t="n">
        <v>1.1832</v>
      </c>
      <c r="N25" s="3" t="n">
        <v>1.206864</v>
      </c>
      <c r="O25" s="3" t="n">
        <v>1.23100128</v>
      </c>
      <c r="P25" s="3" t="n">
        <v>1.2556213056</v>
      </c>
      <c r="Q25" s="3" t="n">
        <v>1.280733731712</v>
      </c>
      <c r="R25" s="3" t="n">
        <v>1.30634840634624</v>
      </c>
      <c r="S25" s="3" t="n">
        <v>1.332475374473165</v>
      </c>
      <c r="T25" s="3" t="n">
        <v>1.359124881962628</v>
      </c>
      <c r="U25" s="3" t="n">
        <v>1.386307379601881</v>
      </c>
      <c r="V25" s="3" t="n">
        <v>1.414033527193918</v>
      </c>
      <c r="W25" s="3" t="n">
        <v>1.442314197737797</v>
      </c>
      <c r="X25" s="3" t="n">
        <v>1.471160481692553</v>
      </c>
      <c r="Y25" s="3" t="n">
        <v>1.500583691326404</v>
      </c>
      <c r="Z25" s="3" t="n">
        <v>1.530595365152932</v>
      </c>
      <c r="AA25" s="3" t="n">
        <v>1.561207272455991</v>
      </c>
      <c r="AB25" s="3" t="n">
        <v>1.59243141790511</v>
      </c>
      <c r="AC25" s="3" t="n">
        <v>1.624280046263213</v>
      </c>
      <c r="AD25" s="3" t="n">
        <v>1.656765647188477</v>
      </c>
      <c r="AE25" s="3" t="n">
        <v>1.689900960132247</v>
      </c>
      <c r="AF25" s="3" t="n">
        <v>1.723698979334892</v>
      </c>
      <c r="AG25" s="3" t="n">
        <v>1.758172958921589</v>
      </c>
      <c r="AH25" s="3" t="n">
        <v>1.793336418100021</v>
      </c>
      <c r="AI25" s="3" t="n">
        <v>1.829203146462022</v>
      </c>
      <c r="AJ25" s="3" t="n">
        <v>1.865787209391262</v>
      </c>
      <c r="AK25" s="3" t="n">
        <v>1.903102953579087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12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0.08</v>
      </c>
      <c r="I27" s="4" t="n">
        <v>0.08</v>
      </c>
      <c r="J27" s="4" t="n">
        <v>0.08</v>
      </c>
      <c r="K27" s="4" t="n">
        <v>0.08</v>
      </c>
      <c r="L27" s="4" t="n">
        <v>0.08</v>
      </c>
      <c r="M27" s="4" t="n">
        <v>0.08</v>
      </c>
      <c r="N27" s="4" t="n">
        <v>0.08</v>
      </c>
      <c r="O27" s="4" t="n">
        <v>0.08</v>
      </c>
      <c r="P27" s="4" t="n">
        <v>0.08</v>
      </c>
      <c r="Q27" s="4" t="n">
        <v>0.08</v>
      </c>
      <c r="R27" s="4" t="n">
        <v>0.08</v>
      </c>
      <c r="S27" s="4" t="n">
        <v>0.08</v>
      </c>
      <c r="T27" s="4" t="n">
        <v>0.08</v>
      </c>
      <c r="U27" s="4" t="n">
        <v>0.08</v>
      </c>
      <c r="V27" s="4" t="n">
        <v>0.08</v>
      </c>
      <c r="W27" s="4" t="n">
        <v>0.08</v>
      </c>
      <c r="X27" s="4" t="n">
        <v>0.08</v>
      </c>
      <c r="Y27" s="4" t="n">
        <v>0.08</v>
      </c>
      <c r="Z27" s="4" t="n">
        <v>0.08</v>
      </c>
      <c r="AA27" s="4" t="n">
        <v>0.08</v>
      </c>
      <c r="AB27" s="4" t="n">
        <v>0.08</v>
      </c>
      <c r="AC27" s="4" t="n">
        <v>0.08</v>
      </c>
      <c r="AD27" s="4" t="n">
        <v>0.08</v>
      </c>
      <c r="AE27" s="4" t="n">
        <v>0.08</v>
      </c>
      <c r="AF27" s="4" t="n">
        <v>0.08</v>
      </c>
      <c r="AG27" s="4" t="n">
        <v>0.08</v>
      </c>
      <c r="AH27" s="4" t="n">
        <v>0.08</v>
      </c>
      <c r="AI27" s="4" t="n">
        <v>0.08</v>
      </c>
      <c r="AJ27" s="4" t="n">
        <v>0.08</v>
      </c>
      <c r="AK27" s="4" t="n">
        <v>0.08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0.15</v>
      </c>
      <c r="I28" s="4" t="n">
        <v>0.15</v>
      </c>
      <c r="J28" s="4" t="n">
        <v>0.15</v>
      </c>
      <c r="K28" s="4" t="n">
        <v>0.15</v>
      </c>
      <c r="L28" s="4" t="n">
        <v>0.15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  <c r="AK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0.08</v>
      </c>
      <c r="I33" s="4" t="n">
        <v>0.08</v>
      </c>
      <c r="J33" s="4" t="n">
        <v>0.08</v>
      </c>
      <c r="K33" s="4" t="n">
        <v>0.08</v>
      </c>
      <c r="L33" s="4" t="n">
        <v>0.08</v>
      </c>
      <c r="M33" s="4" t="n">
        <v>0.08</v>
      </c>
      <c r="N33" s="4" t="n">
        <v>0.08</v>
      </c>
      <c r="O33" s="4" t="n">
        <v>0.08</v>
      </c>
      <c r="P33" s="4" t="n">
        <v>0.08</v>
      </c>
      <c r="Q33" s="4" t="n">
        <v>0.08</v>
      </c>
      <c r="R33" s="4" t="n">
        <v>0.08</v>
      </c>
      <c r="S33" s="4" t="n">
        <v>0.08</v>
      </c>
      <c r="T33" s="4" t="n">
        <v>0.08</v>
      </c>
      <c r="U33" s="4" t="n">
        <v>0.08</v>
      </c>
      <c r="V33" s="4" t="n">
        <v>0.08</v>
      </c>
      <c r="W33" s="4" t="n">
        <v>0.08</v>
      </c>
      <c r="X33" s="4" t="n">
        <v>0.08</v>
      </c>
      <c r="Y33" s="4" t="n">
        <v>0.08</v>
      </c>
      <c r="Z33" s="4" t="n">
        <v>0.08</v>
      </c>
      <c r="AA33" s="4" t="n">
        <v>0.08</v>
      </c>
      <c r="AB33" s="4" t="n">
        <v>0.08</v>
      </c>
      <c r="AC33" s="4" t="n">
        <v>0.08</v>
      </c>
      <c r="AD33" s="4" t="n">
        <v>0.08</v>
      </c>
      <c r="AE33" s="4" t="n">
        <v>0.08</v>
      </c>
      <c r="AF33" s="4" t="n">
        <v>0.08</v>
      </c>
      <c r="AG33" s="4" t="n">
        <v>0.08</v>
      </c>
      <c r="AH33" s="4" t="n">
        <v>0.08</v>
      </c>
      <c r="AI33" s="4" t="n">
        <v>0.08</v>
      </c>
      <c r="AJ33" s="4" t="n">
        <v>0.08</v>
      </c>
      <c r="AK33" s="4" t="n">
        <v>0.08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0.357</v>
      </c>
      <c r="I37" s="4" t="n">
        <v>0.357</v>
      </c>
      <c r="J37" s="4" t="n">
        <v>0.357</v>
      </c>
      <c r="K37" s="4" t="n">
        <v>0.357</v>
      </c>
      <c r="L37" s="4" t="n">
        <v>0.357</v>
      </c>
      <c r="M37" s="4" t="n">
        <v>0.357</v>
      </c>
      <c r="N37" s="4" t="n">
        <v>0.357</v>
      </c>
      <c r="O37" s="4" t="n">
        <v>0.357</v>
      </c>
      <c r="P37" s="4" t="n">
        <v>0.357</v>
      </c>
      <c r="Q37" s="4" t="n">
        <v>0.357</v>
      </c>
      <c r="R37" s="4" t="n">
        <v>0.357</v>
      </c>
      <c r="S37" s="4" t="n">
        <v>0.357</v>
      </c>
      <c r="T37" s="4" t="n">
        <v>0.357</v>
      </c>
      <c r="U37" s="4" t="n">
        <v>0.357</v>
      </c>
      <c r="V37" s="4" t="n">
        <v>0.357</v>
      </c>
      <c r="W37" s="4" t="n">
        <v>0.357</v>
      </c>
      <c r="X37" s="4" t="n">
        <v>0.357</v>
      </c>
      <c r="Y37" s="4" t="n">
        <v>0.357</v>
      </c>
      <c r="Z37" s="4" t="n">
        <v>0.357</v>
      </c>
      <c r="AA37" s="4" t="n">
        <v>0.357</v>
      </c>
      <c r="AB37" s="4" t="n">
        <v>0.357</v>
      </c>
      <c r="AC37" s="4" t="n">
        <v>0.357</v>
      </c>
      <c r="AD37" s="4" t="n">
        <v>0.357</v>
      </c>
      <c r="AE37" s="4" t="n">
        <v>0.357</v>
      </c>
      <c r="AF37" s="4" t="n">
        <v>0.357</v>
      </c>
      <c r="AG37" s="4" t="n">
        <v>0.357</v>
      </c>
      <c r="AH37" s="4" t="n">
        <v>0.357</v>
      </c>
      <c r="AI37" s="4" t="n">
        <v>0.357</v>
      </c>
      <c r="AJ37" s="4" t="n">
        <v>0.357</v>
      </c>
      <c r="AK37" s="4" t="n">
        <v>0.357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298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3.663566</v>
      </c>
      <c r="G41" s="13" t="n">
        <v>3.51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5.935945469523409</v>
      </c>
      <c r="G48" s="3" t="n">
        <v>5.142239601139602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192.06447</v>
      </c>
      <c r="E55" s="13" t="n">
        <v>170.071936</v>
      </c>
      <c r="F55" s="13" t="n">
        <v>117.889631</v>
      </c>
      <c r="G55" s="13" t="n">
        <v>79.636971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68.718907</v>
      </c>
      <c r="E56" s="13" t="n">
        <v>78.845583</v>
      </c>
      <c r="F56" s="13" t="n">
        <v>63.693959</v>
      </c>
      <c r="G56" s="13" t="n">
        <v>35.086398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123.345563</v>
      </c>
      <c r="E57" s="13" t="n">
        <v>91.226353</v>
      </c>
      <c r="F57" s="13" t="n">
        <v>54.195672</v>
      </c>
      <c r="G57" s="13" t="n">
        <v>44.550573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54.92477</v>
      </c>
      <c r="E58" s="13" t="n">
        <v>54.54174800000001</v>
      </c>
      <c r="F58" s="13" t="n">
        <v>34.688879</v>
      </c>
      <c r="G58" s="13" t="n">
        <v>28.855052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68.420793</v>
      </c>
      <c r="E59" s="13" t="n">
        <v>36.684605</v>
      </c>
      <c r="F59" s="13" t="n">
        <v>19.506793</v>
      </c>
      <c r="G59" s="13" t="n">
        <v>15.695521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0.269936</v>
      </c>
      <c r="E60" s="13" t="n">
        <v>0.283618</v>
      </c>
      <c r="F60" s="13" t="n">
        <v>2.239935</v>
      </c>
      <c r="G60" s="13" t="n">
        <v>2.35374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68.690729</v>
      </c>
      <c r="E61" s="13" t="n">
        <v>36.96822299999999</v>
      </c>
      <c r="F61" s="13" t="n">
        <v>21.746728</v>
      </c>
      <c r="G61" s="13" t="n">
        <v>18.049261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1.549015</v>
      </c>
      <c r="E62" s="13" t="n">
        <v>2.96622</v>
      </c>
      <c r="F62" s="13" t="n">
        <v>6.075159</v>
      </c>
      <c r="G62" s="13" t="n">
        <v>5.048467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0.058869</v>
      </c>
      <c r="E63" s="13" t="n">
        <v>0.046451</v>
      </c>
      <c r="F63" s="13" t="n">
        <v>0.108807</v>
      </c>
      <c r="G63" s="13" t="n">
        <v>0.227037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-13.08033000000001</v>
      </c>
      <c r="E64" s="13" t="n">
        <v>-1.840779999999998</v>
      </c>
      <c r="F64" s="13" t="n">
        <v>-1.404633999999998</v>
      </c>
      <c r="G64" s="13" t="n">
        <v>-1.141866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53.850317</v>
      </c>
      <c r="E65" s="13" t="n">
        <v>31.924056</v>
      </c>
      <c r="F65" s="13" t="n">
        <v>12.135807</v>
      </c>
      <c r="G65" s="13" t="n">
        <v>9.732225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14.888931</v>
      </c>
      <c r="E66" s="13" t="n">
        <v>5.531064</v>
      </c>
      <c r="F66" s="13" t="n">
        <v>4.459503</v>
      </c>
      <c r="G66" s="13" t="n">
        <v>1.4628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33.742139</v>
      </c>
      <c r="E67" s="13" t="n">
        <v>26.392992</v>
      </c>
      <c r="F67" s="13" t="n">
        <v>7.676304</v>
      </c>
      <c r="G67" s="13" t="n">
        <v>8.269425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0.00518300000000238</v>
      </c>
      <c r="E68" s="13" t="n">
        <v>0.01422099999999915</v>
      </c>
      <c r="F68" s="13" t="n">
        <v>-0.0008220000000003225</v>
      </c>
      <c r="G68" s="13" t="n">
        <v>0.6587579999999997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33.736956</v>
      </c>
      <c r="E69" s="13" t="n">
        <v>26.378771</v>
      </c>
      <c r="F69" s="13" t="n">
        <v>7.677126</v>
      </c>
      <c r="G69" s="13" t="n">
        <v>7.610667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25238.221508</v>
      </c>
      <c r="E70" s="13" t="n">
        <v>25238.221508</v>
      </c>
      <c r="F70" s="13" t="n">
        <v>25238.245486</v>
      </c>
      <c r="G70" s="13" t="n">
        <v>31275.829981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0.001336740625297471</v>
      </c>
      <c r="E71" s="20" t="n">
        <v>0.001045191357546271</v>
      </c>
      <c r="F71" s="20" t="n">
        <v>0.0003041862004337269</v>
      </c>
      <c r="G71" s="20" t="n">
        <v>0.0002433402088649115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41.339698</v>
      </c>
      <c r="E74" s="13" t="n">
        <v>8.767624</v>
      </c>
      <c r="F74" s="13" t="n">
        <v>17.529121</v>
      </c>
      <c r="G74" s="13" t="n">
        <v>25.201589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2.055922000000006</v>
      </c>
      <c r="F75" s="13" t="n">
        <v>7.517372999999999</v>
      </c>
      <c r="G75" s="13" t="n">
        <v>17.86912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19.78881488555814</v>
      </c>
      <c r="F76" s="13" t="n">
        <v>-10.46785971670784</v>
      </c>
      <c r="G76" s="13" t="n">
        <v>-27.3805599316292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37.67561300000001</v>
      </c>
      <c r="F77" s="13" t="n">
        <v>-30.18053700000001</v>
      </c>
      <c r="G77" s="13" t="n">
        <v>11.937664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-21.037287</v>
      </c>
      <c r="E80" s="13" t="n">
        <v>-18.981365</v>
      </c>
      <c r="F80" s="13" t="n">
        <v>-11.463992</v>
      </c>
      <c r="G80" s="13" t="n">
        <v>6.405128000000005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0.726931</v>
      </c>
      <c r="E81" s="13" t="n">
        <v>0.932803</v>
      </c>
      <c r="F81" s="13" t="n">
        <v>3.297545</v>
      </c>
      <c r="G81" s="13" t="n">
        <v>2.152424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35.309885</v>
      </c>
      <c r="E82" s="13" t="n">
        <v>72.98549800000001</v>
      </c>
      <c r="F82" s="13" t="n">
        <v>42.804961</v>
      </c>
      <c r="G82" s="13" t="n">
        <v>54.742625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126.133471</v>
      </c>
      <c r="E83" s="13" t="n">
        <v>145.500558</v>
      </c>
      <c r="F83" s="13" t="n">
        <v>134.886519</v>
      </c>
      <c r="G83" s="13" t="n">
        <v>143.727229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75.224664</v>
      </c>
      <c r="E84" s="13" t="n">
        <v>102.900169</v>
      </c>
      <c r="F84" s="13" t="n">
        <v>108.275006</v>
      </c>
      <c r="G84" s="13" t="n">
        <v>134.763952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0.1325</v>
      </c>
      <c r="E85" s="13" t="n">
        <v>0.240663</v>
      </c>
      <c r="F85" s="13" t="n">
        <v>0.090307</v>
      </c>
      <c r="G85" s="13" t="n">
        <v>0.115829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4.843934000000004</v>
      </c>
      <c r="E86" s="13" t="n">
        <v>48.67433399999999</v>
      </c>
      <c r="F86" s="13" t="n">
        <v>24.45020199999999</v>
      </c>
      <c r="G86" s="13" t="n">
        <v>37.33762499999997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34.582954</v>
      </c>
      <c r="E88" s="13" t="n">
        <v>72.052695</v>
      </c>
      <c r="F88" s="13" t="n">
        <v>39.507416</v>
      </c>
      <c r="G88" s="13" t="n">
        <v>52.59020099999999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0.002980584982034306</v>
      </c>
      <c r="E89" s="20" t="n">
        <v>0.004077156108935123</v>
      </c>
      <c r="F89" s="20" t="n">
        <v>0.004290116207169061</v>
      </c>
      <c r="G89" s="20" t="n">
        <v>0.004308884914704703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-0.114505998949207</v>
      </c>
      <c r="F90" s="4" t="n">
        <v>-0.3068249014346494</v>
      </c>
      <c r="G90" s="4" t="n">
        <v>-0.3244785794604785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0.6422091654953151</v>
      </c>
      <c r="E91" s="4" t="n">
        <v>0.5363986272255995</v>
      </c>
      <c r="F91" s="4" t="n">
        <v>0.4597153417165247</v>
      </c>
      <c r="G91" s="4" t="n">
        <v>0.5594207368836266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0.3576441233508728</v>
      </c>
      <c r="E92" s="4" t="n">
        <v>0.2173681553198759</v>
      </c>
      <c r="F92" s="4" t="n">
        <v>0.1844668425503851</v>
      </c>
      <c r="G92" s="4" t="n">
        <v>0.2266442429107456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0.3562386786061993</v>
      </c>
      <c r="E93" s="4" t="n">
        <v>0.2157005198082769</v>
      </c>
      <c r="F93" s="4" t="n">
        <v>0.1654665710167504</v>
      </c>
      <c r="G93" s="4" t="n">
        <v>0.1970883724344563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0.1756543310691457</v>
      </c>
      <c r="E94" s="4" t="n">
        <v>0.1551036086282924</v>
      </c>
      <c r="F94" s="4" t="n">
        <v>0.06512129976893388</v>
      </c>
      <c r="G94" s="4" t="n">
        <v>0.095567007439296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-0.2181045912974483</v>
      </c>
      <c r="F95" s="4" t="n">
        <v>-0.7089660202052899</v>
      </c>
      <c r="G95" s="4" t="n">
        <v>-0.2000287701482104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0.296182969614349</v>
      </c>
      <c r="F96" s="4" t="n">
        <v>0.07270860317743313</v>
      </c>
      <c r="G96" s="4" t="n">
        <v>0.06262919379369625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0.5034588292111444</v>
      </c>
      <c r="E97" s="22" t="n">
        <v>1.949044047911094</v>
      </c>
      <c r="F97" s="22" t="n">
        <v>1.816706218976942</v>
      </c>
      <c r="G97" s="22" t="n">
        <v>2.913703835298298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0.2152386539790519</v>
      </c>
      <c r="E99" s="4" t="n">
        <v>0.05155244425511802</v>
      </c>
      <c r="F99" s="4" t="n">
        <v>0.1486909480614118</v>
      </c>
      <c r="G99" s="4" t="n">
        <v>0.3164558958426482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94</v>
      </c>
    </row>
    <row r="103">
      <c r="A103" t="inlineStr">
        <is>
          <t>Shares outstanding (m)</t>
        </is>
      </c>
      <c r="C103" s="13" t="n">
        <v>31275.829981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57.680965</v>
      </c>
    </row>
    <row r="106">
      <c r="A106" t="inlineStr">
        <is>
          <t>Cash at balance-sheet date</t>
        </is>
      </c>
      <c r="C106" s="13" t="n">
        <v>1.208803</v>
      </c>
    </row>
    <row r="107">
      <c r="A107" t="inlineStr">
        <is>
          <t>Minority interest (book)</t>
        </is>
      </c>
      <c r="C107" s="13" t="n">
        <v>-0.517612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18.810965</v>
      </c>
    </row>
    <row r="110">
      <c r="A110" t="inlineStr">
        <is>
          <t>Parent equity at balance-sheet date</t>
        </is>
      </c>
      <c r="C110" s="13" t="n">
        <v>131.872985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0.3556098938980551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0.0083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  <c r="AG127" s="6" t="n">
        <v>24.673511</v>
      </c>
      <c r="AH127" s="6" t="n">
        <v>25.672827</v>
      </c>
      <c r="AI127" s="6" t="n">
        <v>26.67488</v>
      </c>
      <c r="AJ127" s="6" t="n">
        <v>27.674196</v>
      </c>
      <c r="AK127" s="6" t="n">
        <v>28.673511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</row>
    <row r="131">
      <c r="A131" t="inlineStr">
        <is>
          <t>Best cumulative PV (never below zero)</t>
        </is>
      </c>
      <c r="C131" s="26">
        <f>MAX(0,MAX(H130:AK130))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6.294271</v>
      </c>
    </row>
    <row r="139">
      <c r="A139" t="inlineStr">
        <is>
          <t>Metric (LTM, or next-12m DPS for yield)</t>
        </is>
      </c>
      <c r="C139" s="13" t="n">
        <v>15.916795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12.10792025152356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130.6663657320504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10.882758</v>
      </c>
      <c r="E161" s="27" t="n">
        <v>16.935001</v>
      </c>
      <c r="F161" s="27" t="n">
        <v>39.194624</v>
      </c>
      <c r="G161" s="27" t="n">
        <v>63.52184</v>
      </c>
      <c r="H161" s="27" t="n">
        <v>89.09839100000001</v>
      </c>
    </row>
    <row r="162">
      <c r="C162" s="1" t="n">
        <v>0.95</v>
      </c>
      <c r="D162" s="27" t="n">
        <v>11.49494</v>
      </c>
      <c r="E162" s="27" t="n">
        <v>17.903107</v>
      </c>
      <c r="F162" s="27" t="n">
        <v>41.433732</v>
      </c>
      <c r="G162" s="27" t="n">
        <v>67.153426</v>
      </c>
      <c r="H162" s="27" t="n">
        <v>94.19658200000001</v>
      </c>
    </row>
    <row r="163">
      <c r="C163" s="1" t="n">
        <v>1</v>
      </c>
      <c r="D163" s="27" t="n">
        <v>12.10792</v>
      </c>
      <c r="E163" s="27" t="n">
        <v>18.873692</v>
      </c>
      <c r="F163" s="27" t="n">
        <v>43.678469</v>
      </c>
      <c r="G163" s="27" t="n">
        <v>70.79436200000001</v>
      </c>
      <c r="H163" s="27" t="n">
        <v>99.308252</v>
      </c>
    </row>
    <row r="164">
      <c r="C164" s="1" t="n">
        <v>1.05</v>
      </c>
      <c r="D164" s="27" t="n">
        <v>12.721699</v>
      </c>
      <c r="E164" s="27" t="n">
        <v>19.846715</v>
      </c>
      <c r="F164" s="27" t="n">
        <v>45.928738</v>
      </c>
      <c r="G164" s="27" t="n">
        <v>74.444485</v>
      </c>
      <c r="H164" s="27" t="n">
        <v>104.433163</v>
      </c>
    </row>
    <row r="165">
      <c r="C165" s="1" t="n">
        <v>1.1</v>
      </c>
      <c r="D165" s="27" t="n">
        <v>13.336276</v>
      </c>
      <c r="E165" s="27" t="n">
        <v>20.822134</v>
      </c>
      <c r="F165" s="27" t="n">
        <v>48.184449</v>
      </c>
      <c r="G165" s="27" t="n">
        <v>78.10364300000001</v>
      </c>
      <c r="H165" s="27" t="n">
        <v>109.571089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94.701708</v>
      </c>
      <c r="E169" s="27" t="n">
        <v>79.819973</v>
      </c>
      <c r="F169" s="27" t="n">
        <v>64.938238</v>
      </c>
      <c r="G169" s="27" t="n">
        <v>50.056503</v>
      </c>
      <c r="H169" s="27" t="n">
        <v>35.174768</v>
      </c>
    </row>
    <row r="170">
      <c r="C170" s="1" t="n">
        <v>0.95</v>
      </c>
      <c r="D170" s="27" t="n">
        <v>100.332972</v>
      </c>
      <c r="E170" s="27" t="n">
        <v>84.62447400000001</v>
      </c>
      <c r="F170" s="27" t="n">
        <v>68.915976</v>
      </c>
      <c r="G170" s="27" t="n">
        <v>53.207478</v>
      </c>
      <c r="H170" s="27" t="n">
        <v>37.49898</v>
      </c>
    </row>
    <row r="171">
      <c r="C171" s="1" t="n">
        <v>1</v>
      </c>
      <c r="D171" s="27" t="n">
        <v>105.964236</v>
      </c>
      <c r="E171" s="27" t="n">
        <v>89.42897499999999</v>
      </c>
      <c r="F171" s="27" t="n">
        <v>72.893714</v>
      </c>
      <c r="G171" s="27" t="n">
        <v>56.358453</v>
      </c>
      <c r="H171" s="27" t="n">
        <v>39.823191</v>
      </c>
    </row>
    <row r="172">
      <c r="C172" s="1" t="n">
        <v>1.05</v>
      </c>
      <c r="D172" s="27" t="n">
        <v>111.5955</v>
      </c>
      <c r="E172" s="27" t="n">
        <v>94.233476</v>
      </c>
      <c r="F172" s="27" t="n">
        <v>76.87145200000001</v>
      </c>
      <c r="G172" s="27" t="n">
        <v>59.509428</v>
      </c>
      <c r="H172" s="27" t="n">
        <v>42.147403</v>
      </c>
    </row>
    <row r="173">
      <c r="C173" s="1" t="n">
        <v>1.1</v>
      </c>
      <c r="D173" s="27" t="n">
        <v>117.226764</v>
      </c>
      <c r="E173" s="27" t="n">
        <v>99.037977</v>
      </c>
      <c r="F173" s="27" t="n">
        <v>80.84918999999999</v>
      </c>
      <c r="G173" s="27" t="n">
        <v>62.660402</v>
      </c>
      <c r="H173" s="27" t="n">
        <v>44.471615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1.993879844847848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5.927731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109.6407269133002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443.2790599936881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3181.484041658735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398.674698</v>
      </c>
      <c r="E167" s="27" t="n">
        <v>459.170224</v>
      </c>
      <c r="F167" s="27" t="n">
        <v>519.665749</v>
      </c>
      <c r="G167" s="27" t="n">
        <v>1321.925964</v>
      </c>
      <c r="H167" s="27" t="n">
        <v>2702.274519</v>
      </c>
    </row>
    <row r="168">
      <c r="C168" s="1" t="n">
        <v>0.95</v>
      </c>
      <c r="D168" s="27" t="n">
        <v>422.377221</v>
      </c>
      <c r="E168" s="27" t="n">
        <v>486.610122</v>
      </c>
      <c r="F168" s="27" t="n">
        <v>550.843022</v>
      </c>
      <c r="G168" s="27" t="n">
        <v>1401.232126</v>
      </c>
      <c r="H168" s="27" t="n">
        <v>2864.11379</v>
      </c>
    </row>
    <row r="169">
      <c r="C169" s="1" t="n">
        <v>1</v>
      </c>
      <c r="D169" s="27" t="n">
        <v>446.243316</v>
      </c>
      <c r="E169" s="27" t="n">
        <v>514.253224</v>
      </c>
      <c r="F169" s="27" t="n">
        <v>582.263132</v>
      </c>
      <c r="G169" s="27" t="n">
        <v>1481.129817</v>
      </c>
      <c r="H169" s="27" t="n">
        <v>3027.126049</v>
      </c>
    </row>
    <row r="170">
      <c r="C170" s="1" t="n">
        <v>1.05</v>
      </c>
      <c r="D170" s="27" t="n">
        <v>468.660918</v>
      </c>
      <c r="E170" s="27" t="n">
        <v>540.096868</v>
      </c>
      <c r="F170" s="27" t="n">
        <v>611.532819</v>
      </c>
      <c r="G170" s="27" t="n">
        <v>1555.581815</v>
      </c>
      <c r="H170" s="27" t="n">
        <v>3179.271314</v>
      </c>
    </row>
    <row r="171">
      <c r="C171" s="1" t="n">
        <v>1.1</v>
      </c>
      <c r="D171" s="27" t="n">
        <v>490.978105</v>
      </c>
      <c r="E171" s="27" t="n">
        <v>565.8157670000001</v>
      </c>
      <c r="F171" s="27" t="n">
        <v>640.653429</v>
      </c>
      <c r="G171" s="27" t="n">
        <v>1629.65714</v>
      </c>
      <c r="H171" s="27" t="n">
        <v>3330.665186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2098.144964</v>
      </c>
      <c r="E175" s="27" t="n">
        <v>1259.849387</v>
      </c>
      <c r="F175" s="27" t="n">
        <v>562.732638</v>
      </c>
      <c r="G175" s="27" t="n">
        <v>535.877379</v>
      </c>
      <c r="H175" s="27" t="n">
        <v>509.02212</v>
      </c>
    </row>
    <row r="176">
      <c r="C176" s="1" t="n">
        <v>0.95</v>
      </c>
      <c r="D176" s="27" t="n">
        <v>2261.952788</v>
      </c>
      <c r="E176" s="27" t="n">
        <v>1377.085235</v>
      </c>
      <c r="F176" s="27" t="n">
        <v>572.497885</v>
      </c>
      <c r="G176" s="27" t="n">
        <v>544.150667</v>
      </c>
      <c r="H176" s="27" t="n">
        <v>515.803449</v>
      </c>
    </row>
    <row r="177">
      <c r="C177" s="1" t="n">
        <v>1</v>
      </c>
      <c r="D177" s="27" t="n">
        <v>2425.760612</v>
      </c>
      <c r="E177" s="27" t="n">
        <v>1494.321083</v>
      </c>
      <c r="F177" s="27" t="n">
        <v>582.263132</v>
      </c>
      <c r="G177" s="27" t="n">
        <v>552.423955</v>
      </c>
      <c r="H177" s="27" t="n">
        <v>522.584778</v>
      </c>
    </row>
    <row r="178">
      <c r="C178" s="1" t="n">
        <v>1.05</v>
      </c>
      <c r="D178" s="27" t="n">
        <v>2596.179526</v>
      </c>
      <c r="E178" s="27" t="n">
        <v>1628.69437</v>
      </c>
      <c r="F178" s="27" t="n">
        <v>661.209215</v>
      </c>
      <c r="G178" s="27" t="n">
        <v>560.697243</v>
      </c>
      <c r="H178" s="27" t="n">
        <v>529.3661070000001</v>
      </c>
    </row>
    <row r="179">
      <c r="C179" s="1" t="n">
        <v>1.1</v>
      </c>
      <c r="D179" s="27" t="n">
        <v>2776.63411</v>
      </c>
      <c r="E179" s="27" t="n">
        <v>1789.082386</v>
      </c>
      <c r="F179" s="27" t="n">
        <v>801.530662</v>
      </c>
      <c r="G179" s="27" t="n">
        <v>568.9705310000001</v>
      </c>
      <c r="H179" s="27" t="n">
        <v>536.147437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0.0640324510124614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4.09455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3936.874160137984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17747.22685205305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41389.37407195775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16067.971641</v>
      </c>
      <c r="E167" s="27" t="n">
        <v>17243.18547</v>
      </c>
      <c r="F167" s="27" t="n">
        <v>19970.110276</v>
      </c>
      <c r="G167" s="27" t="n">
        <v>25418.667376</v>
      </c>
      <c r="H167" s="27" t="n">
        <v>32524.880881</v>
      </c>
    </row>
    <row r="168">
      <c r="C168" s="1" t="n">
        <v>0.95</v>
      </c>
      <c r="D168" s="27" t="n">
        <v>16962.880136</v>
      </c>
      <c r="E168" s="27" t="n">
        <v>18203.666537</v>
      </c>
      <c r="F168" s="27" t="n">
        <v>21082.619946</v>
      </c>
      <c r="G168" s="27" t="n">
        <v>26834.975856</v>
      </c>
      <c r="H168" s="27" t="n">
        <v>34337.59947</v>
      </c>
    </row>
    <row r="169">
      <c r="C169" s="1" t="n">
        <v>1</v>
      </c>
      <c r="D169" s="27" t="n">
        <v>17858.02478</v>
      </c>
      <c r="E169" s="27" t="n">
        <v>19164.413518</v>
      </c>
      <c r="F169" s="27" t="n">
        <v>22195.451283</v>
      </c>
      <c r="G169" s="27" t="n">
        <v>28251.720274</v>
      </c>
      <c r="H169" s="27" t="n">
        <v>36150.921124</v>
      </c>
    </row>
    <row r="170">
      <c r="C170" s="1" t="n">
        <v>1.05</v>
      </c>
      <c r="D170" s="27" t="n">
        <v>18753.405571</v>
      </c>
      <c r="E170" s="27" t="n">
        <v>20125.426409</v>
      </c>
      <c r="F170" s="27" t="n">
        <v>23308.604239</v>
      </c>
      <c r="G170" s="27" t="n">
        <v>29668.90035</v>
      </c>
      <c r="H170" s="27" t="n">
        <v>37964.845076</v>
      </c>
    </row>
    <row r="171">
      <c r="C171" s="1" t="n">
        <v>1.1</v>
      </c>
      <c r="D171" s="27" t="n">
        <v>19649.02251</v>
      </c>
      <c r="E171" s="27" t="n">
        <v>21086.705208</v>
      </c>
      <c r="F171" s="27" t="n">
        <v>24422.078767</v>
      </c>
      <c r="G171" s="27" t="n">
        <v>31086.515807</v>
      </c>
      <c r="H171" s="27" t="n">
        <v>39779.37057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29752.322147</v>
      </c>
      <c r="E175" s="27" t="n">
        <v>25802.218281</v>
      </c>
      <c r="F175" s="27" t="n">
        <v>21925.003497</v>
      </c>
      <c r="G175" s="27" t="n">
        <v>20087.688334</v>
      </c>
      <c r="H175" s="27" t="n">
        <v>19270.6993</v>
      </c>
    </row>
    <row r="176">
      <c r="C176" s="1" t="n">
        <v>0.95</v>
      </c>
      <c r="D176" s="27" t="n">
        <v>30422.344087</v>
      </c>
      <c r="E176" s="27" t="n">
        <v>26369.191367</v>
      </c>
      <c r="F176" s="27" t="n">
        <v>22316.038646</v>
      </c>
      <c r="G176" s="27" t="n">
        <v>20247.211899</v>
      </c>
      <c r="H176" s="27" t="n">
        <v>19384.834586</v>
      </c>
    </row>
    <row r="177">
      <c r="C177" s="1" t="n">
        <v>1</v>
      </c>
      <c r="D177" s="27" t="n">
        <v>31033.387109</v>
      </c>
      <c r="E177" s="27" t="n">
        <v>26884.170537</v>
      </c>
      <c r="F177" s="27" t="n">
        <v>22734.953966</v>
      </c>
      <c r="G177" s="27" t="n">
        <v>20406.735465</v>
      </c>
      <c r="H177" s="27" t="n">
        <v>19498.969872</v>
      </c>
    </row>
    <row r="178">
      <c r="C178" s="1" t="n">
        <v>1.05</v>
      </c>
      <c r="D178" s="27" t="n">
        <v>31655.268164</v>
      </c>
      <c r="E178" s="27" t="n">
        <v>27417.186666</v>
      </c>
      <c r="F178" s="27" t="n">
        <v>23179.105168</v>
      </c>
      <c r="G178" s="27" t="n">
        <v>20578.901735</v>
      </c>
      <c r="H178" s="27" t="n">
        <v>19613.105158</v>
      </c>
    </row>
    <row r="179">
      <c r="C179" s="1" t="n">
        <v>1.1</v>
      </c>
      <c r="D179" s="27" t="n">
        <v>32273.815943</v>
      </c>
      <c r="E179" s="27" t="n">
        <v>27950.756171</v>
      </c>
      <c r="F179" s="27" t="n">
        <v>23627.696398</v>
      </c>
      <c r="G179" s="27" t="n">
        <v>20752.243086</v>
      </c>
      <c r="H179" s="27" t="n">
        <v>19727.240443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Resource Alam Indonesia Tbk (KKGI.JK) — Coal producers</t>
        </is>
      </c>
    </row>
    <row r="2">
      <c r="A2" s="5" t="inlineStr">
        <is>
          <t>Units: USD m; per-share in USD unless marked IDR. Model asof 2026-10-29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137.894154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2.84</v>
      </c>
      <c r="I14" s="13" t="n">
        <v>2.84</v>
      </c>
      <c r="J14" s="13" t="n">
        <v>2.84</v>
      </c>
      <c r="K14" s="13" t="n">
        <v>2.84</v>
      </c>
      <c r="L14" s="13" t="n">
        <v>2.84</v>
      </c>
      <c r="M14" s="13" t="n">
        <v>2.84</v>
      </c>
      <c r="N14" s="13" t="n">
        <v>2.84</v>
      </c>
      <c r="O14" s="13" t="n">
        <v>2.84</v>
      </c>
      <c r="P14" s="13" t="n">
        <v>2.84</v>
      </c>
      <c r="Q14" s="13" t="n">
        <v>2.84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0.38</v>
      </c>
      <c r="I15" s="14" t="n">
        <v>0.38</v>
      </c>
      <c r="J15" s="14" t="n">
        <v>0.38</v>
      </c>
      <c r="K15" s="14" t="n">
        <v>0.38</v>
      </c>
      <c r="L15" s="14" t="n">
        <v>0.38</v>
      </c>
      <c r="M15" s="14" t="n">
        <v>0.38</v>
      </c>
      <c r="N15" s="14" t="n">
        <v>0.38</v>
      </c>
      <c r="O15" s="14" t="n">
        <v>0.38</v>
      </c>
      <c r="P15" s="14" t="n">
        <v>0.38</v>
      </c>
      <c r="Q15" s="14" t="n">
        <v>0.38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7.24</v>
      </c>
      <c r="I17" s="14" t="n">
        <v>7.24</v>
      </c>
      <c r="J17" s="14" t="n">
        <v>7.24</v>
      </c>
      <c r="K17" s="14" t="n">
        <v>7.24</v>
      </c>
      <c r="L17" s="14" t="n">
        <v>7.24</v>
      </c>
      <c r="M17" s="14" t="n">
        <v>7.24</v>
      </c>
      <c r="N17" s="14" t="n">
        <v>7.24</v>
      </c>
      <c r="O17" s="14" t="n">
        <v>7.24</v>
      </c>
      <c r="P17" s="14" t="n">
        <v>7.24</v>
      </c>
      <c r="Q17" s="14" t="n">
        <v>7.24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3.345</v>
      </c>
      <c r="I18" s="3" t="n">
        <v>3.345</v>
      </c>
      <c r="J18" s="3" t="n">
        <v>3.345</v>
      </c>
      <c r="K18" s="3" t="n">
        <v>3.345</v>
      </c>
      <c r="L18" s="3" t="n">
        <v>3.345</v>
      </c>
      <c r="M18" s="3" t="n">
        <v>3.4119</v>
      </c>
      <c r="N18" s="3" t="n">
        <v>3.480138</v>
      </c>
      <c r="O18" s="3" t="n">
        <v>3.549740760000001</v>
      </c>
      <c r="P18" s="3" t="n">
        <v>3.6207355752</v>
      </c>
      <c r="Q18" s="3" t="n">
        <v>3.693150286704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4.44</v>
      </c>
      <c r="I20" s="3" t="n">
        <v>4.44</v>
      </c>
      <c r="J20" s="3" t="n">
        <v>4.44</v>
      </c>
      <c r="K20" s="3" t="n">
        <v>4.44</v>
      </c>
      <c r="L20" s="3" t="n">
        <v>4.44</v>
      </c>
      <c r="M20" s="3" t="n">
        <v>4.5288</v>
      </c>
      <c r="N20" s="3" t="n">
        <v>4.619376</v>
      </c>
      <c r="O20" s="3" t="n">
        <v>4.711763520000001</v>
      </c>
      <c r="P20" s="3" t="n">
        <v>4.8059987904</v>
      </c>
      <c r="Q20" s="3" t="n">
        <v>4.902118766208001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  <c r="K21" s="4" t="n">
        <v>0.135</v>
      </c>
      <c r="L21" s="4" t="n">
        <v>0.135</v>
      </c>
      <c r="M21" s="4" t="n">
        <v>0.135</v>
      </c>
      <c r="N21" s="4" t="n">
        <v>0.135</v>
      </c>
      <c r="O21" s="4" t="n">
        <v>0.135</v>
      </c>
      <c r="P21" s="4" t="n">
        <v>0.135</v>
      </c>
      <c r="Q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2.58</v>
      </c>
      <c r="I22" s="13" t="n">
        <v>2.58</v>
      </c>
      <c r="J22" s="13" t="n">
        <v>2.58</v>
      </c>
      <c r="K22" s="13" t="n">
        <v>2.58</v>
      </c>
      <c r="L22" s="13" t="n">
        <v>2.58</v>
      </c>
      <c r="M22" s="13" t="n">
        <v>2.6316</v>
      </c>
      <c r="N22" s="13" t="n">
        <v>2.684232</v>
      </c>
      <c r="O22" s="13" t="n">
        <v>2.73791664</v>
      </c>
      <c r="P22" s="13" t="n">
        <v>2.7926749728</v>
      </c>
      <c r="Q22" s="13" t="n">
        <v>2.848528472256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0.89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0.87</v>
      </c>
      <c r="I24" s="3" t="n">
        <v>0.87</v>
      </c>
      <c r="J24" s="3" t="n">
        <v>0.87</v>
      </c>
      <c r="K24" s="3" t="n">
        <v>0.87</v>
      </c>
      <c r="L24" s="3" t="n">
        <v>0.87</v>
      </c>
      <c r="M24" s="3" t="n">
        <v>0.8874</v>
      </c>
      <c r="N24" s="3" t="n">
        <v>0.905148</v>
      </c>
      <c r="O24" s="3" t="n">
        <v>0.9232509600000002</v>
      </c>
      <c r="P24" s="3" t="n">
        <v>0.9417159791999999</v>
      </c>
      <c r="Q24" s="3" t="n">
        <v>0.960550298784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1.15</v>
      </c>
      <c r="I25" s="3" t="n">
        <v>1.15</v>
      </c>
      <c r="J25" s="3" t="n">
        <v>1.15</v>
      </c>
      <c r="K25" s="3" t="n">
        <v>1.15</v>
      </c>
      <c r="L25" s="3" t="n">
        <v>1.15</v>
      </c>
      <c r="M25" s="3" t="n">
        <v>1.173</v>
      </c>
      <c r="N25" s="3" t="n">
        <v>1.19646</v>
      </c>
      <c r="O25" s="3" t="n">
        <v>1.2203892</v>
      </c>
      <c r="P25" s="3" t="n">
        <v>1.244796984</v>
      </c>
      <c r="Q25" s="3" t="n">
        <v>1.26969292368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0.1635</v>
      </c>
      <c r="I27" s="4" t="n">
        <v>0.1635</v>
      </c>
      <c r="J27" s="4" t="n">
        <v>0.1635</v>
      </c>
      <c r="K27" s="4" t="n">
        <v>0.1635</v>
      </c>
      <c r="L27" s="4" t="n">
        <v>0.1635</v>
      </c>
      <c r="M27" s="4" t="n">
        <v>0.1635</v>
      </c>
      <c r="N27" s="4" t="n">
        <v>0.1635</v>
      </c>
      <c r="O27" s="4" t="n">
        <v>0.1635</v>
      </c>
      <c r="P27" s="4" t="n">
        <v>0.1635</v>
      </c>
      <c r="Q27" s="4" t="n">
        <v>0.1635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</v>
      </c>
      <c r="I28" s="4" t="n">
        <v>0.4</v>
      </c>
      <c r="J28" s="4" t="n">
        <v>0.4</v>
      </c>
      <c r="K28" s="4" t="n">
        <v>0.4</v>
      </c>
      <c r="L28" s="4" t="n">
        <v>0.4</v>
      </c>
      <c r="M28" s="4" t="n">
        <v>0.4</v>
      </c>
      <c r="N28" s="4" t="n">
        <v>0.4</v>
      </c>
      <c r="O28" s="4" t="n">
        <v>0.4</v>
      </c>
      <c r="P28" s="4" t="n">
        <v>0.4</v>
      </c>
      <c r="Q28" s="4" t="n">
        <v>0.4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0.115972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0.02478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-4.2</v>
      </c>
      <c r="I32" s="13" t="n">
        <v>-2</v>
      </c>
      <c r="J32" s="13" t="n">
        <v>-2</v>
      </c>
      <c r="K32" s="13" t="n">
        <v>-2</v>
      </c>
      <c r="L32" s="13" t="n">
        <v>-2</v>
      </c>
      <c r="M32" s="13" t="n">
        <v>-2.04</v>
      </c>
      <c r="N32" s="13" t="n">
        <v>-2.0808</v>
      </c>
      <c r="O32" s="13" t="n">
        <v>-2.122416</v>
      </c>
      <c r="P32" s="13" t="n">
        <v>-2.16486432</v>
      </c>
      <c r="Q32" s="13" t="n">
        <v>-2.2081616064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0.34</v>
      </c>
      <c r="I34" s="4" t="n">
        <v>0.34</v>
      </c>
      <c r="J34" s="4" t="n">
        <v>0.34</v>
      </c>
      <c r="K34" s="4" t="n">
        <v>0.34</v>
      </c>
      <c r="L34" s="4" t="n">
        <v>0.34</v>
      </c>
      <c r="M34" s="4" t="n">
        <v>0.34</v>
      </c>
      <c r="N34" s="4" t="n">
        <v>0.34</v>
      </c>
      <c r="O34" s="4" t="n">
        <v>0.34</v>
      </c>
      <c r="P34" s="4" t="n">
        <v>0.34</v>
      </c>
      <c r="Q34" s="4" t="n">
        <v>0.34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0.1263</v>
      </c>
      <c r="I37" s="4" t="n">
        <v>0.1263</v>
      </c>
      <c r="J37" s="4" t="n">
        <v>0.1263</v>
      </c>
      <c r="K37" s="4" t="n">
        <v>0.1263</v>
      </c>
      <c r="L37" s="4" t="n">
        <v>0.1263</v>
      </c>
      <c r="M37" s="4" t="n">
        <v>0.1263</v>
      </c>
      <c r="N37" s="4" t="n">
        <v>0.1263</v>
      </c>
      <c r="O37" s="4" t="n">
        <v>0.1263</v>
      </c>
      <c r="P37" s="4" t="n">
        <v>0.1263</v>
      </c>
      <c r="Q37" s="4" t="n">
        <v>0.1263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137.894154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5.231561</v>
      </c>
      <c r="F41" s="13" t="n">
        <v>6.249049</v>
      </c>
      <c r="G41" s="13" t="n">
        <v>3.634008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63.09</v>
      </c>
      <c r="F43" s="3" t="n">
        <v>52.24</v>
      </c>
      <c r="G43" s="3" t="n">
        <v>41.33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28.61</v>
      </c>
      <c r="G45" s="3" t="n">
        <v>27.93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>
        <v>8.74</v>
      </c>
      <c r="F46" s="14" t="n">
        <v>7.29</v>
      </c>
      <c r="G46" s="14" t="n">
        <v>7.24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7.364088271168013</v>
      </c>
      <c r="F48" s="3" t="n">
        <v>10.77286511915653</v>
      </c>
      <c r="G48" s="3" t="n">
        <v>2.451756297729669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255.241076</v>
      </c>
      <c r="E55" s="13" t="n">
        <v>294.672016</v>
      </c>
      <c r="F55" s="13" t="n">
        <v>326.804875</v>
      </c>
      <c r="G55" s="13" t="n">
        <v>153.117575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181.501046</v>
      </c>
      <c r="E56" s="13" t="n">
        <v>241.887753</v>
      </c>
      <c r="F56" s="13" t="n">
        <v>223.660192</v>
      </c>
      <c r="G56" s="13" t="n">
        <v>127.039167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73.74003</v>
      </c>
      <c r="E57" s="13" t="n">
        <v>52.784263</v>
      </c>
      <c r="F57" s="13" t="n">
        <v>103.144683</v>
      </c>
      <c r="G57" s="13" t="n">
        <v>26.078408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13.649923</v>
      </c>
      <c r="E58" s="13" t="n">
        <v>14.709281</v>
      </c>
      <c r="F58" s="13" t="n">
        <v>38.91248400000001</v>
      </c>
      <c r="G58" s="13" t="n">
        <v>20.328894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60.090107</v>
      </c>
      <c r="E59" s="13" t="n">
        <v>38.074982</v>
      </c>
      <c r="F59" s="13" t="n">
        <v>64.23219899999999</v>
      </c>
      <c r="G59" s="13" t="n">
        <v>5.749514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0.220724</v>
      </c>
      <c r="E60" s="13" t="n">
        <v>0.450695</v>
      </c>
      <c r="F60" s="13" t="n">
        <v>3.087963</v>
      </c>
      <c r="G60" s="13" t="n">
        <v>3.160188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60.310831</v>
      </c>
      <c r="E61" s="13" t="n">
        <v>38.525677</v>
      </c>
      <c r="F61" s="13" t="n">
        <v>67.320162</v>
      </c>
      <c r="G61" s="13" t="n">
        <v>8.909701999999999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0.7346819999999999</v>
      </c>
      <c r="E62" s="13" t="n">
        <v>0.576888</v>
      </c>
      <c r="F62" s="13" t="n">
        <v>0.515363</v>
      </c>
      <c r="G62" s="13" t="n">
        <v>0.195066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0.525289</v>
      </c>
      <c r="E63" s="13" t="n">
        <v>1.209992</v>
      </c>
      <c r="F63" s="13" t="n">
        <v>1.520747</v>
      </c>
      <c r="G63" s="13" t="n">
        <v>0.873901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-1.821897000000006</v>
      </c>
      <c r="E64" s="13" t="n">
        <v>0.4152259999999999</v>
      </c>
      <c r="F64" s="13" t="n">
        <v>-4.941001999999991</v>
      </c>
      <c r="G64" s="13" t="n">
        <v>-0.8877789999999999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58.058817</v>
      </c>
      <c r="E65" s="13" t="n">
        <v>39.123312</v>
      </c>
      <c r="F65" s="13" t="n">
        <v>60.296581</v>
      </c>
      <c r="G65" s="13" t="n">
        <v>5.54057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19.002911</v>
      </c>
      <c r="E66" s="13" t="n">
        <v>12.320751</v>
      </c>
      <c r="F66" s="13" t="n">
        <v>20.150343</v>
      </c>
      <c r="G66" s="13" t="n">
        <v>3.499847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39.055906</v>
      </c>
      <c r="E67" s="13" t="n">
        <v>26.802561</v>
      </c>
      <c r="F67" s="13" t="n">
        <v>40.146238</v>
      </c>
      <c r="G67" s="13" t="n">
        <v>2.040723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0.3867910000000023</v>
      </c>
      <c r="E68" s="13" t="n">
        <v>-0.07818999999999932</v>
      </c>
      <c r="F68" s="13" t="n">
        <v>0.0691009999999963</v>
      </c>
      <c r="G68" s="13" t="n">
        <v>-0.3808230000000004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38.669115</v>
      </c>
      <c r="E69" s="13" t="n">
        <v>26.880751</v>
      </c>
      <c r="F69" s="13" t="n">
        <v>40.077137</v>
      </c>
      <c r="G69" s="13" t="n">
        <v>2.421546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4861.419842</v>
      </c>
      <c r="E70" s="13" t="n">
        <v>4692.490195</v>
      </c>
      <c r="F70" s="13" t="n">
        <v>4873.320227</v>
      </c>
      <c r="G70" s="13" t="n">
        <v>4873.3294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0.007954284192021446</v>
      </c>
      <c r="E71" s="20" t="n">
        <v>0.005728461836455686</v>
      </c>
      <c r="F71" s="20" t="n">
        <v>0.008223784839329418</v>
      </c>
      <c r="G71" s="20" t="n">
        <v>0.0004968976650747229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0.00159093670466596</v>
      </c>
      <c r="E72" s="20" t="n">
        <v>0.003045986894080901</v>
      </c>
      <c r="F72" s="20" t="n">
        <v>0.002863374432253888</v>
      </c>
      <c r="G72" s="20" t="n">
        <v>0.001797080588242018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6.318379</v>
      </c>
      <c r="E73" s="13" t="n">
        <v>7.658665</v>
      </c>
      <c r="F73" s="13" t="n">
        <v>15.281189</v>
      </c>
      <c r="G73" s="13" t="n">
        <v>9.801574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1.67369</v>
      </c>
      <c r="E74" s="13" t="n">
        <v>5.352067</v>
      </c>
      <c r="F74" s="13" t="n">
        <v>3.390581</v>
      </c>
      <c r="G74" s="13" t="n">
        <v>3.202403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10.236613</v>
      </c>
      <c r="F75" s="13" t="n">
        <v>-7.295930999999982</v>
      </c>
      <c r="G75" s="13" t="n">
        <v>7.188342999999985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10.94638709070904</v>
      </c>
      <c r="F76" s="13" t="n">
        <v>49.75993600831553</v>
      </c>
      <c r="G76" s="13" t="n">
        <v>-5.112875981972598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2.0758</v>
      </c>
      <c r="F77" s="13" t="n">
        <v>-2.650571999999999</v>
      </c>
      <c r="G77" s="13" t="n">
        <v>0.566033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14.90935199999999</v>
      </c>
      <c r="E80" s="13" t="n">
        <v>25.14596499999999</v>
      </c>
      <c r="F80" s="13" t="n">
        <v>17.85003400000001</v>
      </c>
      <c r="G80" s="13" t="n">
        <v>25.03837699999999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43.517021</v>
      </c>
      <c r="E81" s="13" t="n">
        <v>45.09847</v>
      </c>
      <c r="F81" s="13" t="n">
        <v>68.20206399999999</v>
      </c>
      <c r="G81" s="13" t="n">
        <v>42.348117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3.242721</v>
      </c>
      <c r="E82" s="13" t="n">
        <v>5.318521</v>
      </c>
      <c r="F82" s="13" t="n">
        <v>2.667949</v>
      </c>
      <c r="G82" s="13" t="n">
        <v>3.233982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34.383719</v>
      </c>
      <c r="E83" s="13" t="n">
        <v>40.448071</v>
      </c>
      <c r="F83" s="13" t="n">
        <v>40.958695</v>
      </c>
      <c r="G83" s="13" t="n">
        <v>39.413366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122.106297</v>
      </c>
      <c r="E84" s="13" t="n">
        <v>138.586</v>
      </c>
      <c r="F84" s="13" t="n">
        <v>160.730649</v>
      </c>
      <c r="G84" s="13" t="n">
        <v>150.494432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0.832847</v>
      </c>
      <c r="E85" s="13" t="n">
        <v>0.754657</v>
      </c>
      <c r="F85" s="13" t="n">
        <v>0.12459</v>
      </c>
      <c r="G85" s="13" t="n">
        <v>0.659466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33.371773</v>
      </c>
      <c r="E86" s="13" t="n">
        <v>33.96667200000005</v>
      </c>
      <c r="F86" s="13" t="n">
        <v>36.51239500000001</v>
      </c>
      <c r="G86" s="13" t="n">
        <v>47.58801999999999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-40.2743</v>
      </c>
      <c r="E88" s="13" t="n">
        <v>-39.779949</v>
      </c>
      <c r="F88" s="13" t="n">
        <v>-65.53411499999999</v>
      </c>
      <c r="G88" s="13" t="n">
        <v>-39.114135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0.0251174144526808</v>
      </c>
      <c r="E89" s="20" t="n">
        <v>0.0295335726322173</v>
      </c>
      <c r="F89" s="20" t="n">
        <v>0.03298175402254353</v>
      </c>
      <c r="G89" s="20" t="n">
        <v>0.03088123532138008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0.154485087658853</v>
      </c>
      <c r="F90" s="4" t="n">
        <v>0.1090461844194937</v>
      </c>
      <c r="G90" s="4" t="n">
        <v>-0.5314709580143198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0.2889034600371298</v>
      </c>
      <c r="E91" s="4" t="n">
        <v>0.1791288623755844</v>
      </c>
      <c r="F91" s="4" t="n">
        <v>0.3156154968618507</v>
      </c>
      <c r="G91" s="4" t="n">
        <v>0.170316229211441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0.2362896754125892</v>
      </c>
      <c r="E92" s="4" t="n">
        <v>0.1307408742878387</v>
      </c>
      <c r="F92" s="4" t="n">
        <v>0.2059949748301643</v>
      </c>
      <c r="G92" s="4" t="n">
        <v>0.05818863053441122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0.2354249086459736</v>
      </c>
      <c r="E93" s="4" t="n">
        <v>0.1292113941352341</v>
      </c>
      <c r="F93" s="4" t="n">
        <v>0.1965460245964813</v>
      </c>
      <c r="G93" s="4" t="n">
        <v>0.03754966730631673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0.1515003603887017</v>
      </c>
      <c r="E94" s="4" t="n">
        <v>0.09122261205828246</v>
      </c>
      <c r="F94" s="4" t="n">
        <v>0.1226332287729796</v>
      </c>
      <c r="G94" s="4" t="n">
        <v>0.01581494482263059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-0.2798268583109432</v>
      </c>
      <c r="F95" s="4" t="n">
        <v>0.4356008775328839</v>
      </c>
      <c r="G95" s="4" t="n">
        <v>-0.9395779832786529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0.2062258939703155</v>
      </c>
      <c r="F96" s="4" t="n">
        <v>0.2677908972581075</v>
      </c>
      <c r="G96" s="4" t="n">
        <v>0.01556138080015473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-0.6677788936451563</v>
      </c>
      <c r="E97" s="22" t="n">
        <v>-1.032556780248145</v>
      </c>
      <c r="F97" s="22" t="n">
        <v>-0.9734693597439648</v>
      </c>
      <c r="G97" s="22" t="n">
        <v>-4.390060969491461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0.2000100406598183</v>
      </c>
      <c r="E98" s="4" t="n">
        <v>0.5317285828276573</v>
      </c>
      <c r="F98" s="4" t="n">
        <v>0.3481820704452395</v>
      </c>
      <c r="G98" s="4" t="n">
        <v>3.616600991618214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0.006557290958920734</v>
      </c>
      <c r="E99" s="4" t="n">
        <v>0.01816279357860707</v>
      </c>
      <c r="F99" s="4" t="n">
        <v>0.01037494009231043</v>
      </c>
      <c r="G99" s="4" t="n">
        <v>0.02091466639280305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288</v>
      </c>
    </row>
    <row r="103">
      <c r="A103" t="inlineStr">
        <is>
          <t>Shares outstanding (m)</t>
        </is>
      </c>
      <c r="C103" s="13" t="n">
        <v>4873.3294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2.576074</v>
      </c>
    </row>
    <row r="106">
      <c r="A106" t="inlineStr">
        <is>
          <t>Cash at balance-sheet date</t>
        </is>
      </c>
      <c r="C106" s="13" t="n">
        <v>44.673165</v>
      </c>
    </row>
    <row r="107">
      <c r="A107" t="inlineStr">
        <is>
          <t>Minority interest (book)</t>
        </is>
      </c>
      <c r="C107" s="13" t="n">
        <v>0.338921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38.68299999999999</v>
      </c>
    </row>
    <row r="110">
      <c r="A110" t="inlineStr">
        <is>
          <t>Parent equity at balance-sheet date</t>
        </is>
      </c>
      <c r="C110" s="13" t="n">
        <v>144.494795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0.03326734135263074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11.64642196423303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331.1431434741517</v>
      </c>
    </row>
    <row r="144">
      <c r="A144" t="inlineStr">
        <is>
          <t>Base probability</t>
        </is>
      </c>
      <c r="C144" s="4" t="n">
        <v>0.65</v>
      </c>
    </row>
    <row r="145">
      <c r="A145" t="inlineStr">
        <is>
          <t>Bull probability</t>
        </is>
      </c>
      <c r="C145" s="4" t="n">
        <v>0.1</v>
      </c>
    </row>
    <row r="146">
      <c r="A146" t="inlineStr">
        <is>
          <t>Bull 12-month value (engine)</t>
        </is>
      </c>
      <c r="C146" s="20" t="n">
        <v>876.6382882942816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302.54429</v>
      </c>
      <c r="E155" s="27" t="n">
        <v>310.663609</v>
      </c>
      <c r="F155" s="27" t="n">
        <v>337.60462</v>
      </c>
      <c r="G155" s="27" t="n">
        <v>414.266041</v>
      </c>
      <c r="H155" s="27" t="n">
        <v>524.780677</v>
      </c>
    </row>
    <row r="156">
      <c r="C156" s="1" t="n">
        <v>0.95</v>
      </c>
      <c r="D156" s="27" t="n">
        <v>319.372395</v>
      </c>
      <c r="E156" s="27" t="n">
        <v>327.943553</v>
      </c>
      <c r="F156" s="27" t="n">
        <v>356.38383</v>
      </c>
      <c r="G156" s="27" t="n">
        <v>437.311907</v>
      </c>
      <c r="H156" s="27" t="n">
        <v>553.978537</v>
      </c>
    </row>
    <row r="157">
      <c r="C157" s="1" t="n">
        <v>1</v>
      </c>
      <c r="D157" s="27" t="n">
        <v>336.202616</v>
      </c>
      <c r="E157" s="27" t="n">
        <v>345.225692</v>
      </c>
      <c r="F157" s="27" t="n">
        <v>375.165503</v>
      </c>
      <c r="G157" s="27" t="n">
        <v>460.361037</v>
      </c>
      <c r="H157" s="27" t="n">
        <v>583.180942</v>
      </c>
    </row>
    <row r="158">
      <c r="C158" s="1" t="n">
        <v>1.05</v>
      </c>
      <c r="D158" s="27" t="n">
        <v>353.034951</v>
      </c>
      <c r="E158" s="27" t="n">
        <v>362.510027</v>
      </c>
      <c r="F158" s="27" t="n">
        <v>393.949637</v>
      </c>
      <c r="G158" s="27" t="n">
        <v>483.413431</v>
      </c>
      <c r="H158" s="27" t="n">
        <v>612.387888</v>
      </c>
    </row>
    <row r="159">
      <c r="C159" s="1" t="n">
        <v>1.1</v>
      </c>
      <c r="D159" s="27" t="n">
        <v>369.869401</v>
      </c>
      <c r="E159" s="27" t="n">
        <v>379.796556</v>
      </c>
      <c r="F159" s="27" t="n">
        <v>412.736233</v>
      </c>
      <c r="G159" s="27" t="n">
        <v>506.469088</v>
      </c>
      <c r="H159" s="27" t="n">
        <v>641.599373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511.198339</v>
      </c>
      <c r="E163" s="27" t="n">
        <v>436.257974</v>
      </c>
      <c r="F163" s="27" t="n">
        <v>377.034288</v>
      </c>
      <c r="G163" s="27" t="n">
        <v>356.607413</v>
      </c>
      <c r="H163" s="27" t="n">
        <v>342.661447</v>
      </c>
    </row>
    <row r="164">
      <c r="C164" s="1" t="n">
        <v>0.95</v>
      </c>
      <c r="D164" s="27" t="n">
        <v>516.583518</v>
      </c>
      <c r="E164" s="27" t="n">
        <v>437.4798</v>
      </c>
      <c r="F164" s="27" t="n">
        <v>376.099895</v>
      </c>
      <c r="G164" s="27" t="n">
        <v>354.766993</v>
      </c>
      <c r="H164" s="27" t="n">
        <v>340.04625</v>
      </c>
    </row>
    <row r="165">
      <c r="C165" s="1" t="n">
        <v>1</v>
      </c>
      <c r="D165" s="27" t="n">
        <v>521.968698</v>
      </c>
      <c r="E165" s="27" t="n">
        <v>438.701626</v>
      </c>
      <c r="F165" s="27" t="n">
        <v>375.165503</v>
      </c>
      <c r="G165" s="27" t="n">
        <v>352.926573</v>
      </c>
      <c r="H165" s="27" t="n">
        <v>337.431054</v>
      </c>
    </row>
    <row r="166">
      <c r="C166" s="1" t="n">
        <v>1.05</v>
      </c>
      <c r="D166" s="27" t="n">
        <v>527.353877</v>
      </c>
      <c r="E166" s="27" t="n">
        <v>439.923452</v>
      </c>
      <c r="F166" s="27" t="n">
        <v>374.23111</v>
      </c>
      <c r="G166" s="27" t="n">
        <v>351.086152</v>
      </c>
      <c r="H166" s="27" t="n">
        <v>334.815858</v>
      </c>
    </row>
    <row r="167">
      <c r="C167" s="1" t="n">
        <v>1.1</v>
      </c>
      <c r="D167" s="27" t="n">
        <v>532.739057</v>
      </c>
      <c r="E167" s="27" t="n">
        <v>441.145278</v>
      </c>
      <c r="F167" s="27" t="n">
        <v>373.296717</v>
      </c>
      <c r="G167" s="27" t="n">
        <v>349.245732</v>
      </c>
      <c r="H167" s="27" t="n">
        <v>332.200661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Mitrabara Adiperdana Tbk (MBAP.JK) — Coal producers</t>
        </is>
      </c>
    </row>
    <row r="2">
      <c r="A2" s="5" t="inlineStr">
        <is>
          <t>Units: USD m; per-share in USD unless marked IDR. Model asof 2026-10-29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4.05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1.45</v>
      </c>
      <c r="I14" s="13" t="n">
        <v>1.3</v>
      </c>
      <c r="J14" s="13" t="n">
        <v>1.3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0.781</v>
      </c>
      <c r="I15" s="14" t="n">
        <v>0.781</v>
      </c>
      <c r="J15" s="14" t="n">
        <v>0.781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60.51</v>
      </c>
      <c r="I18" s="3" t="n">
        <v>61.7202</v>
      </c>
      <c r="J18" s="3" t="n">
        <v>62.954604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28.8</v>
      </c>
      <c r="I22" s="13" t="n">
        <v>28.8</v>
      </c>
      <c r="J22" s="13" t="n">
        <v>28.8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0.276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5.1127</v>
      </c>
      <c r="I24" s="3" t="n">
        <v>5.1127</v>
      </c>
      <c r="J24" s="3" t="n">
        <v>5.1127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</v>
      </c>
      <c r="I25" s="3" t="n">
        <v>3</v>
      </c>
      <c r="J25" s="3" t="n">
        <v>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0.211</v>
      </c>
      <c r="I27" s="4" t="n">
        <v>0.211</v>
      </c>
      <c r="J27" s="4" t="n">
        <v>0.211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0.0945</v>
      </c>
      <c r="I37" s="4" t="n">
        <v>0.0945</v>
      </c>
      <c r="J37" s="4" t="n">
        <v>0.0945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4.05</v>
      </c>
      <c r="H40" s="15">
        <f>MAX((G40-H41),0)</f>
        <v/>
      </c>
      <c r="I40" s="15">
        <f>MAX((H40-I41),0)</f>
        <v/>
      </c>
      <c r="J40" s="15">
        <f>MAX((I40-J41),0)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2.27</v>
      </c>
      <c r="G41" s="13" t="n">
        <v>1.68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81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VLOOKUP(Drivers!$L$5,Drivers!$B$20:$C$22,2,TRUE)</f>
        <v/>
      </c>
      <c r="I47" s="9">
        <f>VLOOKUP(Drivers!$M$5,Drivers!$B$20:$C$22,2,TRUE)</f>
        <v/>
      </c>
      <c r="J47" s="9">
        <f>VLOOKUP(Drivers!$N$5,Drivers!$B$20:$C$22,2,TRUE)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10.87964052863436</v>
      </c>
      <c r="G48" s="3" t="n">
        <v>5.136092857142858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449.535604</v>
      </c>
      <c r="E55" s="13" t="n">
        <v>224.833816</v>
      </c>
      <c r="F55" s="13" t="n">
        <v>217.907893</v>
      </c>
      <c r="G55" s="13" t="n">
        <v>164.869855</v>
      </c>
      <c r="H55" s="15">
        <f>(H50+H51)</f>
        <v/>
      </c>
      <c r="I55" s="15">
        <f>(I50+I51)</f>
        <v/>
      </c>
      <c r="J55" s="15">
        <f>(J50+J51)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183.758231</v>
      </c>
      <c r="E56" s="13" t="n">
        <v>178.096057</v>
      </c>
      <c r="F56" s="13" t="n">
        <v>170.696556</v>
      </c>
      <c r="G56" s="13" t="n">
        <v>146.892068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265.777373</v>
      </c>
      <c r="E57" s="13" t="n">
        <v>46.737759</v>
      </c>
      <c r="F57" s="13" t="n">
        <v>47.211337</v>
      </c>
      <c r="G57" s="13" t="n">
        <v>17.977787</v>
      </c>
      <c r="H57" s="15">
        <f>(H55-H56)</f>
        <v/>
      </c>
      <c r="I57" s="15">
        <f>(I55-I56)</f>
        <v/>
      </c>
      <c r="J57" s="15">
        <f>(J55-J56)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35.79036200000002</v>
      </c>
      <c r="E58" s="13" t="n">
        <v>30.915284</v>
      </c>
      <c r="F58" s="13" t="n">
        <v>27.664446</v>
      </c>
      <c r="G58" s="13" t="n">
        <v>17.602117</v>
      </c>
      <c r="H58" s="15">
        <f>(H55*H37)</f>
        <v/>
      </c>
      <c r="I58" s="15">
        <f>(I55*I37)</f>
        <v/>
      </c>
      <c r="J58" s="15">
        <f>(J55*J37)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229.987011</v>
      </c>
      <c r="E59" s="13" t="n">
        <v>15.822475</v>
      </c>
      <c r="F59" s="13" t="n">
        <v>19.546891</v>
      </c>
      <c r="G59" s="13" t="n">
        <v>0.37567</v>
      </c>
      <c r="H59" s="15">
        <f>(H57-H58)</f>
        <v/>
      </c>
      <c r="I59" s="15">
        <f>(I57-I58)</f>
        <v/>
      </c>
      <c r="J59" s="15">
        <f>(J57-J58)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>
        <v>0.867499</v>
      </c>
      <c r="F60" s="13" t="n">
        <v>5.149893</v>
      </c>
      <c r="G60" s="13" t="n">
        <v>8.252966000000001</v>
      </c>
      <c r="H60" s="15">
        <f>((H41*H24)*$C$10)</f>
        <v/>
      </c>
      <c r="I60" s="15">
        <f>((I41*I24)*$C$10)</f>
        <v/>
      </c>
      <c r="J60" s="15">
        <f>((J41*J24)*$C$10)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>
        <v>16.689974</v>
      </c>
      <c r="F61" s="13" t="n">
        <v>24.696784</v>
      </c>
      <c r="G61" s="13" t="n">
        <v>8.628636</v>
      </c>
      <c r="H61" s="15">
        <f>(H59+H60)</f>
        <v/>
      </c>
      <c r="I61" s="15">
        <f>(I59+I60)</f>
        <v/>
      </c>
      <c r="J61" s="15">
        <f>(J59+J60)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0.274215</v>
      </c>
      <c r="E62" s="13" t="n">
        <v>0.095834</v>
      </c>
      <c r="F62" s="13" t="n">
        <v>0.290823</v>
      </c>
      <c r="G62" s="13" t="n">
        <v>0.602059</v>
      </c>
      <c r="H62" s="15">
        <f>(G82*$C$29)</f>
        <v/>
      </c>
      <c r="I62" s="15">
        <f>(H82*$C$29)</f>
        <v/>
      </c>
      <c r="J62" s="15">
        <f>(I82*$C$29)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1.396837</v>
      </c>
      <c r="E63" s="13" t="n">
        <v>6.279999</v>
      </c>
      <c r="F63" s="13" t="n">
        <v>4.730412</v>
      </c>
      <c r="G63" s="13" t="n">
        <v>3.429382</v>
      </c>
      <c r="H63" s="15">
        <f>(G81*$C$30)</f>
        <v/>
      </c>
      <c r="I63" s="15">
        <f>(H81*$C$30)</f>
        <v/>
      </c>
      <c r="J63" s="15">
        <f>(I81*$C$30)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-0.4545069999999999</v>
      </c>
      <c r="E64" s="13" t="n">
        <v>8.727601999999997</v>
      </c>
      <c r="F64" s="13" t="n">
        <v>0.8908829999999996</v>
      </c>
      <c r="G64" s="13" t="n">
        <v>-0.6312899999999999</v>
      </c>
      <c r="H64" s="15">
        <f>H32</f>
        <v/>
      </c>
      <c r="I64" s="15">
        <f>I32</f>
        <v/>
      </c>
      <c r="J64" s="15">
        <f>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230.655126</v>
      </c>
      <c r="E65" s="13" t="n">
        <v>30.734242</v>
      </c>
      <c r="F65" s="13" t="n">
        <v>24.877363</v>
      </c>
      <c r="G65" s="13" t="n">
        <v>2.571703</v>
      </c>
      <c r="H65" s="15">
        <f>(((H59-H62)+H63)+H64)</f>
        <v/>
      </c>
      <c r="I65" s="15">
        <f>(((I59-I62)+I63)+I64)</f>
        <v/>
      </c>
      <c r="J65" s="15">
        <f>(((J59-J62)+J63)+J64)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51.263459</v>
      </c>
      <c r="E66" s="13" t="n">
        <v>9.047314999999999</v>
      </c>
      <c r="F66" s="13" t="n">
        <v>5.732216</v>
      </c>
      <c r="G66" s="13" t="n">
        <v>1.195689</v>
      </c>
      <c r="H66" s="15">
        <f>(MAX(H65,0)*H28)</f>
        <v/>
      </c>
      <c r="I66" s="15">
        <f>(MAX(I65,0)*I28)</f>
        <v/>
      </c>
      <c r="J66" s="15">
        <f>(MAX(J65,0)*J28)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179.391667</v>
      </c>
      <c r="E67" s="13" t="n">
        <v>21.686927</v>
      </c>
      <c r="F67" s="13" t="n">
        <v>19.145147</v>
      </c>
      <c r="G67" s="13" t="n">
        <v>1.376014</v>
      </c>
      <c r="H67" s="15">
        <f>(H65-H66)</f>
        <v/>
      </c>
      <c r="I67" s="15">
        <f>(I65-I66)</f>
        <v/>
      </c>
      <c r="J67" s="15">
        <f>(J65-J66)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0.0006120000000180426</v>
      </c>
      <c r="E68" s="13" t="n">
        <v>-0.007296000000000191</v>
      </c>
      <c r="F68" s="13" t="n">
        <v>0.04134200000000021</v>
      </c>
      <c r="G68" s="13" t="n">
        <v>-0.1724889999999999</v>
      </c>
      <c r="H68" s="15">
        <f>(H67*H33)</f>
        <v/>
      </c>
      <c r="I68" s="15">
        <f>(I67*I33)</f>
        <v/>
      </c>
      <c r="J68" s="15">
        <f>(J67*J33)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179.391055</v>
      </c>
      <c r="E69" s="13" t="n">
        <v>21.694223</v>
      </c>
      <c r="F69" s="13" t="n">
        <v>19.103805</v>
      </c>
      <c r="G69" s="13" t="n">
        <v>1.548503</v>
      </c>
      <c r="H69" s="15">
        <f>(H67-H68)</f>
        <v/>
      </c>
      <c r="I69" s="15">
        <f>(I67-I68)</f>
        <v/>
      </c>
      <c r="J69" s="15">
        <f>(J67-J68)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1227.271952</v>
      </c>
      <c r="E70" s="13" t="n">
        <v>1227.271952</v>
      </c>
      <c r="F70" s="13" t="n">
        <v>1227.271952</v>
      </c>
      <c r="G70" s="13" t="n">
        <v>1227.271952</v>
      </c>
      <c r="H70" s="15">
        <f>(G70*(1+H35))</f>
        <v/>
      </c>
      <c r="I70" s="15">
        <f>(H70*(1+I35))</f>
        <v/>
      </c>
      <c r="J70" s="15">
        <f>(I70*(1+J35))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0.146170581595757</v>
      </c>
      <c r="E71" s="20" t="n">
        <v>0.01767678546278714</v>
      </c>
      <c r="F71" s="20" t="n">
        <v>0.0155660731664794</v>
      </c>
      <c r="G71" s="20" t="n">
        <v>0.001261743982233532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0.07982910654959857</v>
      </c>
      <c r="E72" s="20" t="n">
        <v>0.003943800838057678</v>
      </c>
      <c r="F72" s="20" t="n">
        <v>0.002341487460718467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129.376606</v>
      </c>
      <c r="E73" s="13" t="n">
        <v>100</v>
      </c>
      <c r="F73" s="13" t="n">
        <v>5</v>
      </c>
      <c r="G73" s="13" t="n">
        <v>2.77053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4.116637</v>
      </c>
      <c r="E74" s="13" t="n">
        <v>9.338431</v>
      </c>
      <c r="F74" s="13" t="n">
        <v>22.908092</v>
      </c>
      <c r="G74" s="13" t="n">
        <v>31.123296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16.16160800000002</v>
      </c>
      <c r="F75" s="13" t="n">
        <v>-10.53476500000002</v>
      </c>
      <c r="G75" s="13" t="n">
        <v>23.059199</v>
      </c>
      <c r="H75" s="15">
        <f>(H80-G80)</f>
        <v/>
      </c>
      <c r="I75" s="15">
        <f>(I80-H80)</f>
        <v/>
      </c>
      <c r="J75" s="15">
        <f>(J80-I80)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-13.46776618568812</v>
      </c>
      <c r="F76" s="13" t="n">
        <v>7.819482790978912</v>
      </c>
      <c r="G76" s="13" t="n">
        <v>-45.72852321535846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0.177967</v>
      </c>
      <c r="F77" s="13" t="n">
        <v>4.025007</v>
      </c>
      <c r="G77" s="13" t="n">
        <v>29.187962</v>
      </c>
      <c r="H77" s="15">
        <f>H31</f>
        <v/>
      </c>
      <c r="I77" s="15">
        <f>I31</f>
        <v/>
      </c>
      <c r="J77" s="15">
        <f>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6.146014000000001</v>
      </c>
      <c r="E80" s="13" t="n">
        <v>22.30762200000002</v>
      </c>
      <c r="F80" s="13" t="n">
        <v>11.772857</v>
      </c>
      <c r="G80" s="13" t="n">
        <v>34.832056</v>
      </c>
      <c r="H80" s="15">
        <f>(H55*H27)</f>
        <v/>
      </c>
      <c r="I80" s="15">
        <f>(I55*I27)</f>
        <v/>
      </c>
      <c r="J80" s="15">
        <f>(J55*J27)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207.243681</v>
      </c>
      <c r="E81" s="13" t="n">
        <v>116.259864</v>
      </c>
      <c r="F81" s="13" t="n">
        <v>124.208374</v>
      </c>
      <c r="G81" s="13" t="n">
        <v>104.373246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0.177967</v>
      </c>
      <c r="F82" s="13" t="n">
        <v>4.202974</v>
      </c>
      <c r="G82" s="13" t="n">
        <v>33.390936</v>
      </c>
      <c r="H82" s="15">
        <f>(G82+H77)</f>
        <v/>
      </c>
      <c r="I82" s="15">
        <f>(H82+I77)</f>
        <v/>
      </c>
      <c r="J82" s="15">
        <f>(I82+J77)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17.352285</v>
      </c>
      <c r="E83" s="13" t="n">
        <v>15.019276</v>
      </c>
      <c r="F83" s="13" t="n">
        <v>33.602759</v>
      </c>
      <c r="G83" s="13" t="n">
        <v>60.345993</v>
      </c>
      <c r="H83" s="15">
        <f>((G83+H74)-H60)</f>
        <v/>
      </c>
      <c r="I83" s="15">
        <f>((H83+I74)-I60)</f>
        <v/>
      </c>
      <c r="J83" s="15">
        <f>((I83+J74)-J60)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249.79604</v>
      </c>
      <c r="E84" s="13" t="n">
        <v>171.348242</v>
      </c>
      <c r="F84" s="13" t="n">
        <v>184.838161</v>
      </c>
      <c r="G84" s="13" t="n">
        <v>182.996192</v>
      </c>
      <c r="H84" s="15">
        <f>((G84+H69)-H73)</f>
        <v/>
      </c>
      <c r="I84" s="15">
        <f>((H84+I69)-I73)</f>
        <v/>
      </c>
      <c r="J84" s="15">
        <f>((I84+J69)-J73)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0.46972</v>
      </c>
      <c r="E85" s="13" t="n">
        <v>1.439555</v>
      </c>
      <c r="F85" s="13" t="n">
        <v>1.416799</v>
      </c>
      <c r="G85" s="13" t="n">
        <v>1.203991</v>
      </c>
      <c r="H85" s="15">
        <f>((G85+H68)-H78)</f>
        <v/>
      </c>
      <c r="I85" s="15">
        <f>((H85+I68)-I78)</f>
        <v/>
      </c>
      <c r="J85" s="15">
        <f>((I85+J68)-J78)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19.52377999999999</v>
      </c>
      <c r="E86" s="13" t="n">
        <v>19.37900199999999</v>
      </c>
      <c r="F86" s="13" t="n">
        <v>20.87394400000002</v>
      </c>
      <c r="G86" s="13" t="n">
        <v>18.03982400000003</v>
      </c>
      <c r="H86" s="15">
        <f>G86</f>
        <v/>
      </c>
      <c r="I86" s="15">
        <f>H86</f>
        <v/>
      </c>
      <c r="J86" s="15">
        <f>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-207.243681</v>
      </c>
      <c r="E88" s="13" t="n">
        <v>-116.081897</v>
      </c>
      <c r="F88" s="13" t="n">
        <v>-120.0054</v>
      </c>
      <c r="G88" s="13" t="n">
        <v>-70.98230999999998</v>
      </c>
      <c r="H88" s="15">
        <f>(H82-H81)</f>
        <v/>
      </c>
      <c r="I88" s="15">
        <f>(I82-I81)</f>
        <v/>
      </c>
      <c r="J88" s="15">
        <f>(J82-J81)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0.2035376426495568</v>
      </c>
      <c r="E89" s="20" t="n">
        <v>0.1396171742707601</v>
      </c>
      <c r="F89" s="20" t="n">
        <v>0.1506089670661682</v>
      </c>
      <c r="G89" s="20" t="n">
        <v>0.1491081024884369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-0.4998531506750241</v>
      </c>
      <c r="F90" s="4" t="n">
        <v>-0.03080463216440721</v>
      </c>
      <c r="G90" s="4" t="n">
        <v>-0.2433965895856741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0.5912265249628593</v>
      </c>
      <c r="E91" s="4" t="n">
        <v>0.2078769102953801</v>
      </c>
      <c r="F91" s="4" t="n">
        <v>0.2166573057544088</v>
      </c>
      <c r="G91" s="4" t="n">
        <v>0.1090422927829954</v>
      </c>
      <c r="H91" s="17">
        <f>IF(H55=0,0,H57/H55)</f>
        <v/>
      </c>
      <c r="I91" s="17">
        <f>IF(I55=0,0,I57/I55)</f>
        <v/>
      </c>
      <c r="J91" s="17">
        <f>IF(J55=0,0,J57/J55)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>
        <v>0.07423249000942099</v>
      </c>
      <c r="F92" s="4" t="n">
        <v>0.113335885451382</v>
      </c>
      <c r="G92" s="4" t="n">
        <v>0.05233604408762293</v>
      </c>
      <c r="H92" s="17">
        <f>IF(H55=0,0,H61/H55)</f>
        <v/>
      </c>
      <c r="I92" s="17">
        <f>IF(I55=0,0,I61/I55)</f>
        <v/>
      </c>
      <c r="J92" s="17">
        <f>IF(J55=0,0,J61/J55)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0.5116102238700542</v>
      </c>
      <c r="E93" s="4" t="n">
        <v>0.07037408910054704</v>
      </c>
      <c r="F93" s="4" t="n">
        <v>0.08970253775984149</v>
      </c>
      <c r="G93" s="4" t="n">
        <v>0.002278585130071231</v>
      </c>
      <c r="H93" s="17">
        <f>IF(H55=0,0,H59/H55)</f>
        <v/>
      </c>
      <c r="I93" s="17">
        <f>IF(I55=0,0,I59/I55)</f>
        <v/>
      </c>
      <c r="J93" s="17">
        <f>IF(J55=0,0,J59/J55)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0.399058613831175</v>
      </c>
      <c r="E94" s="4" t="n">
        <v>0.09649003600063435</v>
      </c>
      <c r="F94" s="4" t="n">
        <v>0.08766917405786674</v>
      </c>
      <c r="G94" s="4" t="n">
        <v>0.009392274894643414</v>
      </c>
      <c r="H94" s="17">
        <f>IF(H55=0,0,H69/H55)</f>
        <v/>
      </c>
      <c r="I94" s="17">
        <f>IF(I55=0,0,I69/I55)</f>
        <v/>
      </c>
      <c r="J94" s="17">
        <f>IF(J55=0,0,J69/J55)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-0.8790674206135863</v>
      </c>
      <c r="F95" s="4" t="n">
        <v>-0.1194058897615278</v>
      </c>
      <c r="G95" s="4" t="n">
        <v>-0.918942692306585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0.1030251337948832</v>
      </c>
      <c r="F96" s="4" t="n">
        <v>0.1072685809401882</v>
      </c>
      <c r="G96" s="4" t="n">
        <v>0.008419567054412668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>
        <v>-6.955187407721546</v>
      </c>
      <c r="F97" s="22" t="n">
        <v>-4.85915089187321</v>
      </c>
      <c r="G97" s="22" t="n">
        <v>-8.226365094089029</v>
      </c>
      <c r="H97" s="23">
        <f>IF(H61=0,0,H88/H61)</f>
        <v/>
      </c>
      <c r="I97" s="23">
        <f>IF(I61=0,0,I88/I61)</f>
        <v/>
      </c>
      <c r="J97" s="23">
        <f>IF(J61=0,0,J88/J61)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0.5461366143453575</v>
      </c>
      <c r="E98" s="4" t="n">
        <v>0.2231062229249825</v>
      </c>
      <c r="F98" s="4" t="n">
        <v>0.1504224884257077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0.009157532714583382</v>
      </c>
      <c r="E99" s="4" t="n">
        <v>0.041534815207691</v>
      </c>
      <c r="F99" s="4" t="n">
        <v>0.1051274081200904</v>
      </c>
      <c r="G99" s="4" t="n">
        <v>0.1887749340229601</v>
      </c>
      <c r="H99" s="17">
        <f>IF(H55=0,0,H74/H55)</f>
        <v/>
      </c>
      <c r="I99" s="17">
        <f>IF(I55=0,0,I74/I55)</f>
        <v/>
      </c>
      <c r="J99" s="17">
        <f>IF(J55=0,0,J74/J55)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1695</v>
      </c>
    </row>
    <row r="103">
      <c r="A103" t="inlineStr">
        <is>
          <t>Shares outstanding (m)</t>
        </is>
      </c>
      <c r="C103" s="13" t="n">
        <v>1227.271952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39.994275</v>
      </c>
    </row>
    <row r="106">
      <c r="A106" t="inlineStr">
        <is>
          <t>Cash at balance-sheet date</t>
        </is>
      </c>
      <c r="C106" s="13" t="n">
        <v>113.435211</v>
      </c>
    </row>
    <row r="107">
      <c r="A107" t="inlineStr">
        <is>
          <t>Minority interest (book)</t>
        </is>
      </c>
      <c r="C107" s="13" t="n">
        <v>1.158401</v>
      </c>
    </row>
    <row r="108">
      <c r="A108" t="inlineStr">
        <is>
          <t>Associates &amp; investments (book)</t>
        </is>
      </c>
      <c r="C108" s="13" t="n">
        <v>11.713024</v>
      </c>
    </row>
    <row r="109">
      <c r="A109" t="inlineStr">
        <is>
          <t>Post-balance-sheet &amp; other items (sourced, probability-weighted)</t>
        </is>
      </c>
      <c r="C109" s="13" t="n">
        <v>8.930532000000003</v>
      </c>
    </row>
    <row r="110">
      <c r="A110" t="inlineStr">
        <is>
          <t>Parent equity at balance-sheet date</t>
        </is>
      </c>
      <c r="C110" s="13" t="n">
        <v>186.372566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0.3484699493169094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</row>
    <row r="131">
      <c r="A131" t="inlineStr">
        <is>
          <t>Best cumulative PV (never below zero)</t>
        </is>
      </c>
      <c r="C131" s="26">
        <f>MAX(0,MAX(H130:J130))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6.294271</v>
      </c>
    </row>
    <row r="139">
      <c r="A139" t="inlineStr">
        <is>
          <t>Metric (LTM, or next-12m DPS for yield)</t>
        </is>
      </c>
      <c r="C139" s="13" t="n">
        <v>8.628636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1868.045840500318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2443.690282470644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0.2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1635.410707</v>
      </c>
      <c r="E161" s="27" t="n">
        <v>1705.14679</v>
      </c>
      <c r="F161" s="27" t="n">
        <v>1799.808767</v>
      </c>
      <c r="G161" s="27" t="n">
        <v>1928.005142</v>
      </c>
      <c r="H161" s="27" t="n">
        <v>2056.201517</v>
      </c>
    </row>
    <row r="162">
      <c r="C162" s="1" t="n">
        <v>0.95</v>
      </c>
      <c r="D162" s="27" t="n">
        <v>1727.392303</v>
      </c>
      <c r="E162" s="27" t="n">
        <v>1801.052727</v>
      </c>
      <c r="F162" s="27" t="n">
        <v>1901.042978</v>
      </c>
      <c r="G162" s="27" t="n">
        <v>2036.457589</v>
      </c>
      <c r="H162" s="27" t="n">
        <v>2171.8722</v>
      </c>
    </row>
    <row r="163">
      <c r="C163" s="1" t="n">
        <v>1</v>
      </c>
      <c r="D163" s="27" t="n">
        <v>1819.492368</v>
      </c>
      <c r="E163" s="27" t="n">
        <v>1897.082351</v>
      </c>
      <c r="F163" s="27" t="n">
        <v>2002.408063</v>
      </c>
      <c r="G163" s="27" t="n">
        <v>2145.050833</v>
      </c>
      <c r="H163" s="27" t="n">
        <v>2287.693602</v>
      </c>
    </row>
    <row r="164">
      <c r="C164" s="1" t="n">
        <v>1.05</v>
      </c>
      <c r="D164" s="27" t="n">
        <v>1911.7109</v>
      </c>
      <c r="E164" s="27" t="n">
        <v>1993.235659</v>
      </c>
      <c r="F164" s="27" t="n">
        <v>2103.904006</v>
      </c>
      <c r="G164" s="27" t="n">
        <v>2253.784833</v>
      </c>
      <c r="H164" s="27" t="n">
        <v>2403.665661</v>
      </c>
    </row>
    <row r="165">
      <c r="C165" s="1" t="n">
        <v>1.1</v>
      </c>
      <c r="D165" s="27" t="n">
        <v>2004.047901</v>
      </c>
      <c r="E165" s="27" t="n">
        <v>2089.512643</v>
      </c>
      <c r="F165" s="27" t="n">
        <v>2205.530788</v>
      </c>
      <c r="G165" s="27" t="n">
        <v>2362.659552</v>
      </c>
      <c r="H165" s="27" t="n">
        <v>2519.788317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2250.303438</v>
      </c>
      <c r="E169" s="27" t="n">
        <v>2130.035399</v>
      </c>
      <c r="F169" s="27" t="n">
        <v>2009.76736</v>
      </c>
      <c r="G169" s="27" t="n">
        <v>1916.845127</v>
      </c>
      <c r="H169" s="27" t="n">
        <v>1840.399482</v>
      </c>
    </row>
    <row r="170">
      <c r="C170" s="1" t="n">
        <v>0.95</v>
      </c>
      <c r="D170" s="27" t="n">
        <v>2259.986905</v>
      </c>
      <c r="E170" s="27" t="n">
        <v>2133.037308</v>
      </c>
      <c r="F170" s="27" t="n">
        <v>2006.087712</v>
      </c>
      <c r="G170" s="27" t="n">
        <v>1910.246813</v>
      </c>
      <c r="H170" s="27" t="n">
        <v>1829.554188</v>
      </c>
    </row>
    <row r="171">
      <c r="C171" s="1" t="n">
        <v>1</v>
      </c>
      <c r="D171" s="27" t="n">
        <v>2269.670372</v>
      </c>
      <c r="E171" s="27" t="n">
        <v>2136.039218</v>
      </c>
      <c r="F171" s="27" t="n">
        <v>2002.408063</v>
      </c>
      <c r="G171" s="27" t="n">
        <v>1903.6485</v>
      </c>
      <c r="H171" s="27" t="n">
        <v>1818.708894</v>
      </c>
    </row>
    <row r="172">
      <c r="C172" s="1" t="n">
        <v>1.05</v>
      </c>
      <c r="D172" s="27" t="n">
        <v>2304.982387</v>
      </c>
      <c r="E172" s="27" t="n">
        <v>2172.25432</v>
      </c>
      <c r="F172" s="27" t="n">
        <v>2039.526253</v>
      </c>
      <c r="G172" s="27" t="n">
        <v>1906.798186</v>
      </c>
      <c r="H172" s="27" t="n">
        <v>1807.8636</v>
      </c>
    </row>
    <row r="173">
      <c r="C173" s="1" t="n">
        <v>1.1</v>
      </c>
      <c r="D173" s="27" t="n">
        <v>2340.294402</v>
      </c>
      <c r="E173" s="27" t="n">
        <v>2208.469423</v>
      </c>
      <c r="F173" s="27" t="n">
        <v>2076.644443</v>
      </c>
      <c r="G173" s="27" t="n">
        <v>1944.819463</v>
      </c>
      <c r="H173" s="27" t="n">
        <v>1812.994484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0.08206857773478511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5.90327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321.7555984757956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2695.256035920638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6674.455319085098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1.004352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0.8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0.4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-0.05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2602.101722</v>
      </c>
      <c r="E176" s="27" t="n">
        <v>3320.302839</v>
      </c>
      <c r="F176" s="27" t="n">
        <v>4031.239087</v>
      </c>
      <c r="G176" s="27" t="n">
        <v>4736.387645</v>
      </c>
      <c r="H176" s="27" t="n">
        <v>5432.267959</v>
      </c>
    </row>
    <row r="177">
      <c r="C177" s="1" t="n">
        <v>0.95</v>
      </c>
      <c r="D177" s="27" t="n">
        <v>2747.141174</v>
      </c>
      <c r="E177" s="27" t="n">
        <v>3505.42754</v>
      </c>
      <c r="F177" s="27" t="n">
        <v>4256.043456</v>
      </c>
      <c r="G177" s="27" t="n">
        <v>5000.548611</v>
      </c>
      <c r="H177" s="27" t="n">
        <v>5735.268876</v>
      </c>
    </row>
    <row r="178">
      <c r="C178" s="1" t="n">
        <v>1</v>
      </c>
      <c r="D178" s="27" t="n">
        <v>2892.230669</v>
      </c>
      <c r="E178" s="27" t="n">
        <v>3690.6214</v>
      </c>
      <c r="F178" s="27" t="n">
        <v>4480.935891</v>
      </c>
      <c r="G178" s="27" t="n">
        <v>5264.81639</v>
      </c>
      <c r="H178" s="27" t="n">
        <v>6038.395173</v>
      </c>
    </row>
    <row r="179">
      <c r="C179" s="1" t="n">
        <v>1.05</v>
      </c>
      <c r="D179" s="27" t="n">
        <v>3037.370166</v>
      </c>
      <c r="E179" s="27" t="n">
        <v>3875.884326</v>
      </c>
      <c r="F179" s="27" t="n">
        <v>4705.916248</v>
      </c>
      <c r="G179" s="27" t="n">
        <v>5529.190786</v>
      </c>
      <c r="H179" s="27" t="n">
        <v>6341.6466</v>
      </c>
    </row>
    <row r="180">
      <c r="C180" s="1" t="n">
        <v>1.1</v>
      </c>
      <c r="D180" s="27" t="n">
        <v>3182.559624</v>
      </c>
      <c r="E180" s="27" t="n">
        <v>4061.216225</v>
      </c>
      <c r="F180" s="27" t="n">
        <v>4930.984384</v>
      </c>
      <c r="G180" s="27" t="n">
        <v>5793.671605</v>
      </c>
      <c r="H180" s="27" t="n">
        <v>6645.022911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5355.827954</v>
      </c>
      <c r="E184" s="27" t="n">
        <v>4950.558881</v>
      </c>
      <c r="F184" s="27" t="n">
        <v>4545.289808</v>
      </c>
      <c r="G184" s="27" t="n">
        <v>4140.020735</v>
      </c>
      <c r="H184" s="27" t="n">
        <v>3734.751663</v>
      </c>
    </row>
    <row r="185">
      <c r="C185" s="1" t="n">
        <v>0.95</v>
      </c>
      <c r="D185" s="27" t="n">
        <v>5425.449223</v>
      </c>
      <c r="E185" s="27" t="n">
        <v>4997.665202</v>
      </c>
      <c r="F185" s="27" t="n">
        <v>4569.88118</v>
      </c>
      <c r="G185" s="27" t="n">
        <v>4142.097159</v>
      </c>
      <c r="H185" s="27" t="n">
        <v>3714.313138</v>
      </c>
    </row>
    <row r="186">
      <c r="C186" s="1" t="n">
        <v>1</v>
      </c>
      <c r="D186" s="27" t="n">
        <v>5495.070492</v>
      </c>
      <c r="E186" s="27" t="n">
        <v>5044.771522</v>
      </c>
      <c r="F186" s="27" t="n">
        <v>4594.472552</v>
      </c>
      <c r="G186" s="27" t="n">
        <v>4144.173583</v>
      </c>
      <c r="H186" s="27" t="n">
        <v>3693.874613</v>
      </c>
    </row>
    <row r="187">
      <c r="C187" s="1" t="n">
        <v>1.05</v>
      </c>
      <c r="D187" s="27" t="n">
        <v>5564.691761</v>
      </c>
      <c r="E187" s="27" t="n">
        <v>5091.877843</v>
      </c>
      <c r="F187" s="27" t="n">
        <v>4619.063925</v>
      </c>
      <c r="G187" s="27" t="n">
        <v>4146.250006</v>
      </c>
      <c r="H187" s="27" t="n">
        <v>3673.436088</v>
      </c>
    </row>
    <row r="188">
      <c r="C188" s="1" t="n">
        <v>1.1</v>
      </c>
      <c r="D188" s="27" t="n">
        <v>5634.31303</v>
      </c>
      <c r="E188" s="27" t="n">
        <v>5138.984163</v>
      </c>
      <c r="F188" s="27" t="n">
        <v>4643.655297</v>
      </c>
      <c r="G188" s="27" t="n">
        <v>4148.32643</v>
      </c>
      <c r="H188" s="27" t="n">
        <v>3652.997563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Y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2026-10-30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  <c r="BP4" s="1" t="inlineStr">
        <is>
          <t>FY2086E</t>
        </is>
      </c>
      <c r="BQ4" s="1" t="inlineStr">
        <is>
          <t>FY2087E</t>
        </is>
      </c>
      <c r="BR4" s="1" t="inlineStr">
        <is>
          <t>FY2088E</t>
        </is>
      </c>
      <c r="BS4" s="1" t="inlineStr">
        <is>
          <t>FY2089E</t>
        </is>
      </c>
      <c r="BT4" s="1" t="inlineStr">
        <is>
          <t>FY2090E</t>
        </is>
      </c>
      <c r="BU4" s="1" t="inlineStr">
        <is>
          <t>FY2091E</t>
        </is>
      </c>
      <c r="BV4" s="1" t="inlineStr">
        <is>
          <t>FY2092E</t>
        </is>
      </c>
      <c r="BW4" s="1" t="inlineStr">
        <is>
          <t>FY2093E</t>
        </is>
      </c>
      <c r="BX4" s="1" t="inlineStr">
        <is>
          <t>FY2094E</t>
        </is>
      </c>
      <c r="BY4" s="1" t="inlineStr">
        <is>
          <t>FY2095E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70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44</v>
      </c>
      <c r="I14" s="13" t="n">
        <v>49.5</v>
      </c>
      <c r="J14" s="13" t="n">
        <v>49.5</v>
      </c>
      <c r="K14" s="13" t="n">
        <v>49.5</v>
      </c>
      <c r="L14" s="13" t="n">
        <v>49.5</v>
      </c>
      <c r="M14" s="13" t="n">
        <v>49.5</v>
      </c>
      <c r="N14" s="13" t="n">
        <v>49.5</v>
      </c>
      <c r="O14" s="13" t="n">
        <v>49.5</v>
      </c>
      <c r="P14" s="13" t="n">
        <v>49.5</v>
      </c>
      <c r="Q14" s="13" t="n">
        <v>49.5</v>
      </c>
      <c r="R14" s="13" t="n">
        <v>49.5</v>
      </c>
      <c r="S14" s="13" t="n">
        <v>49.5</v>
      </c>
      <c r="T14" s="13" t="n">
        <v>49.5</v>
      </c>
      <c r="U14" s="13" t="n">
        <v>49.5</v>
      </c>
      <c r="V14" s="13" t="n">
        <v>49.5</v>
      </c>
      <c r="W14" s="13" t="n">
        <v>49.5</v>
      </c>
      <c r="X14" s="13" t="n">
        <v>49.5</v>
      </c>
      <c r="Y14" s="13" t="n">
        <v>49.5</v>
      </c>
      <c r="Z14" s="13" t="n">
        <v>49.5</v>
      </c>
      <c r="AA14" s="13" t="n">
        <v>49.5</v>
      </c>
      <c r="AB14" s="13" t="n">
        <v>49.5</v>
      </c>
      <c r="AC14" s="13" t="n">
        <v>49.5</v>
      </c>
      <c r="AD14" s="13" t="n">
        <v>49.5</v>
      </c>
      <c r="AE14" s="13" t="n">
        <v>49.5</v>
      </c>
      <c r="AF14" s="13" t="n">
        <v>49.5</v>
      </c>
      <c r="AG14" s="13" t="n">
        <v>49.5</v>
      </c>
      <c r="AH14" s="13" t="n">
        <v>49.5</v>
      </c>
      <c r="AI14" s="13" t="n">
        <v>49.5</v>
      </c>
      <c r="AJ14" s="13" t="n">
        <v>49.5</v>
      </c>
      <c r="AK14" s="13" t="n">
        <v>49.5</v>
      </c>
      <c r="AL14" s="13" t="n">
        <v>49.5</v>
      </c>
      <c r="AM14" s="13" t="n">
        <v>49.5</v>
      </c>
      <c r="AN14" s="13" t="n">
        <v>49.5</v>
      </c>
      <c r="AO14" s="13" t="n">
        <v>49.5</v>
      </c>
      <c r="AP14" s="13" t="n">
        <v>49.5</v>
      </c>
      <c r="AQ14" s="13" t="n">
        <v>49.5</v>
      </c>
      <c r="AR14" s="13" t="n">
        <v>49.5</v>
      </c>
      <c r="AS14" s="13" t="n">
        <v>49.5</v>
      </c>
      <c r="AT14" s="13" t="n">
        <v>49.5</v>
      </c>
      <c r="AU14" s="13" t="n">
        <v>49.5</v>
      </c>
      <c r="AV14" s="13" t="n">
        <v>49.5</v>
      </c>
      <c r="AW14" s="13" t="n">
        <v>49.5</v>
      </c>
      <c r="AX14" s="13" t="n">
        <v>49.5</v>
      </c>
      <c r="AY14" s="13" t="n">
        <v>49.5</v>
      </c>
      <c r="AZ14" s="13" t="n">
        <v>49.5</v>
      </c>
      <c r="BA14" s="13" t="n">
        <v>49.5</v>
      </c>
      <c r="BB14" s="13" t="n">
        <v>49.5</v>
      </c>
      <c r="BC14" s="13" t="n">
        <v>49.5</v>
      </c>
      <c r="BD14" s="13" t="n">
        <v>49.5</v>
      </c>
      <c r="BE14" s="13" t="n">
        <v>49.5</v>
      </c>
      <c r="BF14" s="13" t="n">
        <v>49.5</v>
      </c>
      <c r="BG14" s="13" t="n">
        <v>49.5</v>
      </c>
      <c r="BH14" s="13" t="n">
        <v>49.5</v>
      </c>
      <c r="BI14" s="13" t="n">
        <v>49.5</v>
      </c>
      <c r="BJ14" s="13" t="n">
        <v>49.5</v>
      </c>
      <c r="BK14" s="13" t="n">
        <v>49.5</v>
      </c>
      <c r="BL14" s="13" t="n">
        <v>49.5</v>
      </c>
      <c r="BM14" s="13" t="n">
        <v>49.5</v>
      </c>
      <c r="BN14" s="13" t="n">
        <v>49.5</v>
      </c>
      <c r="BO14" s="13" t="n">
        <v>49.5</v>
      </c>
      <c r="BP14" s="13" t="n">
        <v>49.5</v>
      </c>
      <c r="BQ14" s="13" t="n">
        <v>49.5</v>
      </c>
      <c r="BR14" s="13" t="n">
        <v>49.5</v>
      </c>
      <c r="BS14" s="13" t="n">
        <v>49.5</v>
      </c>
      <c r="BT14" s="13" t="n">
        <v>49.5</v>
      </c>
      <c r="BU14" s="13" t="n">
        <v>49.5</v>
      </c>
      <c r="BV14" s="13" t="n">
        <v>49.5</v>
      </c>
      <c r="BW14" s="13" t="n">
        <v>49.5</v>
      </c>
      <c r="BX14" s="13" t="n">
        <v>49.5</v>
      </c>
      <c r="BY14" s="13" t="n">
        <v>49.5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0.471</v>
      </c>
      <c r="I15" s="14" t="n">
        <v>0.497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  <c r="BP15" s="14" t="n">
        <v>0.5175</v>
      </c>
      <c r="BQ15" s="14" t="n">
        <v>0.5175</v>
      </c>
      <c r="BR15" s="14" t="n">
        <v>0.5175</v>
      </c>
      <c r="BS15" s="14" t="n">
        <v>0.5175</v>
      </c>
      <c r="BT15" s="14" t="n">
        <v>0.5175</v>
      </c>
      <c r="BU15" s="14" t="n">
        <v>0.5175</v>
      </c>
      <c r="BV15" s="14" t="n">
        <v>0.5175</v>
      </c>
      <c r="BW15" s="14" t="n">
        <v>0.5175</v>
      </c>
      <c r="BX15" s="14" t="n">
        <v>0.5175</v>
      </c>
      <c r="BY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0.27</v>
      </c>
      <c r="I16" s="4" t="n">
        <v>0.27</v>
      </c>
      <c r="J16" s="4" t="n">
        <v>0.27</v>
      </c>
      <c r="K16" s="4" t="n">
        <v>0.27</v>
      </c>
      <c r="L16" s="4" t="n">
        <v>0.27</v>
      </c>
      <c r="M16" s="4" t="n">
        <v>0.27</v>
      </c>
      <c r="N16" s="4" t="n">
        <v>0.27</v>
      </c>
      <c r="O16" s="4" t="n">
        <v>0.27</v>
      </c>
      <c r="P16" s="4" t="n">
        <v>0.27</v>
      </c>
      <c r="Q16" s="4" t="n">
        <v>0.27</v>
      </c>
      <c r="R16" s="4" t="n">
        <v>0.27</v>
      </c>
      <c r="S16" s="4" t="n">
        <v>0.27</v>
      </c>
      <c r="T16" s="4" t="n">
        <v>0.27</v>
      </c>
      <c r="U16" s="4" t="n">
        <v>0.27</v>
      </c>
      <c r="V16" s="4" t="n">
        <v>0.27</v>
      </c>
      <c r="W16" s="4" t="n">
        <v>0.27</v>
      </c>
      <c r="X16" s="4" t="n">
        <v>0.27</v>
      </c>
      <c r="Y16" s="4" t="n">
        <v>0.27</v>
      </c>
      <c r="Z16" s="4" t="n">
        <v>0.27</v>
      </c>
      <c r="AA16" s="4" t="n">
        <v>0.27</v>
      </c>
      <c r="AB16" s="4" t="n">
        <v>0.27</v>
      </c>
      <c r="AC16" s="4" t="n">
        <v>0.27</v>
      </c>
      <c r="AD16" s="4" t="n">
        <v>0.27</v>
      </c>
      <c r="AE16" s="4" t="n">
        <v>0.27</v>
      </c>
      <c r="AF16" s="4" t="n">
        <v>0.27</v>
      </c>
      <c r="AG16" s="4" t="n">
        <v>0.27</v>
      </c>
      <c r="AH16" s="4" t="n">
        <v>0.27</v>
      </c>
      <c r="AI16" s="4" t="n">
        <v>0.27</v>
      </c>
      <c r="AJ16" s="4" t="n">
        <v>0.27</v>
      </c>
      <c r="AK16" s="4" t="n">
        <v>0.27</v>
      </c>
      <c r="AL16" s="4" t="n">
        <v>0.27</v>
      </c>
      <c r="AM16" s="4" t="n">
        <v>0.27</v>
      </c>
      <c r="AN16" s="4" t="n">
        <v>0.27</v>
      </c>
      <c r="AO16" s="4" t="n">
        <v>0.27</v>
      </c>
      <c r="AP16" s="4" t="n">
        <v>0.27</v>
      </c>
      <c r="AQ16" s="4" t="n">
        <v>0.27</v>
      </c>
      <c r="AR16" s="4" t="n">
        <v>0.27</v>
      </c>
      <c r="AS16" s="4" t="n">
        <v>0.27</v>
      </c>
      <c r="AT16" s="4" t="n">
        <v>0.27</v>
      </c>
      <c r="AU16" s="4" t="n">
        <v>0.27</v>
      </c>
      <c r="AV16" s="4" t="n">
        <v>0.27</v>
      </c>
      <c r="AW16" s="4" t="n">
        <v>0.27</v>
      </c>
      <c r="AX16" s="4" t="n">
        <v>0.27</v>
      </c>
      <c r="AY16" s="4" t="n">
        <v>0.27</v>
      </c>
      <c r="AZ16" s="4" t="n">
        <v>0.27</v>
      </c>
      <c r="BA16" s="4" t="n">
        <v>0.27</v>
      </c>
      <c r="BB16" s="4" t="n">
        <v>0.27</v>
      </c>
      <c r="BC16" s="4" t="n">
        <v>0.27</v>
      </c>
      <c r="BD16" s="4" t="n">
        <v>0.27</v>
      </c>
      <c r="BE16" s="4" t="n">
        <v>0.27</v>
      </c>
      <c r="BF16" s="4" t="n">
        <v>0.27</v>
      </c>
      <c r="BG16" s="4" t="n">
        <v>0.27</v>
      </c>
      <c r="BH16" s="4" t="n">
        <v>0.27</v>
      </c>
      <c r="BI16" s="4" t="n">
        <v>0.27</v>
      </c>
      <c r="BJ16" s="4" t="n">
        <v>0.27</v>
      </c>
      <c r="BK16" s="4" t="n">
        <v>0.27</v>
      </c>
      <c r="BL16" s="4" t="n">
        <v>0.27</v>
      </c>
      <c r="BM16" s="4" t="n">
        <v>0.27</v>
      </c>
      <c r="BN16" s="4" t="n">
        <v>0.27</v>
      </c>
      <c r="BO16" s="4" t="n">
        <v>0.27</v>
      </c>
      <c r="BP16" s="4" t="n">
        <v>0.27</v>
      </c>
      <c r="BQ16" s="4" t="n">
        <v>0.27</v>
      </c>
      <c r="BR16" s="4" t="n">
        <v>0.27</v>
      </c>
      <c r="BS16" s="4" t="n">
        <v>0.27</v>
      </c>
      <c r="BT16" s="4" t="n">
        <v>0.27</v>
      </c>
      <c r="BU16" s="4" t="n">
        <v>0.27</v>
      </c>
      <c r="BV16" s="4" t="n">
        <v>0.27</v>
      </c>
      <c r="BW16" s="4" t="n">
        <v>0.27</v>
      </c>
      <c r="BX16" s="4" t="n">
        <v>0.27</v>
      </c>
      <c r="BY16" s="4" t="n">
        <v>0.27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5.63</v>
      </c>
      <c r="I17" s="14" t="n">
        <v>5.63</v>
      </c>
      <c r="J17" s="14" t="n">
        <v>5.63</v>
      </c>
      <c r="K17" s="14" t="n">
        <v>5.63</v>
      </c>
      <c r="L17" s="14" t="n">
        <v>5.63</v>
      </c>
      <c r="M17" s="14" t="n">
        <v>5.63</v>
      </c>
      <c r="N17" s="14" t="n">
        <v>5.63</v>
      </c>
      <c r="O17" s="14" t="n">
        <v>5.63</v>
      </c>
      <c r="P17" s="14" t="n">
        <v>5.63</v>
      </c>
      <c r="Q17" s="14" t="n">
        <v>5.63</v>
      </c>
      <c r="R17" s="14" t="n">
        <v>5.63</v>
      </c>
      <c r="S17" s="14" t="n">
        <v>5.63</v>
      </c>
      <c r="T17" s="14" t="n">
        <v>5.63</v>
      </c>
      <c r="U17" s="14" t="n">
        <v>5.63</v>
      </c>
      <c r="V17" s="14" t="n">
        <v>5.63</v>
      </c>
      <c r="W17" s="14" t="n">
        <v>5.63</v>
      </c>
      <c r="X17" s="14" t="n">
        <v>5.63</v>
      </c>
      <c r="Y17" s="14" t="n">
        <v>5.63</v>
      </c>
      <c r="Z17" s="14" t="n">
        <v>5.63</v>
      </c>
      <c r="AA17" s="14" t="n">
        <v>5.63</v>
      </c>
      <c r="AB17" s="14" t="n">
        <v>5.63</v>
      </c>
      <c r="AC17" s="14" t="n">
        <v>5.63</v>
      </c>
      <c r="AD17" s="14" t="n">
        <v>5.63</v>
      </c>
      <c r="AE17" s="14" t="n">
        <v>5.63</v>
      </c>
      <c r="AF17" s="14" t="n">
        <v>5.63</v>
      </c>
      <c r="AG17" s="14" t="n">
        <v>5.63</v>
      </c>
      <c r="AH17" s="14" t="n">
        <v>5.63</v>
      </c>
      <c r="AI17" s="14" t="n">
        <v>5.63</v>
      </c>
      <c r="AJ17" s="14" t="n">
        <v>5.63</v>
      </c>
      <c r="AK17" s="14" t="n">
        <v>5.63</v>
      </c>
      <c r="AL17" s="14" t="n">
        <v>5.63</v>
      </c>
      <c r="AM17" s="14" t="n">
        <v>5.63</v>
      </c>
      <c r="AN17" s="14" t="n">
        <v>5.63</v>
      </c>
      <c r="AO17" s="14" t="n">
        <v>5.63</v>
      </c>
      <c r="AP17" s="14" t="n">
        <v>5.63</v>
      </c>
      <c r="AQ17" s="14" t="n">
        <v>5.63</v>
      </c>
      <c r="AR17" s="14" t="n">
        <v>5.63</v>
      </c>
      <c r="AS17" s="14" t="n">
        <v>5.63</v>
      </c>
      <c r="AT17" s="14" t="n">
        <v>5.63</v>
      </c>
      <c r="AU17" s="14" t="n">
        <v>5.63</v>
      </c>
      <c r="AV17" s="14" t="n">
        <v>5.63</v>
      </c>
      <c r="AW17" s="14" t="n">
        <v>5.63</v>
      </c>
      <c r="AX17" s="14" t="n">
        <v>5.63</v>
      </c>
      <c r="AY17" s="14" t="n">
        <v>5.63</v>
      </c>
      <c r="AZ17" s="14" t="n">
        <v>5.63</v>
      </c>
      <c r="BA17" s="14" t="n">
        <v>5.63</v>
      </c>
      <c r="BB17" s="14" t="n">
        <v>5.63</v>
      </c>
      <c r="BC17" s="14" t="n">
        <v>5.63</v>
      </c>
      <c r="BD17" s="14" t="n">
        <v>5.63</v>
      </c>
      <c r="BE17" s="14" t="n">
        <v>5.63</v>
      </c>
      <c r="BF17" s="14" t="n">
        <v>5.63</v>
      </c>
      <c r="BG17" s="14" t="n">
        <v>5.63</v>
      </c>
      <c r="BH17" s="14" t="n">
        <v>5.63</v>
      </c>
      <c r="BI17" s="14" t="n">
        <v>5.63</v>
      </c>
      <c r="BJ17" s="14" t="n">
        <v>5.63</v>
      </c>
      <c r="BK17" s="14" t="n">
        <v>5.63</v>
      </c>
      <c r="BL17" s="14" t="n">
        <v>5.63</v>
      </c>
      <c r="BM17" s="14" t="n">
        <v>5.63</v>
      </c>
      <c r="BN17" s="14" t="n">
        <v>5.63</v>
      </c>
      <c r="BO17" s="14" t="n">
        <v>5.63</v>
      </c>
      <c r="BP17" s="14" t="n">
        <v>5.63</v>
      </c>
      <c r="BQ17" s="14" t="n">
        <v>5.63</v>
      </c>
      <c r="BR17" s="14" t="n">
        <v>5.63</v>
      </c>
      <c r="BS17" s="14" t="n">
        <v>5.63</v>
      </c>
      <c r="BT17" s="14" t="n">
        <v>5.63</v>
      </c>
      <c r="BU17" s="14" t="n">
        <v>5.63</v>
      </c>
      <c r="BV17" s="14" t="n">
        <v>5.63</v>
      </c>
      <c r="BW17" s="14" t="n">
        <v>5.63</v>
      </c>
      <c r="BX17" s="14" t="n">
        <v>5.63</v>
      </c>
      <c r="BY17" s="14" t="n">
        <v>5.63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  <c r="BP18" s="3" t="n">
        <v>199299.6179961162</v>
      </c>
      <c r="BQ18" s="3" t="n">
        <v>204282.1084460191</v>
      </c>
      <c r="BR18" s="3" t="n">
        <v>209389.1611571696</v>
      </c>
      <c r="BS18" s="3" t="n">
        <v>214623.8901860988</v>
      </c>
      <c r="BT18" s="3" t="n">
        <v>219989.4874407512</v>
      </c>
      <c r="BU18" s="3" t="n">
        <v>225489.22462677</v>
      </c>
      <c r="BV18" s="3" t="n">
        <v>231126.4552424392</v>
      </c>
      <c r="BW18" s="3" t="n">
        <v>236904.6166235002</v>
      </c>
      <c r="BX18" s="3" t="n">
        <v>242827.2320390877</v>
      </c>
      <c r="BY18" s="3" t="n">
        <v>248897.9128400648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374738</v>
      </c>
      <c r="I20" s="3" t="n">
        <v>374738</v>
      </c>
      <c r="J20" s="3" t="n">
        <v>374738</v>
      </c>
      <c r="K20" s="3" t="n">
        <v>374738</v>
      </c>
      <c r="L20" s="3" t="n">
        <v>374738</v>
      </c>
      <c r="M20" s="3" t="n">
        <v>384106.45</v>
      </c>
      <c r="N20" s="3" t="n">
        <v>393709.11125</v>
      </c>
      <c r="O20" s="3" t="n">
        <v>403551.8390312499</v>
      </c>
      <c r="P20" s="3" t="n">
        <v>413640.6350070311</v>
      </c>
      <c r="Q20" s="3" t="n">
        <v>423981.6508822068</v>
      </c>
      <c r="R20" s="3" t="n">
        <v>434581.192154262</v>
      </c>
      <c r="S20" s="3" t="n">
        <v>445445.7219581185</v>
      </c>
      <c r="T20" s="3" t="n">
        <v>456581.8650070713</v>
      </c>
      <c r="U20" s="3" t="n">
        <v>467996.4116322481</v>
      </c>
      <c r="V20" s="3" t="n">
        <v>479696.3219230543</v>
      </c>
      <c r="W20" s="3" t="n">
        <v>491688.7299711307</v>
      </c>
      <c r="X20" s="3" t="n">
        <v>503980.9482204089</v>
      </c>
      <c r="Y20" s="3" t="n">
        <v>516580.471925919</v>
      </c>
      <c r="Z20" s="3" t="n">
        <v>529494.983724067</v>
      </c>
      <c r="AA20" s="3" t="n">
        <v>542732.3583171685</v>
      </c>
      <c r="AB20" s="3" t="n">
        <v>556300.6672750978</v>
      </c>
      <c r="AC20" s="3" t="n">
        <v>570208.1839569751</v>
      </c>
      <c r="AD20" s="3" t="n">
        <v>584463.3885558995</v>
      </c>
      <c r="AE20" s="3" t="n">
        <v>599074.9732697969</v>
      </c>
      <c r="AF20" s="3" t="n">
        <v>614051.8476015418</v>
      </c>
      <c r="AG20" s="3" t="n">
        <v>629403.1437915803</v>
      </c>
      <c r="AH20" s="3" t="n">
        <v>645138.2223863697</v>
      </c>
      <c r="AI20" s="3" t="n">
        <v>661266.6779460289</v>
      </c>
      <c r="AJ20" s="3" t="n">
        <v>677798.3448946795</v>
      </c>
      <c r="AK20" s="3" t="n">
        <v>694743.3035170465</v>
      </c>
      <c r="AL20" s="3" t="n">
        <v>712111.8861049726</v>
      </c>
      <c r="AM20" s="3" t="n">
        <v>729914.6832575969</v>
      </c>
      <c r="AN20" s="3" t="n">
        <v>748162.5503390367</v>
      </c>
      <c r="AO20" s="3" t="n">
        <v>766866.6140975126</v>
      </c>
      <c r="AP20" s="3" t="n">
        <v>786038.2794499502</v>
      </c>
      <c r="AQ20" s="3" t="n">
        <v>805689.236436199</v>
      </c>
      <c r="AR20" s="3" t="n">
        <v>825831.4673471039</v>
      </c>
      <c r="AS20" s="3" t="n">
        <v>846477.2540307814</v>
      </c>
      <c r="AT20" s="3" t="n">
        <v>867639.1853815509</v>
      </c>
      <c r="AU20" s="3" t="n">
        <v>889330.1650160896</v>
      </c>
      <c r="AV20" s="3" t="n">
        <v>911563.4191414918</v>
      </c>
      <c r="AW20" s="3" t="n">
        <v>934352.5046200289</v>
      </c>
      <c r="AX20" s="3" t="n">
        <v>957711.3172355297</v>
      </c>
      <c r="AY20" s="3" t="n">
        <v>981654.1001664177</v>
      </c>
      <c r="AZ20" s="3" t="n">
        <v>1006195.452670578</v>
      </c>
      <c r="BA20" s="3" t="n">
        <v>1031350.338987343</v>
      </c>
      <c r="BB20" s="3" t="n">
        <v>1057134.097462026</v>
      </c>
      <c r="BC20" s="3" t="n">
        <v>1083562.449898576</v>
      </c>
      <c r="BD20" s="3" t="n">
        <v>1110651.511146041</v>
      </c>
      <c r="BE20" s="3" t="n">
        <v>1138417.798924692</v>
      </c>
      <c r="BF20" s="3" t="n">
        <v>1166878.243897809</v>
      </c>
      <c r="BG20" s="3" t="n">
        <v>1196050.199995254</v>
      </c>
      <c r="BH20" s="3" t="n">
        <v>1225951.454995135</v>
      </c>
      <c r="BI20" s="3" t="n">
        <v>1256600.241370014</v>
      </c>
      <c r="BJ20" s="3" t="n">
        <v>1288015.247404264</v>
      </c>
      <c r="BK20" s="3" t="n">
        <v>1320215.62858937</v>
      </c>
      <c r="BL20" s="3" t="n">
        <v>1353221.019304104</v>
      </c>
      <c r="BM20" s="3" t="n">
        <v>1387051.544786707</v>
      </c>
      <c r="BN20" s="3" t="n">
        <v>1421727.833406374</v>
      </c>
      <c r="BO20" s="3" t="n">
        <v>1457271.029241534</v>
      </c>
      <c r="BP20" s="3" t="n">
        <v>1493702.804972572</v>
      </c>
      <c r="BQ20" s="3" t="n">
        <v>1531045.375096886</v>
      </c>
      <c r="BR20" s="3" t="n">
        <v>1569321.509474308</v>
      </c>
      <c r="BS20" s="3" t="n">
        <v>1608554.547211166</v>
      </c>
      <c r="BT20" s="3" t="n">
        <v>1648768.410891445</v>
      </c>
      <c r="BU20" s="3" t="n">
        <v>1689987.621163731</v>
      </c>
      <c r="BV20" s="3" t="n">
        <v>1732237.311692824</v>
      </c>
      <c r="BW20" s="3" t="n">
        <v>1775543.244485144</v>
      </c>
      <c r="BX20" s="3" t="n">
        <v>1819931.825597273</v>
      </c>
      <c r="BY20" s="3" t="n">
        <v>1865430.121237204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  <c r="BP21" s="4" t="n">
        <v>0.1031</v>
      </c>
      <c r="BQ21" s="4" t="n">
        <v>0.1031</v>
      </c>
      <c r="BR21" s="4" t="n">
        <v>0.1031</v>
      </c>
      <c r="BS21" s="4" t="n">
        <v>0.1031</v>
      </c>
      <c r="BT21" s="4" t="n">
        <v>0.1031</v>
      </c>
      <c r="BU21" s="4" t="n">
        <v>0.1031</v>
      </c>
      <c r="BV21" s="4" t="n">
        <v>0.1031</v>
      </c>
      <c r="BW21" s="4" t="n">
        <v>0.1031</v>
      </c>
      <c r="BX21" s="4" t="n">
        <v>0.1031</v>
      </c>
      <c r="BY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  <c r="BP22" s="13" t="n">
        <v>2960.149394187995</v>
      </c>
      <c r="BQ22" s="13" t="n">
        <v>3034.153129042695</v>
      </c>
      <c r="BR22" s="13" t="n">
        <v>3110.006957268762</v>
      </c>
      <c r="BS22" s="13" t="n">
        <v>3187.75713120048</v>
      </c>
      <c r="BT22" s="13" t="n">
        <v>3267.451059480492</v>
      </c>
      <c r="BU22" s="13" t="n">
        <v>3349.137335967504</v>
      </c>
      <c r="BV22" s="13" t="n">
        <v>3432.865769366691</v>
      </c>
      <c r="BW22" s="13" t="n">
        <v>3518.687413600859</v>
      </c>
      <c r="BX22" s="13" t="n">
        <v>3606.65459894088</v>
      </c>
      <c r="BY22" s="13" t="n">
        <v>3696.820963914402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  <c r="BP24" s="3" t="n">
        <v>176714.9852847963</v>
      </c>
      <c r="BQ24" s="3" t="n">
        <v>181132.8599169162</v>
      </c>
      <c r="BR24" s="3" t="n">
        <v>185661.1814148391</v>
      </c>
      <c r="BS24" s="3" t="n">
        <v>190302.7109502101</v>
      </c>
      <c r="BT24" s="3" t="n">
        <v>195060.2787239653</v>
      </c>
      <c r="BU24" s="3" t="n">
        <v>199936.7856920644</v>
      </c>
      <c r="BV24" s="3" t="n">
        <v>204935.205334366</v>
      </c>
      <c r="BW24" s="3" t="n">
        <v>210058.5854677251</v>
      </c>
      <c r="BX24" s="3" t="n">
        <v>215310.0501044182</v>
      </c>
      <c r="BY24" s="3" t="n">
        <v>220692.8013570287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  <c r="BP25" s="3" t="n">
        <v>307555.1844992467</v>
      </c>
      <c r="BQ25" s="3" t="n">
        <v>315244.0641117278</v>
      </c>
      <c r="BR25" s="3" t="n">
        <v>323125.165714521</v>
      </c>
      <c r="BS25" s="3" t="n">
        <v>331203.2948573839</v>
      </c>
      <c r="BT25" s="3" t="n">
        <v>339483.3772288185</v>
      </c>
      <c r="BU25" s="3" t="n">
        <v>347970.4616595389</v>
      </c>
      <c r="BV25" s="3" t="n">
        <v>356669.7232010273</v>
      </c>
      <c r="BW25" s="3" t="n">
        <v>365586.466281053</v>
      </c>
      <c r="BX25" s="3" t="n">
        <v>374726.1279380793</v>
      </c>
      <c r="BY25" s="3" t="n">
        <v>384094.2811365313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  <c r="BP27" s="4" t="n">
        <v>-0.004775</v>
      </c>
      <c r="BQ27" s="4" t="n">
        <v>-0.004775</v>
      </c>
      <c r="BR27" s="4" t="n">
        <v>-0.004775</v>
      </c>
      <c r="BS27" s="4" t="n">
        <v>-0.004775</v>
      </c>
      <c r="BT27" s="4" t="n">
        <v>-0.004775</v>
      </c>
      <c r="BU27" s="4" t="n">
        <v>-0.004775</v>
      </c>
      <c r="BV27" s="4" t="n">
        <v>-0.004775</v>
      </c>
      <c r="BW27" s="4" t="n">
        <v>-0.004775</v>
      </c>
      <c r="BX27" s="4" t="n">
        <v>-0.004775</v>
      </c>
      <c r="BY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  <c r="BP28" s="4" t="n">
        <v>0.20765</v>
      </c>
      <c r="BQ28" s="4" t="n">
        <v>0.20765</v>
      </c>
      <c r="BR28" s="4" t="n">
        <v>0.20765</v>
      </c>
      <c r="BS28" s="4" t="n">
        <v>0.20765</v>
      </c>
      <c r="BT28" s="4" t="n">
        <v>0.20765</v>
      </c>
      <c r="BU28" s="4" t="n">
        <v>0.20765</v>
      </c>
      <c r="BV28" s="4" t="n">
        <v>0.20765</v>
      </c>
      <c r="BW28" s="4" t="n">
        <v>0.20765</v>
      </c>
      <c r="BX28" s="4" t="n">
        <v>0.20765</v>
      </c>
      <c r="BY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  <c r="BP31" s="13" t="n">
        <v>0</v>
      </c>
      <c r="BQ31" s="13" t="n">
        <v>0</v>
      </c>
      <c r="BR31" s="13" t="n">
        <v>0</v>
      </c>
      <c r="BS31" s="13" t="n">
        <v>0</v>
      </c>
      <c r="BT31" s="13" t="n">
        <v>0</v>
      </c>
      <c r="BU31" s="13" t="n">
        <v>0</v>
      </c>
      <c r="BV31" s="13" t="n">
        <v>0</v>
      </c>
      <c r="BW31" s="13" t="n">
        <v>0</v>
      </c>
      <c r="BX31" s="13" t="n">
        <v>0</v>
      </c>
      <c r="BY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775.08</v>
      </c>
      <c r="I32" s="13" t="n">
        <v>775.08</v>
      </c>
      <c r="J32" s="13" t="n">
        <v>775.08</v>
      </c>
      <c r="K32" s="13" t="n">
        <v>775.08</v>
      </c>
      <c r="L32" s="13" t="n">
        <v>775.08</v>
      </c>
      <c r="M32" s="13" t="n">
        <v>794.457</v>
      </c>
      <c r="N32" s="13" t="n">
        <v>814.3184249999999</v>
      </c>
      <c r="O32" s="13" t="n">
        <v>834.6763856249997</v>
      </c>
      <c r="P32" s="13" t="n">
        <v>855.5432952656247</v>
      </c>
      <c r="Q32" s="13" t="n">
        <v>876.9318776472652</v>
      </c>
      <c r="R32" s="13" t="n">
        <v>898.8551745884467</v>
      </c>
      <c r="S32" s="13" t="n">
        <v>921.3265539531581</v>
      </c>
      <c r="T32" s="13" t="n">
        <v>944.3597178019867</v>
      </c>
      <c r="U32" s="13" t="n">
        <v>967.9687107470364</v>
      </c>
      <c r="V32" s="13" t="n">
        <v>992.1679285157121</v>
      </c>
      <c r="W32" s="13" t="n">
        <v>1016.972126728605</v>
      </c>
      <c r="X32" s="13" t="n">
        <v>1042.39642989682</v>
      </c>
      <c r="Y32" s="13" t="n">
        <v>1068.45634064424</v>
      </c>
      <c r="Z32" s="13" t="n">
        <v>1095.167749160346</v>
      </c>
      <c r="AA32" s="13" t="n">
        <v>1122.546942889355</v>
      </c>
      <c r="AB32" s="13" t="n">
        <v>1150.610616461589</v>
      </c>
      <c r="AC32" s="13" t="n">
        <v>1179.375881873128</v>
      </c>
      <c r="AD32" s="13" t="n">
        <v>1208.860278919956</v>
      </c>
      <c r="AE32" s="13" t="n">
        <v>1239.081785892955</v>
      </c>
      <c r="AF32" s="13" t="n">
        <v>1270.058830540279</v>
      </c>
      <c r="AG32" s="13" t="n">
        <v>1301.810301303786</v>
      </c>
      <c r="AH32" s="13" t="n">
        <v>1334.35555883638</v>
      </c>
      <c r="AI32" s="13" t="n">
        <v>1367.71444780729</v>
      </c>
      <c r="AJ32" s="13" t="n">
        <v>1401.907309002472</v>
      </c>
      <c r="AK32" s="13" t="n">
        <v>1436.954991727534</v>
      </c>
      <c r="AL32" s="13" t="n">
        <v>1472.878866520722</v>
      </c>
      <c r="AM32" s="13" t="n">
        <v>1509.70083818374</v>
      </c>
      <c r="AN32" s="13" t="n">
        <v>1547.443359138333</v>
      </c>
      <c r="AO32" s="13" t="n">
        <v>1586.129443116791</v>
      </c>
      <c r="AP32" s="13" t="n">
        <v>1625.782679194711</v>
      </c>
      <c r="AQ32" s="13" t="n">
        <v>1666.427246174579</v>
      </c>
      <c r="AR32" s="13" t="n">
        <v>1708.087927328943</v>
      </c>
      <c r="AS32" s="13" t="n">
        <v>1750.790125512166</v>
      </c>
      <c r="AT32" s="13" t="n">
        <v>1794.55987864997</v>
      </c>
      <c r="AU32" s="13" t="n">
        <v>1839.423875616219</v>
      </c>
      <c r="AV32" s="13" t="n">
        <v>1885.409472506625</v>
      </c>
      <c r="AW32" s="13" t="n">
        <v>1932.54470931929</v>
      </c>
      <c r="AX32" s="13" t="n">
        <v>1980.858327052272</v>
      </c>
      <c r="AY32" s="13" t="n">
        <v>2030.379785228579</v>
      </c>
      <c r="AZ32" s="13" t="n">
        <v>2081.139279859293</v>
      </c>
      <c r="BA32" s="13" t="n">
        <v>2133.167761855775</v>
      </c>
      <c r="BB32" s="13" t="n">
        <v>2186.496955902169</v>
      </c>
      <c r="BC32" s="13" t="n">
        <v>2241.159379799723</v>
      </c>
      <c r="BD32" s="13" t="n">
        <v>2297.188364294716</v>
      </c>
      <c r="BE32" s="13" t="n">
        <v>2354.618073402084</v>
      </c>
      <c r="BF32" s="13" t="n">
        <v>2413.483525237136</v>
      </c>
      <c r="BG32" s="13" t="n">
        <v>2473.820613368064</v>
      </c>
      <c r="BH32" s="13" t="n">
        <v>2535.666128702265</v>
      </c>
      <c r="BI32" s="13" t="n">
        <v>2599.057781919822</v>
      </c>
      <c r="BJ32" s="13" t="n">
        <v>2664.034226467817</v>
      </c>
      <c r="BK32" s="13" t="n">
        <v>2730.635082129512</v>
      </c>
      <c r="BL32" s="13" t="n">
        <v>2798.90095918275</v>
      </c>
      <c r="BM32" s="13" t="n">
        <v>2868.873483162318</v>
      </c>
      <c r="BN32" s="13" t="n">
        <v>2940.595320241376</v>
      </c>
      <c r="BO32" s="13" t="n">
        <v>3014.11020324741</v>
      </c>
      <c r="BP32" s="13" t="n">
        <v>3089.462958328596</v>
      </c>
      <c r="BQ32" s="13" t="n">
        <v>3166.69953228681</v>
      </c>
      <c r="BR32" s="13" t="n">
        <v>3245.86702059398</v>
      </c>
      <c r="BS32" s="13" t="n">
        <v>3327.013696108829</v>
      </c>
      <c r="BT32" s="13" t="n">
        <v>3410.189038511549</v>
      </c>
      <c r="BU32" s="13" t="n">
        <v>3495.443764474338</v>
      </c>
      <c r="BV32" s="13" t="n">
        <v>3582.829858586196</v>
      </c>
      <c r="BW32" s="13" t="n">
        <v>3672.400605050851</v>
      </c>
      <c r="BX32" s="13" t="n">
        <v>3764.210620177122</v>
      </c>
      <c r="BY32" s="13" t="n">
        <v>3858.315885681549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  <c r="BP33" s="4" t="n">
        <v>0.015502</v>
      </c>
      <c r="BQ33" s="4" t="n">
        <v>0.015502</v>
      </c>
      <c r="BR33" s="4" t="n">
        <v>0.015502</v>
      </c>
      <c r="BS33" s="4" t="n">
        <v>0.015502</v>
      </c>
      <c r="BT33" s="4" t="n">
        <v>0.015502</v>
      </c>
      <c r="BU33" s="4" t="n">
        <v>0.015502</v>
      </c>
      <c r="BV33" s="4" t="n">
        <v>0.015502</v>
      </c>
      <c r="BW33" s="4" t="n">
        <v>0.015502</v>
      </c>
      <c r="BX33" s="4" t="n">
        <v>0.015502</v>
      </c>
      <c r="BY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  <c r="BP34" s="4" t="n">
        <v>0.6</v>
      </c>
      <c r="BQ34" s="4" t="n">
        <v>0.6</v>
      </c>
      <c r="BR34" s="4" t="n">
        <v>0.6</v>
      </c>
      <c r="BS34" s="4" t="n">
        <v>0.6</v>
      </c>
      <c r="BT34" s="4" t="n">
        <v>0.6</v>
      </c>
      <c r="BU34" s="4" t="n">
        <v>0.6</v>
      </c>
      <c r="BV34" s="4" t="n">
        <v>0.6</v>
      </c>
      <c r="BW34" s="4" t="n">
        <v>0.6</v>
      </c>
      <c r="BX34" s="4" t="n">
        <v>0.6</v>
      </c>
      <c r="BY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  <c r="BP35" s="4" t="n">
        <v>0</v>
      </c>
      <c r="BQ35" s="4" t="n">
        <v>0</v>
      </c>
      <c r="BR35" s="4" t="n">
        <v>0</v>
      </c>
      <c r="BS35" s="4" t="n">
        <v>0</v>
      </c>
      <c r="BT35" s="4" t="n">
        <v>0</v>
      </c>
      <c r="BU35" s="4" t="n">
        <v>0</v>
      </c>
      <c r="BV35" s="4" t="n">
        <v>0</v>
      </c>
      <c r="BW35" s="4" t="n">
        <v>0</v>
      </c>
      <c r="BX35" s="4" t="n">
        <v>0</v>
      </c>
      <c r="BY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  <c r="BP37" s="4" t="n">
        <v>0.0644497</v>
      </c>
      <c r="BQ37" s="4" t="n">
        <v>0.0644497</v>
      </c>
      <c r="BR37" s="4" t="n">
        <v>0.0644497</v>
      </c>
      <c r="BS37" s="4" t="n">
        <v>0.0644497</v>
      </c>
      <c r="BT37" s="4" t="n">
        <v>0.0644497</v>
      </c>
      <c r="BU37" s="4" t="n">
        <v>0.0644497</v>
      </c>
      <c r="BV37" s="4" t="n">
        <v>0.0644497</v>
      </c>
      <c r="BW37" s="4" t="n">
        <v>0.0644497</v>
      </c>
      <c r="BX37" s="4" t="n">
        <v>0.0644497</v>
      </c>
      <c r="BY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  <c r="BP40" s="15">
        <f>MAX((BO40-BP41),0)</f>
        <v/>
      </c>
      <c r="BQ40" s="15">
        <f>MAX((BP40-BQ41),0)</f>
        <v/>
      </c>
      <c r="BR40" s="15">
        <f>MAX((BQ40-BR41),0)</f>
        <v/>
      </c>
      <c r="BS40" s="15">
        <f>MAX((BR40-BS41),0)</f>
        <v/>
      </c>
      <c r="BT40" s="15">
        <f>MAX((BS40-BT41),0)</f>
        <v/>
      </c>
      <c r="BU40" s="15">
        <f>MAX((BT40-BU41),0)</f>
        <v/>
      </c>
      <c r="BV40" s="15">
        <f>MAX((BU40-BV41),0)</f>
        <v/>
      </c>
      <c r="BW40" s="15">
        <f>MAX((BV40-BW41),0)</f>
        <v/>
      </c>
      <c r="BX40" s="15">
        <f>MAX((BW40-BX41),0)</f>
        <v/>
      </c>
      <c r="BY40" s="15">
        <f>MAX((BX40-BY41),0)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  <c r="BP41" s="15">
        <f>IF(($C$9&gt;0),MIN(BP14,MAX(BO40,0)),BP14)</f>
        <v/>
      </c>
      <c r="BQ41" s="15">
        <f>IF(($C$9&gt;0),MIN(BQ14,MAX(BP40,0)),BQ14)</f>
        <v/>
      </c>
      <c r="BR41" s="15">
        <f>IF(($C$9&gt;0),MIN(BR14,MAX(BQ40,0)),BR14)</f>
        <v/>
      </c>
      <c r="BS41" s="15">
        <f>IF(($C$9&gt;0),MIN(BS14,MAX(BR40,0)),BS14)</f>
        <v/>
      </c>
      <c r="BT41" s="15">
        <f>IF(($C$9&gt;0),MIN(BT14,MAX(BS40,0)),BT14)</f>
        <v/>
      </c>
      <c r="BU41" s="15">
        <f>IF(($C$9&gt;0),MIN(BU14,MAX(BT40,0)),BU14)</f>
        <v/>
      </c>
      <c r="BV41" s="15">
        <f>IF(($C$9&gt;0),MIN(BV14,MAX(BU40,0)),BV14)</f>
        <v/>
      </c>
      <c r="BW41" s="15">
        <f>IF(($C$9&gt;0),MIN(BW14,MAX(BV40,0)),BW14)</f>
        <v/>
      </c>
      <c r="BX41" s="15">
        <f>IF(($C$9&gt;0),MIN(BX14,MAX(BW40,0)),BX14)</f>
        <v/>
      </c>
      <c r="BY41" s="15">
        <f>IF(($C$9&gt;0),MIN(BY14,MAX(BX40,0)),BY14)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  <c r="AO42" s="16">
        <f>Drivers!$AS$6</f>
        <v/>
      </c>
      <c r="AP42" s="16">
        <f>Drivers!$AT$6</f>
        <v/>
      </c>
      <c r="AQ42" s="16">
        <f>Drivers!$AU$6</f>
        <v/>
      </c>
      <c r="AR42" s="16">
        <f>Drivers!$AV$6</f>
        <v/>
      </c>
      <c r="AS42" s="16">
        <f>Drivers!$AW$6</f>
        <v/>
      </c>
      <c r="AT42" s="16">
        <f>Drivers!$AX$6</f>
        <v/>
      </c>
      <c r="AU42" s="16">
        <f>Drivers!$AY$6</f>
        <v/>
      </c>
      <c r="AV42" s="16">
        <f>Drivers!$AZ$6</f>
        <v/>
      </c>
      <c r="AW42" s="16">
        <f>Drivers!$BA$6</f>
        <v/>
      </c>
      <c r="AX42" s="16">
        <f>Drivers!$BB$6</f>
        <v/>
      </c>
      <c r="AY42" s="16">
        <f>Drivers!$BC$6</f>
        <v/>
      </c>
      <c r="AZ42" s="16">
        <f>Drivers!$BD$6</f>
        <v/>
      </c>
      <c r="BA42" s="16">
        <f>Drivers!$BE$6</f>
        <v/>
      </c>
      <c r="BB42" s="16">
        <f>Drivers!$BF$6</f>
        <v/>
      </c>
      <c r="BC42" s="16">
        <f>Drivers!$BG$6</f>
        <v/>
      </c>
      <c r="BD42" s="16">
        <f>Drivers!$BH$6</f>
        <v/>
      </c>
      <c r="BE42" s="16">
        <f>Drivers!$BI$6</f>
        <v/>
      </c>
      <c r="BF42" s="16">
        <f>Drivers!$BJ$6</f>
        <v/>
      </c>
      <c r="BG42" s="16">
        <f>Drivers!$BK$6</f>
        <v/>
      </c>
      <c r="BH42" s="16">
        <f>Drivers!$BL$6</f>
        <v/>
      </c>
      <c r="BI42" s="16">
        <f>Drivers!$BM$6</f>
        <v/>
      </c>
      <c r="BJ42" s="16">
        <f>Drivers!$BN$6</f>
        <v/>
      </c>
      <c r="BK42" s="16">
        <f>Drivers!$BO$6</f>
        <v/>
      </c>
      <c r="BL42" s="16">
        <f>Drivers!$BP$6</f>
        <v/>
      </c>
      <c r="BM42" s="16">
        <f>Drivers!$BQ$6</f>
        <v/>
      </c>
      <c r="BN42" s="16">
        <f>Drivers!$BR$6</f>
        <v/>
      </c>
      <c r="BO42" s="16">
        <f>Drivers!$BS$6</f>
        <v/>
      </c>
      <c r="BP42" s="16">
        <f>Drivers!$BT$6</f>
        <v/>
      </c>
      <c r="BQ42" s="16">
        <f>Drivers!$BU$6</f>
        <v/>
      </c>
      <c r="BR42" s="16">
        <f>Drivers!$BV$6</f>
        <v/>
      </c>
      <c r="BS42" s="16">
        <f>Drivers!$BW$6</f>
        <v/>
      </c>
      <c r="BT42" s="16">
        <f>Drivers!$BX$6</f>
        <v/>
      </c>
      <c r="BU42" s="16">
        <f>Drivers!$BY$6</f>
        <v/>
      </c>
      <c r="BV42" s="16">
        <f>Drivers!$BZ$6</f>
        <v/>
      </c>
      <c r="BW42" s="16">
        <f>Drivers!$CA$6</f>
        <v/>
      </c>
      <c r="BX42" s="16">
        <f>Drivers!$CB$6</f>
        <v/>
      </c>
      <c r="BY42" s="16">
        <f>Drivers!$CC$6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  <c r="AO43" s="16">
        <f>(((AO15*AO42)*(1-AO16))+(MIN(Drivers!$AS$4,(AO15*AO42))*AO16))</f>
        <v/>
      </c>
      <c r="AP43" s="16">
        <f>(((AP15*AP42)*(1-AP16))+(MIN(Drivers!$AT$4,(AP15*AP42))*AP16))</f>
        <v/>
      </c>
      <c r="AQ43" s="16">
        <f>(((AQ15*AQ42)*(1-AQ16))+(MIN(Drivers!$AU$4,(AQ15*AQ42))*AQ16))</f>
        <v/>
      </c>
      <c r="AR43" s="16">
        <f>(((AR15*AR42)*(1-AR16))+(MIN(Drivers!$AV$4,(AR15*AR42))*AR16))</f>
        <v/>
      </c>
      <c r="AS43" s="16">
        <f>(((AS15*AS42)*(1-AS16))+(MIN(Drivers!$AW$4,(AS15*AS42))*AS16))</f>
        <v/>
      </c>
      <c r="AT43" s="16">
        <f>(((AT15*AT42)*(1-AT16))+(MIN(Drivers!$AX$4,(AT15*AT42))*AT16))</f>
        <v/>
      </c>
      <c r="AU43" s="16">
        <f>(((AU15*AU42)*(1-AU16))+(MIN(Drivers!$AY$4,(AU15*AU42))*AU16))</f>
        <v/>
      </c>
      <c r="AV43" s="16">
        <f>(((AV15*AV42)*(1-AV16))+(MIN(Drivers!$AZ$4,(AV15*AV42))*AV16))</f>
        <v/>
      </c>
      <c r="AW43" s="16">
        <f>(((AW15*AW42)*(1-AW16))+(MIN(Drivers!$BA$4,(AW15*AW42))*AW16))</f>
        <v/>
      </c>
      <c r="AX43" s="16">
        <f>(((AX15*AX42)*(1-AX16))+(MIN(Drivers!$BB$4,(AX15*AX42))*AX16))</f>
        <v/>
      </c>
      <c r="AY43" s="16">
        <f>(((AY15*AY42)*(1-AY16))+(MIN(Drivers!$BC$4,(AY15*AY42))*AY16))</f>
        <v/>
      </c>
      <c r="AZ43" s="16">
        <f>(((AZ15*AZ42)*(1-AZ16))+(MIN(Drivers!$BD$4,(AZ15*AZ42))*AZ16))</f>
        <v/>
      </c>
      <c r="BA43" s="16">
        <f>(((BA15*BA42)*(1-BA16))+(MIN(Drivers!$BE$4,(BA15*BA42))*BA16))</f>
        <v/>
      </c>
      <c r="BB43" s="16">
        <f>(((BB15*BB42)*(1-BB16))+(MIN(Drivers!$BF$4,(BB15*BB42))*BB16))</f>
        <v/>
      </c>
      <c r="BC43" s="16">
        <f>(((BC15*BC42)*(1-BC16))+(MIN(Drivers!$BG$4,(BC15*BC42))*BC16))</f>
        <v/>
      </c>
      <c r="BD43" s="16">
        <f>(((BD15*BD42)*(1-BD16))+(MIN(Drivers!$BH$4,(BD15*BD42))*BD16))</f>
        <v/>
      </c>
      <c r="BE43" s="16">
        <f>(((BE15*BE42)*(1-BE16))+(MIN(Drivers!$BI$4,(BE15*BE42))*BE16))</f>
        <v/>
      </c>
      <c r="BF43" s="16">
        <f>(((BF15*BF42)*(1-BF16))+(MIN(Drivers!$BJ$4,(BF15*BF42))*BF16))</f>
        <v/>
      </c>
      <c r="BG43" s="16">
        <f>(((BG15*BG42)*(1-BG16))+(MIN(Drivers!$BK$4,(BG15*BG42))*BG16))</f>
        <v/>
      </c>
      <c r="BH43" s="16">
        <f>(((BH15*BH42)*(1-BH16))+(MIN(Drivers!$BL$4,(BH15*BH42))*BH16))</f>
        <v/>
      </c>
      <c r="BI43" s="16">
        <f>(((BI15*BI42)*(1-BI16))+(MIN(Drivers!$BM$4,(BI15*BI42))*BI16))</f>
        <v/>
      </c>
      <c r="BJ43" s="16">
        <f>(((BJ15*BJ42)*(1-BJ16))+(MIN(Drivers!$BN$4,(BJ15*BJ42))*BJ16))</f>
        <v/>
      </c>
      <c r="BK43" s="16">
        <f>(((BK15*BK42)*(1-BK16))+(MIN(Drivers!$BO$4,(BK15*BK42))*BK16))</f>
        <v/>
      </c>
      <c r="BL43" s="16">
        <f>(((BL15*BL42)*(1-BL16))+(MIN(Drivers!$BP$4,(BL15*BL42))*BL16))</f>
        <v/>
      </c>
      <c r="BM43" s="16">
        <f>(((BM15*BM42)*(1-BM16))+(MIN(Drivers!$BQ$4,(BM15*BM42))*BM16))</f>
        <v/>
      </c>
      <c r="BN43" s="16">
        <f>(((BN15*BN42)*(1-BN16))+(MIN(Drivers!$BR$4,(BN15*BN42))*BN16))</f>
        <v/>
      </c>
      <c r="BO43" s="16">
        <f>(((BO15*BO42)*(1-BO16))+(MIN(Drivers!$BS$4,(BO15*BO42))*BO16))</f>
        <v/>
      </c>
      <c r="BP43" s="16">
        <f>(((BP15*BP42)*(1-BP16))+(MIN(Drivers!$BT$4,(BP15*BP42))*BP16))</f>
        <v/>
      </c>
      <c r="BQ43" s="16">
        <f>(((BQ15*BQ42)*(1-BQ16))+(MIN(Drivers!$BU$4,(BQ15*BQ42))*BQ16))</f>
        <v/>
      </c>
      <c r="BR43" s="16">
        <f>(((BR15*BR42)*(1-BR16))+(MIN(Drivers!$BV$4,(BR15*BR42))*BR16))</f>
        <v/>
      </c>
      <c r="BS43" s="16">
        <f>(((BS15*BS42)*(1-BS16))+(MIN(Drivers!$BW$4,(BS15*BS42))*BS16))</f>
        <v/>
      </c>
      <c r="BT43" s="16">
        <f>(((BT15*BT42)*(1-BT16))+(MIN(Drivers!$BX$4,(BT15*BT42))*BT16))</f>
        <v/>
      </c>
      <c r="BU43" s="16">
        <f>(((BU15*BU42)*(1-BU16))+(MIN(Drivers!$BY$4,(BU15*BU42))*BU16))</f>
        <v/>
      </c>
      <c r="BV43" s="16">
        <f>(((BV15*BV42)*(1-BV16))+(MIN(Drivers!$BZ$4,(BV15*BV42))*BV16))</f>
        <v/>
      </c>
      <c r="BW43" s="16">
        <f>(((BW15*BW42)*(1-BW16))+(MIN(Drivers!$CA$4,(BW15*BW42))*BW16))</f>
        <v/>
      </c>
      <c r="BX43" s="16">
        <f>(((BX15*BX42)*(1-BX16))+(MIN(Drivers!$CB$4,(BX15*BX42))*BX16))</f>
        <v/>
      </c>
      <c r="BY43" s="16">
        <f>(((BY15*BY42)*(1-BY16))+(MIN(Drivers!$CC$4,(BY15*BY42))*BY16))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  <c r="BP44" s="17">
        <f>IF(BP42=0,0,BP43/BP42)</f>
        <v/>
      </c>
      <c r="BQ44" s="17">
        <f>IF(BQ42=0,0,BQ43/BQ42)</f>
        <v/>
      </c>
      <c r="BR44" s="17">
        <f>IF(BR42=0,0,BR43/BR42)</f>
        <v/>
      </c>
      <c r="BS44" s="17">
        <f>IF(BS42=0,0,BS43/BS42)</f>
        <v/>
      </c>
      <c r="BT44" s="17">
        <f>IF(BT42=0,0,BT43/BT42)</f>
        <v/>
      </c>
      <c r="BU44" s="17">
        <f>IF(BU42=0,0,BU43/BU42)</f>
        <v/>
      </c>
      <c r="BV44" s="17">
        <f>IF(BV42=0,0,BV43/BV42)</f>
        <v/>
      </c>
      <c r="BW44" s="17">
        <f>IF(BW42=0,0,BW43/BW42)</f>
        <v/>
      </c>
      <c r="BX44" s="17">
        <f>IF(BX42=0,0,BX43/BX42)</f>
        <v/>
      </c>
      <c r="BY44" s="17">
        <f>IF(BY42=0,0,BY43/BY42)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  <c r="AO45" s="16">
        <f>(((AO17*AO18)*(1+($C$19*(IF(Drivers!$J$8=0,0,Drivers!$AS$8/Drivers!$J$8)-1))))+AO20)</f>
        <v/>
      </c>
      <c r="AP45" s="16">
        <f>(((AP17*AP18)*(1+($C$19*(IF(Drivers!$J$8=0,0,Drivers!$AT$8/Drivers!$J$8)-1))))+AP20)</f>
        <v/>
      </c>
      <c r="AQ45" s="16">
        <f>(((AQ17*AQ18)*(1+($C$19*(IF(Drivers!$J$8=0,0,Drivers!$AU$8/Drivers!$J$8)-1))))+AQ20)</f>
        <v/>
      </c>
      <c r="AR45" s="16">
        <f>(((AR17*AR18)*(1+($C$19*(IF(Drivers!$J$8=0,0,Drivers!$AV$8/Drivers!$J$8)-1))))+AR20)</f>
        <v/>
      </c>
      <c r="AS45" s="16">
        <f>(((AS17*AS18)*(1+($C$19*(IF(Drivers!$J$8=0,0,Drivers!$AW$8/Drivers!$J$8)-1))))+AS20)</f>
        <v/>
      </c>
      <c r="AT45" s="16">
        <f>(((AT17*AT18)*(1+($C$19*(IF(Drivers!$J$8=0,0,Drivers!$AX$8/Drivers!$J$8)-1))))+AT20)</f>
        <v/>
      </c>
      <c r="AU45" s="16">
        <f>(((AU17*AU18)*(1+($C$19*(IF(Drivers!$J$8=0,0,Drivers!$AY$8/Drivers!$J$8)-1))))+AU20)</f>
        <v/>
      </c>
      <c r="AV45" s="16">
        <f>(((AV17*AV18)*(1+($C$19*(IF(Drivers!$J$8=0,0,Drivers!$AZ$8/Drivers!$J$8)-1))))+AV20)</f>
        <v/>
      </c>
      <c r="AW45" s="16">
        <f>(((AW17*AW18)*(1+($C$19*(IF(Drivers!$J$8=0,0,Drivers!$BA$8/Drivers!$J$8)-1))))+AW20)</f>
        <v/>
      </c>
      <c r="AX45" s="16">
        <f>(((AX17*AX18)*(1+($C$19*(IF(Drivers!$J$8=0,0,Drivers!$BB$8/Drivers!$J$8)-1))))+AX20)</f>
        <v/>
      </c>
      <c r="AY45" s="16">
        <f>(((AY17*AY18)*(1+($C$19*(IF(Drivers!$J$8=0,0,Drivers!$BC$8/Drivers!$J$8)-1))))+AY20)</f>
        <v/>
      </c>
      <c r="AZ45" s="16">
        <f>(((AZ17*AZ18)*(1+($C$19*(IF(Drivers!$J$8=0,0,Drivers!$BD$8/Drivers!$J$8)-1))))+AZ20)</f>
        <v/>
      </c>
      <c r="BA45" s="16">
        <f>(((BA17*BA18)*(1+($C$19*(IF(Drivers!$J$8=0,0,Drivers!$BE$8/Drivers!$J$8)-1))))+BA20)</f>
        <v/>
      </c>
      <c r="BB45" s="16">
        <f>(((BB17*BB18)*(1+($C$19*(IF(Drivers!$J$8=0,0,Drivers!$BF$8/Drivers!$J$8)-1))))+BB20)</f>
        <v/>
      </c>
      <c r="BC45" s="16">
        <f>(((BC17*BC18)*(1+($C$19*(IF(Drivers!$J$8=0,0,Drivers!$BG$8/Drivers!$J$8)-1))))+BC20)</f>
        <v/>
      </c>
      <c r="BD45" s="16">
        <f>(((BD17*BD18)*(1+($C$19*(IF(Drivers!$J$8=0,0,Drivers!$BH$8/Drivers!$J$8)-1))))+BD20)</f>
        <v/>
      </c>
      <c r="BE45" s="16">
        <f>(((BE17*BE18)*(1+($C$19*(IF(Drivers!$J$8=0,0,Drivers!$BI$8/Drivers!$J$8)-1))))+BE20)</f>
        <v/>
      </c>
      <c r="BF45" s="16">
        <f>(((BF17*BF18)*(1+($C$19*(IF(Drivers!$J$8=0,0,Drivers!$BJ$8/Drivers!$J$8)-1))))+BF20)</f>
        <v/>
      </c>
      <c r="BG45" s="16">
        <f>(((BG17*BG18)*(1+($C$19*(IF(Drivers!$J$8=0,0,Drivers!$BK$8/Drivers!$J$8)-1))))+BG20)</f>
        <v/>
      </c>
      <c r="BH45" s="16">
        <f>(((BH17*BH18)*(1+($C$19*(IF(Drivers!$J$8=0,0,Drivers!$BL$8/Drivers!$J$8)-1))))+BH20)</f>
        <v/>
      </c>
      <c r="BI45" s="16">
        <f>(((BI17*BI18)*(1+($C$19*(IF(Drivers!$J$8=0,0,Drivers!$BM$8/Drivers!$J$8)-1))))+BI20)</f>
        <v/>
      </c>
      <c r="BJ45" s="16">
        <f>(((BJ17*BJ18)*(1+($C$19*(IF(Drivers!$J$8=0,0,Drivers!$BN$8/Drivers!$J$8)-1))))+BJ20)</f>
        <v/>
      </c>
      <c r="BK45" s="16">
        <f>(((BK17*BK18)*(1+($C$19*(IF(Drivers!$J$8=0,0,Drivers!$BO$8/Drivers!$J$8)-1))))+BK20)</f>
        <v/>
      </c>
      <c r="BL45" s="16">
        <f>(((BL17*BL18)*(1+($C$19*(IF(Drivers!$J$8=0,0,Drivers!$BP$8/Drivers!$J$8)-1))))+BL20)</f>
        <v/>
      </c>
      <c r="BM45" s="16">
        <f>(((BM17*BM18)*(1+($C$19*(IF(Drivers!$J$8=0,0,Drivers!$BQ$8/Drivers!$J$8)-1))))+BM20)</f>
        <v/>
      </c>
      <c r="BN45" s="16">
        <f>(((BN17*BN18)*(1+($C$19*(IF(Drivers!$J$8=0,0,Drivers!$BR$8/Drivers!$J$8)-1))))+BN20)</f>
        <v/>
      </c>
      <c r="BO45" s="16">
        <f>(((BO17*BO18)*(1+($C$19*(IF(Drivers!$J$8=0,0,Drivers!$BS$8/Drivers!$J$8)-1))))+BO20)</f>
        <v/>
      </c>
      <c r="BP45" s="16">
        <f>(((BP17*BP18)*(1+($C$19*(IF(Drivers!$J$8=0,0,Drivers!$BT$8/Drivers!$J$8)-1))))+BP20)</f>
        <v/>
      </c>
      <c r="BQ45" s="16">
        <f>(((BQ17*BQ18)*(1+($C$19*(IF(Drivers!$J$8=0,0,Drivers!$BU$8/Drivers!$J$8)-1))))+BQ20)</f>
        <v/>
      </c>
      <c r="BR45" s="16">
        <f>(((BR17*BR18)*(1+($C$19*(IF(Drivers!$J$8=0,0,Drivers!$BV$8/Drivers!$J$8)-1))))+BR20)</f>
        <v/>
      </c>
      <c r="BS45" s="16">
        <f>(((BS17*BS18)*(1+($C$19*(IF(Drivers!$J$8=0,0,Drivers!$BW$8/Drivers!$J$8)-1))))+BS20)</f>
        <v/>
      </c>
      <c r="BT45" s="16">
        <f>(((BT17*BT18)*(1+($C$19*(IF(Drivers!$J$8=0,0,Drivers!$BX$8/Drivers!$J$8)-1))))+BT20)</f>
        <v/>
      </c>
      <c r="BU45" s="16">
        <f>(((BU17*BU18)*(1+($C$19*(IF(Drivers!$J$8=0,0,Drivers!$BY$8/Drivers!$J$8)-1))))+BU20)</f>
        <v/>
      </c>
      <c r="BV45" s="16">
        <f>(((BV17*BV18)*(1+($C$19*(IF(Drivers!$J$8=0,0,Drivers!$BZ$8/Drivers!$J$8)-1))))+BV20)</f>
        <v/>
      </c>
      <c r="BW45" s="16">
        <f>(((BW17*BW18)*(1+($C$19*(IF(Drivers!$J$8=0,0,Drivers!$CA$8/Drivers!$J$8)-1))))+BW20)</f>
        <v/>
      </c>
      <c r="BX45" s="16">
        <f>(((BX17*BX18)*(1+($C$19*(IF(Drivers!$J$8=0,0,Drivers!$CB$8/Drivers!$J$8)-1))))+BX20)</f>
        <v/>
      </c>
      <c r="BY45" s="16">
        <f>(((BY17*BY18)*(1+($C$19*(IF(Drivers!$J$8=0,0,Drivers!$CC$8/Drivers!$J$8)-1))))+BY20)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  <c r="BP46" s="18">
        <f>BP17</f>
        <v/>
      </c>
      <c r="BQ46" s="18">
        <f>BQ17</f>
        <v/>
      </c>
      <c r="BR46" s="18">
        <f>BR17</f>
        <v/>
      </c>
      <c r="BS46" s="18">
        <f>BS17</f>
        <v/>
      </c>
      <c r="BT46" s="18">
        <f>BT17</f>
        <v/>
      </c>
      <c r="BU46" s="18">
        <f>BU17</f>
        <v/>
      </c>
      <c r="BV46" s="18">
        <f>BV17</f>
        <v/>
      </c>
      <c r="BW46" s="18">
        <f>BW17</f>
        <v/>
      </c>
      <c r="BX46" s="18">
        <f>BX17</f>
        <v/>
      </c>
      <c r="BY46" s="18">
        <f>BY17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  <c r="BP47" s="17">
        <f>BP21</f>
        <v/>
      </c>
      <c r="BQ47" s="17">
        <f>BQ21</f>
        <v/>
      </c>
      <c r="BR47" s="17">
        <f>BR21</f>
        <v/>
      </c>
      <c r="BS47" s="17">
        <f>BS21</f>
        <v/>
      </c>
      <c r="BT47" s="17">
        <f>BT21</f>
        <v/>
      </c>
      <c r="BU47" s="17">
        <f>BU21</f>
        <v/>
      </c>
      <c r="BV47" s="17">
        <f>BV21</f>
        <v/>
      </c>
      <c r="BW47" s="17">
        <f>BW21</f>
        <v/>
      </c>
      <c r="BX47" s="17">
        <f>BX21</f>
        <v/>
      </c>
      <c r="BY47" s="17">
        <f>BY21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  <c r="AK48" s="16">
        <f>IF(IF(1000=0,0,((AK41*$C$10)*Drivers!$AO$7)/1000)=0,0,AK61/IF(1000=0,0,((AK41*$C$10)*Drivers!$AO$7)/1000))</f>
        <v/>
      </c>
      <c r="AL48" s="16">
        <f>IF(IF(1000=0,0,((AL41*$C$10)*Drivers!$AP$7)/1000)=0,0,AL61/IF(1000=0,0,((AL41*$C$10)*Drivers!$AP$7)/1000))</f>
        <v/>
      </c>
      <c r="AM48" s="16">
        <f>IF(IF(1000=0,0,((AM41*$C$10)*Drivers!$AQ$7)/1000)=0,0,AM61/IF(1000=0,0,((AM41*$C$10)*Drivers!$AQ$7)/1000))</f>
        <v/>
      </c>
      <c r="AN48" s="16">
        <f>IF(IF(1000=0,0,((AN41*$C$10)*Drivers!$AR$7)/1000)=0,0,AN61/IF(1000=0,0,((AN41*$C$10)*Drivers!$AR$7)/1000))</f>
        <v/>
      </c>
      <c r="AO48" s="16">
        <f>IF(IF(1000=0,0,((AO41*$C$10)*Drivers!$AS$7)/1000)=0,0,AO61/IF(1000=0,0,((AO41*$C$10)*Drivers!$AS$7)/1000))</f>
        <v/>
      </c>
      <c r="AP48" s="16">
        <f>IF(IF(1000=0,0,((AP41*$C$10)*Drivers!$AT$7)/1000)=0,0,AP61/IF(1000=0,0,((AP41*$C$10)*Drivers!$AT$7)/1000))</f>
        <v/>
      </c>
      <c r="AQ48" s="16">
        <f>IF(IF(1000=0,0,((AQ41*$C$10)*Drivers!$AU$7)/1000)=0,0,AQ61/IF(1000=0,0,((AQ41*$C$10)*Drivers!$AU$7)/1000))</f>
        <v/>
      </c>
      <c r="AR48" s="16">
        <f>IF(IF(1000=0,0,((AR41*$C$10)*Drivers!$AV$7)/1000)=0,0,AR61/IF(1000=0,0,((AR41*$C$10)*Drivers!$AV$7)/1000))</f>
        <v/>
      </c>
      <c r="AS48" s="16">
        <f>IF(IF(1000=0,0,((AS41*$C$10)*Drivers!$AW$7)/1000)=0,0,AS61/IF(1000=0,0,((AS41*$C$10)*Drivers!$AW$7)/1000))</f>
        <v/>
      </c>
      <c r="AT48" s="16">
        <f>IF(IF(1000=0,0,((AT41*$C$10)*Drivers!$AX$7)/1000)=0,0,AT61/IF(1000=0,0,((AT41*$C$10)*Drivers!$AX$7)/1000))</f>
        <v/>
      </c>
      <c r="AU48" s="16">
        <f>IF(IF(1000=0,0,((AU41*$C$10)*Drivers!$AY$7)/1000)=0,0,AU61/IF(1000=0,0,((AU41*$C$10)*Drivers!$AY$7)/1000))</f>
        <v/>
      </c>
      <c r="AV48" s="16">
        <f>IF(IF(1000=0,0,((AV41*$C$10)*Drivers!$AZ$7)/1000)=0,0,AV61/IF(1000=0,0,((AV41*$C$10)*Drivers!$AZ$7)/1000))</f>
        <v/>
      </c>
      <c r="AW48" s="16">
        <f>IF(IF(1000=0,0,((AW41*$C$10)*Drivers!$BA$7)/1000)=0,0,AW61/IF(1000=0,0,((AW41*$C$10)*Drivers!$BA$7)/1000))</f>
        <v/>
      </c>
      <c r="AX48" s="16">
        <f>IF(IF(1000=0,0,((AX41*$C$10)*Drivers!$BB$7)/1000)=0,0,AX61/IF(1000=0,0,((AX41*$C$10)*Drivers!$BB$7)/1000))</f>
        <v/>
      </c>
      <c r="AY48" s="16">
        <f>IF(IF(1000=0,0,((AY41*$C$10)*Drivers!$BC$7)/1000)=0,0,AY61/IF(1000=0,0,((AY41*$C$10)*Drivers!$BC$7)/1000))</f>
        <v/>
      </c>
      <c r="AZ48" s="16">
        <f>IF(IF(1000=0,0,((AZ41*$C$10)*Drivers!$BD$7)/1000)=0,0,AZ61/IF(1000=0,0,((AZ41*$C$10)*Drivers!$BD$7)/1000))</f>
        <v/>
      </c>
      <c r="BA48" s="16">
        <f>IF(IF(1000=0,0,((BA41*$C$10)*Drivers!$BE$7)/1000)=0,0,BA61/IF(1000=0,0,((BA41*$C$10)*Drivers!$BE$7)/1000))</f>
        <v/>
      </c>
      <c r="BB48" s="16">
        <f>IF(IF(1000=0,0,((BB41*$C$10)*Drivers!$BF$7)/1000)=0,0,BB61/IF(1000=0,0,((BB41*$C$10)*Drivers!$BF$7)/1000))</f>
        <v/>
      </c>
      <c r="BC48" s="16">
        <f>IF(IF(1000=0,0,((BC41*$C$10)*Drivers!$BG$7)/1000)=0,0,BC61/IF(1000=0,0,((BC41*$C$10)*Drivers!$BG$7)/1000))</f>
        <v/>
      </c>
      <c r="BD48" s="16">
        <f>IF(IF(1000=0,0,((BD41*$C$10)*Drivers!$BH$7)/1000)=0,0,BD61/IF(1000=0,0,((BD41*$C$10)*Drivers!$BH$7)/1000))</f>
        <v/>
      </c>
      <c r="BE48" s="16">
        <f>IF(IF(1000=0,0,((BE41*$C$10)*Drivers!$BI$7)/1000)=0,0,BE61/IF(1000=0,0,((BE41*$C$10)*Drivers!$BI$7)/1000))</f>
        <v/>
      </c>
      <c r="BF48" s="16">
        <f>IF(IF(1000=0,0,((BF41*$C$10)*Drivers!$BJ$7)/1000)=0,0,BF61/IF(1000=0,0,((BF41*$C$10)*Drivers!$BJ$7)/1000))</f>
        <v/>
      </c>
      <c r="BG48" s="16">
        <f>IF(IF(1000=0,0,((BG41*$C$10)*Drivers!$BK$7)/1000)=0,0,BG61/IF(1000=0,0,((BG41*$C$10)*Drivers!$BK$7)/1000))</f>
        <v/>
      </c>
      <c r="BH48" s="16">
        <f>IF(IF(1000=0,0,((BH41*$C$10)*Drivers!$BL$7)/1000)=0,0,BH61/IF(1000=0,0,((BH41*$C$10)*Drivers!$BL$7)/1000))</f>
        <v/>
      </c>
      <c r="BI48" s="16">
        <f>IF(IF(1000=0,0,((BI41*$C$10)*Drivers!$BM$7)/1000)=0,0,BI61/IF(1000=0,0,((BI41*$C$10)*Drivers!$BM$7)/1000))</f>
        <v/>
      </c>
      <c r="BJ48" s="16">
        <f>IF(IF(1000=0,0,((BJ41*$C$10)*Drivers!$BN$7)/1000)=0,0,BJ61/IF(1000=0,0,((BJ41*$C$10)*Drivers!$BN$7)/1000))</f>
        <v/>
      </c>
      <c r="BK48" s="16">
        <f>IF(IF(1000=0,0,((BK41*$C$10)*Drivers!$BO$7)/1000)=0,0,BK61/IF(1000=0,0,((BK41*$C$10)*Drivers!$BO$7)/1000))</f>
        <v/>
      </c>
      <c r="BL48" s="16">
        <f>IF(IF(1000=0,0,((BL41*$C$10)*Drivers!$BP$7)/1000)=0,0,BL61/IF(1000=0,0,((BL41*$C$10)*Drivers!$BP$7)/1000))</f>
        <v/>
      </c>
      <c r="BM48" s="16">
        <f>IF(IF(1000=0,0,((BM41*$C$10)*Drivers!$BQ$7)/1000)=0,0,BM61/IF(1000=0,0,((BM41*$C$10)*Drivers!$BQ$7)/1000))</f>
        <v/>
      </c>
      <c r="BN48" s="16">
        <f>IF(IF(1000=0,0,((BN41*$C$10)*Drivers!$BR$7)/1000)=0,0,BN61/IF(1000=0,0,((BN41*$C$10)*Drivers!$BR$7)/1000))</f>
        <v/>
      </c>
      <c r="BO48" s="16">
        <f>IF(IF(1000=0,0,((BO41*$C$10)*Drivers!$BS$7)/1000)=0,0,BO61/IF(1000=0,0,((BO41*$C$10)*Drivers!$BS$7)/1000))</f>
        <v/>
      </c>
      <c r="BP48" s="16">
        <f>IF(IF(1000=0,0,((BP41*$C$10)*Drivers!$BT$7)/1000)=0,0,BP61/IF(1000=0,0,((BP41*$C$10)*Drivers!$BT$7)/1000))</f>
        <v/>
      </c>
      <c r="BQ48" s="16">
        <f>IF(IF(1000=0,0,((BQ41*$C$10)*Drivers!$BU$7)/1000)=0,0,BQ61/IF(1000=0,0,((BQ41*$C$10)*Drivers!$BU$7)/1000))</f>
        <v/>
      </c>
      <c r="BR48" s="16">
        <f>IF(IF(1000=0,0,((BR41*$C$10)*Drivers!$BV$7)/1000)=0,0,BR61/IF(1000=0,0,((BR41*$C$10)*Drivers!$BV$7)/1000))</f>
        <v/>
      </c>
      <c r="BS48" s="16">
        <f>IF(IF(1000=0,0,((BS41*$C$10)*Drivers!$BW$7)/1000)=0,0,BS61/IF(1000=0,0,((BS41*$C$10)*Drivers!$BW$7)/1000))</f>
        <v/>
      </c>
      <c r="BT48" s="16">
        <f>IF(IF(1000=0,0,((BT41*$C$10)*Drivers!$BX$7)/1000)=0,0,BT61/IF(1000=0,0,((BT41*$C$10)*Drivers!$BX$7)/1000))</f>
        <v/>
      </c>
      <c r="BU48" s="16">
        <f>IF(IF(1000=0,0,((BU41*$C$10)*Drivers!$BY$7)/1000)=0,0,BU61/IF(1000=0,0,((BU41*$C$10)*Drivers!$BY$7)/1000))</f>
        <v/>
      </c>
      <c r="BV48" s="16">
        <f>IF(IF(1000=0,0,((BV41*$C$10)*Drivers!$BZ$7)/1000)=0,0,BV61/IF(1000=0,0,((BV41*$C$10)*Drivers!$BZ$7)/1000))</f>
        <v/>
      </c>
      <c r="BW48" s="16">
        <f>IF(IF(1000=0,0,((BW41*$C$10)*Drivers!$CA$7)/1000)=0,0,BW61/IF(1000=0,0,((BW41*$C$10)*Drivers!$CA$7)/1000))</f>
        <v/>
      </c>
      <c r="BX48" s="16">
        <f>IF(IF(1000=0,0,((BX41*$C$10)*Drivers!$CB$7)/1000)=0,0,BX61/IF(1000=0,0,((BX41*$C$10)*Drivers!$CB$7)/1000))</f>
        <v/>
      </c>
      <c r="BY48" s="16">
        <f>IF(IF(1000=0,0,((BY41*$C$10)*Drivers!$CC$7)/1000)=0,0,BY61/IF(1000=0,0,((BY41*$C$10)*Drivers!$CC$7)/1000))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  <c r="AK49" s="16">
        <f>IF(IF(1000=0,0,((AK41*$C$10)*Drivers!$AO$7)/1000)=0,0,(AK53+AK52)/IF(1000=0,0,((AK41*$C$10)*Drivers!$AO$7)/1000))</f>
        <v/>
      </c>
      <c r="AL49" s="16">
        <f>IF(IF(1000=0,0,((AL41*$C$10)*Drivers!$AP$7)/1000)=0,0,(AL53+AL52)/IF(1000=0,0,((AL41*$C$10)*Drivers!$AP$7)/1000))</f>
        <v/>
      </c>
      <c r="AM49" s="16">
        <f>IF(IF(1000=0,0,((AM41*$C$10)*Drivers!$AQ$7)/1000)=0,0,(AM53+AM52)/IF(1000=0,0,((AM41*$C$10)*Drivers!$AQ$7)/1000))</f>
        <v/>
      </c>
      <c r="AN49" s="16">
        <f>IF(IF(1000=0,0,((AN41*$C$10)*Drivers!$AR$7)/1000)=0,0,(AN53+AN52)/IF(1000=0,0,((AN41*$C$10)*Drivers!$AR$7)/1000))</f>
        <v/>
      </c>
      <c r="AO49" s="16">
        <f>IF(IF(1000=0,0,((AO41*$C$10)*Drivers!$AS$7)/1000)=0,0,(AO53+AO52)/IF(1000=0,0,((AO41*$C$10)*Drivers!$AS$7)/1000))</f>
        <v/>
      </c>
      <c r="AP49" s="16">
        <f>IF(IF(1000=0,0,((AP41*$C$10)*Drivers!$AT$7)/1000)=0,0,(AP53+AP52)/IF(1000=0,0,((AP41*$C$10)*Drivers!$AT$7)/1000))</f>
        <v/>
      </c>
      <c r="AQ49" s="16">
        <f>IF(IF(1000=0,0,((AQ41*$C$10)*Drivers!$AU$7)/1000)=0,0,(AQ53+AQ52)/IF(1000=0,0,((AQ41*$C$10)*Drivers!$AU$7)/1000))</f>
        <v/>
      </c>
      <c r="AR49" s="16">
        <f>IF(IF(1000=0,0,((AR41*$C$10)*Drivers!$AV$7)/1000)=0,0,(AR53+AR52)/IF(1000=0,0,((AR41*$C$10)*Drivers!$AV$7)/1000))</f>
        <v/>
      </c>
      <c r="AS49" s="16">
        <f>IF(IF(1000=0,0,((AS41*$C$10)*Drivers!$AW$7)/1000)=0,0,(AS53+AS52)/IF(1000=0,0,((AS41*$C$10)*Drivers!$AW$7)/1000))</f>
        <v/>
      </c>
      <c r="AT49" s="16">
        <f>IF(IF(1000=0,0,((AT41*$C$10)*Drivers!$AX$7)/1000)=0,0,(AT53+AT52)/IF(1000=0,0,((AT41*$C$10)*Drivers!$AX$7)/1000))</f>
        <v/>
      </c>
      <c r="AU49" s="16">
        <f>IF(IF(1000=0,0,((AU41*$C$10)*Drivers!$AY$7)/1000)=0,0,(AU53+AU52)/IF(1000=0,0,((AU41*$C$10)*Drivers!$AY$7)/1000))</f>
        <v/>
      </c>
      <c r="AV49" s="16">
        <f>IF(IF(1000=0,0,((AV41*$C$10)*Drivers!$AZ$7)/1000)=0,0,(AV53+AV52)/IF(1000=0,0,((AV41*$C$10)*Drivers!$AZ$7)/1000))</f>
        <v/>
      </c>
      <c r="AW49" s="16">
        <f>IF(IF(1000=0,0,((AW41*$C$10)*Drivers!$BA$7)/1000)=0,0,(AW53+AW52)/IF(1000=0,0,((AW41*$C$10)*Drivers!$BA$7)/1000))</f>
        <v/>
      </c>
      <c r="AX49" s="16">
        <f>IF(IF(1000=0,0,((AX41*$C$10)*Drivers!$BB$7)/1000)=0,0,(AX53+AX52)/IF(1000=0,0,((AX41*$C$10)*Drivers!$BB$7)/1000))</f>
        <v/>
      </c>
      <c r="AY49" s="16">
        <f>IF(IF(1000=0,0,((AY41*$C$10)*Drivers!$BC$7)/1000)=0,0,(AY53+AY52)/IF(1000=0,0,((AY41*$C$10)*Drivers!$BC$7)/1000))</f>
        <v/>
      </c>
      <c r="AZ49" s="16">
        <f>IF(IF(1000=0,0,((AZ41*$C$10)*Drivers!$BD$7)/1000)=0,0,(AZ53+AZ52)/IF(1000=0,0,((AZ41*$C$10)*Drivers!$BD$7)/1000))</f>
        <v/>
      </c>
      <c r="BA49" s="16">
        <f>IF(IF(1000=0,0,((BA41*$C$10)*Drivers!$BE$7)/1000)=0,0,(BA53+BA52)/IF(1000=0,0,((BA41*$C$10)*Drivers!$BE$7)/1000))</f>
        <v/>
      </c>
      <c r="BB49" s="16">
        <f>IF(IF(1000=0,0,((BB41*$C$10)*Drivers!$BF$7)/1000)=0,0,(BB53+BB52)/IF(1000=0,0,((BB41*$C$10)*Drivers!$BF$7)/1000))</f>
        <v/>
      </c>
      <c r="BC49" s="16">
        <f>IF(IF(1000=0,0,((BC41*$C$10)*Drivers!$BG$7)/1000)=0,0,(BC53+BC52)/IF(1000=0,0,((BC41*$C$10)*Drivers!$BG$7)/1000))</f>
        <v/>
      </c>
      <c r="BD49" s="16">
        <f>IF(IF(1000=0,0,((BD41*$C$10)*Drivers!$BH$7)/1000)=0,0,(BD53+BD52)/IF(1000=0,0,((BD41*$C$10)*Drivers!$BH$7)/1000))</f>
        <v/>
      </c>
      <c r="BE49" s="16">
        <f>IF(IF(1000=0,0,((BE41*$C$10)*Drivers!$BI$7)/1000)=0,0,(BE53+BE52)/IF(1000=0,0,((BE41*$C$10)*Drivers!$BI$7)/1000))</f>
        <v/>
      </c>
      <c r="BF49" s="16">
        <f>IF(IF(1000=0,0,((BF41*$C$10)*Drivers!$BJ$7)/1000)=0,0,(BF53+BF52)/IF(1000=0,0,((BF41*$C$10)*Drivers!$BJ$7)/1000))</f>
        <v/>
      </c>
      <c r="BG49" s="16">
        <f>IF(IF(1000=0,0,((BG41*$C$10)*Drivers!$BK$7)/1000)=0,0,(BG53+BG52)/IF(1000=0,0,((BG41*$C$10)*Drivers!$BK$7)/1000))</f>
        <v/>
      </c>
      <c r="BH49" s="16">
        <f>IF(IF(1000=0,0,((BH41*$C$10)*Drivers!$BL$7)/1000)=0,0,(BH53+BH52)/IF(1000=0,0,((BH41*$C$10)*Drivers!$BL$7)/1000))</f>
        <v/>
      </c>
      <c r="BI49" s="16">
        <f>IF(IF(1000=0,0,((BI41*$C$10)*Drivers!$BM$7)/1000)=0,0,(BI53+BI52)/IF(1000=0,0,((BI41*$C$10)*Drivers!$BM$7)/1000))</f>
        <v/>
      </c>
      <c r="BJ49" s="16">
        <f>IF(IF(1000=0,0,((BJ41*$C$10)*Drivers!$BN$7)/1000)=0,0,(BJ53+BJ52)/IF(1000=0,0,((BJ41*$C$10)*Drivers!$BN$7)/1000))</f>
        <v/>
      </c>
      <c r="BK49" s="16">
        <f>IF(IF(1000=0,0,((BK41*$C$10)*Drivers!$BO$7)/1000)=0,0,(BK53+BK52)/IF(1000=0,0,((BK41*$C$10)*Drivers!$BO$7)/1000))</f>
        <v/>
      </c>
      <c r="BL49" s="16">
        <f>IF(IF(1000=0,0,((BL41*$C$10)*Drivers!$BP$7)/1000)=0,0,(BL53+BL52)/IF(1000=0,0,((BL41*$C$10)*Drivers!$BP$7)/1000))</f>
        <v/>
      </c>
      <c r="BM49" s="16">
        <f>IF(IF(1000=0,0,((BM41*$C$10)*Drivers!$BQ$7)/1000)=0,0,(BM53+BM52)/IF(1000=0,0,((BM41*$C$10)*Drivers!$BQ$7)/1000))</f>
        <v/>
      </c>
      <c r="BN49" s="16">
        <f>IF(IF(1000=0,0,((BN41*$C$10)*Drivers!$BR$7)/1000)=0,0,(BN53+BN52)/IF(1000=0,0,((BN41*$C$10)*Drivers!$BR$7)/1000))</f>
        <v/>
      </c>
      <c r="BO49" s="16">
        <f>IF(IF(1000=0,0,((BO41*$C$10)*Drivers!$BS$7)/1000)=0,0,(BO53+BO52)/IF(1000=0,0,((BO41*$C$10)*Drivers!$BS$7)/1000))</f>
        <v/>
      </c>
      <c r="BP49" s="16">
        <f>IF(IF(1000=0,0,((BP41*$C$10)*Drivers!$BT$7)/1000)=0,0,(BP53+BP52)/IF(1000=0,0,((BP41*$C$10)*Drivers!$BT$7)/1000))</f>
        <v/>
      </c>
      <c r="BQ49" s="16">
        <f>IF(IF(1000=0,0,((BQ41*$C$10)*Drivers!$BU$7)/1000)=0,0,(BQ53+BQ52)/IF(1000=0,0,((BQ41*$C$10)*Drivers!$BU$7)/1000))</f>
        <v/>
      </c>
      <c r="BR49" s="16">
        <f>IF(IF(1000=0,0,((BR41*$C$10)*Drivers!$BV$7)/1000)=0,0,(BR53+BR52)/IF(1000=0,0,((BR41*$C$10)*Drivers!$BV$7)/1000))</f>
        <v/>
      </c>
      <c r="BS49" s="16">
        <f>IF(IF(1000=0,0,((BS41*$C$10)*Drivers!$BW$7)/1000)=0,0,(BS53+BS52)/IF(1000=0,0,((BS41*$C$10)*Drivers!$BW$7)/1000))</f>
        <v/>
      </c>
      <c r="BT49" s="16">
        <f>IF(IF(1000=0,0,((BT41*$C$10)*Drivers!$BX$7)/1000)=0,0,(BT53+BT52)/IF(1000=0,0,((BT41*$C$10)*Drivers!$BX$7)/1000))</f>
        <v/>
      </c>
      <c r="BU49" s="16">
        <f>IF(IF(1000=0,0,((BU41*$C$10)*Drivers!$BY$7)/1000)=0,0,(BU53+BU52)/IF(1000=0,0,((BU41*$C$10)*Drivers!$BY$7)/1000))</f>
        <v/>
      </c>
      <c r="BV49" s="16">
        <f>IF(IF(1000=0,0,((BV41*$C$10)*Drivers!$BZ$7)/1000)=0,0,(BV53+BV52)/IF(1000=0,0,((BV41*$C$10)*Drivers!$BZ$7)/1000))</f>
        <v/>
      </c>
      <c r="BW49" s="16">
        <f>IF(IF(1000=0,0,((BW41*$C$10)*Drivers!$CA$7)/1000)=0,0,(BW53+BW52)/IF(1000=0,0,((BW41*$C$10)*Drivers!$CA$7)/1000))</f>
        <v/>
      </c>
      <c r="BX49" s="16">
        <f>IF(IF(1000=0,0,((BX41*$C$10)*Drivers!$CB$7)/1000)=0,0,(BX53+BX52)/IF(1000=0,0,((BX41*$C$10)*Drivers!$CB$7)/1000))</f>
        <v/>
      </c>
      <c r="BY49" s="16">
        <f>IF(IF(1000=0,0,((BY41*$C$10)*Drivers!$CC$7)/1000)=0,0,(BY53+BY52)/IF(1000=0,0,((BY41*$C$10)*Drivers!$CC$7)/1000))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  <c r="AK50" s="31">
        <f>IF(1000=0,0,(((AK41*AK43)*$C$10)*Drivers!$AO$7)/1000)</f>
        <v/>
      </c>
      <c r="AL50" s="31">
        <f>IF(1000=0,0,(((AL41*AL43)*$C$10)*Drivers!$AP$7)/1000)</f>
        <v/>
      </c>
      <c r="AM50" s="31">
        <f>IF(1000=0,0,(((AM41*AM43)*$C$10)*Drivers!$AQ$7)/1000)</f>
        <v/>
      </c>
      <c r="AN50" s="31">
        <f>IF(1000=0,0,(((AN41*AN43)*$C$10)*Drivers!$AR$7)/1000)</f>
        <v/>
      </c>
      <c r="AO50" s="31">
        <f>IF(1000=0,0,(((AO41*AO43)*$C$10)*Drivers!$AS$7)/1000)</f>
        <v/>
      </c>
      <c r="AP50" s="31">
        <f>IF(1000=0,0,(((AP41*AP43)*$C$10)*Drivers!$AT$7)/1000)</f>
        <v/>
      </c>
      <c r="AQ50" s="31">
        <f>IF(1000=0,0,(((AQ41*AQ43)*$C$10)*Drivers!$AU$7)/1000)</f>
        <v/>
      </c>
      <c r="AR50" s="31">
        <f>IF(1000=0,0,(((AR41*AR43)*$C$10)*Drivers!$AV$7)/1000)</f>
        <v/>
      </c>
      <c r="AS50" s="31">
        <f>IF(1000=0,0,(((AS41*AS43)*$C$10)*Drivers!$AW$7)/1000)</f>
        <v/>
      </c>
      <c r="AT50" s="31">
        <f>IF(1000=0,0,(((AT41*AT43)*$C$10)*Drivers!$AX$7)/1000)</f>
        <v/>
      </c>
      <c r="AU50" s="31">
        <f>IF(1000=0,0,(((AU41*AU43)*$C$10)*Drivers!$AY$7)/1000)</f>
        <v/>
      </c>
      <c r="AV50" s="31">
        <f>IF(1000=0,0,(((AV41*AV43)*$C$10)*Drivers!$AZ$7)/1000)</f>
        <v/>
      </c>
      <c r="AW50" s="31">
        <f>IF(1000=0,0,(((AW41*AW43)*$C$10)*Drivers!$BA$7)/1000)</f>
        <v/>
      </c>
      <c r="AX50" s="31">
        <f>IF(1000=0,0,(((AX41*AX43)*$C$10)*Drivers!$BB$7)/1000)</f>
        <v/>
      </c>
      <c r="AY50" s="31">
        <f>IF(1000=0,0,(((AY41*AY43)*$C$10)*Drivers!$BC$7)/1000)</f>
        <v/>
      </c>
      <c r="AZ50" s="31">
        <f>IF(1000=0,0,(((AZ41*AZ43)*$C$10)*Drivers!$BD$7)/1000)</f>
        <v/>
      </c>
      <c r="BA50" s="31">
        <f>IF(1000=0,0,(((BA41*BA43)*$C$10)*Drivers!$BE$7)/1000)</f>
        <v/>
      </c>
      <c r="BB50" s="31">
        <f>IF(1000=0,0,(((BB41*BB43)*$C$10)*Drivers!$BF$7)/1000)</f>
        <v/>
      </c>
      <c r="BC50" s="31">
        <f>IF(1000=0,0,(((BC41*BC43)*$C$10)*Drivers!$BG$7)/1000)</f>
        <v/>
      </c>
      <c r="BD50" s="31">
        <f>IF(1000=0,0,(((BD41*BD43)*$C$10)*Drivers!$BH$7)/1000)</f>
        <v/>
      </c>
      <c r="BE50" s="31">
        <f>IF(1000=0,0,(((BE41*BE43)*$C$10)*Drivers!$BI$7)/1000)</f>
        <v/>
      </c>
      <c r="BF50" s="31">
        <f>IF(1000=0,0,(((BF41*BF43)*$C$10)*Drivers!$BJ$7)/1000)</f>
        <v/>
      </c>
      <c r="BG50" s="31">
        <f>IF(1000=0,0,(((BG41*BG43)*$C$10)*Drivers!$BK$7)/1000)</f>
        <v/>
      </c>
      <c r="BH50" s="31">
        <f>IF(1000=0,0,(((BH41*BH43)*$C$10)*Drivers!$BL$7)/1000)</f>
        <v/>
      </c>
      <c r="BI50" s="31">
        <f>IF(1000=0,0,(((BI41*BI43)*$C$10)*Drivers!$BM$7)/1000)</f>
        <v/>
      </c>
      <c r="BJ50" s="31">
        <f>IF(1000=0,0,(((BJ41*BJ43)*$C$10)*Drivers!$BN$7)/1000)</f>
        <v/>
      </c>
      <c r="BK50" s="31">
        <f>IF(1000=0,0,(((BK41*BK43)*$C$10)*Drivers!$BO$7)/1000)</f>
        <v/>
      </c>
      <c r="BL50" s="31">
        <f>IF(1000=0,0,(((BL41*BL43)*$C$10)*Drivers!$BP$7)/1000)</f>
        <v/>
      </c>
      <c r="BM50" s="31">
        <f>IF(1000=0,0,(((BM41*BM43)*$C$10)*Drivers!$BQ$7)/1000)</f>
        <v/>
      </c>
      <c r="BN50" s="31">
        <f>IF(1000=0,0,(((BN41*BN43)*$C$10)*Drivers!$BR$7)/1000)</f>
        <v/>
      </c>
      <c r="BO50" s="31">
        <f>IF(1000=0,0,(((BO41*BO43)*$C$10)*Drivers!$BS$7)/1000)</f>
        <v/>
      </c>
      <c r="BP50" s="31">
        <f>IF(1000=0,0,(((BP41*BP43)*$C$10)*Drivers!$BT$7)/1000)</f>
        <v/>
      </c>
      <c r="BQ50" s="31">
        <f>IF(1000=0,0,(((BQ41*BQ43)*$C$10)*Drivers!$BU$7)/1000)</f>
        <v/>
      </c>
      <c r="BR50" s="31">
        <f>IF(1000=0,0,(((BR41*BR43)*$C$10)*Drivers!$BV$7)/1000)</f>
        <v/>
      </c>
      <c r="BS50" s="31">
        <f>IF(1000=0,0,(((BS41*BS43)*$C$10)*Drivers!$BW$7)/1000)</f>
        <v/>
      </c>
      <c r="BT50" s="31">
        <f>IF(1000=0,0,(((BT41*BT43)*$C$10)*Drivers!$BX$7)/1000)</f>
        <v/>
      </c>
      <c r="BU50" s="31">
        <f>IF(1000=0,0,(((BU41*BU43)*$C$10)*Drivers!$BY$7)/1000)</f>
        <v/>
      </c>
      <c r="BV50" s="31">
        <f>IF(1000=0,0,(((BV41*BV43)*$C$10)*Drivers!$BZ$7)/1000)</f>
        <v/>
      </c>
      <c r="BW50" s="31">
        <f>IF(1000=0,0,(((BW41*BW43)*$C$10)*Drivers!$CA$7)/1000)</f>
        <v/>
      </c>
      <c r="BX50" s="31">
        <f>IF(1000=0,0,(((BX41*BX43)*$C$10)*Drivers!$CB$7)/1000)</f>
        <v/>
      </c>
      <c r="BY50" s="31">
        <f>IF(1000=0,0,(((BY41*BY43)*$C$10)*Drivers!$CC$7)/1000)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  <c r="BP51" s="15">
        <f>BP22</f>
        <v/>
      </c>
      <c r="BQ51" s="15">
        <f>BQ22</f>
        <v/>
      </c>
      <c r="BR51" s="15">
        <f>BR22</f>
        <v/>
      </c>
      <c r="BS51" s="15">
        <f>BS22</f>
        <v/>
      </c>
      <c r="BT51" s="15">
        <f>BT22</f>
        <v/>
      </c>
      <c r="BU51" s="15">
        <f>BU22</f>
        <v/>
      </c>
      <c r="BV51" s="15">
        <f>BV22</f>
        <v/>
      </c>
      <c r="BW51" s="15">
        <f>BW22</f>
        <v/>
      </c>
      <c r="BX51" s="15">
        <f>BX22</f>
        <v/>
      </c>
      <c r="BY51" s="15">
        <f>BY22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  <c r="BP52" s="15">
        <f>(BP50*BP47)</f>
        <v/>
      </c>
      <c r="BQ52" s="15">
        <f>(BQ50*BQ47)</f>
        <v/>
      </c>
      <c r="BR52" s="15">
        <f>(BR50*BR47)</f>
        <v/>
      </c>
      <c r="BS52" s="15">
        <f>(BS50*BS47)</f>
        <v/>
      </c>
      <c r="BT52" s="15">
        <f>(BT50*BT47)</f>
        <v/>
      </c>
      <c r="BU52" s="15">
        <f>(BU50*BU47)</f>
        <v/>
      </c>
      <c r="BV52" s="15">
        <f>(BV50*BV47)</f>
        <v/>
      </c>
      <c r="BW52" s="15">
        <f>(BW50*BW47)</f>
        <v/>
      </c>
      <c r="BX52" s="15">
        <f>(BX50*BX47)</f>
        <v/>
      </c>
      <c r="BY52" s="15">
        <f>(BY50*BY47)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  <c r="BP53" s="15">
        <f>IF(1000=0,0,((BP41*BP45)*$C$10)/1000)</f>
        <v/>
      </c>
      <c r="BQ53" s="15">
        <f>IF(1000=0,0,((BQ41*BQ45)*$C$10)/1000)</f>
        <v/>
      </c>
      <c r="BR53" s="15">
        <f>IF(1000=0,0,((BR41*BR45)*$C$10)/1000)</f>
        <v/>
      </c>
      <c r="BS53" s="15">
        <f>IF(1000=0,0,((BS41*BS45)*$C$10)/1000)</f>
        <v/>
      </c>
      <c r="BT53" s="15">
        <f>IF(1000=0,0,((BT41*BT45)*$C$10)/1000)</f>
        <v/>
      </c>
      <c r="BU53" s="15">
        <f>IF(1000=0,0,((BU41*BU45)*$C$10)/1000)</f>
        <v/>
      </c>
      <c r="BV53" s="15">
        <f>IF(1000=0,0,((BV41*BV45)*$C$10)/1000)</f>
        <v/>
      </c>
      <c r="BW53" s="15">
        <f>IF(1000=0,0,((BW41*BW45)*$C$10)/1000)</f>
        <v/>
      </c>
      <c r="BX53" s="15">
        <f>IF(1000=0,0,((BX41*BX45)*$C$10)/1000)</f>
        <v/>
      </c>
      <c r="BY53" s="15">
        <f>IF(1000=0,0,((BY41*BY45)*$C$10)/1000)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  <c r="BP54" s="15">
        <f>(BP51*(1-$C$23))</f>
        <v/>
      </c>
      <c r="BQ54" s="15">
        <f>(BQ51*(1-$C$23))</f>
        <v/>
      </c>
      <c r="BR54" s="15">
        <f>(BR51*(1-$C$23))</f>
        <v/>
      </c>
      <c r="BS54" s="15">
        <f>(BS51*(1-$C$23))</f>
        <v/>
      </c>
      <c r="BT54" s="15">
        <f>(BT51*(1-$C$23))</f>
        <v/>
      </c>
      <c r="BU54" s="15">
        <f>(BU51*(1-$C$23))</f>
        <v/>
      </c>
      <c r="BV54" s="15">
        <f>(BV51*(1-$C$23))</f>
        <v/>
      </c>
      <c r="BW54" s="15">
        <f>(BW51*(1-$C$23))</f>
        <v/>
      </c>
      <c r="BX54" s="15">
        <f>(BX51*(1-$C$23))</f>
        <v/>
      </c>
      <c r="BY54" s="15">
        <f>(BY51*(1-$C$23))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  <c r="BP55" s="15">
        <f>(BP50+BP51)</f>
        <v/>
      </c>
      <c r="BQ55" s="15">
        <f>(BQ50+BQ51)</f>
        <v/>
      </c>
      <c r="BR55" s="15">
        <f>(BR50+BR51)</f>
        <v/>
      </c>
      <c r="BS55" s="15">
        <f>(BS50+BS51)</f>
        <v/>
      </c>
      <c r="BT55" s="15">
        <f>(BT50+BT51)</f>
        <v/>
      </c>
      <c r="BU55" s="15">
        <f>(BU50+BU51)</f>
        <v/>
      </c>
      <c r="BV55" s="15">
        <f>(BV50+BV51)</f>
        <v/>
      </c>
      <c r="BW55" s="15">
        <f>(BW50+BW51)</f>
        <v/>
      </c>
      <c r="BX55" s="15">
        <f>(BX50+BX51)</f>
        <v/>
      </c>
      <c r="BY55" s="15">
        <f>(BY50+BY51)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  <c r="BP56" s="15">
        <f>(((BP53+BP52)+BP54)+BP60)</f>
        <v/>
      </c>
      <c r="BQ56" s="15">
        <f>(((BQ53+BQ52)+BQ54)+BQ60)</f>
        <v/>
      </c>
      <c r="BR56" s="15">
        <f>(((BR53+BR52)+BR54)+BR60)</f>
        <v/>
      </c>
      <c r="BS56" s="15">
        <f>(((BS53+BS52)+BS54)+BS60)</f>
        <v/>
      </c>
      <c r="BT56" s="15">
        <f>(((BT53+BT52)+BT54)+BT60)</f>
        <v/>
      </c>
      <c r="BU56" s="15">
        <f>(((BU53+BU52)+BU54)+BU60)</f>
        <v/>
      </c>
      <c r="BV56" s="15">
        <f>(((BV53+BV52)+BV54)+BV60)</f>
        <v/>
      </c>
      <c r="BW56" s="15">
        <f>(((BW53+BW52)+BW54)+BW60)</f>
        <v/>
      </c>
      <c r="BX56" s="15">
        <f>(((BX53+BX52)+BX54)+BX60)</f>
        <v/>
      </c>
      <c r="BY56" s="15">
        <f>(((BY53+BY52)+BY54)+BY60)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  <c r="BP57" s="15">
        <f>(BP55-BP56)</f>
        <v/>
      </c>
      <c r="BQ57" s="15">
        <f>(BQ55-BQ56)</f>
        <v/>
      </c>
      <c r="BR57" s="15">
        <f>(BR55-BR56)</f>
        <v/>
      </c>
      <c r="BS57" s="15">
        <f>(BS55-BS56)</f>
        <v/>
      </c>
      <c r="BT57" s="15">
        <f>(BT55-BT56)</f>
        <v/>
      </c>
      <c r="BU57" s="15">
        <f>(BU55-BU56)</f>
        <v/>
      </c>
      <c r="BV57" s="15">
        <f>(BV55-BV56)</f>
        <v/>
      </c>
      <c r="BW57" s="15">
        <f>(BW55-BW56)</f>
        <v/>
      </c>
      <c r="BX57" s="15">
        <f>(BX55-BX56)</f>
        <v/>
      </c>
      <c r="BY57" s="15">
        <f>(BY55-BY56)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  <c r="BP58" s="15">
        <f>(BP55*BP37)</f>
        <v/>
      </c>
      <c r="BQ58" s="15">
        <f>(BQ55*BQ37)</f>
        <v/>
      </c>
      <c r="BR58" s="15">
        <f>(BR55*BR37)</f>
        <v/>
      </c>
      <c r="BS58" s="15">
        <f>(BS55*BS37)</f>
        <v/>
      </c>
      <c r="BT58" s="15">
        <f>(BT55*BT37)</f>
        <v/>
      </c>
      <c r="BU58" s="15">
        <f>(BU55*BU37)</f>
        <v/>
      </c>
      <c r="BV58" s="15">
        <f>(BV55*BV37)</f>
        <v/>
      </c>
      <c r="BW58" s="15">
        <f>(BW55*BW37)</f>
        <v/>
      </c>
      <c r="BX58" s="15">
        <f>(BX55*BX37)</f>
        <v/>
      </c>
      <c r="BY58" s="15">
        <f>(BY55*BY37)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  <c r="BP59" s="15">
        <f>(BP57-BP58)</f>
        <v/>
      </c>
      <c r="BQ59" s="15">
        <f>(BQ57-BQ58)</f>
        <v/>
      </c>
      <c r="BR59" s="15">
        <f>(BR57-BR58)</f>
        <v/>
      </c>
      <c r="BS59" s="15">
        <f>(BS57-BS58)</f>
        <v/>
      </c>
      <c r="BT59" s="15">
        <f>(BT57-BT58)</f>
        <v/>
      </c>
      <c r="BU59" s="15">
        <f>(BU57-BU58)</f>
        <v/>
      </c>
      <c r="BV59" s="15">
        <f>(BV57-BV58)</f>
        <v/>
      </c>
      <c r="BW59" s="15">
        <f>(BW57-BW58)</f>
        <v/>
      </c>
      <c r="BX59" s="15">
        <f>(BX57-BX58)</f>
        <v/>
      </c>
      <c r="BY59" s="15">
        <f>(BY57-BY58)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  <c r="BP60" s="15">
        <f>IF(1000=0,0,((BP41*BP24)*$C$10)/1000)</f>
        <v/>
      </c>
      <c r="BQ60" s="15">
        <f>IF(1000=0,0,((BQ41*BQ24)*$C$10)/1000)</f>
        <v/>
      </c>
      <c r="BR60" s="15">
        <f>IF(1000=0,0,((BR41*BR24)*$C$10)/1000)</f>
        <v/>
      </c>
      <c r="BS60" s="15">
        <f>IF(1000=0,0,((BS41*BS24)*$C$10)/1000)</f>
        <v/>
      </c>
      <c r="BT60" s="15">
        <f>IF(1000=0,0,((BT41*BT24)*$C$10)/1000)</f>
        <v/>
      </c>
      <c r="BU60" s="15">
        <f>IF(1000=0,0,((BU41*BU24)*$C$10)/1000)</f>
        <v/>
      </c>
      <c r="BV60" s="15">
        <f>IF(1000=0,0,((BV41*BV24)*$C$10)/1000)</f>
        <v/>
      </c>
      <c r="BW60" s="15">
        <f>IF(1000=0,0,((BW41*BW24)*$C$10)/1000)</f>
        <v/>
      </c>
      <c r="BX60" s="15">
        <f>IF(1000=0,0,((BX41*BX24)*$C$10)/1000)</f>
        <v/>
      </c>
      <c r="BY60" s="15">
        <f>IF(1000=0,0,((BY41*BY24)*$C$10)/1000)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  <c r="BP61" s="15">
        <f>(BP59+BP60)</f>
        <v/>
      </c>
      <c r="BQ61" s="15">
        <f>(BQ59+BQ60)</f>
        <v/>
      </c>
      <c r="BR61" s="15">
        <f>(BR59+BR60)</f>
        <v/>
      </c>
      <c r="BS61" s="15">
        <f>(BS59+BS60)</f>
        <v/>
      </c>
      <c r="BT61" s="15">
        <f>(BT59+BT60)</f>
        <v/>
      </c>
      <c r="BU61" s="15">
        <f>(BU59+BU60)</f>
        <v/>
      </c>
      <c r="BV61" s="15">
        <f>(BV59+BV60)</f>
        <v/>
      </c>
      <c r="BW61" s="15">
        <f>(BW59+BW60)</f>
        <v/>
      </c>
      <c r="BX61" s="15">
        <f>(BX59+BX60)</f>
        <v/>
      </c>
      <c r="BY61" s="15">
        <f>(BY59+BY60)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  <c r="BP62" s="15">
        <f>(BO82*$C$29)</f>
        <v/>
      </c>
      <c r="BQ62" s="15">
        <f>(BP82*$C$29)</f>
        <v/>
      </c>
      <c r="BR62" s="15">
        <f>(BQ82*$C$29)</f>
        <v/>
      </c>
      <c r="BS62" s="15">
        <f>(BR82*$C$29)</f>
        <v/>
      </c>
      <c r="BT62" s="15">
        <f>(BS82*$C$29)</f>
        <v/>
      </c>
      <c r="BU62" s="15">
        <f>(BT82*$C$29)</f>
        <v/>
      </c>
      <c r="BV62" s="15">
        <f>(BU82*$C$29)</f>
        <v/>
      </c>
      <c r="BW62" s="15">
        <f>(BV82*$C$29)</f>
        <v/>
      </c>
      <c r="BX62" s="15">
        <f>(BW82*$C$29)</f>
        <v/>
      </c>
      <c r="BY62" s="15">
        <f>(BX82*$C$29)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  <c r="BP63" s="15">
        <f>(BO81*$C$30)</f>
        <v/>
      </c>
      <c r="BQ63" s="15">
        <f>(BP81*$C$30)</f>
        <v/>
      </c>
      <c r="BR63" s="15">
        <f>(BQ81*$C$30)</f>
        <v/>
      </c>
      <c r="BS63" s="15">
        <f>(BR81*$C$30)</f>
        <v/>
      </c>
      <c r="BT63" s="15">
        <f>(BS81*$C$30)</f>
        <v/>
      </c>
      <c r="BU63" s="15">
        <f>(BT81*$C$30)</f>
        <v/>
      </c>
      <c r="BV63" s="15">
        <f>(BU81*$C$30)</f>
        <v/>
      </c>
      <c r="BW63" s="15">
        <f>(BV81*$C$30)</f>
        <v/>
      </c>
      <c r="BX63" s="15">
        <f>(BW81*$C$30)</f>
        <v/>
      </c>
      <c r="BY63" s="15">
        <f>(BX81*$C$30)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  <c r="BP64" s="15">
        <f>BP32</f>
        <v/>
      </c>
      <c r="BQ64" s="15">
        <f>BQ32</f>
        <v/>
      </c>
      <c r="BR64" s="15">
        <f>BR32</f>
        <v/>
      </c>
      <c r="BS64" s="15">
        <f>BS32</f>
        <v/>
      </c>
      <c r="BT64" s="15">
        <f>BT32</f>
        <v/>
      </c>
      <c r="BU64" s="15">
        <f>BU32</f>
        <v/>
      </c>
      <c r="BV64" s="15">
        <f>BV32</f>
        <v/>
      </c>
      <c r="BW64" s="15">
        <f>BW32</f>
        <v/>
      </c>
      <c r="BX64" s="15">
        <f>BX32</f>
        <v/>
      </c>
      <c r="BY64" s="15">
        <f>BY32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  <c r="BP65" s="15">
        <f>(((BP59-BP62)+BP63)+BP64)</f>
        <v/>
      </c>
      <c r="BQ65" s="15">
        <f>(((BQ59-BQ62)+BQ63)+BQ64)</f>
        <v/>
      </c>
      <c r="BR65" s="15">
        <f>(((BR59-BR62)+BR63)+BR64)</f>
        <v/>
      </c>
      <c r="BS65" s="15">
        <f>(((BS59-BS62)+BS63)+BS64)</f>
        <v/>
      </c>
      <c r="BT65" s="15">
        <f>(((BT59-BT62)+BT63)+BT64)</f>
        <v/>
      </c>
      <c r="BU65" s="15">
        <f>(((BU59-BU62)+BU63)+BU64)</f>
        <v/>
      </c>
      <c r="BV65" s="15">
        <f>(((BV59-BV62)+BV63)+BV64)</f>
        <v/>
      </c>
      <c r="BW65" s="15">
        <f>(((BW59-BW62)+BW63)+BW64)</f>
        <v/>
      </c>
      <c r="BX65" s="15">
        <f>(((BX59-BX62)+BX63)+BX64)</f>
        <v/>
      </c>
      <c r="BY65" s="15">
        <f>(((BY59-BY62)+BY63)+BY64)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  <c r="BP66" s="15">
        <f>(MAX(BP65,0)*BP28)</f>
        <v/>
      </c>
      <c r="BQ66" s="15">
        <f>(MAX(BQ65,0)*BQ28)</f>
        <v/>
      </c>
      <c r="BR66" s="15">
        <f>(MAX(BR65,0)*BR28)</f>
        <v/>
      </c>
      <c r="BS66" s="15">
        <f>(MAX(BS65,0)*BS28)</f>
        <v/>
      </c>
      <c r="BT66" s="15">
        <f>(MAX(BT65,0)*BT28)</f>
        <v/>
      </c>
      <c r="BU66" s="15">
        <f>(MAX(BU65,0)*BU28)</f>
        <v/>
      </c>
      <c r="BV66" s="15">
        <f>(MAX(BV65,0)*BV28)</f>
        <v/>
      </c>
      <c r="BW66" s="15">
        <f>(MAX(BW65,0)*BW28)</f>
        <v/>
      </c>
      <c r="BX66" s="15">
        <f>(MAX(BX65,0)*BX28)</f>
        <v/>
      </c>
      <c r="BY66" s="15">
        <f>(MAX(BY65,0)*BY28)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  <c r="BP67" s="15">
        <f>(BP65-BP66)</f>
        <v/>
      </c>
      <c r="BQ67" s="15">
        <f>(BQ65-BQ66)</f>
        <v/>
      </c>
      <c r="BR67" s="15">
        <f>(BR65-BR66)</f>
        <v/>
      </c>
      <c r="BS67" s="15">
        <f>(BS65-BS66)</f>
        <v/>
      </c>
      <c r="BT67" s="15">
        <f>(BT65-BT66)</f>
        <v/>
      </c>
      <c r="BU67" s="15">
        <f>(BU65-BU66)</f>
        <v/>
      </c>
      <c r="BV67" s="15">
        <f>(BV65-BV66)</f>
        <v/>
      </c>
      <c r="BW67" s="15">
        <f>(BW65-BW66)</f>
        <v/>
      </c>
      <c r="BX67" s="15">
        <f>(BX65-BX66)</f>
        <v/>
      </c>
      <c r="BY67" s="15">
        <f>(BY65-BY66)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  <c r="BP68" s="15">
        <f>(BP67*BP33)</f>
        <v/>
      </c>
      <c r="BQ68" s="15">
        <f>(BQ67*BQ33)</f>
        <v/>
      </c>
      <c r="BR68" s="15">
        <f>(BR67*BR33)</f>
        <v/>
      </c>
      <c r="BS68" s="15">
        <f>(BS67*BS33)</f>
        <v/>
      </c>
      <c r="BT68" s="15">
        <f>(BT67*BT33)</f>
        <v/>
      </c>
      <c r="BU68" s="15">
        <f>(BU67*BU33)</f>
        <v/>
      </c>
      <c r="BV68" s="15">
        <f>(BV67*BV33)</f>
        <v/>
      </c>
      <c r="BW68" s="15">
        <f>(BW67*BW33)</f>
        <v/>
      </c>
      <c r="BX68" s="15">
        <f>(BX67*BX33)</f>
        <v/>
      </c>
      <c r="BY68" s="15">
        <f>(BY67*BY33)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  <c r="BP69" s="15">
        <f>(BP67-BP68)</f>
        <v/>
      </c>
      <c r="BQ69" s="15">
        <f>(BQ67-BQ68)</f>
        <v/>
      </c>
      <c r="BR69" s="15">
        <f>(BR67-BR68)</f>
        <v/>
      </c>
      <c r="BS69" s="15">
        <f>(BS67-BS68)</f>
        <v/>
      </c>
      <c r="BT69" s="15">
        <f>(BT67-BT68)</f>
        <v/>
      </c>
      <c r="BU69" s="15">
        <f>(BU67-BU68)</f>
        <v/>
      </c>
      <c r="BV69" s="15">
        <f>(BV67-BV68)</f>
        <v/>
      </c>
      <c r="BW69" s="15">
        <f>(BW67-BW68)</f>
        <v/>
      </c>
      <c r="BX69" s="15">
        <f>(BX67-BX68)</f>
        <v/>
      </c>
      <c r="BY69" s="15">
        <f>(BY67-BY68)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  <c r="BP70" s="15">
        <f>(BO70*(1+BP35))</f>
        <v/>
      </c>
      <c r="BQ70" s="15">
        <f>(BP70*(1+BQ35))</f>
        <v/>
      </c>
      <c r="BR70" s="15">
        <f>(BQ70*(1+BR35))</f>
        <v/>
      </c>
      <c r="BS70" s="15">
        <f>(BR70*(1+BS35))</f>
        <v/>
      </c>
      <c r="BT70" s="15">
        <f>(BS70*(1+BT35))</f>
        <v/>
      </c>
      <c r="BU70" s="15">
        <f>(BT70*(1+BU35))</f>
        <v/>
      </c>
      <c r="BV70" s="15">
        <f>(BU70*(1+BV35))</f>
        <v/>
      </c>
      <c r="BW70" s="15">
        <f>(BV70*(1+BW35))</f>
        <v/>
      </c>
      <c r="BX70" s="15">
        <f>(BW70*(1+BX35))</f>
        <v/>
      </c>
      <c r="BY70" s="15">
        <f>(BX70*(1+BY35))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  <c r="BP71" s="21">
        <f>(IF(BP70=0,0,BP69/BP70)*$C$8)</f>
        <v/>
      </c>
      <c r="BQ71" s="21">
        <f>(IF(BQ70=0,0,BQ69/BQ70)*$C$8)</f>
        <v/>
      </c>
      <c r="BR71" s="21">
        <f>(IF(BR70=0,0,BR69/BR70)*$C$8)</f>
        <v/>
      </c>
      <c r="BS71" s="21">
        <f>(IF(BS70=0,0,BS69/BS70)*$C$8)</f>
        <v/>
      </c>
      <c r="BT71" s="21">
        <f>(IF(BT70=0,0,BT69/BT70)*$C$8)</f>
        <v/>
      </c>
      <c r="BU71" s="21">
        <f>(IF(BU70=0,0,BU69/BU70)*$C$8)</f>
        <v/>
      </c>
      <c r="BV71" s="21">
        <f>(IF(BV70=0,0,BV69/BV70)*$C$8)</f>
        <v/>
      </c>
      <c r="BW71" s="21">
        <f>(IF(BW70=0,0,BW69/BW70)*$C$8)</f>
        <v/>
      </c>
      <c r="BX71" s="21">
        <f>(IF(BX70=0,0,BX69/BX70)*$C$8)</f>
        <v/>
      </c>
      <c r="BY71" s="21">
        <f>(IF(BY70=0,0,BY69/BY70)*$C$8)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  <c r="BP72" s="21">
        <f>(MAX(BP71,0)*BP34)</f>
        <v/>
      </c>
      <c r="BQ72" s="21">
        <f>(MAX(BQ71,0)*BQ34)</f>
        <v/>
      </c>
      <c r="BR72" s="21">
        <f>(MAX(BR71,0)*BR34)</f>
        <v/>
      </c>
      <c r="BS72" s="21">
        <f>(MAX(BS71,0)*BS34)</f>
        <v/>
      </c>
      <c r="BT72" s="21">
        <f>(MAX(BT71,0)*BT34)</f>
        <v/>
      </c>
      <c r="BU72" s="21">
        <f>(MAX(BU71,0)*BU34)</f>
        <v/>
      </c>
      <c r="BV72" s="21">
        <f>(MAX(BV71,0)*BV34)</f>
        <v/>
      </c>
      <c r="BW72" s="21">
        <f>(MAX(BW71,0)*BW34)</f>
        <v/>
      </c>
      <c r="BX72" s="21">
        <f>(MAX(BX71,0)*BX34)</f>
        <v/>
      </c>
      <c r="BY72" s="21">
        <f>(MAX(BY71,0)*BY34)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  <c r="BP73" s="15">
        <f>IF($C$8=0,0,(BO72*BO70)/$C$8)</f>
        <v/>
      </c>
      <c r="BQ73" s="15">
        <f>IF($C$8=0,0,(BP72*BP70)/$C$8)</f>
        <v/>
      </c>
      <c r="BR73" s="15">
        <f>IF($C$8=0,0,(BQ72*BQ70)/$C$8)</f>
        <v/>
      </c>
      <c r="BS73" s="15">
        <f>IF($C$8=0,0,(BR72*BR70)/$C$8)</f>
        <v/>
      </c>
      <c r="BT73" s="15">
        <f>IF($C$8=0,0,(BS72*BS70)/$C$8)</f>
        <v/>
      </c>
      <c r="BU73" s="15">
        <f>IF($C$8=0,0,(BT72*BT70)/$C$8)</f>
        <v/>
      </c>
      <c r="BV73" s="15">
        <f>IF($C$8=0,0,(BU72*BU70)/$C$8)</f>
        <v/>
      </c>
      <c r="BW73" s="15">
        <f>IF($C$8=0,0,(BV72*BV70)/$C$8)</f>
        <v/>
      </c>
      <c r="BX73" s="15">
        <f>IF($C$8=0,0,(BW72*BW70)/$C$8)</f>
        <v/>
      </c>
      <c r="BY73" s="15">
        <f>IF($C$8=0,0,(BX72*BX70)/$C$8)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  <c r="BP74" s="15">
        <f>(IF(1000=0,0,((BP41*BP25)*$C$10)/1000)+BP26)</f>
        <v/>
      </c>
      <c r="BQ74" s="15">
        <f>(IF(1000=0,0,((BQ41*BQ25)*$C$10)/1000)+BQ26)</f>
        <v/>
      </c>
      <c r="BR74" s="15">
        <f>(IF(1000=0,0,((BR41*BR25)*$C$10)/1000)+BR26)</f>
        <v/>
      </c>
      <c r="BS74" s="15">
        <f>(IF(1000=0,0,((BS41*BS25)*$C$10)/1000)+BS26)</f>
        <v/>
      </c>
      <c r="BT74" s="15">
        <f>(IF(1000=0,0,((BT41*BT25)*$C$10)/1000)+BT26)</f>
        <v/>
      </c>
      <c r="BU74" s="15">
        <f>(IF(1000=0,0,((BU41*BU25)*$C$10)/1000)+BU26)</f>
        <v/>
      </c>
      <c r="BV74" s="15">
        <f>(IF(1000=0,0,((BV41*BV25)*$C$10)/1000)+BV26)</f>
        <v/>
      </c>
      <c r="BW74" s="15">
        <f>(IF(1000=0,0,((BW41*BW25)*$C$10)/1000)+BW26)</f>
        <v/>
      </c>
      <c r="BX74" s="15">
        <f>(IF(1000=0,0,((BX41*BX25)*$C$10)/1000)+BX26)</f>
        <v/>
      </c>
      <c r="BY74" s="15">
        <f>(IF(1000=0,0,((BY41*BY25)*$C$10)/1000)+BY26)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  <c r="BP75" s="15">
        <f>(BP80-BO80)</f>
        <v/>
      </c>
      <c r="BQ75" s="15">
        <f>(BQ80-BP80)</f>
        <v/>
      </c>
      <c r="BR75" s="15">
        <f>(BR80-BQ80)</f>
        <v/>
      </c>
      <c r="BS75" s="15">
        <f>(BS80-BR80)</f>
        <v/>
      </c>
      <c r="BT75" s="15">
        <f>(BT80-BS80)</f>
        <v/>
      </c>
      <c r="BU75" s="15">
        <f>(BU80-BT80)</f>
        <v/>
      </c>
      <c r="BV75" s="15">
        <f>(BV80-BU80)</f>
        <v/>
      </c>
      <c r="BW75" s="15">
        <f>(BW80-BV80)</f>
        <v/>
      </c>
      <c r="BX75" s="15">
        <f>(BX80-BW80)</f>
        <v/>
      </c>
      <c r="BY75" s="15">
        <f>(BY80-BX80)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  <c r="BP76" s="15">
        <f>((((BP59*(1-BP28))+BP60)-BP74)-BP75)</f>
        <v/>
      </c>
      <c r="BQ76" s="15">
        <f>((((BQ59*(1-BQ28))+BQ60)-BQ74)-BQ75)</f>
        <v/>
      </c>
      <c r="BR76" s="15">
        <f>((((BR59*(1-BR28))+BR60)-BR74)-BR75)</f>
        <v/>
      </c>
      <c r="BS76" s="15">
        <f>((((BS59*(1-BS28))+BS60)-BS74)-BS75)</f>
        <v/>
      </c>
      <c r="BT76" s="15">
        <f>((((BT59*(1-BT28))+BT60)-BT74)-BT75)</f>
        <v/>
      </c>
      <c r="BU76" s="15">
        <f>((((BU59*(1-BU28))+BU60)-BU74)-BU75)</f>
        <v/>
      </c>
      <c r="BV76" s="15">
        <f>((((BV59*(1-BV28))+BV60)-BV74)-BV75)</f>
        <v/>
      </c>
      <c r="BW76" s="15">
        <f>((((BW59*(1-BW28))+BW60)-BW74)-BW75)</f>
        <v/>
      </c>
      <c r="BX76" s="15">
        <f>((((BX59*(1-BX28))+BX60)-BX74)-BX75)</f>
        <v/>
      </c>
      <c r="BY76" s="15">
        <f>((((BY59*(1-BY28))+BY60)-BY74)-BY75)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  <c r="BP77" s="15">
        <f>BP31</f>
        <v/>
      </c>
      <c r="BQ77" s="15">
        <f>BQ31</f>
        <v/>
      </c>
      <c r="BR77" s="15">
        <f>BR31</f>
        <v/>
      </c>
      <c r="BS77" s="15">
        <f>BS31</f>
        <v/>
      </c>
      <c r="BT77" s="15">
        <f>BT31</f>
        <v/>
      </c>
      <c r="BU77" s="15">
        <f>BU31</f>
        <v/>
      </c>
      <c r="BV77" s="15">
        <f>BV31</f>
        <v/>
      </c>
      <c r="BW77" s="15">
        <f>BW31</f>
        <v/>
      </c>
      <c r="BX77" s="15">
        <f>BX31</f>
        <v/>
      </c>
      <c r="BY77" s="15">
        <f>BY31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  <c r="BP78" s="15">
        <f>(MAX(BO68,0)*BP34)</f>
        <v/>
      </c>
      <c r="BQ78" s="15">
        <f>(MAX(BP68,0)*BQ34)</f>
        <v/>
      </c>
      <c r="BR78" s="15">
        <f>(MAX(BQ68,0)*BR34)</f>
        <v/>
      </c>
      <c r="BS78" s="15">
        <f>(MAX(BR68,0)*BS34)</f>
        <v/>
      </c>
      <c r="BT78" s="15">
        <f>(MAX(BS68,0)*BT34)</f>
        <v/>
      </c>
      <c r="BU78" s="15">
        <f>(MAX(BT68,0)*BU34)</f>
        <v/>
      </c>
      <c r="BV78" s="15">
        <f>(MAX(BU68,0)*BV34)</f>
        <v/>
      </c>
      <c r="BW78" s="15">
        <f>(MAX(BV68,0)*BW34)</f>
        <v/>
      </c>
      <c r="BX78" s="15">
        <f>(MAX(BW68,0)*BX34)</f>
        <v/>
      </c>
      <c r="BY78" s="15">
        <f>(MAX(BX68,0)*BY34)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  <c r="BP79" s="15">
        <f>(((((BP67+BP60)-BP74)-BP75)+BP77)-BP78)</f>
        <v/>
      </c>
      <c r="BQ79" s="15">
        <f>(((((BQ67+BQ60)-BQ74)-BQ75)+BQ77)-BQ78)</f>
        <v/>
      </c>
      <c r="BR79" s="15">
        <f>(((((BR67+BR60)-BR74)-BR75)+BR77)-BR78)</f>
        <v/>
      </c>
      <c r="BS79" s="15">
        <f>(((((BS67+BS60)-BS74)-BS75)+BS77)-BS78)</f>
        <v/>
      </c>
      <c r="BT79" s="15">
        <f>(((((BT67+BT60)-BT74)-BT75)+BT77)-BT78)</f>
        <v/>
      </c>
      <c r="BU79" s="15">
        <f>(((((BU67+BU60)-BU74)-BU75)+BU77)-BU78)</f>
        <v/>
      </c>
      <c r="BV79" s="15">
        <f>(((((BV67+BV60)-BV74)-BV75)+BV77)-BV78)</f>
        <v/>
      </c>
      <c r="BW79" s="15">
        <f>(((((BW67+BW60)-BW74)-BW75)+BW77)-BW78)</f>
        <v/>
      </c>
      <c r="BX79" s="15">
        <f>(((((BX67+BX60)-BX74)-BX75)+BX77)-BX78)</f>
        <v/>
      </c>
      <c r="BY79" s="15">
        <f>(((((BY67+BY60)-BY74)-BY75)+BY77)-BY78)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  <c r="BP80" s="15">
        <f>(BP55*BP27)</f>
        <v/>
      </c>
      <c r="BQ80" s="15">
        <f>(BQ55*BQ27)</f>
        <v/>
      </c>
      <c r="BR80" s="15">
        <f>(BR55*BR27)</f>
        <v/>
      </c>
      <c r="BS80" s="15">
        <f>(BS55*BS27)</f>
        <v/>
      </c>
      <c r="BT80" s="15">
        <f>(BT55*BT27)</f>
        <v/>
      </c>
      <c r="BU80" s="15">
        <f>(BU55*BU27)</f>
        <v/>
      </c>
      <c r="BV80" s="15">
        <f>(BV55*BV27)</f>
        <v/>
      </c>
      <c r="BW80" s="15">
        <f>(BW55*BW27)</f>
        <v/>
      </c>
      <c r="BX80" s="15">
        <f>(BX55*BX27)</f>
        <v/>
      </c>
      <c r="BY80" s="15">
        <f>(BY55*BY27)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  <c r="BP81" s="15">
        <f>(((((((BO81+BP67)+BP60)-BP74)-BP75)+BP77)-BP73)-BP78)</f>
        <v/>
      </c>
      <c r="BQ81" s="15">
        <f>(((((((BP81+BQ67)+BQ60)-BQ74)-BQ75)+BQ77)-BQ73)-BQ78)</f>
        <v/>
      </c>
      <c r="BR81" s="15">
        <f>(((((((BQ81+BR67)+BR60)-BR74)-BR75)+BR77)-BR73)-BR78)</f>
        <v/>
      </c>
      <c r="BS81" s="15">
        <f>(((((((BR81+BS67)+BS60)-BS74)-BS75)+BS77)-BS73)-BS78)</f>
        <v/>
      </c>
      <c r="BT81" s="15">
        <f>(((((((BS81+BT67)+BT60)-BT74)-BT75)+BT77)-BT73)-BT78)</f>
        <v/>
      </c>
      <c r="BU81" s="15">
        <f>(((((((BT81+BU67)+BU60)-BU74)-BU75)+BU77)-BU73)-BU78)</f>
        <v/>
      </c>
      <c r="BV81" s="15">
        <f>(((((((BU81+BV67)+BV60)-BV74)-BV75)+BV77)-BV73)-BV78)</f>
        <v/>
      </c>
      <c r="BW81" s="15">
        <f>(((((((BV81+BW67)+BW60)-BW74)-BW75)+BW77)-BW73)-BW78)</f>
        <v/>
      </c>
      <c r="BX81" s="15">
        <f>(((((((BW81+BX67)+BX60)-BX74)-BX75)+BX77)-BX73)-BX78)</f>
        <v/>
      </c>
      <c r="BY81" s="15">
        <f>(((((((BX81+BY67)+BY60)-BY74)-BY75)+BY77)-BY73)-BY78)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  <c r="BP82" s="15">
        <f>(BO82+BP77)</f>
        <v/>
      </c>
      <c r="BQ82" s="15">
        <f>(BP82+BQ77)</f>
        <v/>
      </c>
      <c r="BR82" s="15">
        <f>(BQ82+BR77)</f>
        <v/>
      </c>
      <c r="BS82" s="15">
        <f>(BR82+BS77)</f>
        <v/>
      </c>
      <c r="BT82" s="15">
        <f>(BS82+BT77)</f>
        <v/>
      </c>
      <c r="BU82" s="15">
        <f>(BT82+BU77)</f>
        <v/>
      </c>
      <c r="BV82" s="15">
        <f>(BU82+BV77)</f>
        <v/>
      </c>
      <c r="BW82" s="15">
        <f>(BV82+BW77)</f>
        <v/>
      </c>
      <c r="BX82" s="15">
        <f>(BW82+BX77)</f>
        <v/>
      </c>
      <c r="BY82" s="15">
        <f>(BX82+BY77)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  <c r="BP83" s="15">
        <f>((BO83+BP74)-BP60)</f>
        <v/>
      </c>
      <c r="BQ83" s="15">
        <f>((BP83+BQ74)-BQ60)</f>
        <v/>
      </c>
      <c r="BR83" s="15">
        <f>((BQ83+BR74)-BR60)</f>
        <v/>
      </c>
      <c r="BS83" s="15">
        <f>((BR83+BS74)-BS60)</f>
        <v/>
      </c>
      <c r="BT83" s="15">
        <f>((BS83+BT74)-BT60)</f>
        <v/>
      </c>
      <c r="BU83" s="15">
        <f>((BT83+BU74)-BU60)</f>
        <v/>
      </c>
      <c r="BV83" s="15">
        <f>((BU83+BV74)-BV60)</f>
        <v/>
      </c>
      <c r="BW83" s="15">
        <f>((BV83+BW74)-BW60)</f>
        <v/>
      </c>
      <c r="BX83" s="15">
        <f>((BW83+BX74)-BX60)</f>
        <v/>
      </c>
      <c r="BY83" s="15">
        <f>((BX83+BY74)-BY60)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  <c r="BP84" s="15">
        <f>((BO84+BP69)-BP73)</f>
        <v/>
      </c>
      <c r="BQ84" s="15">
        <f>((BP84+BQ69)-BQ73)</f>
        <v/>
      </c>
      <c r="BR84" s="15">
        <f>((BQ84+BR69)-BR73)</f>
        <v/>
      </c>
      <c r="BS84" s="15">
        <f>((BR84+BS69)-BS73)</f>
        <v/>
      </c>
      <c r="BT84" s="15">
        <f>((BS84+BT69)-BT73)</f>
        <v/>
      </c>
      <c r="BU84" s="15">
        <f>((BT84+BU69)-BU73)</f>
        <v/>
      </c>
      <c r="BV84" s="15">
        <f>((BU84+BV69)-BV73)</f>
        <v/>
      </c>
      <c r="BW84" s="15">
        <f>((BV84+BW69)-BW73)</f>
        <v/>
      </c>
      <c r="BX84" s="15">
        <f>((BW84+BX69)-BX73)</f>
        <v/>
      </c>
      <c r="BY84" s="15">
        <f>((BX84+BY69)-BY73)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  <c r="BP85" s="15">
        <f>((BO85+BP68)-BP78)</f>
        <v/>
      </c>
      <c r="BQ85" s="15">
        <f>((BP85+BQ68)-BQ78)</f>
        <v/>
      </c>
      <c r="BR85" s="15">
        <f>((BQ85+BR68)-BR78)</f>
        <v/>
      </c>
      <c r="BS85" s="15">
        <f>((BR85+BS68)-BS78)</f>
        <v/>
      </c>
      <c r="BT85" s="15">
        <f>((BS85+BT68)-BT78)</f>
        <v/>
      </c>
      <c r="BU85" s="15">
        <f>((BT85+BU68)-BU78)</f>
        <v/>
      </c>
      <c r="BV85" s="15">
        <f>((BU85+BV68)-BV78)</f>
        <v/>
      </c>
      <c r="BW85" s="15">
        <f>((BV85+BW68)-BW78)</f>
        <v/>
      </c>
      <c r="BX85" s="15">
        <f>((BW85+BX68)-BX78)</f>
        <v/>
      </c>
      <c r="BY85" s="15">
        <f>((BX85+BY68)-BY78)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  <c r="BP86" s="15">
        <f>BO86</f>
        <v/>
      </c>
      <c r="BQ86" s="15">
        <f>BP86</f>
        <v/>
      </c>
      <c r="BR86" s="15">
        <f>BQ86</f>
        <v/>
      </c>
      <c r="BS86" s="15">
        <f>BR86</f>
        <v/>
      </c>
      <c r="BT86" s="15">
        <f>BS86</f>
        <v/>
      </c>
      <c r="BU86" s="15">
        <f>BT86</f>
        <v/>
      </c>
      <c r="BV86" s="15">
        <f>BU86</f>
        <v/>
      </c>
      <c r="BW86" s="15">
        <f>BV86</f>
        <v/>
      </c>
      <c r="BX86" s="15">
        <f>BW86</f>
        <v/>
      </c>
      <c r="BY86" s="15">
        <f>BX86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  <c r="BP87" s="15">
        <f>((((((BP81+BP80)+BP83)+BP86)-BP82)-BP84)-BP85)</f>
        <v/>
      </c>
      <c r="BQ87" s="15">
        <f>((((((BQ81+BQ80)+BQ83)+BQ86)-BQ82)-BQ84)-BQ85)</f>
        <v/>
      </c>
      <c r="BR87" s="15">
        <f>((((((BR81+BR80)+BR83)+BR86)-BR82)-BR84)-BR85)</f>
        <v/>
      </c>
      <c r="BS87" s="15">
        <f>((((((BS81+BS80)+BS83)+BS86)-BS82)-BS84)-BS85)</f>
        <v/>
      </c>
      <c r="BT87" s="15">
        <f>((((((BT81+BT80)+BT83)+BT86)-BT82)-BT84)-BT85)</f>
        <v/>
      </c>
      <c r="BU87" s="15">
        <f>((((((BU81+BU80)+BU83)+BU86)-BU82)-BU84)-BU85)</f>
        <v/>
      </c>
      <c r="BV87" s="15">
        <f>((((((BV81+BV80)+BV83)+BV86)-BV82)-BV84)-BV85)</f>
        <v/>
      </c>
      <c r="BW87" s="15">
        <f>((((((BW81+BW80)+BW83)+BW86)-BW82)-BW84)-BW85)</f>
        <v/>
      </c>
      <c r="BX87" s="15">
        <f>((((((BX81+BX80)+BX83)+BX86)-BX82)-BX84)-BX85)</f>
        <v/>
      </c>
      <c r="BY87" s="15">
        <f>((((((BY81+BY80)+BY83)+BY86)-BY82)-BY84)-BY85)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  <c r="BP88" s="15">
        <f>(BP82-BP81)</f>
        <v/>
      </c>
      <c r="BQ88" s="15">
        <f>(BQ82-BQ81)</f>
        <v/>
      </c>
      <c r="BR88" s="15">
        <f>(BR82-BR81)</f>
        <v/>
      </c>
      <c r="BS88" s="15">
        <f>(BS82-BS81)</f>
        <v/>
      </c>
      <c r="BT88" s="15">
        <f>(BT82-BT81)</f>
        <v/>
      </c>
      <c r="BU88" s="15">
        <f>(BU82-BU81)</f>
        <v/>
      </c>
      <c r="BV88" s="15">
        <f>(BV82-BV81)</f>
        <v/>
      </c>
      <c r="BW88" s="15">
        <f>(BW82-BW81)</f>
        <v/>
      </c>
      <c r="BX88" s="15">
        <f>(BX82-BX81)</f>
        <v/>
      </c>
      <c r="BY88" s="15">
        <f>(BY82-BY81)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  <c r="BP89" s="21">
        <f>(IF(BP70=0,0,BP84/BP70)*$C$8)</f>
        <v/>
      </c>
      <c r="BQ89" s="21">
        <f>(IF(BQ70=0,0,BQ84/BQ70)*$C$8)</f>
        <v/>
      </c>
      <c r="BR89" s="21">
        <f>(IF(BR70=0,0,BR84/BR70)*$C$8)</f>
        <v/>
      </c>
      <c r="BS89" s="21">
        <f>(IF(BS70=0,0,BS84/BS70)*$C$8)</f>
        <v/>
      </c>
      <c r="BT89" s="21">
        <f>(IF(BT70=0,0,BT84/BT70)*$C$8)</f>
        <v/>
      </c>
      <c r="BU89" s="21">
        <f>(IF(BU70=0,0,BU84/BU70)*$C$8)</f>
        <v/>
      </c>
      <c r="BV89" s="21">
        <f>(IF(BV70=0,0,BV84/BV70)*$C$8)</f>
        <v/>
      </c>
      <c r="BW89" s="21">
        <f>(IF(BW70=0,0,BW84/BW70)*$C$8)</f>
        <v/>
      </c>
      <c r="BX89" s="21">
        <f>(IF(BX70=0,0,BX84/BX70)*$C$8)</f>
        <v/>
      </c>
      <c r="BY89" s="21">
        <f>(IF(BY70=0,0,BY84/BY70)*$C$8)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  <c r="BP90" s="17">
        <f>(IF(BO55=0,0,BP55/BO55)-1)</f>
        <v/>
      </c>
      <c r="BQ90" s="17">
        <f>(IF(BP55=0,0,BQ55/BP55)-1)</f>
        <v/>
      </c>
      <c r="BR90" s="17">
        <f>(IF(BQ55=0,0,BR55/BQ55)-1)</f>
        <v/>
      </c>
      <c r="BS90" s="17">
        <f>(IF(BR55=0,0,BS55/BR55)-1)</f>
        <v/>
      </c>
      <c r="BT90" s="17">
        <f>(IF(BS55=0,0,BT55/BS55)-1)</f>
        <v/>
      </c>
      <c r="BU90" s="17">
        <f>(IF(BT55=0,0,BU55/BT55)-1)</f>
        <v/>
      </c>
      <c r="BV90" s="17">
        <f>(IF(BU55=0,0,BV55/BU55)-1)</f>
        <v/>
      </c>
      <c r="BW90" s="17">
        <f>(IF(BV55=0,0,BW55/BV55)-1)</f>
        <v/>
      </c>
      <c r="BX90" s="17">
        <f>(IF(BW55=0,0,BX55/BW55)-1)</f>
        <v/>
      </c>
      <c r="BY90" s="17">
        <f>(IF(BX55=0,0,BY55/BX55)-1)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  <c r="BP91" s="17">
        <f>IF(BP55=0,0,BP57/BP55)</f>
        <v/>
      </c>
      <c r="BQ91" s="17">
        <f>IF(BQ55=0,0,BQ57/BQ55)</f>
        <v/>
      </c>
      <c r="BR91" s="17">
        <f>IF(BR55=0,0,BR57/BR55)</f>
        <v/>
      </c>
      <c r="BS91" s="17">
        <f>IF(BS55=0,0,BS57/BS55)</f>
        <v/>
      </c>
      <c r="BT91" s="17">
        <f>IF(BT55=0,0,BT57/BT55)</f>
        <v/>
      </c>
      <c r="BU91" s="17">
        <f>IF(BU55=0,0,BU57/BU55)</f>
        <v/>
      </c>
      <c r="BV91" s="17">
        <f>IF(BV55=0,0,BV57/BV55)</f>
        <v/>
      </c>
      <c r="BW91" s="17">
        <f>IF(BW55=0,0,BW57/BW55)</f>
        <v/>
      </c>
      <c r="BX91" s="17">
        <f>IF(BX55=0,0,BX57/BX55)</f>
        <v/>
      </c>
      <c r="BY91" s="17">
        <f>IF(BY55=0,0,BY57/BY55)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  <c r="BP92" s="17">
        <f>IF(BP55=0,0,BP61/BP55)</f>
        <v/>
      </c>
      <c r="BQ92" s="17">
        <f>IF(BQ55=0,0,BQ61/BQ55)</f>
        <v/>
      </c>
      <c r="BR92" s="17">
        <f>IF(BR55=0,0,BR61/BR55)</f>
        <v/>
      </c>
      <c r="BS92" s="17">
        <f>IF(BS55=0,0,BS61/BS55)</f>
        <v/>
      </c>
      <c r="BT92" s="17">
        <f>IF(BT55=0,0,BT61/BT55)</f>
        <v/>
      </c>
      <c r="BU92" s="17">
        <f>IF(BU55=0,0,BU61/BU55)</f>
        <v/>
      </c>
      <c r="BV92" s="17">
        <f>IF(BV55=0,0,BV61/BV55)</f>
        <v/>
      </c>
      <c r="BW92" s="17">
        <f>IF(BW55=0,0,BW61/BW55)</f>
        <v/>
      </c>
      <c r="BX92" s="17">
        <f>IF(BX55=0,0,BX61/BX55)</f>
        <v/>
      </c>
      <c r="BY92" s="17">
        <f>IF(BY55=0,0,BY61/BY55)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  <c r="BP93" s="17">
        <f>IF(BP55=0,0,BP59/BP55)</f>
        <v/>
      </c>
      <c r="BQ93" s="17">
        <f>IF(BQ55=0,0,BQ59/BQ55)</f>
        <v/>
      </c>
      <c r="BR93" s="17">
        <f>IF(BR55=0,0,BR59/BR55)</f>
        <v/>
      </c>
      <c r="BS93" s="17">
        <f>IF(BS55=0,0,BS59/BS55)</f>
        <v/>
      </c>
      <c r="BT93" s="17">
        <f>IF(BT55=0,0,BT59/BT55)</f>
        <v/>
      </c>
      <c r="BU93" s="17">
        <f>IF(BU55=0,0,BU59/BU55)</f>
        <v/>
      </c>
      <c r="BV93" s="17">
        <f>IF(BV55=0,0,BV59/BV55)</f>
        <v/>
      </c>
      <c r="BW93" s="17">
        <f>IF(BW55=0,0,BW59/BW55)</f>
        <v/>
      </c>
      <c r="BX93" s="17">
        <f>IF(BX55=0,0,BX59/BX55)</f>
        <v/>
      </c>
      <c r="BY93" s="17">
        <f>IF(BY55=0,0,BY59/BY55)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  <c r="BP94" s="17">
        <f>IF(BP55=0,0,BP69/BP55)</f>
        <v/>
      </c>
      <c r="BQ94" s="17">
        <f>IF(BQ55=0,0,BQ69/BQ55)</f>
        <v/>
      </c>
      <c r="BR94" s="17">
        <f>IF(BR55=0,0,BR69/BR55)</f>
        <v/>
      </c>
      <c r="BS94" s="17">
        <f>IF(BS55=0,0,BS69/BS55)</f>
        <v/>
      </c>
      <c r="BT94" s="17">
        <f>IF(BT55=0,0,BT69/BT55)</f>
        <v/>
      </c>
      <c r="BU94" s="17">
        <f>IF(BU55=0,0,BU69/BU55)</f>
        <v/>
      </c>
      <c r="BV94" s="17">
        <f>IF(BV55=0,0,BV69/BV55)</f>
        <v/>
      </c>
      <c r="BW94" s="17">
        <f>IF(BW55=0,0,BW69/BW55)</f>
        <v/>
      </c>
      <c r="BX94" s="17">
        <f>IF(BX55=0,0,BX69/BX55)</f>
        <v/>
      </c>
      <c r="BY94" s="17">
        <f>IF(BY55=0,0,BY69/BY55)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  <c r="BP95" s="17">
        <f>(IF(BO71=0,0,BP71/BO71)-1)</f>
        <v/>
      </c>
      <c r="BQ95" s="17">
        <f>(IF(BP71=0,0,BQ71/BP71)-1)</f>
        <v/>
      </c>
      <c r="BR95" s="17">
        <f>(IF(BQ71=0,0,BR71/BQ71)-1)</f>
        <v/>
      </c>
      <c r="BS95" s="17">
        <f>(IF(BR71=0,0,BS71/BR71)-1)</f>
        <v/>
      </c>
      <c r="BT95" s="17">
        <f>(IF(BS71=0,0,BT71/BS71)-1)</f>
        <v/>
      </c>
      <c r="BU95" s="17">
        <f>(IF(BT71=0,0,BU71/BT71)-1)</f>
        <v/>
      </c>
      <c r="BV95" s="17">
        <f>(IF(BU71=0,0,BV71/BU71)-1)</f>
        <v/>
      </c>
      <c r="BW95" s="17">
        <f>(IF(BV71=0,0,BW71/BV71)-1)</f>
        <v/>
      </c>
      <c r="BX95" s="17">
        <f>(IF(BW71=0,0,BX71/BW71)-1)</f>
        <v/>
      </c>
      <c r="BY95" s="17">
        <f>(IF(BX71=0,0,BY71/BX71)-1)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  <c r="BP96" s="17">
        <f>IF(IF(2=0,0,(BP84+BO84)/2)=0,0,BP69/IF(2=0,0,(BP84+BO84)/2))</f>
        <v/>
      </c>
      <c r="BQ96" s="17">
        <f>IF(IF(2=0,0,(BQ84+BP84)/2)=0,0,BQ69/IF(2=0,0,(BQ84+BP84)/2))</f>
        <v/>
      </c>
      <c r="BR96" s="17">
        <f>IF(IF(2=0,0,(BR84+BQ84)/2)=0,0,BR69/IF(2=0,0,(BR84+BQ84)/2))</f>
        <v/>
      </c>
      <c r="BS96" s="17">
        <f>IF(IF(2=0,0,(BS84+BR84)/2)=0,0,BS69/IF(2=0,0,(BS84+BR84)/2))</f>
        <v/>
      </c>
      <c r="BT96" s="17">
        <f>IF(IF(2=0,0,(BT84+BS84)/2)=0,0,BT69/IF(2=0,0,(BT84+BS84)/2))</f>
        <v/>
      </c>
      <c r="BU96" s="17">
        <f>IF(IF(2=0,0,(BU84+BT84)/2)=0,0,BU69/IF(2=0,0,(BU84+BT84)/2))</f>
        <v/>
      </c>
      <c r="BV96" s="17">
        <f>IF(IF(2=0,0,(BV84+BU84)/2)=0,0,BV69/IF(2=0,0,(BV84+BU84)/2))</f>
        <v/>
      </c>
      <c r="BW96" s="17">
        <f>IF(IF(2=0,0,(BW84+BV84)/2)=0,0,BW69/IF(2=0,0,(BW84+BV84)/2))</f>
        <v/>
      </c>
      <c r="BX96" s="17">
        <f>IF(IF(2=0,0,(BX84+BW84)/2)=0,0,BX69/IF(2=0,0,(BX84+BW84)/2))</f>
        <v/>
      </c>
      <c r="BY96" s="17">
        <f>IF(IF(2=0,0,(BY84+BX84)/2)=0,0,BY69/IF(2=0,0,(BY84+BX84)/2))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  <c r="BP97" s="23">
        <f>IF(BP61=0,0,BP88/BP61)</f>
        <v/>
      </c>
      <c r="BQ97" s="23">
        <f>IF(BQ61=0,0,BQ88/BQ61)</f>
        <v/>
      </c>
      <c r="BR97" s="23">
        <f>IF(BR61=0,0,BR88/BR61)</f>
        <v/>
      </c>
      <c r="BS97" s="23">
        <f>IF(BS61=0,0,BS88/BS61)</f>
        <v/>
      </c>
      <c r="BT97" s="23">
        <f>IF(BT61=0,0,BT88/BT61)</f>
        <v/>
      </c>
      <c r="BU97" s="23">
        <f>IF(BU61=0,0,BU88/BU61)</f>
        <v/>
      </c>
      <c r="BV97" s="23">
        <f>IF(BV61=0,0,BV88/BV61)</f>
        <v/>
      </c>
      <c r="BW97" s="23">
        <f>IF(BW61=0,0,BW88/BW61)</f>
        <v/>
      </c>
      <c r="BX97" s="23">
        <f>IF(BX61=0,0,BX88/BX61)</f>
        <v/>
      </c>
      <c r="BY97" s="23">
        <f>IF(BY61=0,0,BY88/BY61)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  <c r="BP98" s="17">
        <f>IF(BP71=0,0,BP72/BP71)</f>
        <v/>
      </c>
      <c r="BQ98" s="17">
        <f>IF(BQ71=0,0,BQ72/BQ71)</f>
        <v/>
      </c>
      <c r="BR98" s="17">
        <f>IF(BR71=0,0,BR72/BR71)</f>
        <v/>
      </c>
      <c r="BS98" s="17">
        <f>IF(BS71=0,0,BS72/BS71)</f>
        <v/>
      </c>
      <c r="BT98" s="17">
        <f>IF(BT71=0,0,BT72/BT71)</f>
        <v/>
      </c>
      <c r="BU98" s="17">
        <f>IF(BU71=0,0,BU72/BU71)</f>
        <v/>
      </c>
      <c r="BV98" s="17">
        <f>IF(BV71=0,0,BV72/BV71)</f>
        <v/>
      </c>
      <c r="BW98" s="17">
        <f>IF(BW71=0,0,BW72/BW71)</f>
        <v/>
      </c>
      <c r="BX98" s="17">
        <f>IF(BX71=0,0,BX72/BX71)</f>
        <v/>
      </c>
      <c r="BY98" s="17">
        <f>IF(BY71=0,0,BY72/BY71)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  <c r="BP99" s="17">
        <f>IF(BP55=0,0,BP74/BP55)</f>
        <v/>
      </c>
      <c r="BQ99" s="17">
        <f>IF(BQ55=0,0,BQ74/BQ55)</f>
        <v/>
      </c>
      <c r="BR99" s="17">
        <f>IF(BR55=0,0,BR74/BR55)</f>
        <v/>
      </c>
      <c r="BS99" s="17">
        <f>IF(BS55=0,0,BS74/BS55)</f>
        <v/>
      </c>
      <c r="BT99" s="17">
        <f>IF(BT55=0,0,BT74/BT55)</f>
        <v/>
      </c>
      <c r="BU99" s="17">
        <f>IF(BU55=0,0,BU74/BU55)</f>
        <v/>
      </c>
      <c r="BV99" s="17">
        <f>IF(BV55=0,0,BV74/BV55)</f>
        <v/>
      </c>
      <c r="BW99" s="17">
        <f>IF(BW55=0,0,BW74/BW55)</f>
        <v/>
      </c>
      <c r="BX99" s="17">
        <f>IF(BX55=0,0,BX74/BX55)</f>
        <v/>
      </c>
      <c r="BY99" s="17">
        <f>IF(BY55=0,0,BY74/BY55)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3060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-1304.818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0.08472710055745088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  <c r="BP126" s="6" t="n">
        <v>0.996578</v>
      </c>
      <c r="BQ126" s="6" t="n">
        <v>0.996578</v>
      </c>
      <c r="BR126" s="6" t="n">
        <v>0.999316</v>
      </c>
      <c r="BS126" s="6" t="n">
        <v>0.996578</v>
      </c>
      <c r="BT126" s="6" t="n">
        <v>0.996578</v>
      </c>
      <c r="BU126" s="6" t="n">
        <v>0.996578</v>
      </c>
      <c r="BV126" s="6" t="n">
        <v>0.999316</v>
      </c>
      <c r="BW126" s="6" t="n">
        <v>0.996578</v>
      </c>
      <c r="BX126" s="6" t="n">
        <v>0.996578</v>
      </c>
      <c r="BY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  <c r="AG127" s="6" t="n">
        <v>24.670773</v>
      </c>
      <c r="AH127" s="6" t="n">
        <v>25.670089</v>
      </c>
      <c r="AI127" s="6" t="n">
        <v>26.672142</v>
      </c>
      <c r="AJ127" s="6" t="n">
        <v>27.671458</v>
      </c>
      <c r="AK127" s="6" t="n">
        <v>28.670773</v>
      </c>
      <c r="AL127" s="6" t="n">
        <v>29.670089</v>
      </c>
      <c r="AM127" s="6" t="n">
        <v>30.672142</v>
      </c>
      <c r="AN127" s="6" t="n">
        <v>31.671458</v>
      </c>
      <c r="AO127" s="6" t="n">
        <v>32.670773</v>
      </c>
      <c r="AP127" s="6" t="n">
        <v>33.670089</v>
      </c>
      <c r="AQ127" s="6" t="n">
        <v>34.672142</v>
      </c>
      <c r="AR127" s="6" t="n">
        <v>35.671458</v>
      </c>
      <c r="AS127" s="6" t="n">
        <v>36.670773</v>
      </c>
      <c r="AT127" s="6" t="n">
        <v>37.670089</v>
      </c>
      <c r="AU127" s="6" t="n">
        <v>38.672142</v>
      </c>
      <c r="AV127" s="6" t="n">
        <v>39.671458</v>
      </c>
      <c r="AW127" s="6" t="n">
        <v>40.670773</v>
      </c>
      <c r="AX127" s="6" t="n">
        <v>41.670089</v>
      </c>
      <c r="AY127" s="6" t="n">
        <v>42.672142</v>
      </c>
      <c r="AZ127" s="6" t="n">
        <v>43.671458</v>
      </c>
      <c r="BA127" s="6" t="n">
        <v>44.670773</v>
      </c>
      <c r="BB127" s="6" t="n">
        <v>45.670089</v>
      </c>
      <c r="BC127" s="6" t="n">
        <v>46.672142</v>
      </c>
      <c r="BD127" s="6" t="n">
        <v>47.671458</v>
      </c>
      <c r="BE127" s="6" t="n">
        <v>48.670773</v>
      </c>
      <c r="BF127" s="6" t="n">
        <v>49.670089</v>
      </c>
      <c r="BG127" s="6" t="n">
        <v>50.672142</v>
      </c>
      <c r="BH127" s="6" t="n">
        <v>51.671458</v>
      </c>
      <c r="BI127" s="6" t="n">
        <v>52.670773</v>
      </c>
      <c r="BJ127" s="6" t="n">
        <v>53.670089</v>
      </c>
      <c r="BK127" s="6" t="n">
        <v>54.672142</v>
      </c>
      <c r="BL127" s="6" t="n">
        <v>55.671458</v>
      </c>
      <c r="BM127" s="6" t="n">
        <v>56.670773</v>
      </c>
      <c r="BN127" s="6" t="n">
        <v>57.670089</v>
      </c>
      <c r="BO127" s="6" t="n">
        <v>58.672142</v>
      </c>
      <c r="BP127" s="6" t="n">
        <v>59.671458</v>
      </c>
      <c r="BQ127" s="6" t="n">
        <v>60.670773</v>
      </c>
      <c r="BR127" s="6" t="n">
        <v>61.670089</v>
      </c>
      <c r="BS127" s="6" t="n">
        <v>62.672142</v>
      </c>
      <c r="BT127" s="6" t="n">
        <v>63.671458</v>
      </c>
      <c r="BU127" s="6" t="n">
        <v>64.670773</v>
      </c>
      <c r="BV127" s="6" t="n">
        <v>65.670089</v>
      </c>
      <c r="BW127" s="6" t="n">
        <v>66.67214199999999</v>
      </c>
      <c r="BX127" s="6" t="n">
        <v>67.671458</v>
      </c>
      <c r="BY127" s="6" t="n">
        <v>68.670773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  <c r="BP128">
        <f>1/(1+$C$122)^BP127</f>
        <v/>
      </c>
      <c r="BQ128">
        <f>1/(1+$C$122)^BQ127</f>
        <v/>
      </c>
      <c r="BR128">
        <f>1/(1+$C$122)^BR127</f>
        <v/>
      </c>
      <c r="BS128">
        <f>1/(1+$C$122)^BS127</f>
        <v/>
      </c>
      <c r="BT128">
        <f>1/(1+$C$122)^BT127</f>
        <v/>
      </c>
      <c r="BU128">
        <f>1/(1+$C$122)^BU127</f>
        <v/>
      </c>
      <c r="BV128">
        <f>1/(1+$C$122)^BV127</f>
        <v/>
      </c>
      <c r="BW128">
        <f>1/(1+$C$122)^BW127</f>
        <v/>
      </c>
      <c r="BX128">
        <f>1/(1+$C$122)^BX127</f>
        <v/>
      </c>
      <c r="BY128">
        <f>1/(1+$C$122)^BY127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  <c r="BP129" s="26">
        <f>BP76*BP126*BP128</f>
        <v/>
      </c>
      <c r="BQ129" s="26">
        <f>BQ76*BQ126*BQ128</f>
        <v/>
      </c>
      <c r="BR129" s="26">
        <f>BR76*BR126*BR128</f>
        <v/>
      </c>
      <c r="BS129" s="26">
        <f>BS76*BS126*BS128</f>
        <v/>
      </c>
      <c r="BT129" s="26">
        <f>BT76*BT126*BT128</f>
        <v/>
      </c>
      <c r="BU129" s="26">
        <f>BU76*BU126*BU128</f>
        <v/>
      </c>
      <c r="BV129" s="26">
        <f>BV76*BV126*BV128</f>
        <v/>
      </c>
      <c r="BW129" s="26">
        <f>BW76*BW126*BW128</f>
        <v/>
      </c>
      <c r="BX129" s="26">
        <f>BX76*BX126*BX128</f>
        <v/>
      </c>
      <c r="BY129" s="26">
        <f>BY76*BY126*BY128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  <c r="BP130" s="26">
        <f>BO130+BP129</f>
        <v/>
      </c>
      <c r="BQ130" s="26">
        <f>BP130+BQ129</f>
        <v/>
      </c>
      <c r="BR130" s="26">
        <f>BQ130+BR129</f>
        <v/>
      </c>
      <c r="BS130" s="26">
        <f>BR130+BS129</f>
        <v/>
      </c>
      <c r="BT130" s="26">
        <f>BS130+BT129</f>
        <v/>
      </c>
      <c r="BU130" s="26">
        <f>BT130+BU129</f>
        <v/>
      </c>
      <c r="BV130" s="26">
        <f>BU130+BV129</f>
        <v/>
      </c>
      <c r="BW130" s="26">
        <f>BV130+BW129</f>
        <v/>
      </c>
      <c r="BX130" s="26">
        <f>BW130+BX129</f>
        <v/>
      </c>
      <c r="BY130" s="26">
        <f>BX130+BY129</f>
        <v/>
      </c>
    </row>
    <row r="131">
      <c r="A131" t="inlineStr">
        <is>
          <t>Best cumulative PV (never below zero)</t>
        </is>
      </c>
      <c r="C131" s="26">
        <f>MAX(0,MAX(H130:BY130))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5.499566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397.57222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397.5722200270637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1833.999434979904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8866.55218215111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2137.000686</v>
      </c>
      <c r="E167" s="27" t="n">
        <v>1848.597621</v>
      </c>
      <c r="F167" s="27" t="n">
        <v>2240.53345</v>
      </c>
      <c r="G167" s="27" t="n">
        <v>3273.18259</v>
      </c>
      <c r="H167" s="27" t="n">
        <v>4497.677482</v>
      </c>
    </row>
    <row r="168">
      <c r="C168" s="1" t="n">
        <v>0.95</v>
      </c>
      <c r="D168" s="27" t="n">
        <v>2137.000686</v>
      </c>
      <c r="E168" s="27" t="n">
        <v>1895.098804</v>
      </c>
      <c r="F168" s="27" t="n">
        <v>2781.638396</v>
      </c>
      <c r="G168" s="27" t="n">
        <v>4026.183193</v>
      </c>
      <c r="H168" s="27" t="n">
        <v>5427.271139</v>
      </c>
    </row>
    <row r="169">
      <c r="C169" s="1" t="n">
        <v>1</v>
      </c>
      <c r="D169" s="27" t="n">
        <v>1841.537172</v>
      </c>
      <c r="E169" s="27" t="n">
        <v>2240.53345</v>
      </c>
      <c r="F169" s="27" t="n">
        <v>3409.810686</v>
      </c>
      <c r="G169" s="27" t="n">
        <v>4844.23423</v>
      </c>
      <c r="H169" s="27" t="n">
        <v>6407.515506</v>
      </c>
    </row>
    <row r="170">
      <c r="C170" s="1" t="n">
        <v>1.05</v>
      </c>
      <c r="D170" s="27" t="n">
        <v>1869.778969</v>
      </c>
      <c r="E170" s="27" t="n">
        <v>2724.801368</v>
      </c>
      <c r="F170" s="27" t="n">
        <v>4104.714779</v>
      </c>
      <c r="G170" s="27" t="n">
        <v>5712.362315</v>
      </c>
      <c r="H170" s="27" t="n">
        <v>7426.64811</v>
      </c>
    </row>
    <row r="171">
      <c r="C171" s="1" t="n">
        <v>1.1</v>
      </c>
      <c r="D171" s="27" t="n">
        <v>2054.845857</v>
      </c>
      <c r="E171" s="27" t="n">
        <v>3279.320282</v>
      </c>
      <c r="F171" s="27" t="n">
        <v>4851.053888</v>
      </c>
      <c r="G171" s="27" t="n">
        <v>6622.806636</v>
      </c>
      <c r="H171" s="27" t="n">
        <v>8477.616097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5416.745486</v>
      </c>
      <c r="E175" s="27" t="n">
        <v>4874.998593</v>
      </c>
      <c r="F175" s="27" t="n">
        <v>4346.415129</v>
      </c>
      <c r="G175" s="27" t="n">
        <v>3834.5011</v>
      </c>
      <c r="H175" s="27" t="n">
        <v>3343.082643</v>
      </c>
    </row>
    <row r="176">
      <c r="C176" s="1" t="n">
        <v>0.95</v>
      </c>
      <c r="D176" s="27" t="n">
        <v>5617.305599</v>
      </c>
      <c r="E176" s="27" t="n">
        <v>5045.473604</v>
      </c>
      <c r="F176" s="27" t="n">
        <v>4487.540951</v>
      </c>
      <c r="G176" s="27" t="n">
        <v>3947.210206</v>
      </c>
      <c r="H176" s="27" t="n">
        <v>3428.522535</v>
      </c>
    </row>
    <row r="177">
      <c r="C177" s="1" t="n">
        <v>1</v>
      </c>
      <c r="D177" s="27" t="n">
        <v>5817.865712</v>
      </c>
      <c r="E177" s="27" t="n">
        <v>5215.948615</v>
      </c>
      <c r="F177" s="27" t="n">
        <v>4628.666774</v>
      </c>
      <c r="G177" s="27" t="n">
        <v>4059.919312</v>
      </c>
      <c r="H177" s="27" t="n">
        <v>3513.962427</v>
      </c>
    </row>
    <row r="178">
      <c r="C178" s="1" t="n">
        <v>1.05</v>
      </c>
      <c r="D178" s="27" t="n">
        <v>6018.425826</v>
      </c>
      <c r="E178" s="27" t="n">
        <v>5386.423626</v>
      </c>
      <c r="F178" s="27" t="n">
        <v>4769.792597</v>
      </c>
      <c r="G178" s="27" t="n">
        <v>4172.628418</v>
      </c>
      <c r="H178" s="27" t="n">
        <v>3599.402319</v>
      </c>
    </row>
    <row r="179">
      <c r="C179" s="1" t="n">
        <v>1.1</v>
      </c>
      <c r="D179" s="27" t="n">
        <v>6218.985939</v>
      </c>
      <c r="E179" s="27" t="n">
        <v>5556.898637</v>
      </c>
      <c r="F179" s="27" t="n">
        <v>4910.918419</v>
      </c>
      <c r="G179" s="27" t="n">
        <v>4285.337524</v>
      </c>
      <c r="H179" s="27" t="n">
        <v>3684.842212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2.2</v>
      </c>
      <c r="J14" s="13" t="n">
        <v>2.2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0.065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10325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0.162698963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0.1545262848940854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  <c r="M127" s="6" t="n">
        <v>4.673511</v>
      </c>
      <c r="N127" s="6" t="n">
        <v>5.672827</v>
      </c>
      <c r="O127" s="6" t="n">
        <v>6.67488</v>
      </c>
      <c r="P127" s="6" t="n">
        <v>7.674196</v>
      </c>
      <c r="Q127" s="6" t="n">
        <v>8.673511</v>
      </c>
      <c r="R127" s="6" t="n">
        <v>9.672827</v>
      </c>
      <c r="S127" s="6" t="n">
        <v>10.67488</v>
      </c>
      <c r="T127" s="6" t="n">
        <v>11.674196</v>
      </c>
      <c r="U127" s="6" t="n">
        <v>12.673511</v>
      </c>
      <c r="V127" s="6" t="n">
        <v>13.672827</v>
      </c>
      <c r="W127" s="6" t="n">
        <v>14.67488</v>
      </c>
      <c r="X127" s="6" t="n">
        <v>15.674196</v>
      </c>
      <c r="Y127" s="6" t="n">
        <v>16.673511</v>
      </c>
      <c r="Z127" s="6" t="n">
        <v>17.672827</v>
      </c>
      <c r="AA127" s="6" t="n">
        <v>18.67488</v>
      </c>
      <c r="AB127" s="6" t="n">
        <v>19.674196</v>
      </c>
      <c r="AC127" s="6" t="n">
        <v>20.673511</v>
      </c>
      <c r="AD127" s="6" t="n">
        <v>21.672827</v>
      </c>
      <c r="AE127" s="6" t="n">
        <v>22.67488</v>
      </c>
      <c r="AF127" s="6" t="n">
        <v>23.674196</v>
      </c>
      <c r="AG127" s="6" t="n">
        <v>24.673511</v>
      </c>
      <c r="AH127" s="6" t="n">
        <v>25.672827</v>
      </c>
      <c r="AI127" s="6" t="n">
        <v>26.67488</v>
      </c>
      <c r="AJ127" s="6" t="n">
        <v>27.674196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6.332599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0.9</v>
      </c>
    </row>
    <row r="144">
      <c r="A144" t="inlineStr">
        <is>
          <t>Weight: EV/EBITDA</t>
        </is>
      </c>
      <c r="C144" s="4" t="n">
        <v>0.1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827.6730098990178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3166.031052319403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5.431468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766.347143</v>
      </c>
      <c r="E170" s="27" t="n">
        <v>848.850568</v>
      </c>
      <c r="F170" s="27" t="n">
        <v>1022.029616</v>
      </c>
      <c r="G170" s="27" t="n">
        <v>1466.7044</v>
      </c>
      <c r="H170" s="27" t="n">
        <v>2026.626562</v>
      </c>
    </row>
    <row r="171">
      <c r="C171" s="1" t="n">
        <v>0.95</v>
      </c>
      <c r="D171" s="27" t="n">
        <v>786.797108</v>
      </c>
      <c r="E171" s="27" t="n">
        <v>904.698682</v>
      </c>
      <c r="F171" s="27" t="n">
        <v>1250.481879</v>
      </c>
      <c r="G171" s="27" t="n">
        <v>1798.588435</v>
      </c>
      <c r="H171" s="27" t="n">
        <v>2443.487161</v>
      </c>
    </row>
    <row r="172">
      <c r="C172" s="1" t="n">
        <v>1</v>
      </c>
      <c r="D172" s="27" t="n">
        <v>836.439876</v>
      </c>
      <c r="E172" s="27" t="n">
        <v>1022.029616</v>
      </c>
      <c r="F172" s="27" t="n">
        <v>1523.315796</v>
      </c>
      <c r="G172" s="27" t="n">
        <v>2162.844507</v>
      </c>
      <c r="H172" s="27" t="n">
        <v>2884.351543</v>
      </c>
    </row>
    <row r="173">
      <c r="C173" s="1" t="n">
        <v>1.05</v>
      </c>
      <c r="D173" s="27" t="n">
        <v>886.082644</v>
      </c>
      <c r="E173" s="27" t="n">
        <v>1226.106918</v>
      </c>
      <c r="F173" s="27" t="n">
        <v>1830.075513</v>
      </c>
      <c r="G173" s="27" t="n">
        <v>2551.88449</v>
      </c>
      <c r="H173" s="27" t="n">
        <v>3343.661384</v>
      </c>
    </row>
    <row r="174">
      <c r="C174" s="1" t="n">
        <v>1.1</v>
      </c>
      <c r="D174" s="27" t="n">
        <v>945.339482</v>
      </c>
      <c r="E174" s="27" t="n">
        <v>1466.7044</v>
      </c>
      <c r="F174" s="27" t="n">
        <v>2162.844507</v>
      </c>
      <c r="G174" s="27" t="n">
        <v>2959.970294</v>
      </c>
      <c r="H174" s="27" t="n">
        <v>3817.341188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2443.761387</v>
      </c>
      <c r="E178" s="27" t="n">
        <v>2269.663771</v>
      </c>
      <c r="F178" s="27" t="n">
        <v>2095.566154</v>
      </c>
      <c r="G178" s="27" t="n">
        <v>1921.468538</v>
      </c>
      <c r="H178" s="27" t="n">
        <v>1747.370922</v>
      </c>
    </row>
    <row r="179">
      <c r="C179" s="1" t="n">
        <v>0.95</v>
      </c>
      <c r="D179" s="27" t="n">
        <v>2542.797989</v>
      </c>
      <c r="E179" s="27" t="n">
        <v>2359.028283</v>
      </c>
      <c r="F179" s="27" t="n">
        <v>2175.258577</v>
      </c>
      <c r="G179" s="27" t="n">
        <v>1991.488871</v>
      </c>
      <c r="H179" s="27" t="n">
        <v>1807.719164</v>
      </c>
    </row>
    <row r="180">
      <c r="C180" s="1" t="n">
        <v>1</v>
      </c>
      <c r="D180" s="27" t="n">
        <v>2641.834591</v>
      </c>
      <c r="E180" s="27" t="n">
        <v>2448.392795</v>
      </c>
      <c r="F180" s="27" t="n">
        <v>2254.950999</v>
      </c>
      <c r="G180" s="27" t="n">
        <v>2061.509203</v>
      </c>
      <c r="H180" s="27" t="n">
        <v>1868.067407</v>
      </c>
    </row>
    <row r="181">
      <c r="C181" s="1" t="n">
        <v>1.05</v>
      </c>
      <c r="D181" s="27" t="n">
        <v>2724.378425</v>
      </c>
      <c r="E181" s="27" t="n">
        <v>2523.236181</v>
      </c>
      <c r="F181" s="27" t="n">
        <v>2322.093937</v>
      </c>
      <c r="G181" s="27" t="n">
        <v>2120.951693</v>
      </c>
      <c r="H181" s="27" t="n">
        <v>1919.809449</v>
      </c>
    </row>
    <row r="182">
      <c r="C182" s="1" t="n">
        <v>1.1</v>
      </c>
      <c r="D182" s="27" t="n">
        <v>2797.409716</v>
      </c>
      <c r="E182" s="27" t="n">
        <v>2589.231918</v>
      </c>
      <c r="F182" s="27" t="n">
        <v>2381.054119</v>
      </c>
      <c r="G182" s="27" t="n">
        <v>2172.87632</v>
      </c>
      <c r="H182" s="27" t="n">
        <v>1964.698521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2026-10-29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18125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0.05507472315752297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0.673511</v>
      </c>
      <c r="J127" s="6" t="n">
        <v>1.672827</v>
      </c>
      <c r="K127" s="6" t="n">
        <v>2.67488</v>
      </c>
      <c r="L127" s="6" t="n">
        <v>3.674196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30.5584835275419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847.5461364602262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9.747242999999999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27.031586</v>
      </c>
      <c r="E170" s="27" t="n">
        <v>78.79472800000001</v>
      </c>
      <c r="F170" s="27" t="n">
        <v>190.237917</v>
      </c>
      <c r="G170" s="27" t="n">
        <v>357.630411</v>
      </c>
      <c r="H170" s="27" t="n">
        <v>525.022906</v>
      </c>
    </row>
    <row r="171">
      <c r="C171" s="1" t="n">
        <v>0.95</v>
      </c>
      <c r="D171" s="27" t="n">
        <v>28.536782</v>
      </c>
      <c r="E171" s="27" t="n">
        <v>83.182669</v>
      </c>
      <c r="F171" s="27" t="n">
        <v>200.832253</v>
      </c>
      <c r="G171" s="27" t="n">
        <v>377.548199</v>
      </c>
      <c r="H171" s="27" t="n">
        <v>554.264145</v>
      </c>
    </row>
    <row r="172">
      <c r="C172" s="1" t="n">
        <v>1</v>
      </c>
      <c r="D172" s="27" t="n">
        <v>30.042341</v>
      </c>
      <c r="E172" s="27" t="n">
        <v>87.57171200000001</v>
      </c>
      <c r="F172" s="27" t="n">
        <v>211.429272</v>
      </c>
      <c r="G172" s="27" t="n">
        <v>397.47116</v>
      </c>
      <c r="H172" s="27" t="n">
        <v>583.513048</v>
      </c>
    </row>
    <row r="173">
      <c r="C173" s="1" t="n">
        <v>1.05</v>
      </c>
      <c r="D173" s="27" t="n">
        <v>31.548262</v>
      </c>
      <c r="E173" s="27" t="n">
        <v>91.961854</v>
      </c>
      <c r="F173" s="27" t="n">
        <v>222.028971</v>
      </c>
      <c r="G173" s="27" t="n">
        <v>417.399289</v>
      </c>
      <c r="H173" s="27" t="n">
        <v>612.769607</v>
      </c>
    </row>
    <row r="174">
      <c r="C174" s="1" t="n">
        <v>1.1</v>
      </c>
      <c r="D174" s="27" t="n">
        <v>33.054545</v>
      </c>
      <c r="E174" s="27" t="n">
        <v>96.35309700000001</v>
      </c>
      <c r="F174" s="27" t="n">
        <v>232.631351</v>
      </c>
      <c r="G174" s="27" t="n">
        <v>437.332583</v>
      </c>
      <c r="H174" s="27" t="n">
        <v>642.033815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210.93035</v>
      </c>
      <c r="E178" s="27" t="n">
        <v>200.163691</v>
      </c>
      <c r="F178" s="27" t="n">
        <v>189.397032</v>
      </c>
      <c r="G178" s="27" t="n">
        <v>178.630372</v>
      </c>
      <c r="H178" s="27" t="n">
        <v>167.863713</v>
      </c>
    </row>
    <row r="179">
      <c r="C179" s="1" t="n">
        <v>0.95</v>
      </c>
      <c r="D179" s="27" t="n">
        <v>223.142765</v>
      </c>
      <c r="E179" s="27" t="n">
        <v>211.777959</v>
      </c>
      <c r="F179" s="27" t="n">
        <v>200.413152</v>
      </c>
      <c r="G179" s="27" t="n">
        <v>189.048345</v>
      </c>
      <c r="H179" s="27" t="n">
        <v>177.683538</v>
      </c>
    </row>
    <row r="180">
      <c r="C180" s="1" t="n">
        <v>1</v>
      </c>
      <c r="D180" s="27" t="n">
        <v>235.355181</v>
      </c>
      <c r="E180" s="27" t="n">
        <v>223.392226</v>
      </c>
      <c r="F180" s="27" t="n">
        <v>211.429272</v>
      </c>
      <c r="G180" s="27" t="n">
        <v>199.466317</v>
      </c>
      <c r="H180" s="27" t="n">
        <v>187.503362</v>
      </c>
    </row>
    <row r="181">
      <c r="C181" s="1" t="n">
        <v>1.05</v>
      </c>
      <c r="D181" s="27" t="n">
        <v>247.567596</v>
      </c>
      <c r="E181" s="27" t="n">
        <v>235.006494</v>
      </c>
      <c r="F181" s="27" t="n">
        <v>222.445392</v>
      </c>
      <c r="G181" s="27" t="n">
        <v>209.884289</v>
      </c>
      <c r="H181" s="27" t="n">
        <v>197.323187</v>
      </c>
    </row>
    <row r="182">
      <c r="C182" s="1" t="n">
        <v>1.1</v>
      </c>
      <c r="D182" s="27" t="n">
        <v>259.780012</v>
      </c>
      <c r="E182" s="27" t="n">
        <v>246.620762</v>
      </c>
      <c r="F182" s="27" t="n">
        <v>233.461512</v>
      </c>
      <c r="G182" s="27" t="n">
        <v>220.302262</v>
      </c>
      <c r="H182" s="27" t="n">
        <v>207.143012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2026-10-29T18:55:58Z</dcterms:created>
  <dcterms:modified xsi:type="dcterms:W3CDTF">2026-10-29T18:55:59Z</dcterms:modified>
</cp:coreProperties>
</file>