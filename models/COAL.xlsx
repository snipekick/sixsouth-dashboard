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rivers" sheetId="2" state="visible" r:id="rId2"/>
    <sheet name="Comps" sheetId="3" state="visible" r:id="rId3"/>
    <sheet name="AADI" sheetId="4" state="visible" r:id="rId4"/>
    <sheet name="ADMR" sheetId="5" state="visible" r:id="rId5"/>
    <sheet name="ARII" sheetId="6" state="visible" r:id="rId6"/>
    <sheet name="BOSS" sheetId="7" state="visible" r:id="rId7"/>
    <sheet name="BSSR" sheetId="8" state="visible" r:id="rId8"/>
    <sheet name="BUMI" sheetId="9" state="visible" r:id="rId9"/>
    <sheet name="BYAN" sheetId="10" state="visible" r:id="rId10"/>
    <sheet name="GEMS" sheetId="11" state="visible" r:id="rId11"/>
    <sheet name="GTBO" sheetId="12" state="visible" r:id="rId12"/>
    <sheet name="IATA" sheetId="13" state="visible" r:id="rId13"/>
    <sheet name="INDY" sheetId="14" state="visible" r:id="rId14"/>
    <sheet name="ITMG" sheetId="15" state="visible" r:id="rId15"/>
    <sheet name="KKGI" sheetId="16" state="visible" r:id="rId16"/>
    <sheet name="MBAP" sheetId="17" state="visible" r:id="rId17"/>
    <sheet name="MCOL" sheetId="18" state="visible" r:id="rId18"/>
    <sheet name="PTBA" sheetId="19" state="visible" r:id="rId19"/>
    <sheet name="SINI" sheetId="20" state="visible" r:id="rId20"/>
    <sheet name="SMM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(#,##0.00);&quot;-&quot;"/>
    <numFmt numFmtId="165" formatCode="0.0%;(0.0%);&quot;-&quot;"/>
    <numFmt numFmtId="166" formatCode="#,##0.0;(#,##0.0);&quot;-&quot;"/>
    <numFmt numFmtId="167" formatCode="0.00;(0.00);&quot;-&quot;"/>
    <numFmt numFmtId="168" formatCode="#,##0;(#,##0);&quot;-&quot;"/>
    <numFmt numFmtId="169" formatCode="0.0&quot;x&quot;;(0.0&quot;x&quot;);&quot;-&quot;"/>
    <numFmt numFmtId="170" formatCode="#,##0.000;(#,##0.000);&quot;-&quot;"/>
  </numFmts>
  <fonts count="8">
    <font>
      <name val="Calibri"/>
      <family val="2"/>
      <color theme="1"/>
      <sz val="11"/>
      <scheme val="minor"/>
    </font>
    <font>
      <b val="1"/>
    </font>
    <font>
      <color rgb="FF0000FF"/>
    </font>
    <font>
      <color rgb="FF6B7280"/>
    </font>
    <font>
      <b val="1"/>
      <sz val="12"/>
    </font>
    <font>
      <color rgb="FF000000"/>
    </font>
    <font>
      <color rgb="FF008000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49" fontId="6" fillId="0" borderId="0" pivotButton="0" quotePrefix="0" xfId="0"/>
    <xf numFmtId="168" fontId="6" fillId="0" borderId="0" pivotButton="0" quotePrefix="0" xfId="0"/>
    <xf numFmtId="165" fontId="6" fillId="0" borderId="0" pivotButton="0" quotePrefix="0" xfId="0"/>
    <xf numFmtId="169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6" fontId="5" fillId="0" borderId="0" pivotButton="0" quotePrefix="0" xfId="0"/>
    <xf numFmtId="164" fontId="6" fillId="0" borderId="0" pivotButton="0" quotePrefix="0" xfId="0"/>
    <xf numFmtId="165" fontId="5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168" fontId="2" fillId="0" borderId="0" pivotButton="0" quotePrefix="0" xfId="0"/>
    <xf numFmtId="168" fontId="5" fillId="0" borderId="0" pivotButton="0" quotePrefix="0" xfId="0"/>
    <xf numFmtId="169" fontId="2" fillId="0" borderId="0" pivotButton="0" quotePrefix="0" xfId="0"/>
    <xf numFmtId="169" fontId="5" fillId="0" borderId="0" pivotButton="0" quotePrefix="0" xfId="0"/>
    <xf numFmtId="170" fontId="2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168" fontId="1" fillId="0" borderId="0" pivotButton="0" quotePrefix="0" xfId="0"/>
    <xf numFmtId="165" fontId="1" fillId="0" borderId="0" pivotButton="0" quotePrefix="0" xfId="0"/>
    <xf numFmtId="49" fontId="1" fillId="0" borderId="0" pivotButton="0" quotePrefix="0" xfId="0"/>
    <xf numFmtId="166" fontId="6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Six South — Coal producers industry model</t>
        </is>
      </c>
    </row>
    <row r="2">
      <c r="A2" s="2" t="inlineStr">
        <is>
          <t>Generated 2026-10-30T23:33:13+07:00 by the coverage engine. The engine (scripts/cov_engine.py) is the source of truth; this workbook is a live rendering of it.</t>
        </is>
      </c>
    </row>
    <row r="3">
      <c r="A3" s="2" t="inlineStr">
        <is>
          <t>Colour key: blue = input or hard-coded history; black = formula; green = link to another sheet.</t>
        </is>
      </c>
    </row>
    <row r="4">
      <c r="A4" s="2" t="inlineStr">
        <is>
          <t>Drivers: every deck variable these models read. Change one and every ticker tab and the Comps sheet recalculate (forecasts, cash flows, DCF value, base-case value, target, rating).</t>
        </is>
      </c>
    </row>
    <row r="5">
      <c r="A5" s="2" t="inlineStr">
        <is>
          <t>Scenario (bear/bull) and sensitivity tables need full model re-runs and are engine values.</t>
        </is>
      </c>
    </row>
    <row r="6">
      <c r="A6" s="2" t="inlineStr">
        <is>
          <t>Paper fund — research for education and process transparency, not investment advice.</t>
        </is>
      </c>
    </row>
    <row r="7">
      <c r="A7" s="2" t="inlineStr"/>
    </row>
    <row r="8">
      <c r="A8" s="1" t="inlineStr">
        <is>
          <t>Tickers:</t>
        </is>
      </c>
    </row>
    <row r="9">
      <c r="A9" t="inlineStr">
        <is>
          <t>AADI.JK — PT Adaro Andalan Indonesia Tbk</t>
        </is>
      </c>
    </row>
    <row r="10">
      <c r="A10" t="inlineStr">
        <is>
          <t>ADMR.JK — PT Alamtri Minerals Indonesia Tbk</t>
        </is>
      </c>
    </row>
    <row r="11">
      <c r="A11" t="inlineStr">
        <is>
          <t>ARII.JK — PT Atlas Resources Tbk</t>
        </is>
      </c>
    </row>
    <row r="12">
      <c r="A12" t="inlineStr">
        <is>
          <t>BOSS.JK — PT. Borneo Olah Sarana Sukses Tbk</t>
        </is>
      </c>
    </row>
    <row r="13">
      <c r="A13" t="inlineStr">
        <is>
          <t>BSSR.JK — PT Baramulti Suksessarana Tbk</t>
        </is>
      </c>
    </row>
    <row r="14">
      <c r="A14" t="inlineStr">
        <is>
          <t>BUMI.JK — PT Bumi Resources Tbk</t>
        </is>
      </c>
    </row>
    <row r="15">
      <c r="A15" t="inlineStr">
        <is>
          <t>BYAN.JK — PT Bayan Resources Tbk.</t>
        </is>
      </c>
    </row>
    <row r="16">
      <c r="A16" t="inlineStr">
        <is>
          <t>GEMS.JK — PT Golden Energy Mines Tbk</t>
        </is>
      </c>
    </row>
    <row r="17">
      <c r="A17" t="inlineStr">
        <is>
          <t>GTBO.JK — PT Garda Tujuh Buana Tbk</t>
        </is>
      </c>
    </row>
    <row r="18">
      <c r="A18" t="inlineStr">
        <is>
          <t>IATA.JK — PT MNC Energy Investments Tbk</t>
        </is>
      </c>
    </row>
    <row r="19">
      <c r="A19" t="inlineStr">
        <is>
          <t>INDY.JK — PT. Indika Energy Tbk</t>
        </is>
      </c>
    </row>
    <row r="20">
      <c r="A20" t="inlineStr">
        <is>
          <t>ITMG.JK — PT Indo Tambangraya Megah Tbk</t>
        </is>
      </c>
    </row>
    <row r="21">
      <c r="A21" t="inlineStr">
        <is>
          <t>KKGI.JK — PT Resource Alam Indonesia Tbk</t>
        </is>
      </c>
    </row>
    <row r="22">
      <c r="A22" t="inlineStr">
        <is>
          <t>MBAP.JK — PT Mitrabara Adiperdana Tbk</t>
        </is>
      </c>
    </row>
    <row r="23">
      <c r="A23" t="inlineStr">
        <is>
          <t>MCOL.JK — PT Prima Andalan Mandiri Tbk</t>
        </is>
      </c>
    </row>
    <row r="24">
      <c r="A24" t="inlineStr">
        <is>
          <t>PTBA.JK — PT Bukit Asam (Persero) Tbk</t>
        </is>
      </c>
    </row>
    <row r="25">
      <c r="A25" t="inlineStr">
        <is>
          <t>SINI.JK — PT Singaraja Putra Tbk</t>
        </is>
      </c>
    </row>
    <row r="26">
      <c r="A26" t="inlineStr">
        <is>
          <t>SMMT.JK — PT Golden Eagle Energy Tbk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3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</cols>
  <sheetData>
    <row r="1">
      <c r="A1" s="1" t="inlineStr">
        <is>
          <t>Driver decks (state/drivers) — edit a blue cell to flow it through every ticker tab</t>
        </is>
      </c>
    </row>
    <row r="3">
      <c r="A3" s="1" t="inlineStr">
        <is>
          <t>Variable</t>
        </is>
      </c>
      <c r="B3" s="1" t="inlineStr">
        <is>
          <t>Key</t>
        </is>
      </c>
      <c r="C3" s="1" t="inlineStr">
        <is>
          <t>Unit / status</t>
        </is>
      </c>
      <c r="D3" s="1" t="inlineStr">
        <is>
          <t>FY2021A</t>
        </is>
      </c>
      <c r="E3" s="1" t="inlineStr">
        <is>
          <t>FY2022A</t>
        </is>
      </c>
      <c r="F3" s="1" t="inlineStr">
        <is>
          <t>FY2023A</t>
        </is>
      </c>
      <c r="G3" s="1" t="inlineStr">
        <is>
          <t>FY2023E</t>
        </is>
      </c>
      <c r="H3" s="1" t="inlineStr">
        <is>
          <t>FY2024A</t>
        </is>
      </c>
      <c r="I3" s="1" t="inlineStr">
        <is>
          <t>FY2024E</t>
        </is>
      </c>
      <c r="J3" s="1" t="inlineStr">
        <is>
          <t>FY2025A</t>
        </is>
      </c>
      <c r="K3" s="1" t="inlineStr">
        <is>
          <t>FY2025E</t>
        </is>
      </c>
      <c r="L3" s="1" t="inlineStr">
        <is>
          <t>FY2026E</t>
        </is>
      </c>
      <c r="M3" s="1" t="inlineStr">
        <is>
          <t>FY2027E</t>
        </is>
      </c>
      <c r="N3" s="1" t="inlineStr">
        <is>
          <t>FY2028E</t>
        </is>
      </c>
      <c r="O3" s="1" t="inlineStr">
        <is>
          <t>FY2029E</t>
        </is>
      </c>
      <c r="P3" s="1" t="inlineStr">
        <is>
          <t>FY2030E</t>
        </is>
      </c>
      <c r="Q3" s="1" t="inlineStr">
        <is>
          <t>FY2031E</t>
        </is>
      </c>
      <c r="R3" s="1" t="inlineStr">
        <is>
          <t>FY2032E</t>
        </is>
      </c>
      <c r="S3" s="1" t="inlineStr">
        <is>
          <t>FY2033E</t>
        </is>
      </c>
      <c r="T3" s="1" t="inlineStr">
        <is>
          <t>FY2034E</t>
        </is>
      </c>
      <c r="U3" s="1" t="inlineStr">
        <is>
          <t>FY2035E</t>
        </is>
      </c>
      <c r="V3" s="1" t="inlineStr">
        <is>
          <t>FY2036E</t>
        </is>
      </c>
      <c r="W3" s="1" t="inlineStr">
        <is>
          <t>FY2037E</t>
        </is>
      </c>
      <c r="X3" s="1" t="inlineStr">
        <is>
          <t>FY2038E</t>
        </is>
      </c>
      <c r="Y3" s="1" t="inlineStr">
        <is>
          <t>FY2039E</t>
        </is>
      </c>
      <c r="Z3" s="1" t="inlineStr">
        <is>
          <t>FY2040E</t>
        </is>
      </c>
      <c r="AA3" s="1" t="inlineStr">
        <is>
          <t>FY2041E</t>
        </is>
      </c>
      <c r="AB3" s="1" t="inlineStr">
        <is>
          <t>FY2042E</t>
        </is>
      </c>
      <c r="AC3" s="1" t="inlineStr">
        <is>
          <t>FY2043E</t>
        </is>
      </c>
      <c r="AD3" s="1" t="inlineStr">
        <is>
          <t>FY2044E</t>
        </is>
      </c>
      <c r="AE3" s="1" t="inlineStr">
        <is>
          <t>FY2045E</t>
        </is>
      </c>
      <c r="AF3" s="1" t="inlineStr">
        <is>
          <t>FY2046E</t>
        </is>
      </c>
      <c r="AG3" s="1" t="inlineStr">
        <is>
          <t>FY2047E</t>
        </is>
      </c>
      <c r="AH3" s="1" t="inlineStr">
        <is>
          <t>FY2048E</t>
        </is>
      </c>
      <c r="AI3" s="1" t="inlineStr">
        <is>
          <t>FY2049E</t>
        </is>
      </c>
      <c r="AJ3" s="1" t="inlineStr">
        <is>
          <t>FY2050E</t>
        </is>
      </c>
      <c r="AK3" s="1" t="inlineStr">
        <is>
          <t>FY2051E</t>
        </is>
      </c>
      <c r="AL3" s="1" t="inlineStr">
        <is>
          <t>FY2052E</t>
        </is>
      </c>
      <c r="AM3" s="1" t="inlineStr">
        <is>
          <t>FY2053E</t>
        </is>
      </c>
      <c r="AN3" s="1" t="inlineStr">
        <is>
          <t>FY2054E</t>
        </is>
      </c>
      <c r="AO3" s="1" t="inlineStr">
        <is>
          <t>FY2055E</t>
        </is>
      </c>
      <c r="AP3" s="1" t="inlineStr">
        <is>
          <t>FY2056E</t>
        </is>
      </c>
      <c r="AQ3" s="1" t="inlineStr">
        <is>
          <t>FY2057E</t>
        </is>
      </c>
      <c r="AR3" s="1" t="inlineStr">
        <is>
          <t>FY2058E</t>
        </is>
      </c>
      <c r="AS3" s="1" t="inlineStr">
        <is>
          <t>FY2059E</t>
        </is>
      </c>
      <c r="AT3" s="1" t="inlineStr">
        <is>
          <t>FY2060E</t>
        </is>
      </c>
      <c r="AU3" s="1" t="inlineStr">
        <is>
          <t>FY2061E</t>
        </is>
      </c>
      <c r="AV3" s="1" t="inlineStr">
        <is>
          <t>FY2062E</t>
        </is>
      </c>
      <c r="AW3" s="1" t="inlineStr">
        <is>
          <t>FY2063E</t>
        </is>
      </c>
      <c r="AX3" s="1" t="inlineStr">
        <is>
          <t>FY2064E</t>
        </is>
      </c>
      <c r="AY3" s="1" t="inlineStr">
        <is>
          <t>FY2065E</t>
        </is>
      </c>
      <c r="AZ3" s="1" t="inlineStr">
        <is>
          <t>FY2066E</t>
        </is>
      </c>
      <c r="BA3" s="1" t="inlineStr">
        <is>
          <t>FY2067E</t>
        </is>
      </c>
      <c r="BB3" s="1" t="inlineStr">
        <is>
          <t>FY2068E</t>
        </is>
      </c>
      <c r="BC3" s="1" t="inlineStr">
        <is>
          <t>FY2069E</t>
        </is>
      </c>
      <c r="BD3" s="1" t="inlineStr">
        <is>
          <t>FY2070E</t>
        </is>
      </c>
      <c r="BE3" s="1" t="inlineStr">
        <is>
          <t>FY2071E</t>
        </is>
      </c>
      <c r="BF3" s="1" t="inlineStr">
        <is>
          <t>FY2072E</t>
        </is>
      </c>
      <c r="BG3" s="1" t="inlineStr">
        <is>
          <t>FY2073E</t>
        </is>
      </c>
      <c r="BH3" s="1" t="inlineStr">
        <is>
          <t>FY2074E</t>
        </is>
      </c>
      <c r="BI3" s="1" t="inlineStr">
        <is>
          <t>FY2075E</t>
        </is>
      </c>
      <c r="BJ3" s="1" t="inlineStr">
        <is>
          <t>FY2076E</t>
        </is>
      </c>
      <c r="BK3" s="1" t="inlineStr">
        <is>
          <t>FY2077E</t>
        </is>
      </c>
      <c r="BL3" s="1" t="inlineStr">
        <is>
          <t>FY2078E</t>
        </is>
      </c>
      <c r="BM3" s="1" t="inlineStr">
        <is>
          <t>FY2079E</t>
        </is>
      </c>
      <c r="BN3" s="1" t="inlineStr">
        <is>
          <t>FY2080E</t>
        </is>
      </c>
      <c r="BO3" s="1" t="inlineStr">
        <is>
          <t>FY2081E</t>
        </is>
      </c>
      <c r="BP3" s="1" t="inlineStr">
        <is>
          <t>FY2082E</t>
        </is>
      </c>
      <c r="BQ3" s="1" t="inlineStr">
        <is>
          <t>FY2083E</t>
        </is>
      </c>
      <c r="BR3" s="1" t="inlineStr">
        <is>
          <t>FY2084E</t>
        </is>
      </c>
      <c r="BS3" s="1" t="inlineStr">
        <is>
          <t>FY2085E</t>
        </is>
      </c>
      <c r="BT3" s="1" t="inlineStr">
        <is>
          <t>FY2086E</t>
        </is>
      </c>
      <c r="BU3" s="1" t="inlineStr">
        <is>
          <t>FY2087E</t>
        </is>
      </c>
      <c r="BV3" s="1" t="inlineStr">
        <is>
          <t>FY2088E</t>
        </is>
      </c>
      <c r="BW3" s="1" t="inlineStr">
        <is>
          <t>FY2089E</t>
        </is>
      </c>
      <c r="BX3" s="1" t="inlineStr">
        <is>
          <t>FY2090E</t>
        </is>
      </c>
      <c r="BY3" s="1" t="inlineStr">
        <is>
          <t>FY2091E</t>
        </is>
      </c>
      <c r="BZ3" s="1" t="inlineStr">
        <is>
          <t>FY2092E</t>
        </is>
      </c>
      <c r="CA3" s="1" t="inlineStr">
        <is>
          <t>FY2093E</t>
        </is>
      </c>
      <c r="CB3" s="1" t="inlineStr">
        <is>
          <t>FY2094E</t>
        </is>
      </c>
      <c r="CC3" s="1" t="inlineStr">
        <is>
          <t>FY2095E</t>
        </is>
      </c>
    </row>
    <row r="4">
      <c r="A4" t="inlineStr">
        <is>
          <t>DMO price cap for coal sold to power plants</t>
        </is>
      </c>
      <c r="B4" t="inlineStr">
        <is>
          <t>d.coal.dmo_cap</t>
        </is>
      </c>
      <c r="C4" t="inlineStr">
        <is>
          <t>USD/t · reviewed</t>
        </is>
      </c>
      <c r="D4" s="3" t="n"/>
      <c r="E4" s="3" t="n"/>
      <c r="F4" s="3" t="n"/>
      <c r="G4" s="3" t="n">
        <v>70</v>
      </c>
      <c r="H4" s="3" t="n"/>
      <c r="I4" s="3" t="n">
        <v>70</v>
      </c>
      <c r="J4" s="3" t="n"/>
      <c r="K4" s="3" t="n">
        <v>70</v>
      </c>
      <c r="L4" s="3" t="n">
        <v>70</v>
      </c>
      <c r="M4" s="3" t="n">
        <v>70</v>
      </c>
      <c r="N4" s="3" t="n">
        <v>70</v>
      </c>
      <c r="O4" s="3" t="n">
        <v>70</v>
      </c>
      <c r="P4" s="3" t="n">
        <v>70</v>
      </c>
      <c r="Q4" s="3" t="n">
        <v>70</v>
      </c>
      <c r="R4" s="3" t="n">
        <v>70</v>
      </c>
      <c r="S4" s="3" t="n">
        <v>70</v>
      </c>
      <c r="T4" s="3" t="n">
        <v>70</v>
      </c>
      <c r="U4" s="3" t="n">
        <v>70</v>
      </c>
      <c r="V4" s="3" t="n">
        <v>70</v>
      </c>
      <c r="W4" s="3" t="n">
        <v>70</v>
      </c>
      <c r="X4" s="3" t="n">
        <v>70</v>
      </c>
      <c r="Y4" s="3" t="n">
        <v>70</v>
      </c>
      <c r="Z4" s="3" t="n">
        <v>70</v>
      </c>
      <c r="AA4" s="3" t="n">
        <v>70</v>
      </c>
      <c r="AB4" s="3" t="n">
        <v>70</v>
      </c>
      <c r="AC4" s="3" t="n">
        <v>70</v>
      </c>
      <c r="AD4" s="3" t="n">
        <v>70</v>
      </c>
      <c r="AE4" s="3" t="n">
        <v>70</v>
      </c>
      <c r="AF4" s="3" t="n">
        <v>70</v>
      </c>
      <c r="AG4" s="3" t="n">
        <v>70</v>
      </c>
      <c r="AH4" s="3" t="n">
        <v>70</v>
      </c>
      <c r="AI4" s="3" t="n">
        <v>70</v>
      </c>
      <c r="AJ4" s="3" t="n">
        <v>70</v>
      </c>
      <c r="AK4" s="3" t="n">
        <v>70</v>
      </c>
      <c r="AL4" s="3" t="n">
        <v>70</v>
      </c>
      <c r="AM4" s="3" t="n">
        <v>70</v>
      </c>
      <c r="AN4" s="3" t="n">
        <v>70</v>
      </c>
      <c r="AO4" s="3" t="n">
        <v>70</v>
      </c>
      <c r="AP4" s="3" t="n">
        <v>70</v>
      </c>
      <c r="AQ4" s="3" t="n">
        <v>70</v>
      </c>
      <c r="AR4" s="3" t="n">
        <v>70</v>
      </c>
      <c r="AS4" s="3" t="n">
        <v>70</v>
      </c>
      <c r="AT4" s="3" t="n">
        <v>70</v>
      </c>
      <c r="AU4" s="3" t="n">
        <v>70</v>
      </c>
      <c r="AV4" s="3" t="n">
        <v>70</v>
      </c>
      <c r="AW4" s="3" t="n">
        <v>70</v>
      </c>
      <c r="AX4" s="3" t="n">
        <v>70</v>
      </c>
      <c r="AY4" s="3" t="n">
        <v>70</v>
      </c>
      <c r="AZ4" s="3" t="n">
        <v>70</v>
      </c>
      <c r="BA4" s="3" t="n">
        <v>70</v>
      </c>
      <c r="BB4" s="3" t="n">
        <v>70</v>
      </c>
      <c r="BC4" s="3" t="n">
        <v>70</v>
      </c>
      <c r="BD4" s="3" t="n">
        <v>70</v>
      </c>
      <c r="BE4" s="3" t="n">
        <v>70</v>
      </c>
      <c r="BF4" s="3" t="n">
        <v>70</v>
      </c>
      <c r="BG4" s="3" t="n">
        <v>70</v>
      </c>
      <c r="BH4" s="3" t="n">
        <v>70</v>
      </c>
      <c r="BI4" s="3" t="n">
        <v>70</v>
      </c>
      <c r="BJ4" s="3" t="n">
        <v>70</v>
      </c>
      <c r="BK4" s="3" t="n">
        <v>70</v>
      </c>
      <c r="BL4" s="3" t="n">
        <v>70</v>
      </c>
      <c r="BM4" s="3" t="n">
        <v>70</v>
      </c>
      <c r="BN4" s="3" t="n">
        <v>70</v>
      </c>
      <c r="BO4" s="3" t="n">
        <v>70</v>
      </c>
      <c r="BP4" s="3" t="n">
        <v>70</v>
      </c>
      <c r="BQ4" s="3" t="n">
        <v>70</v>
      </c>
      <c r="BR4" s="3" t="n">
        <v>70</v>
      </c>
      <c r="BS4" s="3" t="n">
        <v>70</v>
      </c>
      <c r="BT4" s="3" t="n">
        <v>70</v>
      </c>
      <c r="BU4" s="3" t="n">
        <v>70</v>
      </c>
      <c r="BV4" s="3" t="n">
        <v>70</v>
      </c>
      <c r="BW4" s="3" t="n">
        <v>70</v>
      </c>
      <c r="BX4" s="3" t="n">
        <v>70</v>
      </c>
      <c r="BY4" s="3" t="n">
        <v>70</v>
      </c>
      <c r="BZ4" s="3" t="n">
        <v>70</v>
      </c>
      <c r="CA4" s="3" t="n">
        <v>70</v>
      </c>
      <c r="CB4" s="3" t="n">
        <v>70</v>
      </c>
      <c r="CC4" s="3" t="n">
        <v>70</v>
      </c>
    </row>
    <row r="5">
      <c r="A5" t="inlineStr">
        <is>
          <t>Harga Batubara Acuan (government reference price)</t>
        </is>
      </c>
      <c r="B5" t="inlineStr">
        <is>
          <t>d.coal.hba</t>
        </is>
      </c>
      <c r="C5" t="inlineStr">
        <is>
          <t>USD/t · reviewed</t>
        </is>
      </c>
      <c r="D5" s="3" t="n"/>
      <c r="E5" s="3" t="n"/>
      <c r="F5" s="3" t="n"/>
      <c r="G5" s="3" t="n">
        <v>105</v>
      </c>
      <c r="H5" s="3" t="n"/>
      <c r="I5" s="3" t="n">
        <v>105</v>
      </c>
      <c r="J5" s="3" t="n"/>
      <c r="K5" s="3" t="n">
        <v>105</v>
      </c>
      <c r="L5" s="3" t="n">
        <v>118</v>
      </c>
      <c r="M5" s="3" t="n">
        <v>112</v>
      </c>
      <c r="N5" s="3" t="n">
        <v>108</v>
      </c>
      <c r="O5" s="3" t="n">
        <v>105</v>
      </c>
      <c r="P5" s="3" t="n">
        <v>107.1</v>
      </c>
      <c r="Q5" s="3" t="n">
        <v>109.242</v>
      </c>
      <c r="R5" s="3" t="n">
        <v>111.42684</v>
      </c>
      <c r="S5" s="3" t="n">
        <v>113.6553768</v>
      </c>
      <c r="T5" s="3" t="n">
        <v>115.928484336</v>
      </c>
      <c r="U5" s="3" t="n">
        <v>118.24705402272</v>
      </c>
      <c r="V5" s="3" t="n">
        <v>120.6119951031744</v>
      </c>
      <c r="W5" s="3" t="n">
        <v>123.0242350052379</v>
      </c>
      <c r="X5" s="3" t="n">
        <v>125.4847197053427</v>
      </c>
      <c r="Y5" s="3" t="n">
        <v>127.9944140994495</v>
      </c>
      <c r="Z5" s="3" t="n">
        <v>130.5543023814385</v>
      </c>
      <c r="AA5" s="3" t="n">
        <v>133.1653884290673</v>
      </c>
      <c r="AB5" s="3" t="n">
        <v>135.8286961976486</v>
      </c>
      <c r="AC5" s="3" t="n">
        <v>138.5452701216016</v>
      </c>
      <c r="AD5" s="3" t="n">
        <v>141.3161755240336</v>
      </c>
      <c r="AE5" s="3" t="n">
        <v>144.1424990345143</v>
      </c>
      <c r="AF5" s="3" t="n">
        <v>147.0253490152046</v>
      </c>
      <c r="AG5" s="3" t="n">
        <v>149.9658559955087</v>
      </c>
      <c r="AH5" s="3" t="n">
        <v>152.9651731154189</v>
      </c>
      <c r="AI5" s="3" t="n">
        <v>156.0244765777273</v>
      </c>
      <c r="AJ5" s="3" t="n">
        <v>159.1449661092818</v>
      </c>
      <c r="AK5" s="3" t="n">
        <v>162.3278654314674</v>
      </c>
      <c r="AL5" s="3" t="n">
        <v>165.5744227400968</v>
      </c>
      <c r="AM5" s="3" t="n">
        <v>168.8859111948987</v>
      </c>
      <c r="AN5" s="3" t="n">
        <v>172.2636294187967</v>
      </c>
      <c r="AO5" s="3" t="n">
        <v>175.7089020071726</v>
      </c>
      <c r="AP5" s="3" t="n">
        <v>179.2230800473161</v>
      </c>
      <c r="AQ5" s="3" t="n">
        <v>182.8075416482625</v>
      </c>
      <c r="AR5" s="3" t="n">
        <v>186.4636924812277</v>
      </c>
      <c r="AS5" s="3" t="n">
        <v>190.1929663308522</v>
      </c>
      <c r="AT5" s="3" t="n">
        <v>193.9968256574693</v>
      </c>
      <c r="AU5" s="3" t="n">
        <v>197.8767621706187</v>
      </c>
      <c r="AV5" s="3" t="n">
        <v>201.8342974140311</v>
      </c>
      <c r="AW5" s="3" t="n">
        <v>205.8709833623117</v>
      </c>
      <c r="AX5" s="3" t="n">
        <v>209.9884030295579</v>
      </c>
      <c r="AY5" s="3" t="n">
        <v>214.1881710901491</v>
      </c>
      <c r="AZ5" s="3" t="n">
        <v>218.4719345119521</v>
      </c>
      <c r="BA5" s="3" t="n">
        <v>222.8413732021911</v>
      </c>
      <c r="BB5" s="3" t="n">
        <v>227.2982006662349</v>
      </c>
      <c r="BC5" s="3" t="n">
        <v>231.8441646795596</v>
      </c>
      <c r="BD5" s="3" t="n">
        <v>236.4810479731509</v>
      </c>
      <c r="BE5" s="3" t="n">
        <v>241.2106689326139</v>
      </c>
      <c r="BF5" s="3" t="n">
        <v>246.0348823112662</v>
      </c>
      <c r="BG5" s="3" t="n">
        <v>250.9555799574915</v>
      </c>
      <c r="BH5" s="3" t="n">
        <v>255.9746915566413</v>
      </c>
      <c r="BI5" s="3" t="n">
        <v>261.0941853877741</v>
      </c>
      <c r="BJ5" s="3" t="n">
        <v>266.3160690955296</v>
      </c>
      <c r="BK5" s="3" t="n">
        <v>271.6423904774402</v>
      </c>
      <c r="BL5" s="3" t="n">
        <v>277.075238286989</v>
      </c>
      <c r="BM5" s="3" t="n">
        <v>282.6167430527289</v>
      </c>
      <c r="BN5" s="3" t="n">
        <v>288.2690779137834</v>
      </c>
      <c r="BO5" s="3" t="n">
        <v>294.0344594720591</v>
      </c>
      <c r="BP5" s="3" t="n">
        <v>299.9151486615002</v>
      </c>
      <c r="BQ5" s="3" t="n">
        <v>305.9134516347303</v>
      </c>
      <c r="BR5" s="3" t="n">
        <v>312.0317206674249</v>
      </c>
      <c r="BS5" s="3" t="n">
        <v>318.2723550807734</v>
      </c>
      <c r="BT5" s="3" t="n">
        <v>324.6378021823888</v>
      </c>
      <c r="BU5" s="3" t="n">
        <v>331.1305582260367</v>
      </c>
      <c r="BV5" s="3" t="n">
        <v>337.7531693905574</v>
      </c>
      <c r="BW5" s="3" t="n">
        <v>344.5082327783686</v>
      </c>
      <c r="BX5" s="3" t="n">
        <v>351.3983974339359</v>
      </c>
      <c r="BY5" s="3" t="n">
        <v>358.4263653826146</v>
      </c>
      <c r="BZ5" s="3" t="n">
        <v>365.5948926902669</v>
      </c>
      <c r="CA5" s="3" t="n">
        <v>372.9067905440723</v>
      </c>
      <c r="CB5" s="3" t="n">
        <v>380.3649263549538</v>
      </c>
      <c r="CC5" s="3" t="n">
        <v>387.9722248820528</v>
      </c>
    </row>
    <row r="6">
      <c r="A6" t="inlineStr">
        <is>
          <t>Newcastle 6,000 kcal/kg NAR thermal coal</t>
        </is>
      </c>
      <c r="B6" t="inlineStr">
        <is>
          <t>d.coal.newc</t>
        </is>
      </c>
      <c r="C6" t="inlineStr">
        <is>
          <t>USD/t · reviewed</t>
        </is>
      </c>
      <c r="D6" s="3" t="n"/>
      <c r="E6" s="3" t="n"/>
      <c r="F6" s="3" t="n"/>
      <c r="G6" s="3" t="n">
        <v>105</v>
      </c>
      <c r="H6" s="3" t="n">
        <v>136.1</v>
      </c>
      <c r="I6" s="3" t="n">
        <v>105</v>
      </c>
      <c r="J6" s="3" t="n">
        <v>108.4</v>
      </c>
      <c r="K6" s="3" t="n">
        <v>105</v>
      </c>
      <c r="L6" s="3" t="n">
        <v>137</v>
      </c>
      <c r="M6" s="3" t="n">
        <v>118</v>
      </c>
      <c r="N6" s="3" t="n">
        <v>110</v>
      </c>
      <c r="O6" s="3" t="n">
        <v>105</v>
      </c>
      <c r="P6" s="3" t="n">
        <v>107.1</v>
      </c>
      <c r="Q6" s="3" t="n">
        <v>109.242</v>
      </c>
      <c r="R6" s="3" t="n">
        <v>111.42684</v>
      </c>
      <c r="S6" s="3" t="n">
        <v>113.6553768</v>
      </c>
      <c r="T6" s="3" t="n">
        <v>115.928484336</v>
      </c>
      <c r="U6" s="3" t="n">
        <v>118.24705402272</v>
      </c>
      <c r="V6" s="3" t="n">
        <v>120.6119951031744</v>
      </c>
      <c r="W6" s="3" t="n">
        <v>123.0242350052379</v>
      </c>
      <c r="X6" s="3" t="n">
        <v>125.4847197053427</v>
      </c>
      <c r="Y6" s="3" t="n">
        <v>127.9944140994495</v>
      </c>
      <c r="Z6" s="3" t="n">
        <v>130.5543023814385</v>
      </c>
      <c r="AA6" s="3" t="n">
        <v>133.1653884290673</v>
      </c>
      <c r="AB6" s="3" t="n">
        <v>135.8286961976486</v>
      </c>
      <c r="AC6" s="3" t="n">
        <v>138.5452701216016</v>
      </c>
      <c r="AD6" s="3" t="n">
        <v>141.3161755240336</v>
      </c>
      <c r="AE6" s="3" t="n">
        <v>144.1424990345143</v>
      </c>
      <c r="AF6" s="3" t="n">
        <v>147.0253490152046</v>
      </c>
      <c r="AG6" s="3" t="n">
        <v>149.9658559955087</v>
      </c>
      <c r="AH6" s="3" t="n">
        <v>152.9651731154189</v>
      </c>
      <c r="AI6" s="3" t="n">
        <v>156.0244765777273</v>
      </c>
      <c r="AJ6" s="3" t="n">
        <v>159.1449661092818</v>
      </c>
      <c r="AK6" s="3" t="n">
        <v>162.3278654314674</v>
      </c>
      <c r="AL6" s="3" t="n">
        <v>165.5744227400968</v>
      </c>
      <c r="AM6" s="3" t="n">
        <v>168.8859111948987</v>
      </c>
      <c r="AN6" s="3" t="n">
        <v>172.2636294187967</v>
      </c>
      <c r="AO6" s="3" t="n">
        <v>175.7089020071726</v>
      </c>
      <c r="AP6" s="3" t="n">
        <v>179.2230800473161</v>
      </c>
      <c r="AQ6" s="3" t="n">
        <v>182.8075416482625</v>
      </c>
      <c r="AR6" s="3" t="n">
        <v>186.4636924812277</v>
      </c>
      <c r="AS6" s="3" t="n">
        <v>190.1929663308522</v>
      </c>
      <c r="AT6" s="3" t="n">
        <v>193.9968256574693</v>
      </c>
      <c r="AU6" s="3" t="n">
        <v>197.8767621706187</v>
      </c>
      <c r="AV6" s="3" t="n">
        <v>201.8342974140311</v>
      </c>
      <c r="AW6" s="3" t="n">
        <v>205.8709833623117</v>
      </c>
      <c r="AX6" s="3" t="n">
        <v>209.9884030295579</v>
      </c>
      <c r="AY6" s="3" t="n">
        <v>214.1881710901491</v>
      </c>
      <c r="AZ6" s="3" t="n">
        <v>218.4719345119521</v>
      </c>
      <c r="BA6" s="3" t="n">
        <v>222.8413732021911</v>
      </c>
      <c r="BB6" s="3" t="n">
        <v>227.2982006662349</v>
      </c>
      <c r="BC6" s="3" t="n">
        <v>231.8441646795596</v>
      </c>
      <c r="BD6" s="3" t="n">
        <v>236.4810479731509</v>
      </c>
      <c r="BE6" s="3" t="n">
        <v>241.2106689326139</v>
      </c>
      <c r="BF6" s="3" t="n">
        <v>246.0348823112662</v>
      </c>
      <c r="BG6" s="3" t="n">
        <v>250.9555799574915</v>
      </c>
      <c r="BH6" s="3" t="n">
        <v>255.9746915566413</v>
      </c>
      <c r="BI6" s="3" t="n">
        <v>261.0941853877741</v>
      </c>
      <c r="BJ6" s="3" t="n">
        <v>266.3160690955296</v>
      </c>
      <c r="BK6" s="3" t="n">
        <v>271.6423904774402</v>
      </c>
      <c r="BL6" s="3" t="n">
        <v>277.075238286989</v>
      </c>
      <c r="BM6" s="3" t="n">
        <v>282.6167430527289</v>
      </c>
      <c r="BN6" s="3" t="n">
        <v>288.2690779137834</v>
      </c>
      <c r="BO6" s="3" t="n">
        <v>294.0344594720591</v>
      </c>
      <c r="BP6" s="3" t="n">
        <v>299.9151486615002</v>
      </c>
      <c r="BQ6" s="3" t="n">
        <v>305.9134516347303</v>
      </c>
      <c r="BR6" s="3" t="n">
        <v>312.0317206674249</v>
      </c>
      <c r="BS6" s="3" t="n">
        <v>318.2723550807734</v>
      </c>
      <c r="BT6" s="3" t="n">
        <v>324.6378021823888</v>
      </c>
      <c r="BU6" s="3" t="n">
        <v>331.1305582260367</v>
      </c>
      <c r="BV6" s="3" t="n">
        <v>337.7531693905574</v>
      </c>
      <c r="BW6" s="3" t="n">
        <v>344.5082327783686</v>
      </c>
      <c r="BX6" s="3" t="n">
        <v>351.3983974339359</v>
      </c>
      <c r="BY6" s="3" t="n">
        <v>358.4263653826146</v>
      </c>
      <c r="BZ6" s="3" t="n">
        <v>365.5948926902669</v>
      </c>
      <c r="CA6" s="3" t="n">
        <v>372.9067905440723</v>
      </c>
      <c r="CB6" s="3" t="n">
        <v>380.3649263549538</v>
      </c>
      <c r="CC6" s="3" t="n">
        <v>387.9722248820528</v>
      </c>
    </row>
    <row r="7">
      <c r="A7" t="inlineStr">
        <is>
          <t>IDR per USD</t>
        </is>
      </c>
      <c r="B7" t="inlineStr">
        <is>
          <t>m.usd_idr</t>
        </is>
      </c>
      <c r="C7" t="inlineStr">
        <is>
          <t>IDR/USD · reviewed</t>
        </is>
      </c>
      <c r="D7" s="3" t="n">
        <v>14310.5396</v>
      </c>
      <c r="E7" s="3" t="n">
        <v>14843.1773</v>
      </c>
      <c r="F7" s="3" t="n">
        <v>15228.8</v>
      </c>
      <c r="G7" s="3" t="n">
        <v>19000</v>
      </c>
      <c r="H7" s="3" t="n">
        <v>15846.2378</v>
      </c>
      <c r="I7" s="3" t="n">
        <v>19000</v>
      </c>
      <c r="J7" s="3" t="n">
        <v>16448.0929</v>
      </c>
      <c r="K7" s="3" t="n">
        <v>19000</v>
      </c>
      <c r="L7" s="3" t="n">
        <v>17570</v>
      </c>
      <c r="M7" s="3" t="n">
        <v>18350</v>
      </c>
      <c r="N7" s="3" t="n">
        <v>18600</v>
      </c>
      <c r="O7" s="3" t="n">
        <v>18850</v>
      </c>
      <c r="P7" s="3" t="n">
        <v>19093.13725490196</v>
      </c>
      <c r="Q7" s="3" t="n">
        <v>19186.73106497501</v>
      </c>
      <c r="R7" s="3" t="n">
        <v>19280.78366823469</v>
      </c>
      <c r="S7" s="3" t="n">
        <v>19375.29731366722</v>
      </c>
      <c r="T7" s="3" t="n">
        <v>19470.27426128323</v>
      </c>
      <c r="U7" s="3" t="n">
        <v>19565.71678217187</v>
      </c>
      <c r="V7" s="3" t="n">
        <v>19661.62715855507</v>
      </c>
      <c r="W7" s="3" t="n">
        <v>19758.0076838421</v>
      </c>
      <c r="X7" s="3" t="n">
        <v>19854.86066268446</v>
      </c>
      <c r="Y7" s="3" t="n">
        <v>19952.18841103096</v>
      </c>
      <c r="Z7" s="3" t="n">
        <v>20049.99325618306</v>
      </c>
      <c r="AA7" s="3" t="n">
        <v>20148.27753685063</v>
      </c>
      <c r="AB7" s="3" t="n">
        <v>20247.04360320774</v>
      </c>
      <c r="AC7" s="3" t="n">
        <v>20346.29381694896</v>
      </c>
      <c r="AD7" s="3" t="n">
        <v>20446.03055134577</v>
      </c>
      <c r="AE7" s="3" t="n">
        <v>20546.25619130334</v>
      </c>
      <c r="AF7" s="3" t="n">
        <v>20646.97313341757</v>
      </c>
      <c r="AG7" s="3" t="n">
        <v>20748.18378603236</v>
      </c>
      <c r="AH7" s="3" t="n">
        <v>20849.89056929723</v>
      </c>
      <c r="AI7" s="3" t="n">
        <v>20952.09591522516</v>
      </c>
      <c r="AJ7" s="3" t="n">
        <v>21054.80226775077</v>
      </c>
      <c r="AK7" s="3" t="n">
        <v>21158.01208278876</v>
      </c>
      <c r="AL7" s="3" t="n">
        <v>21261.72782829263</v>
      </c>
      <c r="AM7" s="3" t="n">
        <v>21365.95198431367</v>
      </c>
      <c r="AN7" s="3" t="n">
        <v>21470.6870430603</v>
      </c>
      <c r="AO7" s="3" t="n">
        <v>21575.93550895766</v>
      </c>
      <c r="AP7" s="3" t="n">
        <v>21681.69989870745</v>
      </c>
      <c r="AQ7" s="3" t="n">
        <v>21787.98274134817</v>
      </c>
      <c r="AR7" s="3" t="n">
        <v>21894.78657831556</v>
      </c>
      <c r="AS7" s="3" t="n">
        <v>22002.11396350339</v>
      </c>
      <c r="AT7" s="3" t="n">
        <v>22109.96746332448</v>
      </c>
      <c r="AU7" s="3" t="n">
        <v>22218.34965677215</v>
      </c>
      <c r="AV7" s="3" t="n">
        <v>22327.26313548182</v>
      </c>
      <c r="AW7" s="3" t="n">
        <v>22436.710503793</v>
      </c>
      <c r="AX7" s="3" t="n">
        <v>22546.6943788116</v>
      </c>
      <c r="AY7" s="3" t="n">
        <v>22657.21739047244</v>
      </c>
      <c r="AZ7" s="3" t="n">
        <v>22768.2821816022</v>
      </c>
      <c r="BA7" s="3" t="n">
        <v>22879.89140798261</v>
      </c>
      <c r="BB7" s="3" t="n">
        <v>22992.04773841389</v>
      </c>
      <c r="BC7" s="3" t="n">
        <v>23104.75385477867</v>
      </c>
      <c r="BD7" s="3" t="n">
        <v>23218.01245210601</v>
      </c>
      <c r="BE7" s="3" t="n">
        <v>23331.82623863595</v>
      </c>
      <c r="BF7" s="3" t="n">
        <v>23446.19793588416</v>
      </c>
      <c r="BG7" s="3" t="n">
        <v>23561.13027870712</v>
      </c>
      <c r="BH7" s="3" t="n">
        <v>23676.62601536745</v>
      </c>
      <c r="BI7" s="3" t="n">
        <v>23792.68790759964</v>
      </c>
      <c r="BJ7" s="3" t="n">
        <v>23909.31873067611</v>
      </c>
      <c r="BK7" s="3" t="n">
        <v>24026.52127347354</v>
      </c>
      <c r="BL7" s="3" t="n">
        <v>24144.29833853959</v>
      </c>
      <c r="BM7" s="3" t="n">
        <v>24262.65274215988</v>
      </c>
      <c r="BN7" s="3" t="n">
        <v>24381.58731442537</v>
      </c>
      <c r="BO7" s="3" t="n">
        <v>24501.1048993</v>
      </c>
      <c r="BP7" s="3" t="n">
        <v>24621.20835468873</v>
      </c>
      <c r="BQ7" s="3" t="n">
        <v>24741.90055250583</v>
      </c>
      <c r="BR7" s="3" t="n">
        <v>24863.1843787436</v>
      </c>
      <c r="BS7" s="3" t="n">
        <v>24985.06273354136</v>
      </c>
      <c r="BT7" s="3" t="n">
        <v>25107.5385312548</v>
      </c>
      <c r="BU7" s="3" t="n">
        <v>25230.61470052566</v>
      </c>
      <c r="BV7" s="3" t="n">
        <v>25354.29418435177</v>
      </c>
      <c r="BW7" s="3" t="n">
        <v>25478.57994015741</v>
      </c>
      <c r="BX7" s="3" t="n">
        <v>25603.47493986406</v>
      </c>
      <c r="BY7" s="3" t="n">
        <v>25728.98216996143</v>
      </c>
      <c r="BZ7" s="3" t="n">
        <v>25855.1046315789</v>
      </c>
      <c r="CA7" s="3" t="n">
        <v>25981.84534055722</v>
      </c>
      <c r="CB7" s="3" t="n">
        <v>26109.20732752073</v>
      </c>
      <c r="CC7" s="3" t="n">
        <v>26237.19363794976</v>
      </c>
    </row>
    <row r="8">
      <c r="A8" t="inlineStr">
        <is>
          <t>Brent crude</t>
        </is>
      </c>
      <c r="B8" t="inlineStr">
        <is>
          <t>d.oil.brent</t>
        </is>
      </c>
      <c r="C8" t="inlineStr">
        <is>
          <t>USD/bbl · reviewed</t>
        </is>
      </c>
      <c r="D8" s="3" t="n">
        <v>70.9538</v>
      </c>
      <c r="E8" s="3" t="n">
        <v>98.9663</v>
      </c>
      <c r="F8" s="3" t="n">
        <v>82.1904</v>
      </c>
      <c r="G8" s="3" t="n">
        <v>75</v>
      </c>
      <c r="H8" s="3" t="n">
        <v>79.82129999999999</v>
      </c>
      <c r="I8" s="3" t="n">
        <v>75</v>
      </c>
      <c r="J8" s="3" t="n">
        <v>68.1015</v>
      </c>
      <c r="K8" s="3" t="n">
        <v>75</v>
      </c>
      <c r="L8" s="3" t="n">
        <v>96</v>
      </c>
      <c r="M8" s="3" t="n">
        <v>84</v>
      </c>
      <c r="N8" s="3" t="n">
        <v>80</v>
      </c>
      <c r="O8" s="3" t="n">
        <v>78</v>
      </c>
      <c r="P8" s="3" t="n">
        <v>76.5</v>
      </c>
      <c r="Q8" s="3" t="n">
        <v>78.03</v>
      </c>
      <c r="R8" s="3" t="n">
        <v>79.59060000000001</v>
      </c>
      <c r="S8" s="3" t="n">
        <v>81.182412</v>
      </c>
      <c r="T8" s="3" t="n">
        <v>82.80606024000001</v>
      </c>
      <c r="U8" s="3" t="n">
        <v>84.46218144480001</v>
      </c>
      <c r="V8" s="3" t="n">
        <v>86.151425073696</v>
      </c>
      <c r="W8" s="3" t="n">
        <v>87.87445357516994</v>
      </c>
      <c r="X8" s="3" t="n">
        <v>89.63194264667332</v>
      </c>
      <c r="Y8" s="3" t="n">
        <v>91.4245814996068</v>
      </c>
      <c r="Z8" s="3" t="n">
        <v>93.25307312959893</v>
      </c>
      <c r="AA8" s="3" t="n">
        <v>95.11813459219091</v>
      </c>
      <c r="AB8" s="3" t="n">
        <v>97.02049728403475</v>
      </c>
      <c r="AC8" s="3" t="n">
        <v>98.96090722971543</v>
      </c>
      <c r="AD8" s="3" t="n">
        <v>100.9401253743097</v>
      </c>
      <c r="AE8" s="3" t="n">
        <v>102.9589278817959</v>
      </c>
      <c r="AF8" s="3" t="n">
        <v>105.0181064394319</v>
      </c>
      <c r="AG8" s="3" t="n">
        <v>107.1184685682205</v>
      </c>
      <c r="AH8" s="3" t="n">
        <v>109.2608379395849</v>
      </c>
      <c r="AI8" s="3" t="n">
        <v>111.4460546983766</v>
      </c>
      <c r="AJ8" s="3" t="n">
        <v>113.6749757923441</v>
      </c>
      <c r="AK8" s="3" t="n">
        <v>115.948475308191</v>
      </c>
      <c r="AL8" s="3" t="n">
        <v>118.2674448143549</v>
      </c>
      <c r="AM8" s="3" t="n">
        <v>120.632793710642</v>
      </c>
      <c r="AN8" s="3" t="n">
        <v>123.0454495848548</v>
      </c>
      <c r="AO8" s="3" t="n">
        <v>125.5063585765519</v>
      </c>
      <c r="AP8" s="3" t="n">
        <v>128.0164857480829</v>
      </c>
      <c r="AQ8" s="3" t="n">
        <v>130.5768154630446</v>
      </c>
      <c r="AR8" s="3" t="n">
        <v>133.1883517723055</v>
      </c>
      <c r="AS8" s="3" t="n">
        <v>135.8521188077516</v>
      </c>
      <c r="AT8" s="3" t="n">
        <v>138.5691611839066</v>
      </c>
      <c r="AU8" s="3" t="n">
        <v>141.3405444075848</v>
      </c>
      <c r="AV8" s="3" t="n">
        <v>144.1673552957365</v>
      </c>
      <c r="AW8" s="3" t="n">
        <v>147.0507024016512</v>
      </c>
      <c r="AX8" s="3" t="n">
        <v>149.9917164496842</v>
      </c>
      <c r="AY8" s="3" t="n">
        <v>152.9915507786779</v>
      </c>
      <c r="AZ8" s="3" t="n">
        <v>156.0513817942515</v>
      </c>
      <c r="BA8" s="3" t="n">
        <v>159.1724094301365</v>
      </c>
      <c r="BB8" s="3" t="n">
        <v>162.3558576187392</v>
      </c>
      <c r="BC8" s="3" t="n">
        <v>165.602974771114</v>
      </c>
      <c r="BD8" s="3" t="n">
        <v>168.9150342665363</v>
      </c>
      <c r="BE8" s="3" t="n">
        <v>172.2933349518671</v>
      </c>
      <c r="BF8" s="3" t="n">
        <v>175.7392016509044</v>
      </c>
      <c r="BG8" s="3" t="n">
        <v>179.2539856839225</v>
      </c>
      <c r="BH8" s="3" t="n">
        <v>182.8390653976009</v>
      </c>
      <c r="BI8" s="3" t="n">
        <v>186.4958467055529</v>
      </c>
      <c r="BJ8" s="3" t="n">
        <v>190.225763639664</v>
      </c>
      <c r="BK8" s="3" t="n">
        <v>194.0302789124573</v>
      </c>
      <c r="BL8" s="3" t="n">
        <v>197.9108844907065</v>
      </c>
      <c r="BM8" s="3" t="n">
        <v>201.8691021805206</v>
      </c>
      <c r="BN8" s="3" t="n">
        <v>205.906484224131</v>
      </c>
      <c r="BO8" s="3" t="n">
        <v>210.0246139086136</v>
      </c>
      <c r="BP8" s="3" t="n">
        <v>214.2251061867859</v>
      </c>
      <c r="BQ8" s="3" t="n">
        <v>218.5096083105216</v>
      </c>
      <c r="BR8" s="3" t="n">
        <v>222.8798004767321</v>
      </c>
      <c r="BS8" s="3" t="n">
        <v>227.3373964862667</v>
      </c>
      <c r="BT8" s="3" t="n">
        <v>231.884144415992</v>
      </c>
      <c r="BU8" s="3" t="n">
        <v>236.5218273043119</v>
      </c>
      <c r="BV8" s="3" t="n">
        <v>241.2522638503981</v>
      </c>
      <c r="BW8" s="3" t="n">
        <v>246.0773091274061</v>
      </c>
      <c r="BX8" s="3" t="n">
        <v>250.9988553099542</v>
      </c>
      <c r="BY8" s="3" t="n">
        <v>256.0188324161533</v>
      </c>
      <c r="BZ8" s="3" t="n">
        <v>261.1392090644763</v>
      </c>
      <c r="CA8" s="3" t="n">
        <v>266.3619932457659</v>
      </c>
      <c r="CB8" s="3" t="n">
        <v>271.6892331106812</v>
      </c>
      <c r="CC8" s="3" t="n">
        <v>277.1230177728949</v>
      </c>
    </row>
    <row r="10">
      <c r="A10" s="1" t="inlineStr">
        <is>
          <t>Cost-of-capital scalars (macro deck)</t>
        </is>
      </c>
    </row>
    <row r="11">
      <c r="A11" t="inlineStr">
        <is>
          <t>10-year Indonesian government bond yield (IDR)</t>
        </is>
      </c>
      <c r="B11" t="inlineStr">
        <is>
          <t>m.rf_idr</t>
        </is>
      </c>
      <c r="C11" s="4" t="n">
        <v>0.0745</v>
      </c>
      <c r="D11" s="5" t="inlineStr">
        <is>
          <t>investor.id — "Yield SUN 7,45%, Saatnya Borong atau Tunggu Lebih Tinggi?" (25 Okt 2026 20:58 WIB; deck source S3); corroborated by kalderanews S1 (10Y SUN 7.41%</t>
        </is>
      </c>
    </row>
    <row r="12">
      <c r="A12" t="inlineStr">
        <is>
          <t>10-year US Treasury yield</t>
        </is>
      </c>
      <c r="B12" t="inlineStr">
        <is>
          <t>m.rf_usd</t>
        </is>
      </c>
      <c r="C12" s="4" t="n">
        <v>0.04989</v>
      </c>
      <c r="D12" s="5" t="inlineStr">
        <is>
          <t>Yahoo Finance ^TNX (US 10-year Treasury yield)</t>
        </is>
      </c>
    </row>
    <row r="13">
      <c r="A13" t="inlineStr">
        <is>
          <t>Indonesia sovereign default spread (Damodaran)</t>
        </is>
      </c>
      <c r="B13" t="inlineStr">
        <is>
          <t>m.default_spread_id</t>
        </is>
      </c>
      <c r="C13" s="4" t="n">
        <v>0.0162</v>
      </c>
      <c r="D13" s="5" t="inlineStr">
        <is>
          <t>Damodaran country risk premiums (https://pages.stern.nyu.edu/~adamodar/New_Home_Page/datafile/ctryprem.html), page dated January 5, 2026, read 2026-10-30</t>
        </is>
      </c>
    </row>
    <row r="14">
      <c r="A14" t="inlineStr">
        <is>
          <t>Mature-market equity risk premium (Damodaran)</t>
        </is>
      </c>
      <c r="B14" t="inlineStr">
        <is>
          <t>m.erp_mature</t>
        </is>
      </c>
      <c r="C14" s="4" t="n">
        <v>0.0423</v>
      </c>
      <c r="D14" s="5" t="inlineStr">
        <is>
          <t>Damodaran country risk premiums (https://pages.stern.nyu.edu/~adamodar/New_Home_Page/datafile/ctryprem.html), page dated January 5, 2026, read 2026-10-30</t>
        </is>
      </c>
    </row>
    <row r="15">
      <c r="A15" t="inlineStr">
        <is>
          <t>Indonesia country risk premium (Damodaran)</t>
        </is>
      </c>
      <c r="B15" t="inlineStr">
        <is>
          <t>m.crp_id</t>
        </is>
      </c>
      <c r="C15" s="4" t="n">
        <v>0.0246</v>
      </c>
      <c r="D15" s="5" t="inlineStr">
        <is>
          <t>Damodaran country risk premiums (https://pages.stern.nyu.edu/~adamodar/New_Home_Page/datafile/ctryprem.html), page dated January 5, 2026, read 2026-10-30</t>
        </is>
      </c>
    </row>
    <row r="16">
      <c r="A16" t="inlineStr">
        <is>
          <t>House pre-tax corporate debt spread over the risk-free</t>
        </is>
      </c>
      <c r="B16" t="inlineStr">
        <is>
          <t>m.debt_spread_corp</t>
        </is>
      </c>
      <c r="C16" s="4" t="n">
        <v>0.02</v>
      </c>
      <c r="D16" s="5" t="inlineStr">
        <is>
          <t>SEED house assumption pending the macro desk: 200 bp over the risk-free rate for an average IDX corporate borrower</t>
        </is>
      </c>
    </row>
    <row r="17">
      <c r="A17" t="inlineStr">
        <is>
          <t>Indonesia statutory corporate income tax rate</t>
        </is>
      </c>
      <c r="B17" t="inlineStr">
        <is>
          <t>m.tax_rate_id</t>
        </is>
      </c>
      <c r="C17" s="4" t="n">
        <v>0.22</v>
      </c>
      <c r="D17" s="5" t="inlineStr">
        <is>
          <t>Law 7/2021 on Harmonisation of Tax Regulations (UU HPP): 22% corporate income tax from fiscal 2022</t>
        </is>
      </c>
    </row>
    <row r="19">
      <c r="A19" s="1" t="inlineStr">
        <is>
          <t>Table coal.royalty_iup_high: IUP open-pit coal royalty by HBA band — above 5,200 kcal/kg GAR</t>
        </is>
      </c>
    </row>
    <row r="20">
      <c r="B20" s="6" t="n">
        <v>0</v>
      </c>
      <c r="C20" s="4" t="n">
        <v>0.095</v>
      </c>
    </row>
    <row r="21">
      <c r="B21" s="6" t="n">
        <v>70</v>
      </c>
      <c r="C21" s="4" t="n">
        <v>0.115</v>
      </c>
    </row>
    <row r="22">
      <c r="B22" s="6" t="n">
        <v>90</v>
      </c>
      <c r="C22" s="4" t="n">
        <v>0.135</v>
      </c>
    </row>
    <row r="24">
      <c r="A24" s="1" t="inlineStr">
        <is>
          <t>Table coal.royalty_iupk: IUPK (ex-PKP2B) coal royalty rate by HBA band</t>
        </is>
      </c>
    </row>
    <row r="25">
      <c r="B25" s="6" t="n">
        <v>0</v>
      </c>
      <c r="C25" s="4" t="n">
        <v>0.15</v>
      </c>
    </row>
    <row r="26">
      <c r="B26" s="6" t="n">
        <v>70</v>
      </c>
      <c r="C26" s="4" t="n">
        <v>0.18</v>
      </c>
    </row>
    <row r="27">
      <c r="B27" s="6" t="n">
        <v>120</v>
      </c>
      <c r="C27" s="4" t="n">
        <v>0.19</v>
      </c>
    </row>
    <row r="28">
      <c r="B28" s="6" t="n">
        <v>140</v>
      </c>
      <c r="C28" s="4" t="n">
        <v>0.22</v>
      </c>
    </row>
    <row r="29">
      <c r="B29" s="6" t="n">
        <v>160</v>
      </c>
      <c r="C29" s="4" t="n">
        <v>0.25</v>
      </c>
    </row>
    <row r="30">
      <c r="B30" s="6" t="n">
        <v>180</v>
      </c>
      <c r="C30" s="4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Rating</t>
        </is>
      </c>
      <c r="D1" s="1" t="inlineStr">
        <is>
          <t>Target (IDR)</t>
        </is>
      </c>
      <c r="E1" s="1" t="inlineStr">
        <is>
          <t>Price (IDR)</t>
        </is>
      </c>
      <c r="F1" s="1" t="inlineStr">
        <is>
          <t>Exp. 12m TR</t>
        </is>
      </c>
      <c r="G1" s="1" t="inlineStr">
        <is>
          <t>Value today</t>
        </is>
      </c>
      <c r="H1" s="1" t="inlineStr">
        <is>
          <t>P/E FY+0</t>
        </is>
      </c>
      <c r="I1" s="1" t="inlineStr">
        <is>
          <t>EV/EBITDA FY+0</t>
        </is>
      </c>
      <c r="J1" s="1" t="inlineStr">
        <is>
          <t>Div. yield FY+0</t>
        </is>
      </c>
    </row>
    <row r="2">
      <c r="A2" t="inlineStr">
        <is>
          <t>AADI.JK</t>
        </is>
      </c>
      <c r="B2" t="inlineStr">
        <is>
          <t>PT Adaro Andalan Indonesia Tbk</t>
        </is>
      </c>
      <c r="C2" s="7">
        <f>'AADI'!$C$157</f>
        <v/>
      </c>
      <c r="D2" s="8">
        <f>'AADI'!$C$155</f>
        <v/>
      </c>
      <c r="E2" s="8">
        <f>'AADI'!$C$102</f>
        <v/>
      </c>
      <c r="F2" s="9">
        <f>'AADI'!$C$156</f>
        <v/>
      </c>
      <c r="G2" s="8">
        <f>'AADI'!$C$145</f>
        <v/>
      </c>
      <c r="H2" s="10" t="n">
        <v>3.903612</v>
      </c>
      <c r="I2" s="10" t="n">
        <v>2.2336</v>
      </c>
      <c r="J2" s="11" t="n">
        <v>0.217747</v>
      </c>
    </row>
    <row r="3">
      <c r="A3" t="inlineStr">
        <is>
          <t>ADMR.JK</t>
        </is>
      </c>
      <c r="B3" t="inlineStr">
        <is>
          <t>PT Alamtri Minerals Indonesia Tbk</t>
        </is>
      </c>
      <c r="C3" s="7">
        <f>'ADMR'!$C$163</f>
        <v/>
      </c>
      <c r="D3" s="8">
        <f>'ADMR'!$C$161</f>
        <v/>
      </c>
      <c r="E3" s="8">
        <f>'ADMR'!$C$102</f>
        <v/>
      </c>
      <c r="F3" s="9">
        <f>'ADMR'!$C$162</f>
        <v/>
      </c>
      <c r="G3" s="8">
        <f>'ADMR'!$C$151</f>
        <v/>
      </c>
      <c r="H3" s="10" t="n">
        <v>7.973483</v>
      </c>
      <c r="I3" s="10" t="n">
        <v>6.058408</v>
      </c>
      <c r="J3" s="11" t="n">
        <v>0.043895</v>
      </c>
    </row>
    <row r="4">
      <c r="A4" t="inlineStr">
        <is>
          <t>ARII.JK</t>
        </is>
      </c>
      <c r="B4" t="inlineStr">
        <is>
          <t>PT Atlas Resources Tbk</t>
        </is>
      </c>
      <c r="C4" s="7">
        <f>'ARII'!$C$151</f>
        <v/>
      </c>
      <c r="D4" s="8">
        <f>'ARII'!$C$149</f>
        <v/>
      </c>
      <c r="E4" s="8">
        <f>'ARII'!$C$102</f>
        <v/>
      </c>
      <c r="F4" s="9">
        <f>'ARII'!$C$150</f>
        <v/>
      </c>
      <c r="G4" s="8">
        <f>'ARII'!$C$139</f>
        <v/>
      </c>
      <c r="H4" s="10" t="n">
        <v>5.500113</v>
      </c>
      <c r="I4" s="10" t="n">
        <v>1.41805</v>
      </c>
      <c r="J4" s="11" t="n">
        <v>0</v>
      </c>
    </row>
    <row r="5">
      <c r="A5" t="inlineStr">
        <is>
          <t>BOSS.JK</t>
        </is>
      </c>
      <c r="B5" t="inlineStr">
        <is>
          <t>PT. Borneo Olah Sarana Sukses Tbk</t>
        </is>
      </c>
      <c r="C5" s="7">
        <f>'BOSS'!$C$151</f>
        <v/>
      </c>
      <c r="D5" s="8">
        <f>'BOSS'!$C$149</f>
        <v/>
      </c>
      <c r="E5" s="8">
        <f>'BOSS'!$C$102</f>
        <v/>
      </c>
      <c r="F5" s="9">
        <f>'BOSS'!$C$150</f>
        <v/>
      </c>
      <c r="G5" s="8">
        <f>'BOSS'!$C$139</f>
        <v/>
      </c>
      <c r="H5" s="10" t="n"/>
      <c r="I5" s="10" t="n"/>
      <c r="J5" s="11" t="n">
        <v>0</v>
      </c>
    </row>
    <row r="6">
      <c r="A6" t="inlineStr">
        <is>
          <t>BSSR.JK</t>
        </is>
      </c>
      <c r="B6" t="inlineStr">
        <is>
          <t>PT Baramulti Suksessarana Tbk</t>
        </is>
      </c>
      <c r="C6" s="7">
        <f>'BSSR'!$C$163</f>
        <v/>
      </c>
      <c r="D6" s="8">
        <f>'BSSR'!$C$161</f>
        <v/>
      </c>
      <c r="E6" s="8">
        <f>'BSSR'!$C$102</f>
        <v/>
      </c>
      <c r="F6" s="9">
        <f>'BSSR'!$C$162</f>
        <v/>
      </c>
      <c r="G6" s="8">
        <f>'BSSR'!$C$151</f>
        <v/>
      </c>
      <c r="H6" s="10" t="n">
        <v>5.839242</v>
      </c>
      <c r="I6" s="10" t="n">
        <v>3.920091</v>
      </c>
      <c r="J6" s="11" t="n">
        <v>0.119879</v>
      </c>
    </row>
    <row r="7">
      <c r="A7" t="inlineStr">
        <is>
          <t>BUMI.JK</t>
        </is>
      </c>
      <c r="B7" t="inlineStr">
        <is>
          <t>PT Bumi Resources Tbk</t>
        </is>
      </c>
      <c r="C7" s="7">
        <f>'BUMI'!$C$166</f>
        <v/>
      </c>
      <c r="D7" s="8">
        <f>'BUMI'!$C$164</f>
        <v/>
      </c>
      <c r="E7" s="8">
        <f>'BUMI'!$C$102</f>
        <v/>
      </c>
      <c r="F7" s="9">
        <f>'BUMI'!$C$165</f>
        <v/>
      </c>
      <c r="G7" s="8">
        <f>'BUMI'!$C$145</f>
        <v/>
      </c>
      <c r="H7" s="10" t="n">
        <v>11.188124</v>
      </c>
      <c r="I7" s="10" t="n">
        <v>3.575106</v>
      </c>
      <c r="J7" s="11" t="n">
        <v>0</v>
      </c>
    </row>
    <row r="8">
      <c r="A8" t="inlineStr">
        <is>
          <t>BYAN.JK</t>
        </is>
      </c>
      <c r="B8" t="inlineStr">
        <is>
          <t>PT Bayan Resources Tbk.</t>
        </is>
      </c>
      <c r="C8" s="7">
        <f>'BYAN'!$C$172</f>
        <v/>
      </c>
      <c r="D8" s="8">
        <f>'BYAN'!$C$170</f>
        <v/>
      </c>
      <c r="E8" s="8">
        <f>'BYAN'!$C$102</f>
        <v/>
      </c>
      <c r="F8" s="9">
        <f>'BYAN'!$C$171</f>
        <v/>
      </c>
      <c r="G8" s="8">
        <f>'BYAN'!$C$151</f>
        <v/>
      </c>
      <c r="H8" s="10" t="n">
        <v>17.228205</v>
      </c>
      <c r="I8" s="10" t="n">
        <v>11.497956</v>
      </c>
      <c r="J8" s="11" t="n">
        <v>0.042372</v>
      </c>
    </row>
    <row r="9">
      <c r="A9" t="inlineStr">
        <is>
          <t>GEMS.JK</t>
        </is>
      </c>
      <c r="B9" t="inlineStr">
        <is>
          <t>PT Golden Energy Mines Tbk</t>
        </is>
      </c>
      <c r="C9" s="7">
        <f>'GEMS'!$C$166</f>
        <v/>
      </c>
      <c r="D9" s="8">
        <f>'GEMS'!$C$164</f>
        <v/>
      </c>
      <c r="E9" s="8">
        <f>'GEMS'!$C$102</f>
        <v/>
      </c>
      <c r="F9" s="9">
        <f>'GEMS'!$C$165</f>
        <v/>
      </c>
      <c r="G9" s="8">
        <f>'GEMS'!$C$145</f>
        <v/>
      </c>
      <c r="H9" s="10" t="n">
        <v>4.149274</v>
      </c>
      <c r="I9" s="10" t="n">
        <v>2.604119</v>
      </c>
      <c r="J9" s="11" t="n">
        <v>0.109176</v>
      </c>
    </row>
    <row r="10">
      <c r="A10" t="inlineStr">
        <is>
          <t>GTBO.JK</t>
        </is>
      </c>
      <c r="B10" t="inlineStr">
        <is>
          <t>PT Garda Tujuh Buana Tbk</t>
        </is>
      </c>
      <c r="C10" s="7">
        <f>'GTBO'!$C$151</f>
        <v/>
      </c>
      <c r="D10" s="8">
        <f>'GTBO'!$C$149</f>
        <v/>
      </c>
      <c r="E10" s="8">
        <f>'GTBO'!$C$102</f>
        <v/>
      </c>
      <c r="F10" s="9">
        <f>'GTBO'!$C$150</f>
        <v/>
      </c>
      <c r="G10" s="8">
        <f>'GTBO'!$C$139</f>
        <v/>
      </c>
      <c r="H10" s="10" t="n"/>
      <c r="I10" s="10" t="n">
        <v>7.994147</v>
      </c>
      <c r="J10" s="11" t="n">
        <v>0</v>
      </c>
    </row>
    <row r="11">
      <c r="A11" t="inlineStr">
        <is>
          <t>IATA.JK</t>
        </is>
      </c>
      <c r="B11" t="inlineStr">
        <is>
          <t>PT MNC Energy Investments Tbk</t>
        </is>
      </c>
      <c r="C11" s="7">
        <f>'IATA'!$C$157</f>
        <v/>
      </c>
      <c r="D11" s="8">
        <f>'IATA'!$C$155</f>
        <v/>
      </c>
      <c r="E11" s="8">
        <f>'IATA'!$C$102</f>
        <v/>
      </c>
      <c r="F11" s="9">
        <f>'IATA'!$C$156</f>
        <v/>
      </c>
      <c r="G11" s="8">
        <f>'IATA'!$C$145</f>
        <v/>
      </c>
      <c r="H11" s="10" t="n">
        <v>58.502712</v>
      </c>
      <c r="I11" s="10" t="n">
        <v>20.321764</v>
      </c>
      <c r="J11" s="11" t="n">
        <v>0</v>
      </c>
    </row>
    <row r="12">
      <c r="A12" t="inlineStr">
        <is>
          <t>INDY.JK</t>
        </is>
      </c>
      <c r="B12" t="inlineStr">
        <is>
          <t>PT. Indika Energy Tbk</t>
        </is>
      </c>
      <c r="C12" s="7">
        <f>'INDY'!$C$163</f>
        <v/>
      </c>
      <c r="D12" s="8">
        <f>'INDY'!$C$161</f>
        <v/>
      </c>
      <c r="E12" s="8">
        <f>'INDY'!$C$102</f>
        <v/>
      </c>
      <c r="F12" s="9">
        <f>'INDY'!$C$162</f>
        <v/>
      </c>
      <c r="G12" s="8">
        <f>'INDY'!$C$151</f>
        <v/>
      </c>
      <c r="H12" s="10" t="n">
        <v>5.988004</v>
      </c>
      <c r="I12" s="10" t="n">
        <v>2.649006</v>
      </c>
      <c r="J12" s="11" t="n">
        <v>0.0501</v>
      </c>
    </row>
    <row r="13">
      <c r="A13" t="inlineStr">
        <is>
          <t>ITMG.JK</t>
        </is>
      </c>
      <c r="B13" t="inlineStr">
        <is>
          <t>PT Indo Tambangraya Megah Tbk</t>
        </is>
      </c>
      <c r="C13" s="7">
        <f>'ITMG'!$C$163</f>
        <v/>
      </c>
      <c r="D13" s="8">
        <f>'ITMG'!$C$161</f>
        <v/>
      </c>
      <c r="E13" s="8">
        <f>'ITMG'!$C$102</f>
        <v/>
      </c>
      <c r="F13" s="9">
        <f>'ITMG'!$C$162</f>
        <v/>
      </c>
      <c r="G13" s="8">
        <f>'ITMG'!$C$151</f>
        <v/>
      </c>
      <c r="H13" s="10" t="n">
        <v>5.557101</v>
      </c>
      <c r="I13" s="10" t="n">
        <v>1.715011</v>
      </c>
      <c r="J13" s="11" t="n">
        <v>0.10797</v>
      </c>
    </row>
    <row r="14">
      <c r="A14" t="inlineStr">
        <is>
          <t>KKGI.JK</t>
        </is>
      </c>
      <c r="B14" t="inlineStr">
        <is>
          <t>PT Resource Alam Indonesia Tbk</t>
        </is>
      </c>
      <c r="C14" s="7">
        <f>'KKGI'!$C$151</f>
        <v/>
      </c>
      <c r="D14" s="8">
        <f>'KKGI'!$C$149</f>
        <v/>
      </c>
      <c r="E14" s="8">
        <f>'KKGI'!$C$102</f>
        <v/>
      </c>
      <c r="F14" s="9">
        <f>'KKGI'!$C$150</f>
        <v/>
      </c>
      <c r="G14" s="8">
        <f>'KKGI'!$C$139</f>
        <v/>
      </c>
      <c r="H14" s="10" t="n">
        <v>8.401706000000001</v>
      </c>
      <c r="I14" s="10" t="n">
        <v>1.803794</v>
      </c>
      <c r="J14" s="11" t="n">
        <v>0.040468</v>
      </c>
    </row>
    <row r="15">
      <c r="A15" t="inlineStr">
        <is>
          <t>MBAP.JK</t>
        </is>
      </c>
      <c r="B15" t="inlineStr">
        <is>
          <t>PT Mitrabara Adiperdana Tbk</t>
        </is>
      </c>
      <c r="C15" s="7">
        <f>'MBAP'!$C$157</f>
        <v/>
      </c>
      <c r="D15" s="8">
        <f>'MBAP'!$C$155</f>
        <v/>
      </c>
      <c r="E15" s="8">
        <f>'MBAP'!$C$102</f>
        <v/>
      </c>
      <c r="F15" s="9">
        <f>'MBAP'!$C$156</f>
        <v/>
      </c>
      <c r="G15" s="8">
        <f>'MBAP'!$C$145</f>
        <v/>
      </c>
      <c r="H15" s="10" t="n">
        <v>9.039776</v>
      </c>
      <c r="I15" s="10" t="n">
        <v>1.427961</v>
      </c>
      <c r="J15" s="11" t="n">
        <v>0</v>
      </c>
    </row>
    <row r="16">
      <c r="A16" t="inlineStr">
        <is>
          <t>MCOL.JK</t>
        </is>
      </c>
      <c r="B16" t="inlineStr">
        <is>
          <t>PT Prima Andalan Mandiri Tbk</t>
        </is>
      </c>
      <c r="C16" s="7">
        <f>'MCOL'!$C$172</f>
        <v/>
      </c>
      <c r="D16" s="8">
        <f>'MCOL'!$C$170</f>
        <v/>
      </c>
      <c r="E16" s="8">
        <f>'MCOL'!$C$102</f>
        <v/>
      </c>
      <c r="F16" s="9">
        <f>'MCOL'!$C$171</f>
        <v/>
      </c>
      <c r="G16" s="8">
        <f>'MCOL'!$C$151</f>
        <v/>
      </c>
      <c r="H16" s="10" t="n">
        <v>6.336065</v>
      </c>
      <c r="I16" s="10" t="n">
        <v>2.513936</v>
      </c>
      <c r="J16" s="11" t="n">
        <v>0.08919299999999999</v>
      </c>
    </row>
    <row r="17">
      <c r="A17" t="inlineStr">
        <is>
          <t>PTBA.JK</t>
        </is>
      </c>
      <c r="B17" t="inlineStr">
        <is>
          <t>PT Bukit Asam (Persero) Tbk</t>
        </is>
      </c>
      <c r="C17" s="7">
        <f>'PTBA'!$C$163</f>
        <v/>
      </c>
      <c r="D17" s="8">
        <f>'PTBA'!$C$161</f>
        <v/>
      </c>
      <c r="E17" s="8">
        <f>'PTBA'!$C$102</f>
        <v/>
      </c>
      <c r="F17" s="9">
        <f>'PTBA'!$C$162</f>
        <v/>
      </c>
      <c r="G17" s="8">
        <f>'PTBA'!$C$151</f>
        <v/>
      </c>
      <c r="H17" s="10" t="n">
        <v>4.618029</v>
      </c>
      <c r="I17" s="10" t="n">
        <v>2.724873</v>
      </c>
      <c r="J17" s="11" t="n">
        <v>0.129926</v>
      </c>
    </row>
    <row r="18">
      <c r="A18" t="inlineStr">
        <is>
          <t>SINI.JK</t>
        </is>
      </c>
      <c r="B18" t="inlineStr">
        <is>
          <t>PT Singaraja Putra Tbk</t>
        </is>
      </c>
      <c r="C18" s="7">
        <f>'SINI'!$C$166</f>
        <v/>
      </c>
      <c r="D18" s="8">
        <f>'SINI'!$C$164</f>
        <v/>
      </c>
      <c r="E18" s="8">
        <f>'SINI'!$C$102</f>
        <v/>
      </c>
      <c r="F18" s="9">
        <f>'SINI'!$C$165</f>
        <v/>
      </c>
      <c r="G18" s="8">
        <f>'SINI'!$C$145</f>
        <v/>
      </c>
      <c r="H18" s="10" t="n"/>
      <c r="I18" s="10" t="n">
        <v>97.62595899999999</v>
      </c>
      <c r="J18" s="11" t="n">
        <v>0</v>
      </c>
    </row>
    <row r="19">
      <c r="A19" t="inlineStr">
        <is>
          <t>SMMT.JK</t>
        </is>
      </c>
      <c r="B19" t="inlineStr">
        <is>
          <t>PT Golden Eagle Energy Tbk</t>
        </is>
      </c>
      <c r="C19" s="7">
        <f>'SMMT'!$C$166</f>
        <v/>
      </c>
      <c r="D19" s="8">
        <f>'SMMT'!$C$164</f>
        <v/>
      </c>
      <c r="E19" s="8">
        <f>'SMMT'!$C$102</f>
        <v/>
      </c>
      <c r="F19" s="9">
        <f>'SMMT'!$C$165</f>
        <v/>
      </c>
      <c r="G19" s="8">
        <f>'SMMT'!$C$145</f>
        <v/>
      </c>
      <c r="H19" s="10" t="n">
        <v>25.343029</v>
      </c>
      <c r="I19" s="10" t="n">
        <v>16.45252</v>
      </c>
      <c r="J19" s="11" t="n">
        <v>0.009865000000000001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 Adaro Andalan Indonesia Tbk (AADI.JK) — Coal producers</t>
        </is>
      </c>
    </row>
    <row r="2">
      <c r="A2" s="5" t="inlineStr">
        <is>
          <t>Units: USD m; per-share in USD unless marked IDR. Model asof 2026-10-30 · data 2026-10-26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  <c r="R4" s="1" t="inlineStr">
        <is>
          <t>FY2036E</t>
        </is>
      </c>
      <c r="S4" s="1" t="inlineStr">
        <is>
          <t>FY2037E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12</v>
      </c>
    </row>
    <row r="8">
      <c r="A8" t="inlineStr">
        <is>
          <t>ps_factor</t>
        </is>
      </c>
      <c r="C8" s="6" t="n">
        <v>1</v>
      </c>
    </row>
    <row r="9">
      <c r="A9" t="inlineStr">
        <is>
          <t>reserves</t>
        </is>
      </c>
      <c r="C9" s="6" t="n">
        <v>1000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71.94</v>
      </c>
      <c r="I14" s="13" t="n">
        <v>71.94</v>
      </c>
      <c r="J14" s="13" t="n">
        <v>71.94</v>
      </c>
      <c r="K14" s="13" t="n">
        <v>71.94</v>
      </c>
      <c r="L14" s="13" t="n">
        <v>71.94</v>
      </c>
      <c r="M14" s="13" t="n">
        <v>71.94</v>
      </c>
      <c r="N14" s="13" t="n">
        <v>71.94</v>
      </c>
      <c r="O14" s="13" t="n">
        <v>71.94</v>
      </c>
      <c r="P14" s="13" t="n">
        <v>71.94</v>
      </c>
      <c r="Q14" s="13" t="n">
        <v>71.94</v>
      </c>
      <c r="R14" s="13" t="n">
        <v>71.94</v>
      </c>
      <c r="S14" s="13" t="n">
        <v>71.94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0.63</v>
      </c>
      <c r="I15" s="14" t="n">
        <v>0.63</v>
      </c>
      <c r="J15" s="14" t="n">
        <v>0.63</v>
      </c>
      <c r="K15" s="14" t="n">
        <v>0.63</v>
      </c>
      <c r="L15" s="14" t="n">
        <v>0.63</v>
      </c>
      <c r="M15" s="14" t="n">
        <v>0.63</v>
      </c>
      <c r="N15" s="14" t="n">
        <v>0.63</v>
      </c>
      <c r="O15" s="14" t="n">
        <v>0.63</v>
      </c>
      <c r="P15" s="14" t="n">
        <v>0.63</v>
      </c>
      <c r="Q15" s="14" t="n">
        <v>0.63</v>
      </c>
      <c r="R15" s="14" t="n">
        <v>0.63</v>
      </c>
      <c r="S15" s="14" t="n">
        <v>0.63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0.25</v>
      </c>
      <c r="I16" s="4" t="n">
        <v>0.25</v>
      </c>
      <c r="J16" s="4" t="n">
        <v>0.25</v>
      </c>
      <c r="K16" s="4" t="n">
        <v>0.25</v>
      </c>
      <c r="L16" s="4" t="n">
        <v>0.25</v>
      </c>
      <c r="M16" s="4" t="n">
        <v>0.25</v>
      </c>
      <c r="N16" s="4" t="n">
        <v>0.25</v>
      </c>
      <c r="O16" s="4" t="n">
        <v>0.25</v>
      </c>
      <c r="P16" s="4" t="n">
        <v>0.25</v>
      </c>
      <c r="Q16" s="4" t="n">
        <v>0.25</v>
      </c>
      <c r="R16" s="4" t="n">
        <v>0.25</v>
      </c>
      <c r="S16" s="4" t="n">
        <v>0.25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4.35</v>
      </c>
      <c r="I17" s="14" t="n">
        <v>4.35</v>
      </c>
      <c r="J17" s="14" t="n">
        <v>4.35</v>
      </c>
      <c r="K17" s="14" t="n">
        <v>4.35</v>
      </c>
      <c r="L17" s="14" t="n">
        <v>4.35</v>
      </c>
      <c r="M17" s="14" t="n">
        <v>4.35</v>
      </c>
      <c r="N17" s="14" t="n">
        <v>4.35</v>
      </c>
      <c r="O17" s="14" t="n">
        <v>4.35</v>
      </c>
      <c r="P17" s="14" t="n">
        <v>4.35</v>
      </c>
      <c r="Q17" s="14" t="n">
        <v>4.35</v>
      </c>
      <c r="R17" s="14" t="n">
        <v>4.35</v>
      </c>
      <c r="S17" s="14" t="n">
        <v>4.35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  <c r="M18" s="3" t="n">
        <v>3.06</v>
      </c>
      <c r="N18" s="3" t="n">
        <v>3.1212</v>
      </c>
      <c r="O18" s="3" t="n">
        <v>3.183624</v>
      </c>
      <c r="P18" s="3" t="n">
        <v>3.24729648</v>
      </c>
      <c r="Q18" s="3" t="n">
        <v>3.3122424096</v>
      </c>
      <c r="R18" s="3" t="n">
        <v>3.378487257792</v>
      </c>
      <c r="S18" s="3" t="n">
        <v>3.44605700294784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0.3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26.4</v>
      </c>
      <c r="I20" s="3" t="n">
        <v>26.4</v>
      </c>
      <c r="J20" s="3" t="n">
        <v>26.4</v>
      </c>
      <c r="K20" s="3" t="n">
        <v>26.4</v>
      </c>
      <c r="L20" s="3" t="n">
        <v>26.4</v>
      </c>
      <c r="M20" s="3" t="n">
        <v>26.928</v>
      </c>
      <c r="N20" s="3" t="n">
        <v>27.46656</v>
      </c>
      <c r="O20" s="3" t="n">
        <v>28.0158912</v>
      </c>
      <c r="P20" s="3" t="n">
        <v>28.576209024</v>
      </c>
      <c r="Q20" s="3" t="n">
        <v>29.14773320448</v>
      </c>
      <c r="R20" s="3" t="n">
        <v>29.7306878685696</v>
      </c>
      <c r="S20" s="3" t="n">
        <v>30.32530162594099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0.142</v>
      </c>
      <c r="I21" s="4" t="n">
        <v>0.142</v>
      </c>
      <c r="J21" s="4" t="n">
        <v>0.142</v>
      </c>
      <c r="K21" s="4" t="n">
        <v>0.142</v>
      </c>
      <c r="L21" s="4" t="n">
        <v>0.142</v>
      </c>
      <c r="M21" s="4" t="n">
        <v>0.142</v>
      </c>
      <c r="N21" s="4" t="n">
        <v>0.142</v>
      </c>
      <c r="O21" s="4" t="n">
        <v>0.142</v>
      </c>
      <c r="P21" s="4" t="n">
        <v>0.142</v>
      </c>
      <c r="Q21" s="4" t="n">
        <v>0.142</v>
      </c>
      <c r="R21" s="4" t="n">
        <v>0.142</v>
      </c>
      <c r="S21" s="4" t="n">
        <v>0.142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0.1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1.73</v>
      </c>
      <c r="I24" s="3" t="n">
        <v>1.73</v>
      </c>
      <c r="J24" s="3" t="n">
        <v>1.73</v>
      </c>
      <c r="K24" s="3" t="n">
        <v>1.73</v>
      </c>
      <c r="L24" s="3" t="n">
        <v>1.73</v>
      </c>
      <c r="M24" s="3" t="n">
        <v>1.7646</v>
      </c>
      <c r="N24" s="3" t="n">
        <v>1.799892</v>
      </c>
      <c r="O24" s="3" t="n">
        <v>1.83588984</v>
      </c>
      <c r="P24" s="3" t="n">
        <v>1.8726076368</v>
      </c>
      <c r="Q24" s="3" t="n">
        <v>1.910059789536</v>
      </c>
      <c r="R24" s="3" t="n">
        <v>1.94826098532672</v>
      </c>
      <c r="S24" s="3" t="n">
        <v>1.987226205033255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5</v>
      </c>
      <c r="I25" s="3" t="n">
        <v>5</v>
      </c>
      <c r="J25" s="3" t="n">
        <v>5</v>
      </c>
      <c r="K25" s="3" t="n">
        <v>5</v>
      </c>
      <c r="L25" s="3" t="n">
        <v>5</v>
      </c>
      <c r="M25" s="3" t="n">
        <v>5.1</v>
      </c>
      <c r="N25" s="3" t="n">
        <v>5.202</v>
      </c>
      <c r="O25" s="3" t="n">
        <v>5.306040000000001</v>
      </c>
      <c r="P25" s="3" t="n">
        <v>5.4121608</v>
      </c>
      <c r="Q25" s="3" t="n">
        <v>5.520404016000001</v>
      </c>
      <c r="R25" s="3" t="n">
        <v>5.630812096320001</v>
      </c>
      <c r="S25" s="3" t="n">
        <v>5.7434283382464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-0.034701</v>
      </c>
      <c r="I27" s="4" t="n">
        <v>-0.034701</v>
      </c>
      <c r="J27" s="4" t="n">
        <v>-0.034701</v>
      </c>
      <c r="K27" s="4" t="n">
        <v>-0.034701</v>
      </c>
      <c r="L27" s="4" t="n">
        <v>-0.034701</v>
      </c>
      <c r="M27" s="4" t="n">
        <v>-0.034701</v>
      </c>
      <c r="N27" s="4" t="n">
        <v>-0.034701</v>
      </c>
      <c r="O27" s="4" t="n">
        <v>-0.034701</v>
      </c>
      <c r="P27" s="4" t="n">
        <v>-0.034701</v>
      </c>
      <c r="Q27" s="4" t="n">
        <v>-0.034701</v>
      </c>
      <c r="R27" s="4" t="n">
        <v>-0.034701</v>
      </c>
      <c r="S27" s="4" t="n">
        <v>-0.034701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0.169858</v>
      </c>
      <c r="I28" s="4" t="n">
        <v>0.169858</v>
      </c>
      <c r="J28" s="4" t="n">
        <v>0.169858</v>
      </c>
      <c r="K28" s="4" t="n">
        <v>0.169858</v>
      </c>
      <c r="L28" s="4" t="n">
        <v>0.169858</v>
      </c>
      <c r="M28" s="4" t="n">
        <v>0.169858</v>
      </c>
      <c r="N28" s="4" t="n">
        <v>0.169858</v>
      </c>
      <c r="O28" s="4" t="n">
        <v>0.169858</v>
      </c>
      <c r="P28" s="4" t="n">
        <v>0.169858</v>
      </c>
      <c r="Q28" s="4" t="n">
        <v>0.169858</v>
      </c>
      <c r="R28" s="4" t="n">
        <v>0.169858</v>
      </c>
      <c r="S28" s="4" t="n">
        <v>0.169858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0.05544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0.032987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0.100896</v>
      </c>
      <c r="I33" s="4" t="n">
        <v>0.100896</v>
      </c>
      <c r="J33" s="4" t="n">
        <v>0.100896</v>
      </c>
      <c r="K33" s="4" t="n">
        <v>0.100896</v>
      </c>
      <c r="L33" s="4" t="n">
        <v>0.100896</v>
      </c>
      <c r="M33" s="4" t="n">
        <v>0.100896</v>
      </c>
      <c r="N33" s="4" t="n">
        <v>0.100896</v>
      </c>
      <c r="O33" s="4" t="n">
        <v>0.100896</v>
      </c>
      <c r="P33" s="4" t="n">
        <v>0.100896</v>
      </c>
      <c r="Q33" s="4" t="n">
        <v>0.100896</v>
      </c>
      <c r="R33" s="4" t="n">
        <v>0.100896</v>
      </c>
      <c r="S33" s="4" t="n">
        <v>0.100896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0.85</v>
      </c>
      <c r="I34" s="4" t="n">
        <v>0.7</v>
      </c>
      <c r="J34" s="4" t="n">
        <v>0.6</v>
      </c>
      <c r="K34" s="4" t="n">
        <v>0.6</v>
      </c>
      <c r="L34" s="4" t="n">
        <v>0.6</v>
      </c>
      <c r="M34" s="4" t="n">
        <v>0.55</v>
      </c>
      <c r="N34" s="4" t="n">
        <v>0.55</v>
      </c>
      <c r="O34" s="4" t="n">
        <v>0.55</v>
      </c>
      <c r="P34" s="4" t="n">
        <v>0.55</v>
      </c>
      <c r="Q34" s="4" t="n">
        <v>0.55</v>
      </c>
      <c r="R34" s="4" t="n">
        <v>0.55</v>
      </c>
      <c r="S34" s="4" t="n">
        <v>0.55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0.052</v>
      </c>
      <c r="I37" s="4" t="n">
        <v>0.052</v>
      </c>
      <c r="J37" s="4" t="n">
        <v>0.052</v>
      </c>
      <c r="K37" s="4" t="n">
        <v>0.052</v>
      </c>
      <c r="L37" s="4" t="n">
        <v>0.052</v>
      </c>
      <c r="M37" s="4" t="n">
        <v>0.052</v>
      </c>
      <c r="N37" s="4" t="n">
        <v>0.052</v>
      </c>
      <c r="O37" s="4" t="n">
        <v>0.052</v>
      </c>
      <c r="P37" s="4" t="n">
        <v>0.052</v>
      </c>
      <c r="Q37" s="4" t="n">
        <v>0.052</v>
      </c>
      <c r="R37" s="4" t="n">
        <v>0.052</v>
      </c>
      <c r="S37" s="4" t="n">
        <v>0.052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>
        <v>1000</v>
      </c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  <c r="P40" s="15">
        <f>MAX((O40-P41),0)</f>
        <v/>
      </c>
      <c r="Q40" s="15">
        <f>MAX((P40-Q41),0)</f>
        <v/>
      </c>
      <c r="R40" s="15">
        <f>MAX((Q40-R41),0)</f>
        <v/>
      </c>
      <c r="S40" s="15">
        <f>MAX((R40-S41),0)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>
        <v>63.4</v>
      </c>
      <c r="F41" s="13" t="n">
        <v>68.06</v>
      </c>
      <c r="G41" s="13" t="n">
        <v>71.94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  <c r="P41" s="15">
        <f>IF(($C$9&gt;0),MIN(P14,MAX(O40,0)),P14)</f>
        <v/>
      </c>
      <c r="Q41" s="15">
        <f>IF(($C$9&gt;0),MIN(Q14,MAX(P40,0)),Q14)</f>
        <v/>
      </c>
      <c r="R41" s="15">
        <f>IF(($C$9&gt;0),MIN(R14,MAX(Q40,0)),R14)</f>
        <v/>
      </c>
      <c r="S41" s="15">
        <f>IF(($C$9&gt;0),MIN(S14,MAX(R40,0)),S14)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  <c r="K42" s="16">
        <f>Drivers!$O$6</f>
        <v/>
      </c>
      <c r="L42" s="16">
        <f>Drivers!$P$6</f>
        <v/>
      </c>
      <c r="M42" s="16">
        <f>Drivers!$Q$6</f>
        <v/>
      </c>
      <c r="N42" s="16">
        <f>Drivers!$R$6</f>
        <v/>
      </c>
      <c r="O42" s="16">
        <f>Drivers!$S$6</f>
        <v/>
      </c>
      <c r="P42" s="16">
        <f>Drivers!$T$6</f>
        <v/>
      </c>
      <c r="Q42" s="16">
        <f>Drivers!$U$6</f>
        <v/>
      </c>
      <c r="R42" s="16">
        <f>Drivers!$V$6</f>
        <v/>
      </c>
      <c r="S42" s="16">
        <f>Drivers!$W$6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/>
      <c r="G43" s="3" t="n"/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  <c r="K43" s="16">
        <f>(((K15*K42)*(1-K16))+(MIN(Drivers!$O$4,(K15*K42))*K16))</f>
        <v/>
      </c>
      <c r="L43" s="16">
        <f>(((L15*L42)*(1-L16))+(MIN(Drivers!$P$4,(L15*L42))*L16))</f>
        <v/>
      </c>
      <c r="M43" s="16">
        <f>(((M15*M42)*(1-M16))+(MIN(Drivers!$Q$4,(M15*M42))*M16))</f>
        <v/>
      </c>
      <c r="N43" s="16">
        <f>(((N15*N42)*(1-N16))+(MIN(Drivers!$R$4,(N15*N42))*N16))</f>
        <v/>
      </c>
      <c r="O43" s="16">
        <f>(((O15*O42)*(1-O16))+(MIN(Drivers!$S$4,(O15*O42))*O16))</f>
        <v/>
      </c>
      <c r="P43" s="16">
        <f>(((P15*P42)*(1-P16))+(MIN(Drivers!$T$4,(P15*P42))*P16))</f>
        <v/>
      </c>
      <c r="Q43" s="16">
        <f>(((Q15*Q42)*(1-Q16))+(MIN(Drivers!$U$4,(Q15*Q42))*Q16))</f>
        <v/>
      </c>
      <c r="R43" s="16">
        <f>(((R15*R42)*(1-R16))+(MIN(Drivers!$V$4,(R15*R42))*R16))</f>
        <v/>
      </c>
      <c r="S43" s="16">
        <f>(((S15*S42)*(1-S16))+(MIN(Drivers!$W$4,(S15*S42))*S16))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  <c r="L44" s="17">
        <f>IF(L42=0,0,L43/L42)</f>
        <v/>
      </c>
      <c r="M44" s="17">
        <f>IF(M42=0,0,M43/M42)</f>
        <v/>
      </c>
      <c r="N44" s="17">
        <f>IF(N42=0,0,N43/N42)</f>
        <v/>
      </c>
      <c r="O44" s="17">
        <f>IF(O42=0,0,O43/O42)</f>
        <v/>
      </c>
      <c r="P44" s="17">
        <f>IF(P42=0,0,P43/P42)</f>
        <v/>
      </c>
      <c r="Q44" s="17">
        <f>IF(Q42=0,0,Q43/Q42)</f>
        <v/>
      </c>
      <c r="R44" s="17">
        <f>IF(R42=0,0,R43/R42)</f>
        <v/>
      </c>
      <c r="S44" s="17">
        <f>IF(S42=0,0,S43/S42)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6">
        <f>(((H17*H18)*(1+($C$19*(IF(Drivers!$J$8=0,0,Drivers!$L$8/Drivers!$J$8)-1))))+H20)</f>
        <v/>
      </c>
      <c r="I45" s="16">
        <f>(((I17*I18)*(1+($C$19*(IF(Drivers!$J$8=0,0,Drivers!$M$8/Drivers!$J$8)-1))))+I20)</f>
        <v/>
      </c>
      <c r="J45" s="16">
        <f>(((J17*J18)*(1+($C$19*(IF(Drivers!$J$8=0,0,Drivers!$N$8/Drivers!$J$8)-1))))+J20)</f>
        <v/>
      </c>
      <c r="K45" s="16">
        <f>(((K17*K18)*(1+($C$19*(IF(Drivers!$J$8=0,0,Drivers!$O$8/Drivers!$J$8)-1))))+K20)</f>
        <v/>
      </c>
      <c r="L45" s="16">
        <f>(((L17*L18)*(1+($C$19*(IF(Drivers!$J$8=0,0,Drivers!$P$8/Drivers!$J$8)-1))))+L20)</f>
        <v/>
      </c>
      <c r="M45" s="16">
        <f>(((M17*M18)*(1+($C$19*(IF(Drivers!$J$8=0,0,Drivers!$Q$8/Drivers!$J$8)-1))))+M20)</f>
        <v/>
      </c>
      <c r="N45" s="16">
        <f>(((N17*N18)*(1+($C$19*(IF(Drivers!$J$8=0,0,Drivers!$R$8/Drivers!$J$8)-1))))+N20)</f>
        <v/>
      </c>
      <c r="O45" s="16">
        <f>(((O17*O18)*(1+($C$19*(IF(Drivers!$J$8=0,0,Drivers!$S$8/Drivers!$J$8)-1))))+O20)</f>
        <v/>
      </c>
      <c r="P45" s="16">
        <f>(((P17*P18)*(1+($C$19*(IF(Drivers!$J$8=0,0,Drivers!$T$8/Drivers!$J$8)-1))))+P20)</f>
        <v/>
      </c>
      <c r="Q45" s="16">
        <f>(((Q17*Q18)*(1+($C$19*(IF(Drivers!$J$8=0,0,Drivers!$U$8/Drivers!$J$8)-1))))+Q20)</f>
        <v/>
      </c>
      <c r="R45" s="16">
        <f>(((R17*R18)*(1+($C$19*(IF(Drivers!$J$8=0,0,Drivers!$V$8/Drivers!$J$8)-1))))+R20)</f>
        <v/>
      </c>
      <c r="S45" s="16">
        <f>(((S17*S18)*(1+($C$19*(IF(Drivers!$J$8=0,0,Drivers!$W$8/Drivers!$J$8)-1))))+S20)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>
        <v>4.35</v>
      </c>
      <c r="G46" s="14" t="n"/>
      <c r="H46" s="18">
        <f>H17</f>
        <v/>
      </c>
      <c r="I46" s="18">
        <f>I17</f>
        <v/>
      </c>
      <c r="J46" s="18">
        <f>J17</f>
        <v/>
      </c>
      <c r="K46" s="18">
        <f>K17</f>
        <v/>
      </c>
      <c r="L46" s="18">
        <f>L17</f>
        <v/>
      </c>
      <c r="M46" s="18">
        <f>M17</f>
        <v/>
      </c>
      <c r="N46" s="18">
        <f>N17</f>
        <v/>
      </c>
      <c r="O46" s="18">
        <f>O17</f>
        <v/>
      </c>
      <c r="P46" s="18">
        <f>P17</f>
        <v/>
      </c>
      <c r="Q46" s="18">
        <f>Q17</f>
        <v/>
      </c>
      <c r="R46" s="18">
        <f>R17</f>
        <v/>
      </c>
      <c r="S46" s="18">
        <f>S17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7">
        <f>H21</f>
        <v/>
      </c>
      <c r="I47" s="17">
        <f>I21</f>
        <v/>
      </c>
      <c r="J47" s="17">
        <f>J21</f>
        <v/>
      </c>
      <c r="K47" s="17">
        <f>K21</f>
        <v/>
      </c>
      <c r="L47" s="17">
        <f>L21</f>
        <v/>
      </c>
      <c r="M47" s="17">
        <f>M21</f>
        <v/>
      </c>
      <c r="N47" s="17">
        <f>N21</f>
        <v/>
      </c>
      <c r="O47" s="17">
        <f>O21</f>
        <v/>
      </c>
      <c r="P47" s="17">
        <f>P21</f>
        <v/>
      </c>
      <c r="Q47" s="17">
        <f>Q21</f>
        <v/>
      </c>
      <c r="R47" s="17">
        <f>R21</f>
        <v/>
      </c>
      <c r="S47" s="17">
        <f>S21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>
        <v>22.41850157728706</v>
      </c>
      <c r="F48" s="3" t="n">
        <v>18.4321774904496</v>
      </c>
      <c r="G48" s="3" t="n">
        <v>15.83185988323603</v>
      </c>
      <c r="H48" s="19">
        <f>IF((H41*$C$10)=0,0,H61/(H41*$C$10))</f>
        <v/>
      </c>
      <c r="I48" s="19">
        <f>IF((I41*$C$10)=0,0,I61/(I41*$C$10))</f>
        <v/>
      </c>
      <c r="J48" s="19">
        <f>IF((J41*$C$10)=0,0,J61/(J41*$C$10))</f>
        <v/>
      </c>
      <c r="K48" s="19">
        <f>IF((K41*$C$10)=0,0,K61/(K41*$C$10))</f>
        <v/>
      </c>
      <c r="L48" s="19">
        <f>IF((L41*$C$10)=0,0,L61/(L41*$C$10))</f>
        <v/>
      </c>
      <c r="M48" s="19">
        <f>IF((M41*$C$10)=0,0,M61/(M41*$C$10))</f>
        <v/>
      </c>
      <c r="N48" s="19">
        <f>IF((N41*$C$10)=0,0,N61/(N41*$C$10))</f>
        <v/>
      </c>
      <c r="O48" s="19">
        <f>IF((O41*$C$10)=0,0,O61/(O41*$C$10))</f>
        <v/>
      </c>
      <c r="P48" s="19">
        <f>IF((P41*$C$10)=0,0,P61/(P41*$C$10))</f>
        <v/>
      </c>
      <c r="Q48" s="19">
        <f>IF((Q41*$C$10)=0,0,Q61/(Q41*$C$10))</f>
        <v/>
      </c>
      <c r="R48" s="19">
        <f>IF((R41*$C$10)=0,0,R61/(R41*$C$10))</f>
        <v/>
      </c>
      <c r="S48" s="19">
        <f>IF((S41*$C$10)=0,0,S61/(S41*$C$10))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9">
        <f>IF((H41*$C$10)=0,0,(H53+H52)/(H41*$C$10))</f>
        <v/>
      </c>
      <c r="I49" s="19">
        <f>IF((I41*$C$10)=0,0,(I53+I52)/(I41*$C$10))</f>
        <v/>
      </c>
      <c r="J49" s="19">
        <f>IF((J41*$C$10)=0,0,(J53+J52)/(J41*$C$10))</f>
        <v/>
      </c>
      <c r="K49" s="19">
        <f>IF((K41*$C$10)=0,0,(K53+K52)/(K41*$C$10))</f>
        <v/>
      </c>
      <c r="L49" s="19">
        <f>IF((L41*$C$10)=0,0,(L53+L52)/(L41*$C$10))</f>
        <v/>
      </c>
      <c r="M49" s="19">
        <f>IF((M41*$C$10)=0,0,(M53+M52)/(M41*$C$10))</f>
        <v/>
      </c>
      <c r="N49" s="19">
        <f>IF((N41*$C$10)=0,0,(N53+N52)/(N41*$C$10))</f>
        <v/>
      </c>
      <c r="O49" s="19">
        <f>IF((O41*$C$10)=0,0,(O53+O52)/(O41*$C$10))</f>
        <v/>
      </c>
      <c r="P49" s="19">
        <f>IF((P41*$C$10)=0,0,(P53+P52)/(P41*$C$10))</f>
        <v/>
      </c>
      <c r="Q49" s="19">
        <f>IF((Q41*$C$10)=0,0,(Q53+Q52)/(Q41*$C$10))</f>
        <v/>
      </c>
      <c r="R49" s="19">
        <f>IF((R41*$C$10)=0,0,(R53+R52)/(R41*$C$10))</f>
        <v/>
      </c>
      <c r="S49" s="19">
        <f>IF((S41*$C$10)=0,0,(S53+S52)/(S41*$C$10))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15">
        <f>((H41*H43)*$C$10)</f>
        <v/>
      </c>
      <c r="I50" s="15">
        <f>((I41*I43)*$C$10)</f>
        <v/>
      </c>
      <c r="J50" s="15">
        <f>((J41*J43)*$C$10)</f>
        <v/>
      </c>
      <c r="K50" s="15">
        <f>((K41*K43)*$C$10)</f>
        <v/>
      </c>
      <c r="L50" s="15">
        <f>((L41*L43)*$C$10)</f>
        <v/>
      </c>
      <c r="M50" s="15">
        <f>((M41*M43)*$C$10)</f>
        <v/>
      </c>
      <c r="N50" s="15">
        <f>((N41*N43)*$C$10)</f>
        <v/>
      </c>
      <c r="O50" s="15">
        <f>((O41*O43)*$C$10)</f>
        <v/>
      </c>
      <c r="P50" s="15">
        <f>((P41*P43)*$C$10)</f>
        <v/>
      </c>
      <c r="Q50" s="15">
        <f>((Q41*Q43)*$C$10)</f>
        <v/>
      </c>
      <c r="R50" s="15">
        <f>((R41*R43)*$C$10)</f>
        <v/>
      </c>
      <c r="S50" s="15">
        <f>((S41*S43)*$C$10)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  <c r="P51" s="15">
        <f>P22</f>
        <v/>
      </c>
      <c r="Q51" s="15">
        <f>Q22</f>
        <v/>
      </c>
      <c r="R51" s="15">
        <f>R22</f>
        <v/>
      </c>
      <c r="S51" s="15">
        <f>S22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  <c r="P52" s="15">
        <f>(P50*P47)</f>
        <v/>
      </c>
      <c r="Q52" s="15">
        <f>(Q50*Q47)</f>
        <v/>
      </c>
      <c r="R52" s="15">
        <f>(R50*R47)</f>
        <v/>
      </c>
      <c r="S52" s="15">
        <f>(S50*S47)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((H41*H45)*$C$10)</f>
        <v/>
      </c>
      <c r="I53" s="15">
        <f>((I41*I45)*$C$10)</f>
        <v/>
      </c>
      <c r="J53" s="15">
        <f>((J41*J45)*$C$10)</f>
        <v/>
      </c>
      <c r="K53" s="15">
        <f>((K41*K45)*$C$10)</f>
        <v/>
      </c>
      <c r="L53" s="15">
        <f>((L41*L45)*$C$10)</f>
        <v/>
      </c>
      <c r="M53" s="15">
        <f>((M41*M45)*$C$10)</f>
        <v/>
      </c>
      <c r="N53" s="15">
        <f>((N41*N45)*$C$10)</f>
        <v/>
      </c>
      <c r="O53" s="15">
        <f>((O41*O45)*$C$10)</f>
        <v/>
      </c>
      <c r="P53" s="15">
        <f>((P41*P45)*$C$10)</f>
        <v/>
      </c>
      <c r="Q53" s="15">
        <f>((Q41*Q45)*$C$10)</f>
        <v/>
      </c>
      <c r="R53" s="15">
        <f>((R41*R45)*$C$10)</f>
        <v/>
      </c>
      <c r="S53" s="15">
        <f>((S41*S45)*$C$10)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  <c r="P54" s="15">
        <f>(P51*(1-$C$23))</f>
        <v/>
      </c>
      <c r="Q54" s="15">
        <f>(Q51*(1-$C$23))</f>
        <v/>
      </c>
      <c r="R54" s="15">
        <f>(R51*(1-$C$23))</f>
        <v/>
      </c>
      <c r="S54" s="15">
        <f>(S51*(1-$C$23))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7725.933</v>
      </c>
      <c r="E55" s="13" t="n">
        <v>5915.408</v>
      </c>
      <c r="F55" s="13" t="n">
        <v>5319.582</v>
      </c>
      <c r="G55" s="13" t="n">
        <v>4910.263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  <c r="P55" s="15">
        <f>(P50+P51)</f>
        <v/>
      </c>
      <c r="Q55" s="15">
        <f>(Q50+Q51)</f>
        <v/>
      </c>
      <c r="R55" s="15">
        <f>(R50+R51)</f>
        <v/>
      </c>
      <c r="S55" s="15">
        <f>(S50+S51)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3776.856</v>
      </c>
      <c r="E56" s="13" t="n">
        <v>4186.532</v>
      </c>
      <c r="F56" s="13" t="n">
        <v>3853.631</v>
      </c>
      <c r="G56" s="13" t="n">
        <v>3648.568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  <c r="P56" s="15">
        <f>(((P53+P52)+P54)+P60)</f>
        <v/>
      </c>
      <c r="Q56" s="15">
        <f>(((Q53+Q52)+Q54)+Q60)</f>
        <v/>
      </c>
      <c r="R56" s="15">
        <f>(((R53+R52)+R54)+R60)</f>
        <v/>
      </c>
      <c r="S56" s="15">
        <f>(((S53+S52)+S54)+S60)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3949.077</v>
      </c>
      <c r="E57" s="13" t="n">
        <v>1728.876</v>
      </c>
      <c r="F57" s="13" t="n">
        <v>1465.951</v>
      </c>
      <c r="G57" s="13" t="n">
        <v>1261.695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  <c r="P57" s="15">
        <f>(P55-P56)</f>
        <v/>
      </c>
      <c r="Q57" s="15">
        <f>(Q55-Q56)</f>
        <v/>
      </c>
      <c r="R57" s="15">
        <f>(R55-R56)</f>
        <v/>
      </c>
      <c r="S57" s="15">
        <f>(S55-S56)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290.3520000000003</v>
      </c>
      <c r="E58" s="13" t="n">
        <v>311.777</v>
      </c>
      <c r="F58" s="13" t="n">
        <v>315.5040000000001</v>
      </c>
      <c r="G58" s="13" t="n">
        <v>247.0859999999999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  <c r="P58" s="15">
        <f>(P55*P37)</f>
        <v/>
      </c>
      <c r="Q58" s="15">
        <f>(Q55*Q37)</f>
        <v/>
      </c>
      <c r="R58" s="15">
        <f>(R55*R37)</f>
        <v/>
      </c>
      <c r="S58" s="15">
        <f>(S55*S37)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3658.725</v>
      </c>
      <c r="E59" s="13" t="n">
        <v>1417.099</v>
      </c>
      <c r="F59" s="13" t="n">
        <v>1150.447</v>
      </c>
      <c r="G59" s="13" t="n">
        <v>1014.609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  <c r="P59" s="15">
        <f>(P57-P58)</f>
        <v/>
      </c>
      <c r="Q59" s="15">
        <f>(Q57-Q58)</f>
        <v/>
      </c>
      <c r="R59" s="15">
        <f>(R57-R58)</f>
        <v/>
      </c>
      <c r="S59" s="15">
        <f>(S57-S58)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3.2</v>
      </c>
      <c r="E60" s="13" t="n">
        <v>4.234</v>
      </c>
      <c r="F60" s="13" t="n">
        <v>104.047</v>
      </c>
      <c r="G60" s="13" t="n">
        <v>124.335</v>
      </c>
      <c r="H60" s="15">
        <f>((H41*H24)*$C$10)</f>
        <v/>
      </c>
      <c r="I60" s="15">
        <f>((I41*I24)*$C$10)</f>
        <v/>
      </c>
      <c r="J60" s="15">
        <f>((J41*J24)*$C$10)</f>
        <v/>
      </c>
      <c r="K60" s="15">
        <f>((K41*K24)*$C$10)</f>
        <v/>
      </c>
      <c r="L60" s="15">
        <f>((L41*L24)*$C$10)</f>
        <v/>
      </c>
      <c r="M60" s="15">
        <f>((M41*M24)*$C$10)</f>
        <v/>
      </c>
      <c r="N60" s="15">
        <f>((N41*N24)*$C$10)</f>
        <v/>
      </c>
      <c r="O60" s="15">
        <f>((O41*O24)*$C$10)</f>
        <v/>
      </c>
      <c r="P60" s="15">
        <f>((P41*P24)*$C$10)</f>
        <v/>
      </c>
      <c r="Q60" s="15">
        <f>((Q41*Q24)*$C$10)</f>
        <v/>
      </c>
      <c r="R60" s="15">
        <f>((R41*R24)*$C$10)</f>
        <v/>
      </c>
      <c r="S60" s="15">
        <f>((S41*S24)*$C$10)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3661.925</v>
      </c>
      <c r="E61" s="13" t="n">
        <v>1421.333</v>
      </c>
      <c r="F61" s="13" t="n">
        <v>1254.494</v>
      </c>
      <c r="G61" s="13" t="n">
        <v>1138.944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  <c r="P61" s="15">
        <f>(P59+P60)</f>
        <v/>
      </c>
      <c r="Q61" s="15">
        <f>(Q59+Q60)</f>
        <v/>
      </c>
      <c r="R61" s="15">
        <f>(R59+R60)</f>
        <v/>
      </c>
      <c r="S61" s="15">
        <f>(S59+S60)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60.325</v>
      </c>
      <c r="E62" s="13" t="n">
        <v>66.429</v>
      </c>
      <c r="F62" s="13" t="n">
        <v>73.21299999999999</v>
      </c>
      <c r="G62" s="13" t="n">
        <v>51.485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  <c r="P62" s="15">
        <f>(O82*$C$29)</f>
        <v/>
      </c>
      <c r="Q62" s="15">
        <f>(P82*$C$29)</f>
        <v/>
      </c>
      <c r="R62" s="15">
        <f>(Q82*$C$29)</f>
        <v/>
      </c>
      <c r="S62" s="15">
        <f>(R82*$C$29)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55.73</v>
      </c>
      <c r="E63" s="13" t="n">
        <v>111.088</v>
      </c>
      <c r="F63" s="13" t="n">
        <v>85.553</v>
      </c>
      <c r="G63" s="13" t="n">
        <v>53.703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  <c r="P63" s="15">
        <f>(O81*$C$30)</f>
        <v/>
      </c>
      <c r="Q63" s="15">
        <f>(P81*$C$30)</f>
        <v/>
      </c>
      <c r="R63" s="15">
        <f>(Q81*$C$30)</f>
        <v/>
      </c>
      <c r="S63" s="15">
        <f>(R81*$C$30)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193.9440000000002</v>
      </c>
      <c r="E64" s="13" t="n">
        <v>98.21699999999998</v>
      </c>
      <c r="F64" s="13" t="n">
        <v>377.2890000000001</v>
      </c>
      <c r="G64" s="13" t="n">
        <v>38.51899999999996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  <c r="P64" s="15">
        <f>P32</f>
        <v/>
      </c>
      <c r="Q64" s="15">
        <f>Q32</f>
        <v/>
      </c>
      <c r="R64" s="15">
        <f>R32</f>
        <v/>
      </c>
      <c r="S64" s="15">
        <f>S32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3848.074</v>
      </c>
      <c r="E65" s="13" t="n">
        <v>1559.975</v>
      </c>
      <c r="F65" s="13" t="n">
        <v>1540.076</v>
      </c>
      <c r="G65" s="13" t="n">
        <v>1055.346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  <c r="P65" s="15">
        <f>(((P59-P62)+P63)+P64)</f>
        <v/>
      </c>
      <c r="Q65" s="15">
        <f>(((Q59-Q62)+Q63)+Q64)</f>
        <v/>
      </c>
      <c r="R65" s="15">
        <f>(((R59-R62)+R63)+R64)</f>
        <v/>
      </c>
      <c r="S65" s="15">
        <f>(((S59-S62)+S63)+S64)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1498.502</v>
      </c>
      <c r="E66" s="13" t="n">
        <v>274.084</v>
      </c>
      <c r="F66" s="13" t="n">
        <v>213.34</v>
      </c>
      <c r="G66" s="13" t="n">
        <v>206.162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  <c r="P66" s="15">
        <f>(MAX(P65,0)*P28)</f>
        <v/>
      </c>
      <c r="Q66" s="15">
        <f>(MAX(Q65,0)*Q28)</f>
        <v/>
      </c>
      <c r="R66" s="15">
        <f>(MAX(R65,0)*R28)</f>
        <v/>
      </c>
      <c r="S66" s="15">
        <f>(MAX(S65,0)*S28)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2349.572</v>
      </c>
      <c r="E67" s="13" t="n">
        <v>1285.891</v>
      </c>
      <c r="F67" s="13" t="n">
        <v>1326.736</v>
      </c>
      <c r="G67" s="13" t="n">
        <v>849.184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  <c r="P67" s="15">
        <f>(P65-P66)</f>
        <v/>
      </c>
      <c r="Q67" s="15">
        <f>(Q65-Q66)</f>
        <v/>
      </c>
      <c r="R67" s="15">
        <f>(R65-R66)</f>
        <v/>
      </c>
      <c r="S67" s="15">
        <f>(S65-S66)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0</v>
      </c>
      <c r="E68" s="13" t="n">
        <v>142.078</v>
      </c>
      <c r="F68" s="13" t="n">
        <v>115.9380000000001</v>
      </c>
      <c r="G68" s="13" t="n">
        <v>89.00400000000002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  <c r="P68" s="15">
        <f>(P67*P33)</f>
        <v/>
      </c>
      <c r="Q68" s="15">
        <f>(Q67*Q33)</f>
        <v/>
      </c>
      <c r="R68" s="15">
        <f>(R67*R33)</f>
        <v/>
      </c>
      <c r="S68" s="15">
        <f>(S67*S33)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2349.572</v>
      </c>
      <c r="E69" s="13" t="n">
        <v>1143.813</v>
      </c>
      <c r="F69" s="13" t="n">
        <v>1210.798</v>
      </c>
      <c r="G69" s="13" t="n">
        <v>760.1799999999999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  <c r="P69" s="15">
        <f>(P67-P68)</f>
        <v/>
      </c>
      <c r="Q69" s="15">
        <f>(Q67-Q68)</f>
        <v/>
      </c>
      <c r="R69" s="15">
        <f>(R67-R68)</f>
        <v/>
      </c>
      <c r="S69" s="15">
        <f>(S67-S68)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7786.89176</v>
      </c>
      <c r="E70" s="13" t="n">
        <v>7786.89176</v>
      </c>
      <c r="F70" s="13" t="n">
        <v>7786.89176</v>
      </c>
      <c r="G70" s="13" t="n">
        <v>7786.89176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  <c r="P70" s="15">
        <f>(O70*(1+P35))</f>
        <v/>
      </c>
      <c r="Q70" s="15">
        <f>(P70*(1+Q35))</f>
        <v/>
      </c>
      <c r="R70" s="15">
        <f>(Q70*(1+R35))</f>
        <v/>
      </c>
      <c r="S70" s="15">
        <f>(R70*(1+S35))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0.3017342570586855</v>
      </c>
      <c r="E71" s="20" t="n">
        <v>0.1468895465936206</v>
      </c>
      <c r="F71" s="20" t="n">
        <v>0.1554918236079347</v>
      </c>
      <c r="G71" s="20" t="n">
        <v>0.09762303412318138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  <c r="M71" s="21">
        <f>(IF(M70=0,0,M69/M70)*$C$8)</f>
        <v/>
      </c>
      <c r="N71" s="21">
        <f>(IF(N70=0,0,N69/N70)*$C$8)</f>
        <v/>
      </c>
      <c r="O71" s="21">
        <f>(IF(O70=0,0,O69/O70)*$C$8)</f>
        <v/>
      </c>
      <c r="P71" s="21">
        <f>(IF(P70=0,0,P69/P70)*$C$8)</f>
        <v/>
      </c>
      <c r="Q71" s="21">
        <f>(IF(Q70=0,0,Q69/Q70)*$C$8)</f>
        <v/>
      </c>
      <c r="R71" s="21">
        <f>(IF(R70=0,0,R69/R70)*$C$8)</f>
        <v/>
      </c>
      <c r="S71" s="21">
        <f>(IF(S70=0,0,S69/S70)*$C$8)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/>
      <c r="E72" s="20" t="n"/>
      <c r="F72" s="20" t="n">
        <v>0.03234625788999099</v>
      </c>
      <c r="G72" s="20" t="n">
        <v>0.02584769874476987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  <c r="M72" s="21">
        <f>(MAX(M71,0)*M34)</f>
        <v/>
      </c>
      <c r="N72" s="21">
        <f>(MAX(N71,0)*N34)</f>
        <v/>
      </c>
      <c r="O72" s="21">
        <f>(MAX(O71,0)*O34)</f>
        <v/>
      </c>
      <c r="P72" s="21">
        <f>(MAX(P71,0)*P34)</f>
        <v/>
      </c>
      <c r="Q72" s="21">
        <f>(MAX(Q71,0)*Q34)</f>
        <v/>
      </c>
      <c r="R72" s="21">
        <f>(MAX(R71,0)*R34)</f>
        <v/>
      </c>
      <c r="S72" s="21">
        <f>(MAX(S71,0)*S34)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>
        <v>1511.144</v>
      </c>
      <c r="E73" s="13" t="n">
        <v>1013.78</v>
      </c>
      <c r="F73" s="13" t="n">
        <v>2971.696</v>
      </c>
      <c r="G73" s="13" t="n">
        <v>250</v>
      </c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  <c r="P73" s="15">
        <f>IF($C$8=0,0,(O72*O70)/$C$8)</f>
        <v/>
      </c>
      <c r="Q73" s="15">
        <f>IF($C$8=0,0,(P72*P70)/$C$8)</f>
        <v/>
      </c>
      <c r="R73" s="15">
        <f>IF($C$8=0,0,(Q72*Q70)/$C$8)</f>
        <v/>
      </c>
      <c r="S73" s="15">
        <f>IF($C$8=0,0,(R72*R70)/$C$8)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120.09</v>
      </c>
      <c r="E74" s="13" t="n">
        <v>272.203</v>
      </c>
      <c r="F74" s="13" t="n">
        <v>371.117</v>
      </c>
      <c r="G74" s="13" t="n">
        <v>324.613</v>
      </c>
      <c r="H74" s="15">
        <f>(((H41*H25)*$C$10)+H26)</f>
        <v/>
      </c>
      <c r="I74" s="15">
        <f>(((I41*I25)*$C$10)+I26)</f>
        <v/>
      </c>
      <c r="J74" s="15">
        <f>(((J41*J25)*$C$10)+J26)</f>
        <v/>
      </c>
      <c r="K74" s="15">
        <f>(((K41*K25)*$C$10)+K26)</f>
        <v/>
      </c>
      <c r="L74" s="15">
        <f>(((L41*L25)*$C$10)+L26)</f>
        <v/>
      </c>
      <c r="M74" s="15">
        <f>(((M41*M25)*$C$10)+M26)</f>
        <v/>
      </c>
      <c r="N74" s="15">
        <f>(((N41*N25)*$C$10)+N26)</f>
        <v/>
      </c>
      <c r="O74" s="15">
        <f>(((O41*O25)*$C$10)+O26)</f>
        <v/>
      </c>
      <c r="P74" s="15">
        <f>(((P41*P25)*$C$10)+P26)</f>
        <v/>
      </c>
      <c r="Q74" s="15">
        <f>(((Q41*Q25)*$C$10)+Q26)</f>
        <v/>
      </c>
      <c r="R74" s="15">
        <f>(((R41*R25)*$C$10)+R26)</f>
        <v/>
      </c>
      <c r="S74" s="15">
        <f>(((S41*S25)*$C$10)+S26)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817.1980000000005</v>
      </c>
      <c r="F75" s="13" t="n">
        <v>152.2430000000001</v>
      </c>
      <c r="G75" s="13" t="n">
        <v>155.6449999999998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  <c r="P75" s="15">
        <f>(P80-O80)</f>
        <v/>
      </c>
      <c r="Q75" s="15">
        <f>(Q80-P80)</f>
        <v/>
      </c>
      <c r="R75" s="15">
        <f>(R80-Q80)</f>
        <v/>
      </c>
      <c r="S75" s="15">
        <f>(S80-R80)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82.95098279395438</v>
      </c>
      <c r="F76" s="13" t="n">
        <v>571.767603159844</v>
      </c>
      <c r="G76" s="13" t="n">
        <v>460.4819790836373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  <c r="P76" s="15">
        <f>((((P59*(1-P28))+P60)-P74)-P75)</f>
        <v/>
      </c>
      <c r="Q76" s="15">
        <f>((((Q59*(1-Q28))+Q60)-Q74)-Q75)</f>
        <v/>
      </c>
      <c r="R76" s="15">
        <f>((((R59*(1-R28))+R60)-R74)-R75)</f>
        <v/>
      </c>
      <c r="S76" s="15">
        <f>((((S59*(1-S28))+S60)-S74)-S75)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-241.032</v>
      </c>
      <c r="F77" s="13" t="n">
        <v>527.003</v>
      </c>
      <c r="G77" s="13" t="n">
        <v>-660.0400000000001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  <c r="P77" s="15">
        <f>P31</f>
        <v/>
      </c>
      <c r="Q77" s="15">
        <f>Q31</f>
        <v/>
      </c>
      <c r="R77" s="15">
        <f>R31</f>
        <v/>
      </c>
      <c r="S77" s="15">
        <f>S31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  <c r="P78" s="15">
        <f>(MAX(O68,0)*P34)</f>
        <v/>
      </c>
      <c r="Q78" s="15">
        <f>(MAX(P68,0)*Q34)</f>
        <v/>
      </c>
      <c r="R78" s="15">
        <f>(MAX(Q68,0)*R34)</f>
        <v/>
      </c>
      <c r="S78" s="15">
        <f>(MAX(R68,0)*S34)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  <c r="P79" s="15">
        <f>(((((P67+P60)-P74)-P75)+P77)-P78)</f>
        <v/>
      </c>
      <c r="Q79" s="15">
        <f>(((((Q67+Q60)-Q74)-Q75)+Q77)-Q78)</f>
        <v/>
      </c>
      <c r="R79" s="15">
        <f>(((((R67+R60)-R74)-R75)+R77)-R78)</f>
        <v/>
      </c>
      <c r="S79" s="15">
        <f>(((((S67+S60)-S74)-S75)+S77)-S78)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-1165.742</v>
      </c>
      <c r="E80" s="13" t="n">
        <v>-348.5439999999999</v>
      </c>
      <c r="F80" s="13" t="n">
        <v>-196.3009999999998</v>
      </c>
      <c r="G80" s="13" t="n">
        <v>-40.65600000000006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  <c r="P80" s="15">
        <f>(P55*P27)</f>
        <v/>
      </c>
      <c r="Q80" s="15">
        <f>(Q55*Q27)</f>
        <v/>
      </c>
      <c r="R80" s="15">
        <f>(R55*R27)</f>
        <v/>
      </c>
      <c r="S80" s="15">
        <f>(S55*S27)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3485.262</v>
      </c>
      <c r="E81" s="13" t="n">
        <v>2582.751</v>
      </c>
      <c r="F81" s="13" t="n">
        <v>1581.194</v>
      </c>
      <c r="G81" s="13" t="n">
        <v>958.528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  <c r="P81" s="15">
        <f>(((((((O81+P67)+P60)-P74)-P75)+P77)-P73)-P78)</f>
        <v/>
      </c>
      <c r="Q81" s="15">
        <f>(((((((P81+Q67)+Q60)-Q74)-Q75)+Q77)-Q73)-Q78)</f>
        <v/>
      </c>
      <c r="R81" s="15">
        <f>(((((((Q81+R67)+R60)-R74)-R75)+R77)-R73)-R78)</f>
        <v/>
      </c>
      <c r="S81" s="15">
        <f>(((((((R81+S67)+S60)-S74)-S75)+S77)-S73)-S78)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1200.209</v>
      </c>
      <c r="E82" s="13" t="n">
        <v>959.177</v>
      </c>
      <c r="F82" s="13" t="n">
        <v>1486.18</v>
      </c>
      <c r="G82" s="13" t="n">
        <v>826.14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  <c r="P82" s="15">
        <f>(O82+P77)</f>
        <v/>
      </c>
      <c r="Q82" s="15">
        <f>(P82+Q77)</f>
        <v/>
      </c>
      <c r="R82" s="15">
        <f>(Q82+R77)</f>
        <v/>
      </c>
      <c r="S82" s="15">
        <f>(R82+S77)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885.497</v>
      </c>
      <c r="E83" s="13" t="n">
        <v>970.728</v>
      </c>
      <c r="F83" s="13" t="n">
        <v>1390.949</v>
      </c>
      <c r="G83" s="13" t="n">
        <v>1685.015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  <c r="P83" s="15">
        <f>((O83+P74)-P60)</f>
        <v/>
      </c>
      <c r="Q83" s="15">
        <f>((P83+Q74)-Q60)</f>
        <v/>
      </c>
      <c r="R83" s="15">
        <f>((Q83+R74)-R60)</f>
        <v/>
      </c>
      <c r="S83" s="15">
        <f>((R83+S74)-S60)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4115.713</v>
      </c>
      <c r="E84" s="13" t="n">
        <v>4366</v>
      </c>
      <c r="F84" s="13" t="n">
        <v>2998.891</v>
      </c>
      <c r="G84" s="13" t="n">
        <v>3333.55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  <c r="P84" s="15">
        <f>((O84+P69)-P73)</f>
        <v/>
      </c>
      <c r="Q84" s="15">
        <f>((P84+Q69)-Q73)</f>
        <v/>
      </c>
      <c r="R84" s="15">
        <f>((Q84+R69)-R73)</f>
        <v/>
      </c>
      <c r="S84" s="15">
        <f>((R84+S69)-S73)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392.503</v>
      </c>
      <c r="E85" s="13" t="n">
        <v>424.464</v>
      </c>
      <c r="F85" s="13" t="n">
        <v>364.591</v>
      </c>
      <c r="G85" s="13" t="n">
        <v>316.078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  <c r="P85" s="15">
        <f>((O85+P68)-P78)</f>
        <v/>
      </c>
      <c r="Q85" s="15">
        <f>((P85+Q68)-Q78)</f>
        <v/>
      </c>
      <c r="R85" s="15">
        <f>((Q85+R68)-R78)</f>
        <v/>
      </c>
      <c r="S85" s="15">
        <f>((R85+S68)-S78)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2503.408</v>
      </c>
      <c r="E86" s="13" t="n">
        <v>2544.705999999999</v>
      </c>
      <c r="F86" s="13" t="n">
        <v>2073.82</v>
      </c>
      <c r="G86" s="13" t="n">
        <v>1872.881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  <c r="P86" s="15">
        <f>O86</f>
        <v/>
      </c>
      <c r="Q86" s="15">
        <f>P86</f>
        <v/>
      </c>
      <c r="R86" s="15">
        <f>Q86</f>
        <v/>
      </c>
      <c r="S86" s="15">
        <f>R86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  <c r="P87" s="15">
        <f>((((((P81+P80)+P83)+P86)-P82)-P84)-P85)</f>
        <v/>
      </c>
      <c r="Q87" s="15">
        <f>((((((Q81+Q80)+Q83)+Q86)-Q82)-Q84)-Q85)</f>
        <v/>
      </c>
      <c r="R87" s="15">
        <f>((((((R81+R80)+R83)+R86)-R82)-R84)-R85)</f>
        <v/>
      </c>
      <c r="S87" s="15">
        <f>((((((S81+S80)+S83)+S86)-S82)-S84)-S85)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-2285.053</v>
      </c>
      <c r="E88" s="13" t="n">
        <v>-1623.574</v>
      </c>
      <c r="F88" s="13" t="n">
        <v>-95.0139999999999</v>
      </c>
      <c r="G88" s="13" t="n">
        <v>-132.388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  <c r="P88" s="15">
        <f>(P82-P81)</f>
        <v/>
      </c>
      <c r="Q88" s="15">
        <f>(Q82-Q81)</f>
        <v/>
      </c>
      <c r="R88" s="15">
        <f>(R82-R81)</f>
        <v/>
      </c>
      <c r="S88" s="15">
        <f>(S82-S81)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0.5285437536375874</v>
      </c>
      <c r="E89" s="20" t="n">
        <v>0.5606858467492041</v>
      </c>
      <c r="F89" s="20" t="n">
        <v>0.3851204167758973</v>
      </c>
      <c r="G89" s="20" t="n">
        <v>0.4280976418760443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  <c r="M89" s="21">
        <f>(IF(M70=0,0,M84/M70)*$C$8)</f>
        <v/>
      </c>
      <c r="N89" s="21">
        <f>(IF(N70=0,0,N84/N70)*$C$8)</f>
        <v/>
      </c>
      <c r="O89" s="21">
        <f>(IF(O70=0,0,O84/O70)*$C$8)</f>
        <v/>
      </c>
      <c r="P89" s="21">
        <f>(IF(P70=0,0,P84/P70)*$C$8)</f>
        <v/>
      </c>
      <c r="Q89" s="21">
        <f>(IF(Q70=0,0,Q84/Q70)*$C$8)</f>
        <v/>
      </c>
      <c r="R89" s="21">
        <f>(IF(R70=0,0,R84/R70)*$C$8)</f>
        <v/>
      </c>
      <c r="S89" s="21">
        <f>(IF(S70=0,0,S84/S70)*$C$8)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-0.2343438650063364</v>
      </c>
      <c r="F90" s="4" t="n">
        <v>-0.1007244132610972</v>
      </c>
      <c r="G90" s="4" t="n">
        <v>-0.07694570738828732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  <c r="L90" s="17">
        <f>(IF(K55=0,0,L55/K55)-1)</f>
        <v/>
      </c>
      <c r="M90" s="17">
        <f>(IF(L55=0,0,M55/L55)-1)</f>
        <v/>
      </c>
      <c r="N90" s="17">
        <f>(IF(M55=0,0,N55/M55)-1)</f>
        <v/>
      </c>
      <c r="O90" s="17">
        <f>(IF(N55=0,0,O55/N55)-1)</f>
        <v/>
      </c>
      <c r="P90" s="17">
        <f>(IF(O55=0,0,P55/O55)-1)</f>
        <v/>
      </c>
      <c r="Q90" s="17">
        <f>(IF(P55=0,0,Q55/P55)-1)</f>
        <v/>
      </c>
      <c r="R90" s="17">
        <f>(IF(Q55=0,0,R55/Q55)-1)</f>
        <v/>
      </c>
      <c r="S90" s="17">
        <f>(IF(R55=0,0,S55/R55)-1)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0.5111456441571524</v>
      </c>
      <c r="E91" s="4" t="n">
        <v>0.2922665689331995</v>
      </c>
      <c r="F91" s="4" t="n">
        <v>0.275576351675752</v>
      </c>
      <c r="G91" s="4" t="n">
        <v>0.2569505951106896</v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  <c r="L91" s="17">
        <f>IF(L55=0,0,L57/L55)</f>
        <v/>
      </c>
      <c r="M91" s="17">
        <f>IF(M55=0,0,M57/M55)</f>
        <v/>
      </c>
      <c r="N91" s="17">
        <f>IF(N55=0,0,N57/N55)</f>
        <v/>
      </c>
      <c r="O91" s="17">
        <f>IF(O55=0,0,O57/O55)</f>
        <v/>
      </c>
      <c r="P91" s="17">
        <f>IF(P55=0,0,P57/P55)</f>
        <v/>
      </c>
      <c r="Q91" s="17">
        <f>IF(Q55=0,0,Q57/Q55)</f>
        <v/>
      </c>
      <c r="R91" s="17">
        <f>IF(R55=0,0,R57/R55)</f>
        <v/>
      </c>
      <c r="S91" s="17">
        <f>IF(S55=0,0,S57/S55)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0.4739783531645951</v>
      </c>
      <c r="E92" s="4" t="n">
        <v>0.2402764103507315</v>
      </c>
      <c r="F92" s="4" t="n">
        <v>0.235825672017087</v>
      </c>
      <c r="G92" s="4" t="n">
        <v>0.2319517304877559</v>
      </c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  <c r="L92" s="17">
        <f>IF(L55=0,0,L61/L55)</f>
        <v/>
      </c>
      <c r="M92" s="17">
        <f>IF(M55=0,0,M61/M55)</f>
        <v/>
      </c>
      <c r="N92" s="17">
        <f>IF(N55=0,0,N61/N55)</f>
        <v/>
      </c>
      <c r="O92" s="17">
        <f>IF(O55=0,0,O61/O55)</f>
        <v/>
      </c>
      <c r="P92" s="17">
        <f>IF(P55=0,0,P61/P55)</f>
        <v/>
      </c>
      <c r="Q92" s="17">
        <f>IF(Q55=0,0,Q61/Q55)</f>
        <v/>
      </c>
      <c r="R92" s="17">
        <f>IF(R55=0,0,R61/R55)</f>
        <v/>
      </c>
      <c r="S92" s="17">
        <f>IF(S55=0,0,S61/S55)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0.47356416370683</v>
      </c>
      <c r="E93" s="4" t="n">
        <v>0.2395606524520371</v>
      </c>
      <c r="F93" s="4" t="n">
        <v>0.2162664284524611</v>
      </c>
      <c r="G93" s="4" t="n">
        <v>0.2066302762194204</v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  <c r="L93" s="17">
        <f>IF(L55=0,0,L59/L55)</f>
        <v/>
      </c>
      <c r="M93" s="17">
        <f>IF(M55=0,0,M59/M55)</f>
        <v/>
      </c>
      <c r="N93" s="17">
        <f>IF(N55=0,0,N59/N55)</f>
        <v/>
      </c>
      <c r="O93" s="17">
        <f>IF(O55=0,0,O59/O55)</f>
        <v/>
      </c>
      <c r="P93" s="17">
        <f>IF(P55=0,0,P59/P55)</f>
        <v/>
      </c>
      <c r="Q93" s="17">
        <f>IF(Q55=0,0,Q59/Q55)</f>
        <v/>
      </c>
      <c r="R93" s="17">
        <f>IF(R55=0,0,R59/R55)</f>
        <v/>
      </c>
      <c r="S93" s="17">
        <f>IF(S55=0,0,S59/S55)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0.3041149852063175</v>
      </c>
      <c r="E94" s="4" t="n">
        <v>0.1933616413271916</v>
      </c>
      <c r="F94" s="4" t="n">
        <v>0.2276114927827036</v>
      </c>
      <c r="G94" s="4" t="n">
        <v>0.1548145180818217</v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  <c r="L94" s="17">
        <f>IF(L55=0,0,L69/L55)</f>
        <v/>
      </c>
      <c r="M94" s="17">
        <f>IF(M55=0,0,M69/M55)</f>
        <v/>
      </c>
      <c r="N94" s="17">
        <f>IF(N55=0,0,N69/N55)</f>
        <v/>
      </c>
      <c r="O94" s="17">
        <f>IF(O55=0,0,O69/O55)</f>
        <v/>
      </c>
      <c r="P94" s="17">
        <f>IF(P55=0,0,P69/P55)</f>
        <v/>
      </c>
      <c r="Q94" s="17">
        <f>IF(Q55=0,0,Q69/Q55)</f>
        <v/>
      </c>
      <c r="R94" s="17">
        <f>IF(R55=0,0,R69/R55)</f>
        <v/>
      </c>
      <c r="S94" s="17">
        <f>IF(S55=0,0,S69/S55)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-0.5131824008798198</v>
      </c>
      <c r="F95" s="4" t="n">
        <v>0.05856289445914675</v>
      </c>
      <c r="G95" s="4" t="n">
        <v>-0.3721661251505206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  <c r="L95" s="17">
        <f>(IF(K71=0,0,L71/K71)-1)</f>
        <v/>
      </c>
      <c r="M95" s="17">
        <f>(IF(L71=0,0,M71/L71)-1)</f>
        <v/>
      </c>
      <c r="N95" s="17">
        <f>(IF(M71=0,0,N71/M71)-1)</f>
        <v/>
      </c>
      <c r="O95" s="17">
        <f>(IF(N71=0,0,O71/N71)-1)</f>
        <v/>
      </c>
      <c r="P95" s="17">
        <f>(IF(O71=0,0,P71/O71)-1)</f>
        <v/>
      </c>
      <c r="Q95" s="17">
        <f>(IF(P71=0,0,Q71/P71)-1)</f>
        <v/>
      </c>
      <c r="R95" s="17">
        <f>(IF(Q71=0,0,R71/Q71)-1)</f>
        <v/>
      </c>
      <c r="S95" s="17">
        <f>(IF(R71=0,0,S71/R71)-1)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0.2697127337366874</v>
      </c>
      <c r="F96" s="4" t="n">
        <v>0.3288026937533767</v>
      </c>
      <c r="G96" s="4" t="n">
        <v>0.240090669616977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  <c r="L96" s="17">
        <f>IF(IF(2=0,0,(L84+K84)/2)=0,0,L69/IF(2=0,0,(L84+K84)/2))</f>
        <v/>
      </c>
      <c r="M96" s="17">
        <f>IF(IF(2=0,0,(M84+L84)/2)=0,0,M69/IF(2=0,0,(M84+L84)/2))</f>
        <v/>
      </c>
      <c r="N96" s="17">
        <f>IF(IF(2=0,0,(N84+M84)/2)=0,0,N69/IF(2=0,0,(N84+M84)/2))</f>
        <v/>
      </c>
      <c r="O96" s="17">
        <f>IF(IF(2=0,0,(O84+N84)/2)=0,0,O69/IF(2=0,0,(O84+N84)/2))</f>
        <v/>
      </c>
      <c r="P96" s="17">
        <f>IF(IF(2=0,0,(P84+O84)/2)=0,0,P69/IF(2=0,0,(P84+O84)/2))</f>
        <v/>
      </c>
      <c r="Q96" s="17">
        <f>IF(IF(2=0,0,(Q84+P84)/2)=0,0,Q69/IF(2=0,0,(Q84+P84)/2))</f>
        <v/>
      </c>
      <c r="R96" s="17">
        <f>IF(IF(2=0,0,(R84+Q84)/2)=0,0,R69/IF(2=0,0,(R84+Q84)/2))</f>
        <v/>
      </c>
      <c r="S96" s="17">
        <f>IF(IF(2=0,0,(S84+R84)/2)=0,0,S69/IF(2=0,0,(S84+R84)/2))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>
        <v>-0.6240032223489012</v>
      </c>
      <c r="E97" s="22" t="n">
        <v>-1.142289667516339</v>
      </c>
      <c r="F97" s="22" t="n">
        <v>-0.07573890349415772</v>
      </c>
      <c r="G97" s="22" t="n">
        <v>-0.1162374971903799</v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  <c r="M97" s="23">
        <f>IF(M61=0,0,M88/M61)</f>
        <v/>
      </c>
      <c r="N97" s="23">
        <f>IF(N61=0,0,N88/N61)</f>
        <v/>
      </c>
      <c r="O97" s="23">
        <f>IF(O61=0,0,O88/O61)</f>
        <v/>
      </c>
      <c r="P97" s="23">
        <f>IF(P61=0,0,P88/P61)</f>
        <v/>
      </c>
      <c r="Q97" s="23">
        <f>IF(Q61=0,0,Q88/Q61)</f>
        <v/>
      </c>
      <c r="R97" s="23">
        <f>IF(R61=0,0,R88/R61)</f>
        <v/>
      </c>
      <c r="S97" s="23">
        <f>IF(S61=0,0,S88/S61)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/>
      <c r="E98" s="4" t="n"/>
      <c r="F98" s="4" t="n">
        <v>0.2080254584417928</v>
      </c>
      <c r="G98" s="4" t="n">
        <v>0.2647704916869832</v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  <c r="L98" s="17">
        <f>IF(L71=0,0,L72/L71)</f>
        <v/>
      </c>
      <c r="M98" s="17">
        <f>IF(M71=0,0,M72/M71)</f>
        <v/>
      </c>
      <c r="N98" s="17">
        <f>IF(N71=0,0,N72/N71)</f>
        <v/>
      </c>
      <c r="O98" s="17">
        <f>IF(O71=0,0,O72/O71)</f>
        <v/>
      </c>
      <c r="P98" s="17">
        <f>IF(P71=0,0,P72/P71)</f>
        <v/>
      </c>
      <c r="Q98" s="17">
        <f>IF(Q71=0,0,Q72/Q71)</f>
        <v/>
      </c>
      <c r="R98" s="17">
        <f>IF(R71=0,0,R72/R71)</f>
        <v/>
      </c>
      <c r="S98" s="17">
        <f>IF(S71=0,0,S72/S71)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0.01554375374469336</v>
      </c>
      <c r="E99" s="4" t="n">
        <v>0.04601592992402214</v>
      </c>
      <c r="F99" s="4" t="n">
        <v>0.06976431606844297</v>
      </c>
      <c r="G99" s="4" t="n">
        <v>0.06610908621391563</v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  <c r="L99" s="17">
        <f>IF(L55=0,0,L74/L55)</f>
        <v/>
      </c>
      <c r="M99" s="17">
        <f>IF(M55=0,0,M74/M55)</f>
        <v/>
      </c>
      <c r="N99" s="17">
        <f>IF(N55=0,0,N74/N55)</f>
        <v/>
      </c>
      <c r="O99" s="17">
        <f>IF(O55=0,0,O74/O55)</f>
        <v/>
      </c>
      <c r="P99" s="17">
        <f>IF(P55=0,0,P74/P55)</f>
        <v/>
      </c>
      <c r="Q99" s="17">
        <f>IF(Q55=0,0,Q74/Q55)</f>
        <v/>
      </c>
      <c r="R99" s="17">
        <f>IF(R55=0,0,R74/R55)</f>
        <v/>
      </c>
      <c r="S99" s="17">
        <f>IF(S55=0,0,S74/S55)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11375</v>
      </c>
    </row>
    <row r="103">
      <c r="A103" t="inlineStr">
        <is>
          <t>Shares outstanding (m)</t>
        </is>
      </c>
      <c r="C103" s="13" t="n">
        <v>7786.89176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1010.001</v>
      </c>
    </row>
    <row r="106">
      <c r="A106" t="inlineStr">
        <is>
          <t>Cash at balance-sheet date</t>
        </is>
      </c>
      <c r="C106" s="13" t="n">
        <v>1231.058</v>
      </c>
    </row>
    <row r="107">
      <c r="A107" t="inlineStr">
        <is>
          <t>Minority interest (book)</t>
        </is>
      </c>
      <c r="C107" s="13" t="n">
        <v>346.171</v>
      </c>
    </row>
    <row r="108">
      <c r="A108" t="inlineStr">
        <is>
          <t>Associates &amp; investments (book)</t>
        </is>
      </c>
      <c r="C108" s="13" t="n">
        <v>26.48</v>
      </c>
    </row>
    <row r="109">
      <c r="A109" t="inlineStr">
        <is>
          <t>Post-balance-sheet &amp; other items (sourced, probability-weighted)</t>
        </is>
      </c>
      <c r="C109" s="13" t="n">
        <v>865</v>
      </c>
    </row>
    <row r="110">
      <c r="A110" t="inlineStr">
        <is>
          <t>Parent equity at balance-sheet date</t>
        </is>
      </c>
      <c r="C110" s="13" t="n">
        <v>3588.108</v>
      </c>
    </row>
    <row r="111">
      <c r="A111" t="inlineStr">
        <is>
          <t>Per-share factor</t>
        </is>
      </c>
      <c r="C111" s="24" t="n">
        <v>1</v>
      </c>
    </row>
    <row r="112">
      <c r="A112" t="inlineStr">
        <is>
          <t>Risk-free rate</t>
        </is>
      </c>
      <c r="C112" s="9">
        <f>Drivers!$C$12</f>
        <v/>
      </c>
    </row>
    <row r="113">
      <c r="A113" t="inlineStr">
        <is>
          <t>Less: default spread (IDR only)</t>
        </is>
      </c>
      <c r="C113" s="9" t="n">
        <v>0</v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0.2068214878595404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  <c r="K126" s="6" t="n">
        <v>0.996578</v>
      </c>
      <c r="L126" s="6" t="n">
        <v>0.996578</v>
      </c>
      <c r="M126" s="6" t="n">
        <v>0.996578</v>
      </c>
      <c r="N126" s="6" t="n">
        <v>0.999316</v>
      </c>
      <c r="O126" s="6" t="n">
        <v>0.996578</v>
      </c>
      <c r="P126" s="6" t="n">
        <v>0.996578</v>
      </c>
      <c r="Q126" s="6" t="n">
        <v>0.996578</v>
      </c>
      <c r="R126" s="6" t="n">
        <v>0.999316</v>
      </c>
      <c r="S126" s="6" t="n">
        <v>0.996578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  <c r="K127" s="6" t="n">
        <v>2.672142</v>
      </c>
      <c r="L127" s="6" t="n">
        <v>3.671458</v>
      </c>
      <c r="M127" s="6" t="n">
        <v>4.670773</v>
      </c>
      <c r="N127" s="6" t="n">
        <v>5.670089</v>
      </c>
      <c r="O127" s="6" t="n">
        <v>6.672142</v>
      </c>
      <c r="P127" s="6" t="n">
        <v>7.671458</v>
      </c>
      <c r="Q127" s="6" t="n">
        <v>8.670773000000001</v>
      </c>
      <c r="R127" s="6" t="n">
        <v>9.670089000000001</v>
      </c>
      <c r="S127" s="6" t="n">
        <v>10.672142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  <c r="P128">
        <f>1/(1+$C$122)^P127</f>
        <v/>
      </c>
      <c r="Q128">
        <f>1/(1+$C$122)^Q127</f>
        <v/>
      </c>
      <c r="R128">
        <f>1/(1+$C$122)^R127</f>
        <v/>
      </c>
      <c r="S128">
        <f>1/(1+$C$122)^S127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  <c r="M129" s="26">
        <f>M76*M126*M128</f>
        <v/>
      </c>
      <c r="N129" s="26">
        <f>N76*N126*N128</f>
        <v/>
      </c>
      <c r="O129" s="26">
        <f>O76*O126*O128</f>
        <v/>
      </c>
      <c r="P129" s="26">
        <f>P76*P126*P128</f>
        <v/>
      </c>
      <c r="Q129" s="26">
        <f>Q76*Q126*Q128</f>
        <v/>
      </c>
      <c r="R129" s="26">
        <f>R76*R126*R128</f>
        <v/>
      </c>
      <c r="S129" s="26">
        <f>S76*S126*S128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  <c r="M130" s="26">
        <f>L130+M129</f>
        <v/>
      </c>
      <c r="N130" s="26">
        <f>M130+N129</f>
        <v/>
      </c>
      <c r="O130" s="26">
        <f>N130+O129</f>
        <v/>
      </c>
      <c r="P130" s="26">
        <f>O130+P129</f>
        <v/>
      </c>
      <c r="Q130" s="26">
        <f>P130+Q129</f>
        <v/>
      </c>
      <c r="R130" s="26">
        <f>Q130+R129</f>
        <v/>
      </c>
      <c r="S130" s="26">
        <f>R130+S129</f>
        <v/>
      </c>
    </row>
    <row r="131">
      <c r="A131" t="inlineStr">
        <is>
          <t>Best cumulative PV (never below zero)</t>
        </is>
      </c>
      <c r="C131" s="26">
        <f>MAX(0,MAX(H130:S130))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MAX(0,$C$134/$C$103*$C$111*$C$104)</f>
        <v/>
      </c>
    </row>
    <row r="137">
      <c r="A137" s="1" t="inlineStr">
        <is>
          <t>EV/EBITDA</t>
        </is>
      </c>
    </row>
    <row r="138">
      <c r="A138" t="inlineStr">
        <is>
          <t>Target multiple (peer median)</t>
        </is>
      </c>
      <c r="C138" s="22" t="n">
        <v>6.392273</v>
      </c>
    </row>
    <row r="139">
      <c r="A139" t="inlineStr">
        <is>
          <t>Metric (LTM, or next-12m DPS for yield)</t>
        </is>
      </c>
      <c r="C139" s="13" t="n">
        <v>1016.275</v>
      </c>
    </row>
    <row r="140">
      <c r="A140" t="inlineStr">
        <is>
          <t>Value per share (IDR) — EV/EBITDA</t>
        </is>
      </c>
      <c r="C140" s="27">
        <f>MAX(0,($C$138*$C$139-($C$105-$C$106)-$C$107+$C$108+$C$109)/$C$103*$C$111*$C$104)</f>
        <v/>
      </c>
    </row>
    <row r="142">
      <c r="A142" s="1" t="inlineStr">
        <is>
          <t>TARGET</t>
        </is>
      </c>
    </row>
    <row r="143">
      <c r="A143" t="inlineStr">
        <is>
          <t>Weight: DCF to end of life (no terminal value)</t>
        </is>
      </c>
      <c r="C143" s="4" t="n">
        <v>0.85</v>
      </c>
    </row>
    <row r="144">
      <c r="A144" t="inlineStr">
        <is>
          <t>Weight: EV/EBITDA</t>
        </is>
      </c>
      <c r="C144" s="4" t="n">
        <v>0.15</v>
      </c>
    </row>
    <row r="145">
      <c r="A145" t="inlineStr">
        <is>
          <t>Value today (weighted)</t>
        </is>
      </c>
      <c r="C145" s="27">
        <f>$C$135*$C$143+$C$140*$C$144</f>
        <v/>
      </c>
    </row>
    <row r="146">
      <c r="A146" t="inlineStr">
        <is>
          <t>DPS expected in next 12 months (IDR)</t>
        </is>
      </c>
      <c r="C146" s="20" t="n">
        <v>2476.872588372834</v>
      </c>
    </row>
    <row r="147">
      <c r="A147" t="inlineStr">
        <is>
          <t>Base-case 12-month value</t>
        </is>
      </c>
      <c r="C147" s="27">
        <f>MAX(0,$C$145*(1+$C$120)-$C$146)</f>
        <v/>
      </c>
    </row>
    <row r="148">
      <c r="A148" t="inlineStr">
        <is>
          <t>Bear probability</t>
        </is>
      </c>
      <c r="C148" s="4" t="n">
        <v>0.25</v>
      </c>
    </row>
    <row r="149">
      <c r="A149" t="inlineStr">
        <is>
          <t>Bear 12-month value (engine)</t>
        </is>
      </c>
      <c r="C149" s="20" t="n">
        <v>4079.947443981299</v>
      </c>
    </row>
    <row r="150">
      <c r="A150" t="inlineStr">
        <is>
          <t>Base probability</t>
        </is>
      </c>
      <c r="C150" s="4" t="n">
        <v>0.5</v>
      </c>
    </row>
    <row r="151">
      <c r="A151" t="inlineStr">
        <is>
          <t>Bull probability</t>
        </is>
      </c>
      <c r="C151" s="4" t="n">
        <v>0.25</v>
      </c>
    </row>
    <row r="152">
      <c r="A152" t="inlineStr">
        <is>
          <t>Bull 12-month value (engine)</t>
        </is>
      </c>
      <c r="C152" s="20" t="n">
        <v>21358.52256716705</v>
      </c>
    </row>
    <row r="153">
      <c r="A153" t="inlineStr">
        <is>
          <t>Probability-weighted 12-month value</t>
        </is>
      </c>
      <c r="C153" s="27">
        <f>$C$148*$C$149+$C$150*$C$147+$C$151*$C$152</f>
        <v/>
      </c>
    </row>
    <row r="154">
      <c r="A154" t="inlineStr">
        <is>
          <t>Liquidity discount (limits.yaml)</t>
        </is>
      </c>
      <c r="C154" s="4" t="n">
        <v>0</v>
      </c>
    </row>
    <row r="155">
      <c r="A155" t="inlineStr">
        <is>
          <t>TARGET PRICE (IDR)</t>
        </is>
      </c>
      <c r="C155" s="28">
        <f>$C$153*(1-$C$154)</f>
        <v/>
      </c>
    </row>
    <row r="156">
      <c r="A156" t="inlineStr">
        <is>
          <t>Expected 12-month total return</t>
        </is>
      </c>
      <c r="C156" s="29">
        <f>($C$155+$C$146)/$C$102-1</f>
        <v/>
      </c>
    </row>
    <row r="157">
      <c r="A157" t="inlineStr">
        <is>
          <t>Rating</t>
        </is>
      </c>
      <c r="C157" s="30">
        <f>IF($C$156&gt;=0.25,"BUY",IF($C$156&gt;=0.1,"ADD",IF($C$156&lt;=-0.25,"SELL",IF($C$156&lt;=-0.1,"REDUCE","HOLD"))))</f>
        <v/>
      </c>
    </row>
    <row r="159">
      <c r="A159" s="1" t="inlineStr">
        <is>
          <t>12-month value vs benchmark price and IDR/USD (engine values)</t>
        </is>
      </c>
    </row>
    <row r="160">
      <c r="A160" s="5" t="inlineStr">
        <is>
          <t>rows: IDR per USD (x deck) · columns: Benchmark price (x deck)</t>
        </is>
      </c>
      <c r="D160" s="1" t="n">
        <v>0.8</v>
      </c>
      <c r="E160" s="1" t="n">
        <v>0.9</v>
      </c>
      <c r="F160" s="1" t="n">
        <v>1</v>
      </c>
      <c r="G160" s="1" t="n">
        <v>1.1</v>
      </c>
      <c r="H160" s="1" t="n">
        <v>1.2</v>
      </c>
    </row>
    <row r="161">
      <c r="C161" s="1" t="n">
        <v>0.9</v>
      </c>
      <c r="D161" s="27" t="n">
        <v>3671.991779</v>
      </c>
      <c r="E161" s="27" t="n">
        <v>5346.15432</v>
      </c>
      <c r="F161" s="27" t="n">
        <v>8944.220178</v>
      </c>
      <c r="G161" s="27" t="n">
        <v>12339.085342</v>
      </c>
      <c r="H161" s="27" t="n">
        <v>15401.881002</v>
      </c>
    </row>
    <row r="162">
      <c r="C162" s="1" t="n">
        <v>0.95</v>
      </c>
      <c r="D162" s="27" t="n">
        <v>3878.001793</v>
      </c>
      <c r="E162" s="27" t="n">
        <v>5646.280633</v>
      </c>
      <c r="F162" s="27" t="n">
        <v>9446.703030000001</v>
      </c>
      <c r="G162" s="27" t="n">
        <v>13032.616262</v>
      </c>
      <c r="H162" s="27" t="n">
        <v>16267.78293</v>
      </c>
    </row>
    <row r="163">
      <c r="C163" s="1" t="n">
        <v>1</v>
      </c>
      <c r="D163" s="27" t="n">
        <v>4084.223341</v>
      </c>
      <c r="E163" s="27" t="n">
        <v>5946.731501</v>
      </c>
      <c r="F163" s="27" t="n">
        <v>9949.756590000001</v>
      </c>
      <c r="G163" s="27" t="n">
        <v>13726.960942</v>
      </c>
      <c r="H163" s="27" t="n">
        <v>17134.719149</v>
      </c>
    </row>
    <row r="164">
      <c r="C164" s="1" t="n">
        <v>1.05</v>
      </c>
      <c r="D164" s="27" t="n">
        <v>4290.65641</v>
      </c>
      <c r="E164" s="27" t="n">
        <v>6247.506475</v>
      </c>
      <c r="F164" s="27" t="n">
        <v>10453.378776</v>
      </c>
      <c r="G164" s="27" t="n">
        <v>14422.115534</v>
      </c>
      <c r="H164" s="27" t="n">
        <v>18002.684237</v>
      </c>
    </row>
    <row r="165">
      <c r="C165" s="1" t="n">
        <v>1.1</v>
      </c>
      <c r="D165" s="27" t="n">
        <v>4497.300989</v>
      </c>
      <c r="E165" s="27" t="n">
        <v>6548.605124</v>
      </c>
      <c r="F165" s="27" t="n">
        <v>10957.567572</v>
      </c>
      <c r="G165" s="27" t="n">
        <v>15118.076317</v>
      </c>
      <c r="H165" s="27" t="n">
        <v>18871.672954</v>
      </c>
    </row>
    <row r="167">
      <c r="A167" s="1" t="inlineStr">
        <is>
          <t>12-month value vs volume and unit cost intensity (engine values)</t>
        </is>
      </c>
    </row>
    <row r="168">
      <c r="A168" s="5" t="inlineStr">
        <is>
          <t>rows: Volume (x plan) · columns: Cost intensity / strip ratio (x)</t>
        </is>
      </c>
      <c r="D168" s="1" t="n">
        <v>0.85</v>
      </c>
      <c r="E168" s="1" t="n">
        <v>0.925</v>
      </c>
      <c r="F168" s="1" t="n">
        <v>1</v>
      </c>
      <c r="G168" s="1" t="n">
        <v>1.075</v>
      </c>
      <c r="H168" s="1" t="n">
        <v>1.15</v>
      </c>
    </row>
    <row r="169">
      <c r="C169" s="1" t="n">
        <v>0.9</v>
      </c>
      <c r="D169" s="27" t="n">
        <v>12434.165182</v>
      </c>
      <c r="E169" s="27" t="n">
        <v>11631.696791</v>
      </c>
      <c r="F169" s="27" t="n">
        <v>10829.228399</v>
      </c>
      <c r="G169" s="27" t="n">
        <v>10026.760007</v>
      </c>
      <c r="H169" s="27" t="n">
        <v>9224.291616</v>
      </c>
    </row>
    <row r="170">
      <c r="C170" s="1" t="n">
        <v>0.95</v>
      </c>
      <c r="D170" s="27" t="n">
        <v>12875.768285</v>
      </c>
      <c r="E170" s="27" t="n">
        <v>12028.718316</v>
      </c>
      <c r="F170" s="27" t="n">
        <v>11181.668347</v>
      </c>
      <c r="G170" s="27" t="n">
        <v>10334.618378</v>
      </c>
      <c r="H170" s="27" t="n">
        <v>9487.568409</v>
      </c>
    </row>
    <row r="171">
      <c r="C171" s="1" t="n">
        <v>1</v>
      </c>
      <c r="D171" s="27" t="n">
        <v>13317.371388</v>
      </c>
      <c r="E171" s="27" t="n">
        <v>12425.739842</v>
      </c>
      <c r="F171" s="27" t="n">
        <v>11534.108296</v>
      </c>
      <c r="G171" s="27" t="n">
        <v>10642.47675</v>
      </c>
      <c r="H171" s="27" t="n">
        <v>9750.845203000001</v>
      </c>
    </row>
    <row r="172">
      <c r="C172" s="1" t="n">
        <v>1.05</v>
      </c>
      <c r="D172" s="27" t="n">
        <v>13758.974491</v>
      </c>
      <c r="E172" s="27" t="n">
        <v>12822.761368</v>
      </c>
      <c r="F172" s="27" t="n">
        <v>11886.548244</v>
      </c>
      <c r="G172" s="27" t="n">
        <v>10950.335121</v>
      </c>
      <c r="H172" s="27" t="n">
        <v>10014.121997</v>
      </c>
    </row>
    <row r="173">
      <c r="C173" s="1" t="n">
        <v>1.1</v>
      </c>
      <c r="D173" s="27" t="n">
        <v>14200.577594</v>
      </c>
      <c r="E173" s="27" t="n">
        <v>13219.782894</v>
      </c>
      <c r="F173" s="27" t="n">
        <v>12238.988193</v>
      </c>
      <c r="G173" s="27" t="n">
        <v>11258.193492</v>
      </c>
      <c r="H173" s="27" t="n">
        <v>10277.398791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 Alamtri Minerals Indonesia Tbk (ADMR.JK) — Coal producers</t>
        </is>
      </c>
    </row>
    <row r="2">
      <c r="A2" s="5" t="inlineStr">
        <is>
          <t>Units: USD m; per-share in USD unless marked IDR. Model asof 2026-10-30 · data 2026-10-26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  <c r="R4" s="1" t="inlineStr">
        <is>
          <t>FY2036E</t>
        </is>
      </c>
      <c r="S4" s="1" t="inlineStr">
        <is>
          <t>FY2037E</t>
        </is>
      </c>
      <c r="T4" s="1" t="inlineStr">
        <is>
          <t>FY2038E</t>
        </is>
      </c>
      <c r="U4" s="1" t="inlineStr">
        <is>
          <t>FY2039E</t>
        </is>
      </c>
      <c r="V4" s="1" t="inlineStr">
        <is>
          <t>FY2040E</t>
        </is>
      </c>
      <c r="W4" s="1" t="inlineStr">
        <is>
          <t>FY2041E</t>
        </is>
      </c>
      <c r="X4" s="1" t="inlineStr">
        <is>
          <t>FY2042E</t>
        </is>
      </c>
      <c r="Y4" s="1" t="inlineStr">
        <is>
          <t>FY2043E</t>
        </is>
      </c>
      <c r="Z4" s="1" t="inlineStr">
        <is>
          <t>FY2044E</t>
        </is>
      </c>
      <c r="AA4" s="1" t="inlineStr">
        <is>
          <t>FY2045E</t>
        </is>
      </c>
      <c r="AB4" s="1" t="inlineStr">
        <is>
          <t>FY2046E</t>
        </is>
      </c>
      <c r="AC4" s="1" t="inlineStr">
        <is>
          <t>FY2047E</t>
        </is>
      </c>
      <c r="AD4" s="1" t="inlineStr">
        <is>
          <t>FY2048E</t>
        </is>
      </c>
      <c r="AE4" s="1" t="inlineStr">
        <is>
          <t>FY2049E</t>
        </is>
      </c>
      <c r="AF4" s="1" t="inlineStr">
        <is>
          <t>FY2050E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25</v>
      </c>
    </row>
    <row r="8">
      <c r="A8" t="inlineStr">
        <is>
          <t>ps_factor</t>
        </is>
      </c>
      <c r="C8" s="6" t="n">
        <v>1</v>
      </c>
    </row>
    <row r="9">
      <c r="A9" t="inlineStr">
        <is>
          <t>reserves</t>
        </is>
      </c>
      <c r="C9" s="6" t="n">
        <v>178.1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6.5</v>
      </c>
      <c r="I14" s="13" t="n">
        <v>7.1</v>
      </c>
      <c r="J14" s="13" t="n">
        <v>7.3</v>
      </c>
      <c r="K14" s="13" t="n">
        <v>7.3</v>
      </c>
      <c r="L14" s="13" t="n">
        <v>7.3</v>
      </c>
      <c r="M14" s="13" t="n">
        <v>7.3</v>
      </c>
      <c r="N14" s="13" t="n">
        <v>7.3</v>
      </c>
      <c r="O14" s="13" t="n">
        <v>7.3</v>
      </c>
      <c r="P14" s="13" t="n">
        <v>7.3</v>
      </c>
      <c r="Q14" s="13" t="n">
        <v>7.3</v>
      </c>
      <c r="R14" s="13" t="n">
        <v>7.3</v>
      </c>
      <c r="S14" s="13" t="n">
        <v>7.3</v>
      </c>
      <c r="T14" s="13" t="n">
        <v>7.3</v>
      </c>
      <c r="U14" s="13" t="n">
        <v>7.3</v>
      </c>
      <c r="V14" s="13" t="n">
        <v>7.3</v>
      </c>
      <c r="W14" s="13" t="n">
        <v>7.3</v>
      </c>
      <c r="X14" s="13" t="n">
        <v>7.3</v>
      </c>
      <c r="Y14" s="13" t="n">
        <v>7.3</v>
      </c>
      <c r="Z14" s="13" t="n">
        <v>7.3</v>
      </c>
      <c r="AA14" s="13" t="n">
        <v>7.3</v>
      </c>
      <c r="AB14" s="13" t="n">
        <v>7.3</v>
      </c>
      <c r="AC14" s="13" t="n">
        <v>7.3</v>
      </c>
      <c r="AD14" s="13" t="n">
        <v>7.3</v>
      </c>
      <c r="AE14" s="13" t="n">
        <v>7.3</v>
      </c>
      <c r="AF14" s="13" t="n">
        <v>7.3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1.43</v>
      </c>
      <c r="I15" s="14" t="n">
        <v>1.43</v>
      </c>
      <c r="J15" s="14" t="n">
        <v>1.43</v>
      </c>
      <c r="K15" s="14" t="n">
        <v>1.43</v>
      </c>
      <c r="L15" s="14" t="n">
        <v>1.43</v>
      </c>
      <c r="M15" s="14" t="n">
        <v>1.43</v>
      </c>
      <c r="N15" s="14" t="n">
        <v>1.43</v>
      </c>
      <c r="O15" s="14" t="n">
        <v>1.43</v>
      </c>
      <c r="P15" s="14" t="n">
        <v>1.43</v>
      </c>
      <c r="Q15" s="14" t="n">
        <v>1.43</v>
      </c>
      <c r="R15" s="14" t="n">
        <v>1.43</v>
      </c>
      <c r="S15" s="14" t="n">
        <v>1.43</v>
      </c>
      <c r="T15" s="14" t="n">
        <v>1.43</v>
      </c>
      <c r="U15" s="14" t="n">
        <v>1.43</v>
      </c>
      <c r="V15" s="14" t="n">
        <v>1.43</v>
      </c>
      <c r="W15" s="14" t="n">
        <v>1.43</v>
      </c>
      <c r="X15" s="14" t="n">
        <v>1.43</v>
      </c>
      <c r="Y15" s="14" t="n">
        <v>1.43</v>
      </c>
      <c r="Z15" s="14" t="n">
        <v>1.43</v>
      </c>
      <c r="AA15" s="14" t="n">
        <v>1.43</v>
      </c>
      <c r="AB15" s="14" t="n">
        <v>1.43</v>
      </c>
      <c r="AC15" s="14" t="n">
        <v>1.43</v>
      </c>
      <c r="AD15" s="14" t="n">
        <v>1.43</v>
      </c>
      <c r="AE15" s="14" t="n">
        <v>1.43</v>
      </c>
      <c r="AF15" s="14" t="n">
        <v>1.43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3.55</v>
      </c>
      <c r="I17" s="14" t="n">
        <v>3.55</v>
      </c>
      <c r="J17" s="14" t="n">
        <v>3.55</v>
      </c>
      <c r="K17" s="14" t="n">
        <v>3.55</v>
      </c>
      <c r="L17" s="14" t="n">
        <v>3.55</v>
      </c>
      <c r="M17" s="14" t="n">
        <v>3.55</v>
      </c>
      <c r="N17" s="14" t="n">
        <v>3.55</v>
      </c>
      <c r="O17" s="14" t="n">
        <v>3.55</v>
      </c>
      <c r="P17" s="14" t="n">
        <v>3.55</v>
      </c>
      <c r="Q17" s="14" t="n">
        <v>3.55</v>
      </c>
      <c r="R17" s="14" t="n">
        <v>3.55</v>
      </c>
      <c r="S17" s="14" t="n">
        <v>3.55</v>
      </c>
      <c r="T17" s="14" t="n">
        <v>3.55</v>
      </c>
      <c r="U17" s="14" t="n">
        <v>3.55</v>
      </c>
      <c r="V17" s="14" t="n">
        <v>3.55</v>
      </c>
      <c r="W17" s="14" t="n">
        <v>3.55</v>
      </c>
      <c r="X17" s="14" t="n">
        <v>3.55</v>
      </c>
      <c r="Y17" s="14" t="n">
        <v>3.55</v>
      </c>
      <c r="Z17" s="14" t="n">
        <v>3.55</v>
      </c>
      <c r="AA17" s="14" t="n">
        <v>3.55</v>
      </c>
      <c r="AB17" s="14" t="n">
        <v>3.55</v>
      </c>
      <c r="AC17" s="14" t="n">
        <v>3.55</v>
      </c>
      <c r="AD17" s="14" t="n">
        <v>3.55</v>
      </c>
      <c r="AE17" s="14" t="n">
        <v>3.55</v>
      </c>
      <c r="AF17" s="14" t="n">
        <v>3.55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8</v>
      </c>
      <c r="I18" s="3" t="n">
        <v>8</v>
      </c>
      <c r="J18" s="3" t="n">
        <v>8</v>
      </c>
      <c r="K18" s="3" t="n">
        <v>8</v>
      </c>
      <c r="L18" s="3" t="n">
        <v>8</v>
      </c>
      <c r="M18" s="3" t="n">
        <v>8.16</v>
      </c>
      <c r="N18" s="3" t="n">
        <v>8.3232</v>
      </c>
      <c r="O18" s="3" t="n">
        <v>8.489664000000001</v>
      </c>
      <c r="P18" s="3" t="n">
        <v>8.65945728</v>
      </c>
      <c r="Q18" s="3" t="n">
        <v>8.8326464256</v>
      </c>
      <c r="R18" s="3" t="n">
        <v>9.009299354112001</v>
      </c>
      <c r="S18" s="3" t="n">
        <v>9.18948534119424</v>
      </c>
      <c r="T18" s="3" t="n">
        <v>9.373275048018126</v>
      </c>
      <c r="U18" s="3" t="n">
        <v>9.560740548978488</v>
      </c>
      <c r="V18" s="3" t="n">
        <v>9.751955359958059</v>
      </c>
      <c r="W18" s="3" t="n">
        <v>9.94699446715722</v>
      </c>
      <c r="X18" s="3" t="n">
        <v>10.14593435650036</v>
      </c>
      <c r="Y18" s="3" t="n">
        <v>10.34885304363037</v>
      </c>
      <c r="Z18" s="3" t="n">
        <v>10.55583010450298</v>
      </c>
      <c r="AA18" s="3" t="n">
        <v>10.76694670659304</v>
      </c>
      <c r="AB18" s="3" t="n">
        <v>10.9822856407249</v>
      </c>
      <c r="AC18" s="3" t="n">
        <v>11.2019313535394</v>
      </c>
      <c r="AD18" s="3" t="n">
        <v>11.42596998061019</v>
      </c>
      <c r="AE18" s="3" t="n">
        <v>11.65448938022239</v>
      </c>
      <c r="AF18" s="3" t="n">
        <v>11.88757916782684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0.3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36.8</v>
      </c>
      <c r="I20" s="3" t="n">
        <v>36.8</v>
      </c>
      <c r="J20" s="3" t="n">
        <v>36.8</v>
      </c>
      <c r="K20" s="3" t="n">
        <v>36.8</v>
      </c>
      <c r="L20" s="3" t="n">
        <v>36.8</v>
      </c>
      <c r="M20" s="3" t="n">
        <v>37.53599999999999</v>
      </c>
      <c r="N20" s="3" t="n">
        <v>38.28672</v>
      </c>
      <c r="O20" s="3" t="n">
        <v>39.0524544</v>
      </c>
      <c r="P20" s="3" t="n">
        <v>39.833503488</v>
      </c>
      <c r="Q20" s="3" t="n">
        <v>40.63017355776</v>
      </c>
      <c r="R20" s="3" t="n">
        <v>41.4427770289152</v>
      </c>
      <c r="S20" s="3" t="n">
        <v>42.27163256949351</v>
      </c>
      <c r="T20" s="3" t="n">
        <v>43.11706522088338</v>
      </c>
      <c r="U20" s="3" t="n">
        <v>43.97940652530104</v>
      </c>
      <c r="V20" s="3" t="n">
        <v>44.85899465580707</v>
      </c>
      <c r="W20" s="3" t="n">
        <v>45.75617454892321</v>
      </c>
      <c r="X20" s="3" t="n">
        <v>46.67129803990167</v>
      </c>
      <c r="Y20" s="3" t="n">
        <v>47.60472400069971</v>
      </c>
      <c r="Z20" s="3" t="n">
        <v>48.5568184807137</v>
      </c>
      <c r="AA20" s="3" t="n">
        <v>49.52795485032797</v>
      </c>
      <c r="AB20" s="3" t="n">
        <v>50.51851394733453</v>
      </c>
      <c r="AC20" s="3" t="n">
        <v>51.52888422628123</v>
      </c>
      <c r="AD20" s="3" t="n">
        <v>52.55946191080686</v>
      </c>
      <c r="AE20" s="3" t="n">
        <v>53.61065114902299</v>
      </c>
      <c r="AF20" s="3" t="n">
        <v>54.68286417200346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0.128</v>
      </c>
      <c r="I21" s="4" t="n">
        <v>0.128</v>
      </c>
      <c r="J21" s="4" t="n">
        <v>0.128</v>
      </c>
      <c r="K21" s="4" t="n">
        <v>0.128</v>
      </c>
      <c r="L21" s="4" t="n">
        <v>0.128</v>
      </c>
      <c r="M21" s="4" t="n">
        <v>0.128</v>
      </c>
      <c r="N21" s="4" t="n">
        <v>0.128</v>
      </c>
      <c r="O21" s="4" t="n">
        <v>0.128</v>
      </c>
      <c r="P21" s="4" t="n">
        <v>0.128</v>
      </c>
      <c r="Q21" s="4" t="n">
        <v>0.128</v>
      </c>
      <c r="R21" s="4" t="n">
        <v>0.128</v>
      </c>
      <c r="S21" s="4" t="n">
        <v>0.128</v>
      </c>
      <c r="T21" s="4" t="n">
        <v>0.128</v>
      </c>
      <c r="U21" s="4" t="n">
        <v>0.128</v>
      </c>
      <c r="V21" s="4" t="n">
        <v>0.128</v>
      </c>
      <c r="W21" s="4" t="n">
        <v>0.128</v>
      </c>
      <c r="X21" s="4" t="n">
        <v>0.128</v>
      </c>
      <c r="Y21" s="4" t="n">
        <v>0.128</v>
      </c>
      <c r="Z21" s="4" t="n">
        <v>0.128</v>
      </c>
      <c r="AA21" s="4" t="n">
        <v>0.128</v>
      </c>
      <c r="AB21" s="4" t="n">
        <v>0.128</v>
      </c>
      <c r="AC21" s="4" t="n">
        <v>0.128</v>
      </c>
      <c r="AD21" s="4" t="n">
        <v>0.128</v>
      </c>
      <c r="AE21" s="4" t="n">
        <v>0.128</v>
      </c>
      <c r="AF21" s="4" t="n">
        <v>0.128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0.1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7</v>
      </c>
      <c r="I24" s="3" t="n">
        <v>7</v>
      </c>
      <c r="J24" s="3" t="n">
        <v>7</v>
      </c>
      <c r="K24" s="3" t="n">
        <v>7</v>
      </c>
      <c r="L24" s="3" t="n">
        <v>7</v>
      </c>
      <c r="M24" s="3" t="n">
        <v>7.140000000000001</v>
      </c>
      <c r="N24" s="3" t="n">
        <v>7.2828</v>
      </c>
      <c r="O24" s="3" t="n">
        <v>7.428456000000001</v>
      </c>
      <c r="P24" s="3" t="n">
        <v>7.57702512</v>
      </c>
      <c r="Q24" s="3" t="n">
        <v>7.7285656224</v>
      </c>
      <c r="R24" s="3" t="n">
        <v>7.883136934848</v>
      </c>
      <c r="S24" s="3" t="n">
        <v>8.04079967354496</v>
      </c>
      <c r="T24" s="3" t="n">
        <v>8.20161566701586</v>
      </c>
      <c r="U24" s="3" t="n">
        <v>8.365647980356178</v>
      </c>
      <c r="V24" s="3" t="n">
        <v>8.532960939963301</v>
      </c>
      <c r="W24" s="3" t="n">
        <v>8.703620158762567</v>
      </c>
      <c r="X24" s="3" t="n">
        <v>8.877692561937819</v>
      </c>
      <c r="Y24" s="3" t="n">
        <v>9.055246413176576</v>
      </c>
      <c r="Z24" s="3" t="n">
        <v>9.236351341440107</v>
      </c>
      <c r="AA24" s="3" t="n">
        <v>9.421078368268908</v>
      </c>
      <c r="AB24" s="3" t="n">
        <v>9.609499935634288</v>
      </c>
      <c r="AC24" s="3" t="n">
        <v>9.801689934346975</v>
      </c>
      <c r="AD24" s="3" t="n">
        <v>9.997723733033913</v>
      </c>
      <c r="AE24" s="3" t="n">
        <v>10.19767820769459</v>
      </c>
      <c r="AF24" s="3" t="n">
        <v>10.40163177184848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7</v>
      </c>
      <c r="I25" s="3" t="n">
        <v>7</v>
      </c>
      <c r="J25" s="3" t="n">
        <v>7</v>
      </c>
      <c r="K25" s="3" t="n">
        <v>7</v>
      </c>
      <c r="L25" s="3" t="n">
        <v>7</v>
      </c>
      <c r="M25" s="3" t="n">
        <v>7.140000000000001</v>
      </c>
      <c r="N25" s="3" t="n">
        <v>7.2828</v>
      </c>
      <c r="O25" s="3" t="n">
        <v>7.428456000000001</v>
      </c>
      <c r="P25" s="3" t="n">
        <v>7.57702512</v>
      </c>
      <c r="Q25" s="3" t="n">
        <v>7.7285656224</v>
      </c>
      <c r="R25" s="3" t="n">
        <v>7.883136934848</v>
      </c>
      <c r="S25" s="3" t="n">
        <v>8.04079967354496</v>
      </c>
      <c r="T25" s="3" t="n">
        <v>8.20161566701586</v>
      </c>
      <c r="U25" s="3" t="n">
        <v>8.365647980356178</v>
      </c>
      <c r="V25" s="3" t="n">
        <v>8.532960939963301</v>
      </c>
      <c r="W25" s="3" t="n">
        <v>8.703620158762567</v>
      </c>
      <c r="X25" s="3" t="n">
        <v>8.877692561937819</v>
      </c>
      <c r="Y25" s="3" t="n">
        <v>9.055246413176576</v>
      </c>
      <c r="Z25" s="3" t="n">
        <v>9.236351341440107</v>
      </c>
      <c r="AA25" s="3" t="n">
        <v>9.421078368268908</v>
      </c>
      <c r="AB25" s="3" t="n">
        <v>9.609499935634288</v>
      </c>
      <c r="AC25" s="3" t="n">
        <v>9.801689934346975</v>
      </c>
      <c r="AD25" s="3" t="n">
        <v>9.997723733033913</v>
      </c>
      <c r="AE25" s="3" t="n">
        <v>10.19767820769459</v>
      </c>
      <c r="AF25" s="3" t="n">
        <v>10.40163177184848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100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0</v>
      </c>
      <c r="AD26" s="13" t="n">
        <v>0</v>
      </c>
      <c r="AE26" s="13" t="n">
        <v>0</v>
      </c>
      <c r="AF26" s="13" t="n">
        <v>29.26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-0.014934</v>
      </c>
      <c r="I27" s="4" t="n">
        <v>-0.014934</v>
      </c>
      <c r="J27" s="4" t="n">
        <v>-0.014934</v>
      </c>
      <c r="K27" s="4" t="n">
        <v>-0.014934</v>
      </c>
      <c r="L27" s="4" t="n">
        <v>-0.014934</v>
      </c>
      <c r="M27" s="4" t="n">
        <v>-0.014934</v>
      </c>
      <c r="N27" s="4" t="n">
        <v>-0.014934</v>
      </c>
      <c r="O27" s="4" t="n">
        <v>-0.014934</v>
      </c>
      <c r="P27" s="4" t="n">
        <v>-0.014934</v>
      </c>
      <c r="Q27" s="4" t="n">
        <v>-0.014934</v>
      </c>
      <c r="R27" s="4" t="n">
        <v>-0.014934</v>
      </c>
      <c r="S27" s="4" t="n">
        <v>-0.014934</v>
      </c>
      <c r="T27" s="4" t="n">
        <v>-0.014934</v>
      </c>
      <c r="U27" s="4" t="n">
        <v>-0.014934</v>
      </c>
      <c r="V27" s="4" t="n">
        <v>-0.014934</v>
      </c>
      <c r="W27" s="4" t="n">
        <v>-0.014934</v>
      </c>
      <c r="X27" s="4" t="n">
        <v>-0.014934</v>
      </c>
      <c r="Y27" s="4" t="n">
        <v>-0.014934</v>
      </c>
      <c r="Z27" s="4" t="n">
        <v>-0.014934</v>
      </c>
      <c r="AA27" s="4" t="n">
        <v>-0.014934</v>
      </c>
      <c r="AB27" s="4" t="n">
        <v>-0.014934</v>
      </c>
      <c r="AC27" s="4" t="n">
        <v>-0.014934</v>
      </c>
      <c r="AD27" s="4" t="n">
        <v>-0.014934</v>
      </c>
      <c r="AE27" s="4" t="n">
        <v>-0.014934</v>
      </c>
      <c r="AF27" s="4" t="n">
        <v>-0.014934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0.221746</v>
      </c>
      <c r="I28" s="4" t="n">
        <v>0.221746</v>
      </c>
      <c r="J28" s="4" t="n">
        <v>0.221746</v>
      </c>
      <c r="K28" s="4" t="n">
        <v>0.221746</v>
      </c>
      <c r="L28" s="4" t="n">
        <v>0.221746</v>
      </c>
      <c r="M28" s="4" t="n">
        <v>0.221746</v>
      </c>
      <c r="N28" s="4" t="n">
        <v>0.221746</v>
      </c>
      <c r="O28" s="4" t="n">
        <v>0.221746</v>
      </c>
      <c r="P28" s="4" t="n">
        <v>0.221746</v>
      </c>
      <c r="Q28" s="4" t="n">
        <v>0.221746</v>
      </c>
      <c r="R28" s="4" t="n">
        <v>0.221746</v>
      </c>
      <c r="S28" s="4" t="n">
        <v>0.221746</v>
      </c>
      <c r="T28" s="4" t="n">
        <v>0.221746</v>
      </c>
      <c r="U28" s="4" t="n">
        <v>0.221746</v>
      </c>
      <c r="V28" s="4" t="n">
        <v>0.221746</v>
      </c>
      <c r="W28" s="4" t="n">
        <v>0.221746</v>
      </c>
      <c r="X28" s="4" t="n">
        <v>0.221746</v>
      </c>
      <c r="Y28" s="4" t="n">
        <v>0.221746</v>
      </c>
      <c r="Z28" s="4" t="n">
        <v>0.221746</v>
      </c>
      <c r="AA28" s="4" t="n">
        <v>0.221746</v>
      </c>
      <c r="AB28" s="4" t="n">
        <v>0.221746</v>
      </c>
      <c r="AC28" s="4" t="n">
        <v>0.221746</v>
      </c>
      <c r="AD28" s="4" t="n">
        <v>0.221746</v>
      </c>
      <c r="AE28" s="4" t="n">
        <v>0.221746</v>
      </c>
      <c r="AF28" s="4" t="n">
        <v>0.221746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0.08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0.043065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1136.351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0.35</v>
      </c>
      <c r="I34" s="4" t="n">
        <v>0.35</v>
      </c>
      <c r="J34" s="4" t="n">
        <v>0.35</v>
      </c>
      <c r="K34" s="4" t="n">
        <v>0.35</v>
      </c>
      <c r="L34" s="4" t="n">
        <v>0.35</v>
      </c>
      <c r="M34" s="4" t="n">
        <v>0.35</v>
      </c>
      <c r="N34" s="4" t="n">
        <v>0.35</v>
      </c>
      <c r="O34" s="4" t="n">
        <v>0.35</v>
      </c>
      <c r="P34" s="4" t="n">
        <v>0.35</v>
      </c>
      <c r="Q34" s="4" t="n">
        <v>0.35</v>
      </c>
      <c r="R34" s="4" t="n">
        <v>0.35</v>
      </c>
      <c r="S34" s="4" t="n">
        <v>0.35</v>
      </c>
      <c r="T34" s="4" t="n">
        <v>0.35</v>
      </c>
      <c r="U34" s="4" t="n">
        <v>0.35</v>
      </c>
      <c r="V34" s="4" t="n">
        <v>0.35</v>
      </c>
      <c r="W34" s="4" t="n">
        <v>0.35</v>
      </c>
      <c r="X34" s="4" t="n">
        <v>0.35</v>
      </c>
      <c r="Y34" s="4" t="n">
        <v>0.35</v>
      </c>
      <c r="Z34" s="4" t="n">
        <v>0.35</v>
      </c>
      <c r="AA34" s="4" t="n">
        <v>0.35</v>
      </c>
      <c r="AB34" s="4" t="n">
        <v>0.35</v>
      </c>
      <c r="AC34" s="4" t="n">
        <v>0.35</v>
      </c>
      <c r="AD34" s="4" t="n">
        <v>0.35</v>
      </c>
      <c r="AE34" s="4" t="n">
        <v>0.35</v>
      </c>
      <c r="AF34" s="4" t="n">
        <v>0.35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0.08110000000000001</v>
      </c>
      <c r="I37" s="4" t="n">
        <v>0.08110000000000001</v>
      </c>
      <c r="J37" s="4" t="n">
        <v>0.08110000000000001</v>
      </c>
      <c r="K37" s="4" t="n">
        <v>0.08110000000000001</v>
      </c>
      <c r="L37" s="4" t="n">
        <v>0.08110000000000001</v>
      </c>
      <c r="M37" s="4" t="n">
        <v>0.08110000000000001</v>
      </c>
      <c r="N37" s="4" t="n">
        <v>0.08110000000000001</v>
      </c>
      <c r="O37" s="4" t="n">
        <v>0.08110000000000001</v>
      </c>
      <c r="P37" s="4" t="n">
        <v>0.08110000000000001</v>
      </c>
      <c r="Q37" s="4" t="n">
        <v>0.08110000000000001</v>
      </c>
      <c r="R37" s="4" t="n">
        <v>0.08110000000000001</v>
      </c>
      <c r="S37" s="4" t="n">
        <v>0.08110000000000001</v>
      </c>
      <c r="T37" s="4" t="n">
        <v>0.08110000000000001</v>
      </c>
      <c r="U37" s="4" t="n">
        <v>0.08110000000000001</v>
      </c>
      <c r="V37" s="4" t="n">
        <v>0.08110000000000001</v>
      </c>
      <c r="W37" s="4" t="n">
        <v>0.08110000000000001</v>
      </c>
      <c r="X37" s="4" t="n">
        <v>0.08110000000000001</v>
      </c>
      <c r="Y37" s="4" t="n">
        <v>0.08110000000000001</v>
      </c>
      <c r="Z37" s="4" t="n">
        <v>0.08110000000000001</v>
      </c>
      <c r="AA37" s="4" t="n">
        <v>0.08110000000000001</v>
      </c>
      <c r="AB37" s="4" t="n">
        <v>0.08110000000000001</v>
      </c>
      <c r="AC37" s="4" t="n">
        <v>0.08110000000000001</v>
      </c>
      <c r="AD37" s="4" t="n">
        <v>0.08110000000000001</v>
      </c>
      <c r="AE37" s="4" t="n">
        <v>0.08110000000000001</v>
      </c>
      <c r="AF37" s="4" t="n">
        <v>0.08110000000000001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>
        <v>178.1</v>
      </c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  <c r="P40" s="15">
        <f>MAX((O40-P41),0)</f>
        <v/>
      </c>
      <c r="Q40" s="15">
        <f>MAX((P40-Q41),0)</f>
        <v/>
      </c>
      <c r="R40" s="15">
        <f>MAX((Q40-R41),0)</f>
        <v/>
      </c>
      <c r="S40" s="15">
        <f>MAX((R40-S41),0)</f>
        <v/>
      </c>
      <c r="T40" s="15">
        <f>MAX((S40-T41),0)</f>
        <v/>
      </c>
      <c r="U40" s="15">
        <f>MAX((T40-U41),0)</f>
        <v/>
      </c>
      <c r="V40" s="15">
        <f>MAX((U40-V41),0)</f>
        <v/>
      </c>
      <c r="W40" s="15">
        <f>MAX((V40-W41),0)</f>
        <v/>
      </c>
      <c r="X40" s="15">
        <f>MAX((W40-X41),0)</f>
        <v/>
      </c>
      <c r="Y40" s="15">
        <f>MAX((X40-Y41),0)</f>
        <v/>
      </c>
      <c r="Z40" s="15">
        <f>MAX((Y40-Z41),0)</f>
        <v/>
      </c>
      <c r="AA40" s="15">
        <f>MAX((Z40-AA41),0)</f>
        <v/>
      </c>
      <c r="AB40" s="15">
        <f>MAX((AA40-AB41),0)</f>
        <v/>
      </c>
      <c r="AC40" s="15">
        <f>MAX((AB40-AC41),0)</f>
        <v/>
      </c>
      <c r="AD40" s="15">
        <f>MAX((AC40-AD41),0)</f>
        <v/>
      </c>
      <c r="AE40" s="15">
        <f>MAX((AD40-AE41),0)</f>
        <v/>
      </c>
      <c r="AF40" s="15">
        <f>MAX((AE40-AF41),0)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/>
      <c r="F41" s="13" t="n">
        <v>5.62</v>
      </c>
      <c r="G41" s="13" t="n">
        <v>6.28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  <c r="P41" s="15">
        <f>IF(($C$9&gt;0),MIN(P14,MAX(O40,0)),P14)</f>
        <v/>
      </c>
      <c r="Q41" s="15">
        <f>IF(($C$9&gt;0),MIN(Q14,MAX(P40,0)),Q14)</f>
        <v/>
      </c>
      <c r="R41" s="15">
        <f>IF(($C$9&gt;0),MIN(R14,MAX(Q40,0)),R14)</f>
        <v/>
      </c>
      <c r="S41" s="15">
        <f>IF(($C$9&gt;0),MIN(S14,MAX(R40,0)),S14)</f>
        <v/>
      </c>
      <c r="T41" s="15">
        <f>IF(($C$9&gt;0),MIN(T14,MAX(S40,0)),T14)</f>
        <v/>
      </c>
      <c r="U41" s="15">
        <f>IF(($C$9&gt;0),MIN(U14,MAX(T40,0)),U14)</f>
        <v/>
      </c>
      <c r="V41" s="15">
        <f>IF(($C$9&gt;0),MIN(V14,MAX(U40,0)),V14)</f>
        <v/>
      </c>
      <c r="W41" s="15">
        <f>IF(($C$9&gt;0),MIN(W14,MAX(V40,0)),W14)</f>
        <v/>
      </c>
      <c r="X41" s="15">
        <f>IF(($C$9&gt;0),MIN(X14,MAX(W40,0)),X14)</f>
        <v/>
      </c>
      <c r="Y41" s="15">
        <f>IF(($C$9&gt;0),MIN(Y14,MAX(X40,0)),Y14)</f>
        <v/>
      </c>
      <c r="Z41" s="15">
        <f>IF(($C$9&gt;0),MIN(Z14,MAX(Y40,0)),Z14)</f>
        <v/>
      </c>
      <c r="AA41" s="15">
        <f>IF(($C$9&gt;0),MIN(AA14,MAX(Z40,0)),AA14)</f>
        <v/>
      </c>
      <c r="AB41" s="15">
        <f>IF(($C$9&gt;0),MIN(AB14,MAX(AA40,0)),AB14)</f>
        <v/>
      </c>
      <c r="AC41" s="15">
        <f>IF(($C$9&gt;0),MIN(AC14,MAX(AB40,0)),AC14)</f>
        <v/>
      </c>
      <c r="AD41" s="15">
        <f>IF(($C$9&gt;0),MIN(AD14,MAX(AC40,0)),AD14)</f>
        <v/>
      </c>
      <c r="AE41" s="15">
        <f>IF(($C$9&gt;0),MIN(AE14,MAX(AD40,0)),AE14)</f>
        <v/>
      </c>
      <c r="AF41" s="15">
        <f>IF(($C$9&gt;0),MIN(AF14,MAX(AE40,0)),AF14)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  <c r="K42" s="16">
        <f>Drivers!$O$6</f>
        <v/>
      </c>
      <c r="L42" s="16">
        <f>Drivers!$P$6</f>
        <v/>
      </c>
      <c r="M42" s="16">
        <f>Drivers!$Q$6</f>
        <v/>
      </c>
      <c r="N42" s="16">
        <f>Drivers!$R$6</f>
        <v/>
      </c>
      <c r="O42" s="16">
        <f>Drivers!$S$6</f>
        <v/>
      </c>
      <c r="P42" s="16">
        <f>Drivers!$T$6</f>
        <v/>
      </c>
      <c r="Q42" s="16">
        <f>Drivers!$U$6</f>
        <v/>
      </c>
      <c r="R42" s="16">
        <f>Drivers!$V$6</f>
        <v/>
      </c>
      <c r="S42" s="16">
        <f>Drivers!$W$6</f>
        <v/>
      </c>
      <c r="T42" s="16">
        <f>Drivers!$X$6</f>
        <v/>
      </c>
      <c r="U42" s="16">
        <f>Drivers!$Y$6</f>
        <v/>
      </c>
      <c r="V42" s="16">
        <f>Drivers!$Z$6</f>
        <v/>
      </c>
      <c r="W42" s="16">
        <f>Drivers!$AA$6</f>
        <v/>
      </c>
      <c r="X42" s="16">
        <f>Drivers!$AB$6</f>
        <v/>
      </c>
      <c r="Y42" s="16">
        <f>Drivers!$AC$6</f>
        <v/>
      </c>
      <c r="Z42" s="16">
        <f>Drivers!$AD$6</f>
        <v/>
      </c>
      <c r="AA42" s="16">
        <f>Drivers!$AE$6</f>
        <v/>
      </c>
      <c r="AB42" s="16">
        <f>Drivers!$AF$6</f>
        <v/>
      </c>
      <c r="AC42" s="16">
        <f>Drivers!$AG$6</f>
        <v/>
      </c>
      <c r="AD42" s="16">
        <f>Drivers!$AH$6</f>
        <v/>
      </c>
      <c r="AE42" s="16">
        <f>Drivers!$AI$6</f>
        <v/>
      </c>
      <c r="AF42" s="16">
        <f>Drivers!$AJ$6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/>
      <c r="G43" s="3" t="n"/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  <c r="K43" s="16">
        <f>(((K15*K42)*(1-K16))+(MIN(Drivers!$O$4,(K15*K42))*K16))</f>
        <v/>
      </c>
      <c r="L43" s="16">
        <f>(((L15*L42)*(1-L16))+(MIN(Drivers!$P$4,(L15*L42))*L16))</f>
        <v/>
      </c>
      <c r="M43" s="16">
        <f>(((M15*M42)*(1-M16))+(MIN(Drivers!$Q$4,(M15*M42))*M16))</f>
        <v/>
      </c>
      <c r="N43" s="16">
        <f>(((N15*N42)*(1-N16))+(MIN(Drivers!$R$4,(N15*N42))*N16))</f>
        <v/>
      </c>
      <c r="O43" s="16">
        <f>(((O15*O42)*(1-O16))+(MIN(Drivers!$S$4,(O15*O42))*O16))</f>
        <v/>
      </c>
      <c r="P43" s="16">
        <f>(((P15*P42)*(1-P16))+(MIN(Drivers!$T$4,(P15*P42))*P16))</f>
        <v/>
      </c>
      <c r="Q43" s="16">
        <f>(((Q15*Q42)*(1-Q16))+(MIN(Drivers!$U$4,(Q15*Q42))*Q16))</f>
        <v/>
      </c>
      <c r="R43" s="16">
        <f>(((R15*R42)*(1-R16))+(MIN(Drivers!$V$4,(R15*R42))*R16))</f>
        <v/>
      </c>
      <c r="S43" s="16">
        <f>(((S15*S42)*(1-S16))+(MIN(Drivers!$W$4,(S15*S42))*S16))</f>
        <v/>
      </c>
      <c r="T43" s="16">
        <f>(((T15*T42)*(1-T16))+(MIN(Drivers!$X$4,(T15*T42))*T16))</f>
        <v/>
      </c>
      <c r="U43" s="16">
        <f>(((U15*U42)*(1-U16))+(MIN(Drivers!$Y$4,(U15*U42))*U16))</f>
        <v/>
      </c>
      <c r="V43" s="16">
        <f>(((V15*V42)*(1-V16))+(MIN(Drivers!$Z$4,(V15*V42))*V16))</f>
        <v/>
      </c>
      <c r="W43" s="16">
        <f>(((W15*W42)*(1-W16))+(MIN(Drivers!$AA$4,(W15*W42))*W16))</f>
        <v/>
      </c>
      <c r="X43" s="16">
        <f>(((X15*X42)*(1-X16))+(MIN(Drivers!$AB$4,(X15*X42))*X16))</f>
        <v/>
      </c>
      <c r="Y43" s="16">
        <f>(((Y15*Y42)*(1-Y16))+(MIN(Drivers!$AC$4,(Y15*Y42))*Y16))</f>
        <v/>
      </c>
      <c r="Z43" s="16">
        <f>(((Z15*Z42)*(1-Z16))+(MIN(Drivers!$AD$4,(Z15*Z42))*Z16))</f>
        <v/>
      </c>
      <c r="AA43" s="16">
        <f>(((AA15*AA42)*(1-AA16))+(MIN(Drivers!$AE$4,(AA15*AA42))*AA16))</f>
        <v/>
      </c>
      <c r="AB43" s="16">
        <f>(((AB15*AB42)*(1-AB16))+(MIN(Drivers!$AF$4,(AB15*AB42))*AB16))</f>
        <v/>
      </c>
      <c r="AC43" s="16">
        <f>(((AC15*AC42)*(1-AC16))+(MIN(Drivers!$AG$4,(AC15*AC42))*AC16))</f>
        <v/>
      </c>
      <c r="AD43" s="16">
        <f>(((AD15*AD42)*(1-AD16))+(MIN(Drivers!$AH$4,(AD15*AD42))*AD16))</f>
        <v/>
      </c>
      <c r="AE43" s="16">
        <f>(((AE15*AE42)*(1-AE16))+(MIN(Drivers!$AI$4,(AE15*AE42))*AE16))</f>
        <v/>
      </c>
      <c r="AF43" s="16">
        <f>(((AF15*AF42)*(1-AF16))+(MIN(Drivers!$AJ$4,(AF15*AF42))*AF16))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  <c r="L44" s="17">
        <f>IF(L42=0,0,L43/L42)</f>
        <v/>
      </c>
      <c r="M44" s="17">
        <f>IF(M42=0,0,M43/M42)</f>
        <v/>
      </c>
      <c r="N44" s="17">
        <f>IF(N42=0,0,N43/N42)</f>
        <v/>
      </c>
      <c r="O44" s="17">
        <f>IF(O42=0,0,O43/O42)</f>
        <v/>
      </c>
      <c r="P44" s="17">
        <f>IF(P42=0,0,P43/P42)</f>
        <v/>
      </c>
      <c r="Q44" s="17">
        <f>IF(Q42=0,0,Q43/Q42)</f>
        <v/>
      </c>
      <c r="R44" s="17">
        <f>IF(R42=0,0,R43/R42)</f>
        <v/>
      </c>
      <c r="S44" s="17">
        <f>IF(S42=0,0,S43/S42)</f>
        <v/>
      </c>
      <c r="T44" s="17">
        <f>IF(T42=0,0,T43/T42)</f>
        <v/>
      </c>
      <c r="U44" s="17">
        <f>IF(U42=0,0,U43/U42)</f>
        <v/>
      </c>
      <c r="V44" s="17">
        <f>IF(V42=0,0,V43/V42)</f>
        <v/>
      </c>
      <c r="W44" s="17">
        <f>IF(W42=0,0,W43/W42)</f>
        <v/>
      </c>
      <c r="X44" s="17">
        <f>IF(X42=0,0,X43/X42)</f>
        <v/>
      </c>
      <c r="Y44" s="17">
        <f>IF(Y42=0,0,Y43/Y42)</f>
        <v/>
      </c>
      <c r="Z44" s="17">
        <f>IF(Z42=0,0,Z43/Z42)</f>
        <v/>
      </c>
      <c r="AA44" s="17">
        <f>IF(AA42=0,0,AA43/AA42)</f>
        <v/>
      </c>
      <c r="AB44" s="17">
        <f>IF(AB42=0,0,AB43/AB42)</f>
        <v/>
      </c>
      <c r="AC44" s="17">
        <f>IF(AC42=0,0,AC43/AC42)</f>
        <v/>
      </c>
      <c r="AD44" s="17">
        <f>IF(AD42=0,0,AD43/AD42)</f>
        <v/>
      </c>
      <c r="AE44" s="17">
        <f>IF(AE42=0,0,AE43/AE42)</f>
        <v/>
      </c>
      <c r="AF44" s="17">
        <f>IF(AF42=0,0,AF43/AF42)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6">
        <f>(((H17*H18)*(1+($C$19*(IF(Drivers!$J$8=0,0,Drivers!$L$8/Drivers!$J$8)-1))))+H20)</f>
        <v/>
      </c>
      <c r="I45" s="16">
        <f>(((I17*I18)*(1+($C$19*(IF(Drivers!$J$8=0,0,Drivers!$M$8/Drivers!$J$8)-1))))+I20)</f>
        <v/>
      </c>
      <c r="J45" s="16">
        <f>(((J17*J18)*(1+($C$19*(IF(Drivers!$J$8=0,0,Drivers!$N$8/Drivers!$J$8)-1))))+J20)</f>
        <v/>
      </c>
      <c r="K45" s="16">
        <f>(((K17*K18)*(1+($C$19*(IF(Drivers!$J$8=0,0,Drivers!$O$8/Drivers!$J$8)-1))))+K20)</f>
        <v/>
      </c>
      <c r="L45" s="16">
        <f>(((L17*L18)*(1+($C$19*(IF(Drivers!$J$8=0,0,Drivers!$P$8/Drivers!$J$8)-1))))+L20)</f>
        <v/>
      </c>
      <c r="M45" s="16">
        <f>(((M17*M18)*(1+($C$19*(IF(Drivers!$J$8=0,0,Drivers!$Q$8/Drivers!$J$8)-1))))+M20)</f>
        <v/>
      </c>
      <c r="N45" s="16">
        <f>(((N17*N18)*(1+($C$19*(IF(Drivers!$J$8=0,0,Drivers!$R$8/Drivers!$J$8)-1))))+N20)</f>
        <v/>
      </c>
      <c r="O45" s="16">
        <f>(((O17*O18)*(1+($C$19*(IF(Drivers!$J$8=0,0,Drivers!$S$8/Drivers!$J$8)-1))))+O20)</f>
        <v/>
      </c>
      <c r="P45" s="16">
        <f>(((P17*P18)*(1+($C$19*(IF(Drivers!$J$8=0,0,Drivers!$T$8/Drivers!$J$8)-1))))+P20)</f>
        <v/>
      </c>
      <c r="Q45" s="16">
        <f>(((Q17*Q18)*(1+($C$19*(IF(Drivers!$J$8=0,0,Drivers!$U$8/Drivers!$J$8)-1))))+Q20)</f>
        <v/>
      </c>
      <c r="R45" s="16">
        <f>(((R17*R18)*(1+($C$19*(IF(Drivers!$J$8=0,0,Drivers!$V$8/Drivers!$J$8)-1))))+R20)</f>
        <v/>
      </c>
      <c r="S45" s="16">
        <f>(((S17*S18)*(1+($C$19*(IF(Drivers!$J$8=0,0,Drivers!$W$8/Drivers!$J$8)-1))))+S20)</f>
        <v/>
      </c>
      <c r="T45" s="16">
        <f>(((T17*T18)*(1+($C$19*(IF(Drivers!$J$8=0,0,Drivers!$X$8/Drivers!$J$8)-1))))+T20)</f>
        <v/>
      </c>
      <c r="U45" s="16">
        <f>(((U17*U18)*(1+($C$19*(IF(Drivers!$J$8=0,0,Drivers!$Y$8/Drivers!$J$8)-1))))+U20)</f>
        <v/>
      </c>
      <c r="V45" s="16">
        <f>(((V17*V18)*(1+($C$19*(IF(Drivers!$J$8=0,0,Drivers!$Z$8/Drivers!$J$8)-1))))+V20)</f>
        <v/>
      </c>
      <c r="W45" s="16">
        <f>(((W17*W18)*(1+($C$19*(IF(Drivers!$J$8=0,0,Drivers!$AA$8/Drivers!$J$8)-1))))+W20)</f>
        <v/>
      </c>
      <c r="X45" s="16">
        <f>(((X17*X18)*(1+($C$19*(IF(Drivers!$J$8=0,0,Drivers!$AB$8/Drivers!$J$8)-1))))+X20)</f>
        <v/>
      </c>
      <c r="Y45" s="16">
        <f>(((Y17*Y18)*(1+($C$19*(IF(Drivers!$J$8=0,0,Drivers!$AC$8/Drivers!$J$8)-1))))+Y20)</f>
        <v/>
      </c>
      <c r="Z45" s="16">
        <f>(((Z17*Z18)*(1+($C$19*(IF(Drivers!$J$8=0,0,Drivers!$AD$8/Drivers!$J$8)-1))))+Z20)</f>
        <v/>
      </c>
      <c r="AA45" s="16">
        <f>(((AA17*AA18)*(1+($C$19*(IF(Drivers!$J$8=0,0,Drivers!$AE$8/Drivers!$J$8)-1))))+AA20)</f>
        <v/>
      </c>
      <c r="AB45" s="16">
        <f>(((AB17*AB18)*(1+($C$19*(IF(Drivers!$J$8=0,0,Drivers!$AF$8/Drivers!$J$8)-1))))+AB20)</f>
        <v/>
      </c>
      <c r="AC45" s="16">
        <f>(((AC17*AC18)*(1+($C$19*(IF(Drivers!$J$8=0,0,Drivers!$AG$8/Drivers!$J$8)-1))))+AC20)</f>
        <v/>
      </c>
      <c r="AD45" s="16">
        <f>(((AD17*AD18)*(1+($C$19*(IF(Drivers!$J$8=0,0,Drivers!$AH$8/Drivers!$J$8)-1))))+AD20)</f>
        <v/>
      </c>
      <c r="AE45" s="16">
        <f>(((AE17*AE18)*(1+($C$19*(IF(Drivers!$J$8=0,0,Drivers!$AI$8/Drivers!$J$8)-1))))+AE20)</f>
        <v/>
      </c>
      <c r="AF45" s="16">
        <f>(((AF17*AF18)*(1+($C$19*(IF(Drivers!$J$8=0,0,Drivers!$AJ$8/Drivers!$J$8)-1))))+AF20)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>
        <v>3.55</v>
      </c>
      <c r="H46" s="18">
        <f>H17</f>
        <v/>
      </c>
      <c r="I46" s="18">
        <f>I17</f>
        <v/>
      </c>
      <c r="J46" s="18">
        <f>J17</f>
        <v/>
      </c>
      <c r="K46" s="18">
        <f>K17</f>
        <v/>
      </c>
      <c r="L46" s="18">
        <f>L17</f>
        <v/>
      </c>
      <c r="M46" s="18">
        <f>M17</f>
        <v/>
      </c>
      <c r="N46" s="18">
        <f>N17</f>
        <v/>
      </c>
      <c r="O46" s="18">
        <f>O17</f>
        <v/>
      </c>
      <c r="P46" s="18">
        <f>P17</f>
        <v/>
      </c>
      <c r="Q46" s="18">
        <f>Q17</f>
        <v/>
      </c>
      <c r="R46" s="18">
        <f>R17</f>
        <v/>
      </c>
      <c r="S46" s="18">
        <f>S17</f>
        <v/>
      </c>
      <c r="T46" s="18">
        <f>T17</f>
        <v/>
      </c>
      <c r="U46" s="18">
        <f>U17</f>
        <v/>
      </c>
      <c r="V46" s="18">
        <f>V17</f>
        <v/>
      </c>
      <c r="W46" s="18">
        <f>W17</f>
        <v/>
      </c>
      <c r="X46" s="18">
        <f>X17</f>
        <v/>
      </c>
      <c r="Y46" s="18">
        <f>Y17</f>
        <v/>
      </c>
      <c r="Z46" s="18">
        <f>Z17</f>
        <v/>
      </c>
      <c r="AA46" s="18">
        <f>AA17</f>
        <v/>
      </c>
      <c r="AB46" s="18">
        <f>AB17</f>
        <v/>
      </c>
      <c r="AC46" s="18">
        <f>AC17</f>
        <v/>
      </c>
      <c r="AD46" s="18">
        <f>AD17</f>
        <v/>
      </c>
      <c r="AE46" s="18">
        <f>AE17</f>
        <v/>
      </c>
      <c r="AF46" s="18">
        <f>AF17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7">
        <f>H21</f>
        <v/>
      </c>
      <c r="I47" s="17">
        <f>I21</f>
        <v/>
      </c>
      <c r="J47" s="17">
        <f>J21</f>
        <v/>
      </c>
      <c r="K47" s="17">
        <f>K21</f>
        <v/>
      </c>
      <c r="L47" s="17">
        <f>L21</f>
        <v/>
      </c>
      <c r="M47" s="17">
        <f>M21</f>
        <v/>
      </c>
      <c r="N47" s="17">
        <f>N21</f>
        <v/>
      </c>
      <c r="O47" s="17">
        <f>O21</f>
        <v/>
      </c>
      <c r="P47" s="17">
        <f>P21</f>
        <v/>
      </c>
      <c r="Q47" s="17">
        <f>Q21</f>
        <v/>
      </c>
      <c r="R47" s="17">
        <f>R21</f>
        <v/>
      </c>
      <c r="S47" s="17">
        <f>S21</f>
        <v/>
      </c>
      <c r="T47" s="17">
        <f>T21</f>
        <v/>
      </c>
      <c r="U47" s="17">
        <f>U21</f>
        <v/>
      </c>
      <c r="V47" s="17">
        <f>V21</f>
        <v/>
      </c>
      <c r="W47" s="17">
        <f>W21</f>
        <v/>
      </c>
      <c r="X47" s="17">
        <f>X21</f>
        <v/>
      </c>
      <c r="Y47" s="17">
        <f>Y21</f>
        <v/>
      </c>
      <c r="Z47" s="17">
        <f>Z21</f>
        <v/>
      </c>
      <c r="AA47" s="17">
        <f>AA21</f>
        <v/>
      </c>
      <c r="AB47" s="17">
        <f>AB21</f>
        <v/>
      </c>
      <c r="AC47" s="17">
        <f>AC21</f>
        <v/>
      </c>
      <c r="AD47" s="17">
        <f>AD21</f>
        <v/>
      </c>
      <c r="AE47" s="17">
        <f>AE21</f>
        <v/>
      </c>
      <c r="AF47" s="17">
        <f>AF21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/>
      <c r="F48" s="3" t="n">
        <v>102.5202846975089</v>
      </c>
      <c r="G48" s="3" t="n">
        <v>57.39442675159236</v>
      </c>
      <c r="H48" s="19">
        <f>IF((H41*$C$10)=0,0,H61/(H41*$C$10))</f>
        <v/>
      </c>
      <c r="I48" s="19">
        <f>IF((I41*$C$10)=0,0,I61/(I41*$C$10))</f>
        <v/>
      </c>
      <c r="J48" s="19">
        <f>IF((J41*$C$10)=0,0,J61/(J41*$C$10))</f>
        <v/>
      </c>
      <c r="K48" s="19">
        <f>IF((K41*$C$10)=0,0,K61/(K41*$C$10))</f>
        <v/>
      </c>
      <c r="L48" s="19">
        <f>IF((L41*$C$10)=0,0,L61/(L41*$C$10))</f>
        <v/>
      </c>
      <c r="M48" s="19">
        <f>IF((M41*$C$10)=0,0,M61/(M41*$C$10))</f>
        <v/>
      </c>
      <c r="N48" s="19">
        <f>IF((N41*$C$10)=0,0,N61/(N41*$C$10))</f>
        <v/>
      </c>
      <c r="O48" s="19">
        <f>IF((O41*$C$10)=0,0,O61/(O41*$C$10))</f>
        <v/>
      </c>
      <c r="P48" s="19">
        <f>IF((P41*$C$10)=0,0,P61/(P41*$C$10))</f>
        <v/>
      </c>
      <c r="Q48" s="19">
        <f>IF((Q41*$C$10)=0,0,Q61/(Q41*$C$10))</f>
        <v/>
      </c>
      <c r="R48" s="19">
        <f>IF((R41*$C$10)=0,0,R61/(R41*$C$10))</f>
        <v/>
      </c>
      <c r="S48" s="19">
        <f>IF((S41*$C$10)=0,0,S61/(S41*$C$10))</f>
        <v/>
      </c>
      <c r="T48" s="19">
        <f>IF((T41*$C$10)=0,0,T61/(T41*$C$10))</f>
        <v/>
      </c>
      <c r="U48" s="19">
        <f>IF((U41*$C$10)=0,0,U61/(U41*$C$10))</f>
        <v/>
      </c>
      <c r="V48" s="19">
        <f>IF((V41*$C$10)=0,0,V61/(V41*$C$10))</f>
        <v/>
      </c>
      <c r="W48" s="19">
        <f>IF((W41*$C$10)=0,0,W61/(W41*$C$10))</f>
        <v/>
      </c>
      <c r="X48" s="19">
        <f>IF((X41*$C$10)=0,0,X61/(X41*$C$10))</f>
        <v/>
      </c>
      <c r="Y48" s="19">
        <f>IF((Y41*$C$10)=0,0,Y61/(Y41*$C$10))</f>
        <v/>
      </c>
      <c r="Z48" s="19">
        <f>IF((Z41*$C$10)=0,0,Z61/(Z41*$C$10))</f>
        <v/>
      </c>
      <c r="AA48" s="19">
        <f>IF((AA41*$C$10)=0,0,AA61/(AA41*$C$10))</f>
        <v/>
      </c>
      <c r="AB48" s="19">
        <f>IF((AB41*$C$10)=0,0,AB61/(AB41*$C$10))</f>
        <v/>
      </c>
      <c r="AC48" s="19">
        <f>IF((AC41*$C$10)=0,0,AC61/(AC41*$C$10))</f>
        <v/>
      </c>
      <c r="AD48" s="19">
        <f>IF((AD41*$C$10)=0,0,AD61/(AD41*$C$10))</f>
        <v/>
      </c>
      <c r="AE48" s="19">
        <f>IF((AE41*$C$10)=0,0,AE61/(AE41*$C$10))</f>
        <v/>
      </c>
      <c r="AF48" s="19">
        <f>IF((AF41*$C$10)=0,0,AF61/(AF41*$C$10))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9">
        <f>IF((H41*$C$10)=0,0,(H53+H52)/(H41*$C$10))</f>
        <v/>
      </c>
      <c r="I49" s="19">
        <f>IF((I41*$C$10)=0,0,(I53+I52)/(I41*$C$10))</f>
        <v/>
      </c>
      <c r="J49" s="19">
        <f>IF((J41*$C$10)=0,0,(J53+J52)/(J41*$C$10))</f>
        <v/>
      </c>
      <c r="K49" s="19">
        <f>IF((K41*$C$10)=0,0,(K53+K52)/(K41*$C$10))</f>
        <v/>
      </c>
      <c r="L49" s="19">
        <f>IF((L41*$C$10)=0,0,(L53+L52)/(L41*$C$10))</f>
        <v/>
      </c>
      <c r="M49" s="19">
        <f>IF((M41*$C$10)=0,0,(M53+M52)/(M41*$C$10))</f>
        <v/>
      </c>
      <c r="N49" s="19">
        <f>IF((N41*$C$10)=0,0,(N53+N52)/(N41*$C$10))</f>
        <v/>
      </c>
      <c r="O49" s="19">
        <f>IF((O41*$C$10)=0,0,(O53+O52)/(O41*$C$10))</f>
        <v/>
      </c>
      <c r="P49" s="19">
        <f>IF((P41*$C$10)=0,0,(P53+P52)/(P41*$C$10))</f>
        <v/>
      </c>
      <c r="Q49" s="19">
        <f>IF((Q41*$C$10)=0,0,(Q53+Q52)/(Q41*$C$10))</f>
        <v/>
      </c>
      <c r="R49" s="19">
        <f>IF((R41*$C$10)=0,0,(R53+R52)/(R41*$C$10))</f>
        <v/>
      </c>
      <c r="S49" s="19">
        <f>IF((S41*$C$10)=0,0,(S53+S52)/(S41*$C$10))</f>
        <v/>
      </c>
      <c r="T49" s="19">
        <f>IF((T41*$C$10)=0,0,(T53+T52)/(T41*$C$10))</f>
        <v/>
      </c>
      <c r="U49" s="19">
        <f>IF((U41*$C$10)=0,0,(U53+U52)/(U41*$C$10))</f>
        <v/>
      </c>
      <c r="V49" s="19">
        <f>IF((V41*$C$10)=0,0,(V53+V52)/(V41*$C$10))</f>
        <v/>
      </c>
      <c r="W49" s="19">
        <f>IF((W41*$C$10)=0,0,(W53+W52)/(W41*$C$10))</f>
        <v/>
      </c>
      <c r="X49" s="19">
        <f>IF((X41*$C$10)=0,0,(X53+X52)/(X41*$C$10))</f>
        <v/>
      </c>
      <c r="Y49" s="19">
        <f>IF((Y41*$C$10)=0,0,(Y53+Y52)/(Y41*$C$10))</f>
        <v/>
      </c>
      <c r="Z49" s="19">
        <f>IF((Z41*$C$10)=0,0,(Z53+Z52)/(Z41*$C$10))</f>
        <v/>
      </c>
      <c r="AA49" s="19">
        <f>IF((AA41*$C$10)=0,0,(AA53+AA52)/(AA41*$C$10))</f>
        <v/>
      </c>
      <c r="AB49" s="19">
        <f>IF((AB41*$C$10)=0,0,(AB53+AB52)/(AB41*$C$10))</f>
        <v/>
      </c>
      <c r="AC49" s="19">
        <f>IF((AC41*$C$10)=0,0,(AC53+AC52)/(AC41*$C$10))</f>
        <v/>
      </c>
      <c r="AD49" s="19">
        <f>IF((AD41*$C$10)=0,0,(AD53+AD52)/(AD41*$C$10))</f>
        <v/>
      </c>
      <c r="AE49" s="19">
        <f>IF((AE41*$C$10)=0,0,(AE53+AE52)/(AE41*$C$10))</f>
        <v/>
      </c>
      <c r="AF49" s="19">
        <f>IF((AF41*$C$10)=0,0,(AF53+AF52)/(AF41*$C$10))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15">
        <f>((H41*H43)*$C$10)</f>
        <v/>
      </c>
      <c r="I50" s="15">
        <f>((I41*I43)*$C$10)</f>
        <v/>
      </c>
      <c r="J50" s="15">
        <f>((J41*J43)*$C$10)</f>
        <v/>
      </c>
      <c r="K50" s="15">
        <f>((K41*K43)*$C$10)</f>
        <v/>
      </c>
      <c r="L50" s="15">
        <f>((L41*L43)*$C$10)</f>
        <v/>
      </c>
      <c r="M50" s="15">
        <f>((M41*M43)*$C$10)</f>
        <v/>
      </c>
      <c r="N50" s="15">
        <f>((N41*N43)*$C$10)</f>
        <v/>
      </c>
      <c r="O50" s="15">
        <f>((O41*O43)*$C$10)</f>
        <v/>
      </c>
      <c r="P50" s="15">
        <f>((P41*P43)*$C$10)</f>
        <v/>
      </c>
      <c r="Q50" s="15">
        <f>((Q41*Q43)*$C$10)</f>
        <v/>
      </c>
      <c r="R50" s="15">
        <f>((R41*R43)*$C$10)</f>
        <v/>
      </c>
      <c r="S50" s="15">
        <f>((S41*S43)*$C$10)</f>
        <v/>
      </c>
      <c r="T50" s="15">
        <f>((T41*T43)*$C$10)</f>
        <v/>
      </c>
      <c r="U50" s="15">
        <f>((U41*U43)*$C$10)</f>
        <v/>
      </c>
      <c r="V50" s="15">
        <f>((V41*V43)*$C$10)</f>
        <v/>
      </c>
      <c r="W50" s="15">
        <f>((W41*W43)*$C$10)</f>
        <v/>
      </c>
      <c r="X50" s="15">
        <f>((X41*X43)*$C$10)</f>
        <v/>
      </c>
      <c r="Y50" s="15">
        <f>((Y41*Y43)*$C$10)</f>
        <v/>
      </c>
      <c r="Z50" s="15">
        <f>((Z41*Z43)*$C$10)</f>
        <v/>
      </c>
      <c r="AA50" s="15">
        <f>((AA41*AA43)*$C$10)</f>
        <v/>
      </c>
      <c r="AB50" s="15">
        <f>((AB41*AB43)*$C$10)</f>
        <v/>
      </c>
      <c r="AC50" s="15">
        <f>((AC41*AC43)*$C$10)</f>
        <v/>
      </c>
      <c r="AD50" s="15">
        <f>((AD41*AD43)*$C$10)</f>
        <v/>
      </c>
      <c r="AE50" s="15">
        <f>((AE41*AE43)*$C$10)</f>
        <v/>
      </c>
      <c r="AF50" s="15">
        <f>((AF41*AF43)*$C$10)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  <c r="P51" s="15">
        <f>P22</f>
        <v/>
      </c>
      <c r="Q51" s="15">
        <f>Q22</f>
        <v/>
      </c>
      <c r="R51" s="15">
        <f>R22</f>
        <v/>
      </c>
      <c r="S51" s="15">
        <f>S22</f>
        <v/>
      </c>
      <c r="T51" s="15">
        <f>T22</f>
        <v/>
      </c>
      <c r="U51" s="15">
        <f>U22</f>
        <v/>
      </c>
      <c r="V51" s="15">
        <f>V22</f>
        <v/>
      </c>
      <c r="W51" s="15">
        <f>W22</f>
        <v/>
      </c>
      <c r="X51" s="15">
        <f>X22</f>
        <v/>
      </c>
      <c r="Y51" s="15">
        <f>Y22</f>
        <v/>
      </c>
      <c r="Z51" s="15">
        <f>Z22</f>
        <v/>
      </c>
      <c r="AA51" s="15">
        <f>AA22</f>
        <v/>
      </c>
      <c r="AB51" s="15">
        <f>AB22</f>
        <v/>
      </c>
      <c r="AC51" s="15">
        <f>AC22</f>
        <v/>
      </c>
      <c r="AD51" s="15">
        <f>AD22</f>
        <v/>
      </c>
      <c r="AE51" s="15">
        <f>AE22</f>
        <v/>
      </c>
      <c r="AF51" s="15">
        <f>AF22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  <c r="P52" s="15">
        <f>(P50*P47)</f>
        <v/>
      </c>
      <c r="Q52" s="15">
        <f>(Q50*Q47)</f>
        <v/>
      </c>
      <c r="R52" s="15">
        <f>(R50*R47)</f>
        <v/>
      </c>
      <c r="S52" s="15">
        <f>(S50*S47)</f>
        <v/>
      </c>
      <c r="T52" s="15">
        <f>(T50*T47)</f>
        <v/>
      </c>
      <c r="U52" s="15">
        <f>(U50*U47)</f>
        <v/>
      </c>
      <c r="V52" s="15">
        <f>(V50*V47)</f>
        <v/>
      </c>
      <c r="W52" s="15">
        <f>(W50*W47)</f>
        <v/>
      </c>
      <c r="X52" s="15">
        <f>(X50*X47)</f>
        <v/>
      </c>
      <c r="Y52" s="15">
        <f>(Y50*Y47)</f>
        <v/>
      </c>
      <c r="Z52" s="15">
        <f>(Z50*Z47)</f>
        <v/>
      </c>
      <c r="AA52" s="15">
        <f>(AA50*AA47)</f>
        <v/>
      </c>
      <c r="AB52" s="15">
        <f>(AB50*AB47)</f>
        <v/>
      </c>
      <c r="AC52" s="15">
        <f>(AC50*AC47)</f>
        <v/>
      </c>
      <c r="AD52" s="15">
        <f>(AD50*AD47)</f>
        <v/>
      </c>
      <c r="AE52" s="15">
        <f>(AE50*AE47)</f>
        <v/>
      </c>
      <c r="AF52" s="15">
        <f>(AF50*AF47)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((H41*H45)*$C$10)</f>
        <v/>
      </c>
      <c r="I53" s="15">
        <f>((I41*I45)*$C$10)</f>
        <v/>
      </c>
      <c r="J53" s="15">
        <f>((J41*J45)*$C$10)</f>
        <v/>
      </c>
      <c r="K53" s="15">
        <f>((K41*K45)*$C$10)</f>
        <v/>
      </c>
      <c r="L53" s="15">
        <f>((L41*L45)*$C$10)</f>
        <v/>
      </c>
      <c r="M53" s="15">
        <f>((M41*M45)*$C$10)</f>
        <v/>
      </c>
      <c r="N53" s="15">
        <f>((N41*N45)*$C$10)</f>
        <v/>
      </c>
      <c r="O53" s="15">
        <f>((O41*O45)*$C$10)</f>
        <v/>
      </c>
      <c r="P53" s="15">
        <f>((P41*P45)*$C$10)</f>
        <v/>
      </c>
      <c r="Q53" s="15">
        <f>((Q41*Q45)*$C$10)</f>
        <v/>
      </c>
      <c r="R53" s="15">
        <f>((R41*R45)*$C$10)</f>
        <v/>
      </c>
      <c r="S53" s="15">
        <f>((S41*S45)*$C$10)</f>
        <v/>
      </c>
      <c r="T53" s="15">
        <f>((T41*T45)*$C$10)</f>
        <v/>
      </c>
      <c r="U53" s="15">
        <f>((U41*U45)*$C$10)</f>
        <v/>
      </c>
      <c r="V53" s="15">
        <f>((V41*V45)*$C$10)</f>
        <v/>
      </c>
      <c r="W53" s="15">
        <f>((W41*W45)*$C$10)</f>
        <v/>
      </c>
      <c r="X53" s="15">
        <f>((X41*X45)*$C$10)</f>
        <v/>
      </c>
      <c r="Y53" s="15">
        <f>((Y41*Y45)*$C$10)</f>
        <v/>
      </c>
      <c r="Z53" s="15">
        <f>((Z41*Z45)*$C$10)</f>
        <v/>
      </c>
      <c r="AA53" s="15">
        <f>((AA41*AA45)*$C$10)</f>
        <v/>
      </c>
      <c r="AB53" s="15">
        <f>((AB41*AB45)*$C$10)</f>
        <v/>
      </c>
      <c r="AC53" s="15">
        <f>((AC41*AC45)*$C$10)</f>
        <v/>
      </c>
      <c r="AD53" s="15">
        <f>((AD41*AD45)*$C$10)</f>
        <v/>
      </c>
      <c r="AE53" s="15">
        <f>((AE41*AE45)*$C$10)</f>
        <v/>
      </c>
      <c r="AF53" s="15">
        <f>((AF41*AF45)*$C$10)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  <c r="P54" s="15">
        <f>(P51*(1-$C$23))</f>
        <v/>
      </c>
      <c r="Q54" s="15">
        <f>(Q51*(1-$C$23))</f>
        <v/>
      </c>
      <c r="R54" s="15">
        <f>(R51*(1-$C$23))</f>
        <v/>
      </c>
      <c r="S54" s="15">
        <f>(S51*(1-$C$23))</f>
        <v/>
      </c>
      <c r="T54" s="15">
        <f>(T51*(1-$C$23))</f>
        <v/>
      </c>
      <c r="U54" s="15">
        <f>(U51*(1-$C$23))</f>
        <v/>
      </c>
      <c r="V54" s="15">
        <f>(V51*(1-$C$23))</f>
        <v/>
      </c>
      <c r="W54" s="15">
        <f>(W51*(1-$C$23))</f>
        <v/>
      </c>
      <c r="X54" s="15">
        <f>(X51*(1-$C$23))</f>
        <v/>
      </c>
      <c r="Y54" s="15">
        <f>(Y51*(1-$C$23))</f>
        <v/>
      </c>
      <c r="Z54" s="15">
        <f>(Z51*(1-$C$23))</f>
        <v/>
      </c>
      <c r="AA54" s="15">
        <f>(AA51*(1-$C$23))</f>
        <v/>
      </c>
      <c r="AB54" s="15">
        <f>(AB51*(1-$C$23))</f>
        <v/>
      </c>
      <c r="AC54" s="15">
        <f>(AC51*(1-$C$23))</f>
        <v/>
      </c>
      <c r="AD54" s="15">
        <f>(AD51*(1-$C$23))</f>
        <v/>
      </c>
      <c r="AE54" s="15">
        <f>(AE51*(1-$C$23))</f>
        <v/>
      </c>
      <c r="AF54" s="15">
        <f>(AF51*(1-$C$23))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908.1420460000001</v>
      </c>
      <c r="E55" s="13" t="n">
        <v>1085.961921</v>
      </c>
      <c r="F55" s="13" t="n">
        <v>1154.183</v>
      </c>
      <c r="G55" s="13" t="n">
        <v>972.948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  <c r="P55" s="15">
        <f>(P50+P51)</f>
        <v/>
      </c>
      <c r="Q55" s="15">
        <f>(Q50+Q51)</f>
        <v/>
      </c>
      <c r="R55" s="15">
        <f>(R50+R51)</f>
        <v/>
      </c>
      <c r="S55" s="15">
        <f>(S50+S51)</f>
        <v/>
      </c>
      <c r="T55" s="15">
        <f>(T50+T51)</f>
        <v/>
      </c>
      <c r="U55" s="15">
        <f>(U50+U51)</f>
        <v/>
      </c>
      <c r="V55" s="15">
        <f>(V50+V51)</f>
        <v/>
      </c>
      <c r="W55" s="15">
        <f>(W50+W51)</f>
        <v/>
      </c>
      <c r="X55" s="15">
        <f>(X50+X51)</f>
        <v/>
      </c>
      <c r="Y55" s="15">
        <f>(Y50+Y51)</f>
        <v/>
      </c>
      <c r="Z55" s="15">
        <f>(Z50+Z51)</f>
        <v/>
      </c>
      <c r="AA55" s="15">
        <f>(AA50+AA51)</f>
        <v/>
      </c>
      <c r="AB55" s="15">
        <f>(AB50+AB51)</f>
        <v/>
      </c>
      <c r="AC55" s="15">
        <f>(AC50+AC51)</f>
        <v/>
      </c>
      <c r="AD55" s="15">
        <f>(AD50+AD51)</f>
        <v/>
      </c>
      <c r="AE55" s="15">
        <f>(AE50+AE51)</f>
        <v/>
      </c>
      <c r="AF55" s="15">
        <f>(AF50+AF51)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373.227386</v>
      </c>
      <c r="E56" s="13" t="n">
        <v>502.75001</v>
      </c>
      <c r="F56" s="13" t="n">
        <v>576.393</v>
      </c>
      <c r="G56" s="13" t="n">
        <v>577.682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  <c r="P56" s="15">
        <f>(((P53+P52)+P54)+P60)</f>
        <v/>
      </c>
      <c r="Q56" s="15">
        <f>(((Q53+Q52)+Q54)+Q60)</f>
        <v/>
      </c>
      <c r="R56" s="15">
        <f>(((R53+R52)+R54)+R60)</f>
        <v/>
      </c>
      <c r="S56" s="15">
        <f>(((S53+S52)+S54)+S60)</f>
        <v/>
      </c>
      <c r="T56" s="15">
        <f>(((T53+T52)+T54)+T60)</f>
        <v/>
      </c>
      <c r="U56" s="15">
        <f>(((U53+U52)+U54)+U60)</f>
        <v/>
      </c>
      <c r="V56" s="15">
        <f>(((V53+V52)+V54)+V60)</f>
        <v/>
      </c>
      <c r="W56" s="15">
        <f>(((W53+W52)+W54)+W60)</f>
        <v/>
      </c>
      <c r="X56" s="15">
        <f>(((X53+X52)+X54)+X60)</f>
        <v/>
      </c>
      <c r="Y56" s="15">
        <f>(((Y53+Y52)+Y54)+Y60)</f>
        <v/>
      </c>
      <c r="Z56" s="15">
        <f>(((Z53+Z52)+Z54)+Z60)</f>
        <v/>
      </c>
      <c r="AA56" s="15">
        <f>(((AA53+AA52)+AA54)+AA60)</f>
        <v/>
      </c>
      <c r="AB56" s="15">
        <f>(((AB53+AB52)+AB54)+AB60)</f>
        <v/>
      </c>
      <c r="AC56" s="15">
        <f>(((AC53+AC52)+AC54)+AC60)</f>
        <v/>
      </c>
      <c r="AD56" s="15">
        <f>(((AD53+AD52)+AD54)+AD60)</f>
        <v/>
      </c>
      <c r="AE56" s="15">
        <f>(((AE53+AE52)+AE54)+AE60)</f>
        <v/>
      </c>
      <c r="AF56" s="15">
        <f>(((AF53+AF52)+AF54)+AF60)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534.91466</v>
      </c>
      <c r="E57" s="13" t="n">
        <v>583.211911</v>
      </c>
      <c r="F57" s="13" t="n">
        <v>577.79</v>
      </c>
      <c r="G57" s="13" t="n">
        <v>395.266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  <c r="P57" s="15">
        <f>(P55-P56)</f>
        <v/>
      </c>
      <c r="Q57" s="15">
        <f>(Q55-Q56)</f>
        <v/>
      </c>
      <c r="R57" s="15">
        <f>(R55-R56)</f>
        <v/>
      </c>
      <c r="S57" s="15">
        <f>(S55-S56)</f>
        <v/>
      </c>
      <c r="T57" s="15">
        <f>(T55-T56)</f>
        <v/>
      </c>
      <c r="U57" s="15">
        <f>(U55-U56)</f>
        <v/>
      </c>
      <c r="V57" s="15">
        <f>(V55-V56)</f>
        <v/>
      </c>
      <c r="W57" s="15">
        <f>(W55-W56)</f>
        <v/>
      </c>
      <c r="X57" s="15">
        <f>(X55-X56)</f>
        <v/>
      </c>
      <c r="Y57" s="15">
        <f>(Y55-Y56)</f>
        <v/>
      </c>
      <c r="Z57" s="15">
        <f>(Z55-Z56)</f>
        <v/>
      </c>
      <c r="AA57" s="15">
        <f>(AA55-AA56)</f>
        <v/>
      </c>
      <c r="AB57" s="15">
        <f>(AB55-AB56)</f>
        <v/>
      </c>
      <c r="AC57" s="15">
        <f>(AC55-AC56)</f>
        <v/>
      </c>
      <c r="AD57" s="15">
        <f>(AD55-AD56)</f>
        <v/>
      </c>
      <c r="AE57" s="15">
        <f>(AE55-AE56)</f>
        <v/>
      </c>
      <c r="AF57" s="15">
        <f>(AF55-AF56)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75.08902300000005</v>
      </c>
      <c r="E58" s="13" t="n">
        <v>9.473972000000003</v>
      </c>
      <c r="F58" s="13" t="n">
        <v>39.197</v>
      </c>
      <c r="G58" s="13" t="n">
        <v>78.86700000000002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  <c r="P58" s="15">
        <f>(P55*P37)</f>
        <v/>
      </c>
      <c r="Q58" s="15">
        <f>(Q55*Q37)</f>
        <v/>
      </c>
      <c r="R58" s="15">
        <f>(R55*R37)</f>
        <v/>
      </c>
      <c r="S58" s="15">
        <f>(S55*S37)</f>
        <v/>
      </c>
      <c r="T58" s="15">
        <f>(T55*T37)</f>
        <v/>
      </c>
      <c r="U58" s="15">
        <f>(U55*U37)</f>
        <v/>
      </c>
      <c r="V58" s="15">
        <f>(V55*V37)</f>
        <v/>
      </c>
      <c r="W58" s="15">
        <f>(W55*W37)</f>
        <v/>
      </c>
      <c r="X58" s="15">
        <f>(X55*X37)</f>
        <v/>
      </c>
      <c r="Y58" s="15">
        <f>(Y55*Y37)</f>
        <v/>
      </c>
      <c r="Z58" s="15">
        <f>(Z55*Z37)</f>
        <v/>
      </c>
      <c r="AA58" s="15">
        <f>(AA55*AA37)</f>
        <v/>
      </c>
      <c r="AB58" s="15">
        <f>(AB55*AB37)</f>
        <v/>
      </c>
      <c r="AC58" s="15">
        <f>(AC55*AC37)</f>
        <v/>
      </c>
      <c r="AD58" s="15">
        <f>(AD55*AD37)</f>
        <v/>
      </c>
      <c r="AE58" s="15">
        <f>(AE55*AE37)</f>
        <v/>
      </c>
      <c r="AF58" s="15">
        <f>(AF55*AF37)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459.825637</v>
      </c>
      <c r="E59" s="13" t="n">
        <v>573.737939</v>
      </c>
      <c r="F59" s="13" t="n">
        <v>538.593</v>
      </c>
      <c r="G59" s="13" t="n">
        <v>316.399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  <c r="P59" s="15">
        <f>(P57-P58)</f>
        <v/>
      </c>
      <c r="Q59" s="15">
        <f>(Q57-Q58)</f>
        <v/>
      </c>
      <c r="R59" s="15">
        <f>(R57-R58)</f>
        <v/>
      </c>
      <c r="S59" s="15">
        <f>(S57-S58)</f>
        <v/>
      </c>
      <c r="T59" s="15">
        <f>(T57-T58)</f>
        <v/>
      </c>
      <c r="U59" s="15">
        <f>(U57-U58)</f>
        <v/>
      </c>
      <c r="V59" s="15">
        <f>(V57-V58)</f>
        <v/>
      </c>
      <c r="W59" s="15">
        <f>(W57-W58)</f>
        <v/>
      </c>
      <c r="X59" s="15">
        <f>(X57-X58)</f>
        <v/>
      </c>
      <c r="Y59" s="15">
        <f>(Y57-Y58)</f>
        <v/>
      </c>
      <c r="Z59" s="15">
        <f>(Z57-Z58)</f>
        <v/>
      </c>
      <c r="AA59" s="15">
        <f>(AA57-AA58)</f>
        <v/>
      </c>
      <c r="AB59" s="15">
        <f>(AB57-AB58)</f>
        <v/>
      </c>
      <c r="AC59" s="15">
        <f>(AC57-AC58)</f>
        <v/>
      </c>
      <c r="AD59" s="15">
        <f>(AD57-AD58)</f>
        <v/>
      </c>
      <c r="AE59" s="15">
        <f>(AE57-AE58)</f>
        <v/>
      </c>
      <c r="AF59" s="15">
        <f>(AF57-AF58)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1.64892</v>
      </c>
      <c r="E60" s="13" t="n">
        <v>1.07785</v>
      </c>
      <c r="F60" s="13" t="n">
        <v>37.571</v>
      </c>
      <c r="G60" s="13" t="n">
        <v>44.038</v>
      </c>
      <c r="H60" s="15">
        <f>((H41*H24)*$C$10)</f>
        <v/>
      </c>
      <c r="I60" s="15">
        <f>((I41*I24)*$C$10)</f>
        <v/>
      </c>
      <c r="J60" s="15">
        <f>((J41*J24)*$C$10)</f>
        <v/>
      </c>
      <c r="K60" s="15">
        <f>((K41*K24)*$C$10)</f>
        <v/>
      </c>
      <c r="L60" s="15">
        <f>((L41*L24)*$C$10)</f>
        <v/>
      </c>
      <c r="M60" s="15">
        <f>((M41*M24)*$C$10)</f>
        <v/>
      </c>
      <c r="N60" s="15">
        <f>((N41*N24)*$C$10)</f>
        <v/>
      </c>
      <c r="O60" s="15">
        <f>((O41*O24)*$C$10)</f>
        <v/>
      </c>
      <c r="P60" s="15">
        <f>((P41*P24)*$C$10)</f>
        <v/>
      </c>
      <c r="Q60" s="15">
        <f>((Q41*Q24)*$C$10)</f>
        <v/>
      </c>
      <c r="R60" s="15">
        <f>((R41*R24)*$C$10)</f>
        <v/>
      </c>
      <c r="S60" s="15">
        <f>((S41*S24)*$C$10)</f>
        <v/>
      </c>
      <c r="T60" s="15">
        <f>((T41*T24)*$C$10)</f>
        <v/>
      </c>
      <c r="U60" s="15">
        <f>((U41*U24)*$C$10)</f>
        <v/>
      </c>
      <c r="V60" s="15">
        <f>((V41*V24)*$C$10)</f>
        <v/>
      </c>
      <c r="W60" s="15">
        <f>((W41*W24)*$C$10)</f>
        <v/>
      </c>
      <c r="X60" s="15">
        <f>((X41*X24)*$C$10)</f>
        <v/>
      </c>
      <c r="Y60" s="15">
        <f>((Y41*Y24)*$C$10)</f>
        <v/>
      </c>
      <c r="Z60" s="15">
        <f>((Z41*Z24)*$C$10)</f>
        <v/>
      </c>
      <c r="AA60" s="15">
        <f>((AA41*AA24)*$C$10)</f>
        <v/>
      </c>
      <c r="AB60" s="15">
        <f>((AB41*AB24)*$C$10)</f>
        <v/>
      </c>
      <c r="AC60" s="15">
        <f>((AC41*AC24)*$C$10)</f>
        <v/>
      </c>
      <c r="AD60" s="15">
        <f>((AD41*AD24)*$C$10)</f>
        <v/>
      </c>
      <c r="AE60" s="15">
        <f>((AE41*AE24)*$C$10)</f>
        <v/>
      </c>
      <c r="AF60" s="15">
        <f>((AF41*AF24)*$C$10)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461.4745569999999</v>
      </c>
      <c r="E61" s="13" t="n">
        <v>574.815789</v>
      </c>
      <c r="F61" s="13" t="n">
        <v>576.164</v>
      </c>
      <c r="G61" s="13" t="n">
        <v>360.437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  <c r="P61" s="15">
        <f>(P59+P60)</f>
        <v/>
      </c>
      <c r="Q61" s="15">
        <f>(Q59+Q60)</f>
        <v/>
      </c>
      <c r="R61" s="15">
        <f>(R59+R60)</f>
        <v/>
      </c>
      <c r="S61" s="15">
        <f>(S59+S60)</f>
        <v/>
      </c>
      <c r="T61" s="15">
        <f>(T59+T60)</f>
        <v/>
      </c>
      <c r="U61" s="15">
        <f>(U59+U60)</f>
        <v/>
      </c>
      <c r="V61" s="15">
        <f>(V59+V60)</f>
        <v/>
      </c>
      <c r="W61" s="15">
        <f>(W59+W60)</f>
        <v/>
      </c>
      <c r="X61" s="15">
        <f>(X59+X60)</f>
        <v/>
      </c>
      <c r="Y61" s="15">
        <f>(Y59+Y60)</f>
        <v/>
      </c>
      <c r="Z61" s="15">
        <f>(Z59+Z60)</f>
        <v/>
      </c>
      <c r="AA61" s="15">
        <f>(AA59+AA60)</f>
        <v/>
      </c>
      <c r="AB61" s="15">
        <f>(AB59+AB60)</f>
        <v/>
      </c>
      <c r="AC61" s="15">
        <f>(AC59+AC60)</f>
        <v/>
      </c>
      <c r="AD61" s="15">
        <f>(AD59+AD60)</f>
        <v/>
      </c>
      <c r="AE61" s="15">
        <f>(AE59+AE60)</f>
        <v/>
      </c>
      <c r="AF61" s="15">
        <f>(AF59+AF60)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24.043135</v>
      </c>
      <c r="E62" s="13" t="n">
        <v>30.209061</v>
      </c>
      <c r="F62" s="13" t="n">
        <v>11.091</v>
      </c>
      <c r="G62" s="13" t="n">
        <v>0.133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  <c r="P62" s="15">
        <f>(O82*$C$29)</f>
        <v/>
      </c>
      <c r="Q62" s="15">
        <f>(P82*$C$29)</f>
        <v/>
      </c>
      <c r="R62" s="15">
        <f>(Q82*$C$29)</f>
        <v/>
      </c>
      <c r="S62" s="15">
        <f>(R82*$C$29)</f>
        <v/>
      </c>
      <c r="T62" s="15">
        <f>(S82*$C$29)</f>
        <v/>
      </c>
      <c r="U62" s="15">
        <f>(T82*$C$29)</f>
        <v/>
      </c>
      <c r="V62" s="15">
        <f>(U82*$C$29)</f>
        <v/>
      </c>
      <c r="W62" s="15">
        <f>(V82*$C$29)</f>
        <v/>
      </c>
      <c r="X62" s="15">
        <f>(W82*$C$29)</f>
        <v/>
      </c>
      <c r="Y62" s="15">
        <f>(X82*$C$29)</f>
        <v/>
      </c>
      <c r="Z62" s="15">
        <f>(Y82*$C$29)</f>
        <v/>
      </c>
      <c r="AA62" s="15">
        <f>(Z82*$C$29)</f>
        <v/>
      </c>
      <c r="AB62" s="15">
        <f>(AA82*$C$29)</f>
        <v/>
      </c>
      <c r="AC62" s="15">
        <f>(AB82*$C$29)</f>
        <v/>
      </c>
      <c r="AD62" s="15">
        <f>(AC82*$C$29)</f>
        <v/>
      </c>
      <c r="AE62" s="15">
        <f>(AD82*$C$29)</f>
        <v/>
      </c>
      <c r="AF62" s="15">
        <f>(AE82*$C$29)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4.148643</v>
      </c>
      <c r="E63" s="13" t="n">
        <v>19.732349</v>
      </c>
      <c r="F63" s="13" t="n">
        <v>29.104</v>
      </c>
      <c r="G63" s="13" t="n">
        <v>25.104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  <c r="P63" s="15">
        <f>(O81*$C$30)</f>
        <v/>
      </c>
      <c r="Q63" s="15">
        <f>(P81*$C$30)</f>
        <v/>
      </c>
      <c r="R63" s="15">
        <f>(Q81*$C$30)</f>
        <v/>
      </c>
      <c r="S63" s="15">
        <f>(R81*$C$30)</f>
        <v/>
      </c>
      <c r="T63" s="15">
        <f>(S81*$C$30)</f>
        <v/>
      </c>
      <c r="U63" s="15">
        <f>(T81*$C$30)</f>
        <v/>
      </c>
      <c r="V63" s="15">
        <f>(U81*$C$30)</f>
        <v/>
      </c>
      <c r="W63" s="15">
        <f>(V81*$C$30)</f>
        <v/>
      </c>
      <c r="X63" s="15">
        <f>(W81*$C$30)</f>
        <v/>
      </c>
      <c r="Y63" s="15">
        <f>(X81*$C$30)</f>
        <v/>
      </c>
      <c r="Z63" s="15">
        <f>(Y81*$C$30)</f>
        <v/>
      </c>
      <c r="AA63" s="15">
        <f>(Z81*$C$30)</f>
        <v/>
      </c>
      <c r="AB63" s="15">
        <f>(AA81*$C$30)</f>
        <v/>
      </c>
      <c r="AC63" s="15">
        <f>(AB81*$C$30)</f>
        <v/>
      </c>
      <c r="AD63" s="15">
        <f>(AC81*$C$30)</f>
        <v/>
      </c>
      <c r="AE63" s="15">
        <f>(AD81*$C$30)</f>
        <v/>
      </c>
      <c r="AF63" s="15">
        <f>(AE81*$C$30)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-2.138072999999977</v>
      </c>
      <c r="E64" s="13" t="n">
        <v>0.1666640000000612</v>
      </c>
      <c r="F64" s="13" t="n">
        <v>0.8959999999999937</v>
      </c>
      <c r="G64" s="13" t="n">
        <v>0.7660000000000231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  <c r="P64" s="15">
        <f>P32</f>
        <v/>
      </c>
      <c r="Q64" s="15">
        <f>Q32</f>
        <v/>
      </c>
      <c r="R64" s="15">
        <f>R32</f>
        <v/>
      </c>
      <c r="S64" s="15">
        <f>S32</f>
        <v/>
      </c>
      <c r="T64" s="15">
        <f>T32</f>
        <v/>
      </c>
      <c r="U64" s="15">
        <f>U32</f>
        <v/>
      </c>
      <c r="V64" s="15">
        <f>V32</f>
        <v/>
      </c>
      <c r="W64" s="15">
        <f>W32</f>
        <v/>
      </c>
      <c r="X64" s="15">
        <f>X32</f>
        <v/>
      </c>
      <c r="Y64" s="15">
        <f>Y32</f>
        <v/>
      </c>
      <c r="Z64" s="15">
        <f>Z32</f>
        <v/>
      </c>
      <c r="AA64" s="15">
        <f>AA32</f>
        <v/>
      </c>
      <c r="AB64" s="15">
        <f>AB32</f>
        <v/>
      </c>
      <c r="AC64" s="15">
        <f>AC32</f>
        <v/>
      </c>
      <c r="AD64" s="15">
        <f>AD32</f>
        <v/>
      </c>
      <c r="AE64" s="15">
        <f>AE32</f>
        <v/>
      </c>
      <c r="AF64" s="15">
        <f>AF32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437.793072</v>
      </c>
      <c r="E65" s="13" t="n">
        <v>563.427891</v>
      </c>
      <c r="F65" s="13" t="n">
        <v>557.502</v>
      </c>
      <c r="G65" s="13" t="n">
        <v>342.136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  <c r="P65" s="15">
        <f>(((P59-P62)+P63)+P64)</f>
        <v/>
      </c>
      <c r="Q65" s="15">
        <f>(((Q59-Q62)+Q63)+Q64)</f>
        <v/>
      </c>
      <c r="R65" s="15">
        <f>(((R59-R62)+R63)+R64)</f>
        <v/>
      </c>
      <c r="S65" s="15">
        <f>(((S59-S62)+S63)+S64)</f>
        <v/>
      </c>
      <c r="T65" s="15">
        <f>(((T59-T62)+T63)+T64)</f>
        <v/>
      </c>
      <c r="U65" s="15">
        <f>(((U59-U62)+U63)+U64)</f>
        <v/>
      </c>
      <c r="V65" s="15">
        <f>(((V59-V62)+V63)+V64)</f>
        <v/>
      </c>
      <c r="W65" s="15">
        <f>(((W59-W62)+W63)+W64)</f>
        <v/>
      </c>
      <c r="X65" s="15">
        <f>(((X59-X62)+X63)+X64)</f>
        <v/>
      </c>
      <c r="Y65" s="15">
        <f>(((Y59-Y62)+Y63)+Y64)</f>
        <v/>
      </c>
      <c r="Z65" s="15">
        <f>(((Z59-Z62)+Z63)+Z64)</f>
        <v/>
      </c>
      <c r="AA65" s="15">
        <f>(((AA59-AA62)+AA63)+AA64)</f>
        <v/>
      </c>
      <c r="AB65" s="15">
        <f>(((AB59-AB62)+AB63)+AB64)</f>
        <v/>
      </c>
      <c r="AC65" s="15">
        <f>(((AC59-AC62)+AC63)+AC64)</f>
        <v/>
      </c>
      <c r="AD65" s="15">
        <f>(((AD59-AD62)+AD63)+AD64)</f>
        <v/>
      </c>
      <c r="AE65" s="15">
        <f>(((AE59-AE62)+AE63)+AE64)</f>
        <v/>
      </c>
      <c r="AF65" s="15">
        <f>(((AF59-AF62)+AF63)+AF64)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102.054334</v>
      </c>
      <c r="E66" s="13" t="n">
        <v>122.58475</v>
      </c>
      <c r="F66" s="13" t="n">
        <v>122.733</v>
      </c>
      <c r="G66" s="13" t="n">
        <v>77.843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  <c r="P66" s="15">
        <f>(MAX(P65,0)*P28)</f>
        <v/>
      </c>
      <c r="Q66" s="15">
        <f>(MAX(Q65,0)*Q28)</f>
        <v/>
      </c>
      <c r="R66" s="15">
        <f>(MAX(R65,0)*R28)</f>
        <v/>
      </c>
      <c r="S66" s="15">
        <f>(MAX(S65,0)*S28)</f>
        <v/>
      </c>
      <c r="T66" s="15">
        <f>(MAX(T65,0)*T28)</f>
        <v/>
      </c>
      <c r="U66" s="15">
        <f>(MAX(U65,0)*U28)</f>
        <v/>
      </c>
      <c r="V66" s="15">
        <f>(MAX(V65,0)*V28)</f>
        <v/>
      </c>
      <c r="W66" s="15">
        <f>(MAX(W65,0)*W28)</f>
        <v/>
      </c>
      <c r="X66" s="15">
        <f>(MAX(X65,0)*X28)</f>
        <v/>
      </c>
      <c r="Y66" s="15">
        <f>(MAX(Y65,0)*Y28)</f>
        <v/>
      </c>
      <c r="Z66" s="15">
        <f>(MAX(Z65,0)*Z28)</f>
        <v/>
      </c>
      <c r="AA66" s="15">
        <f>(MAX(AA65,0)*AA28)</f>
        <v/>
      </c>
      <c r="AB66" s="15">
        <f>(MAX(AB65,0)*AB28)</f>
        <v/>
      </c>
      <c r="AC66" s="15">
        <f>(MAX(AC65,0)*AC28)</f>
        <v/>
      </c>
      <c r="AD66" s="15">
        <f>(MAX(AD65,0)*AD28)</f>
        <v/>
      </c>
      <c r="AE66" s="15">
        <f>(MAX(AE65,0)*AE28)</f>
        <v/>
      </c>
      <c r="AF66" s="15">
        <f>(MAX(AF65,0)*AF28)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335.738738</v>
      </c>
      <c r="E67" s="13" t="n">
        <v>440.843141</v>
      </c>
      <c r="F67" s="13" t="n">
        <v>434.769</v>
      </c>
      <c r="G67" s="13" t="n">
        <v>264.293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  <c r="P67" s="15">
        <f>(P65-P66)</f>
        <v/>
      </c>
      <c r="Q67" s="15">
        <f>(Q65-Q66)</f>
        <v/>
      </c>
      <c r="R67" s="15">
        <f>(R65-R66)</f>
        <v/>
      </c>
      <c r="S67" s="15">
        <f>(S65-S66)</f>
        <v/>
      </c>
      <c r="T67" s="15">
        <f>(T65-T66)</f>
        <v/>
      </c>
      <c r="U67" s="15">
        <f>(U65-U66)</f>
        <v/>
      </c>
      <c r="V67" s="15">
        <f>(V65-V66)</f>
        <v/>
      </c>
      <c r="W67" s="15">
        <f>(W65-W66)</f>
        <v/>
      </c>
      <c r="X67" s="15">
        <f>(X65-X66)</f>
        <v/>
      </c>
      <c r="Y67" s="15">
        <f>(Y65-Y66)</f>
        <v/>
      </c>
      <c r="Z67" s="15">
        <f>(Z65-Z66)</f>
        <v/>
      </c>
      <c r="AA67" s="15">
        <f>(AA65-AA66)</f>
        <v/>
      </c>
      <c r="AB67" s="15">
        <f>(AB65-AB66)</f>
        <v/>
      </c>
      <c r="AC67" s="15">
        <f>(AC65-AC66)</f>
        <v/>
      </c>
      <c r="AD67" s="15">
        <f>(AD65-AD66)</f>
        <v/>
      </c>
      <c r="AE67" s="15">
        <f>(AE65-AE66)</f>
        <v/>
      </c>
      <c r="AF67" s="15">
        <f>(AF65-AF66)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3.528230000000008</v>
      </c>
      <c r="E68" s="13" t="n">
        <v>-0.1787550000000238</v>
      </c>
      <c r="F68" s="13" t="n">
        <v>-1.887</v>
      </c>
      <c r="G68" s="13" t="n">
        <v>-6.918999999999983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  <c r="P68" s="15">
        <f>(P67*P33)</f>
        <v/>
      </c>
      <c r="Q68" s="15">
        <f>(Q67*Q33)</f>
        <v/>
      </c>
      <c r="R68" s="15">
        <f>(R67*R33)</f>
        <v/>
      </c>
      <c r="S68" s="15">
        <f>(S67*S33)</f>
        <v/>
      </c>
      <c r="T68" s="15">
        <f>(T67*T33)</f>
        <v/>
      </c>
      <c r="U68" s="15">
        <f>(U67*U33)</f>
        <v/>
      </c>
      <c r="V68" s="15">
        <f>(V67*V33)</f>
        <v/>
      </c>
      <c r="W68" s="15">
        <f>(W67*W33)</f>
        <v/>
      </c>
      <c r="X68" s="15">
        <f>(X67*X33)</f>
        <v/>
      </c>
      <c r="Y68" s="15">
        <f>(Y67*Y33)</f>
        <v/>
      </c>
      <c r="Z68" s="15">
        <f>(Z67*Z33)</f>
        <v/>
      </c>
      <c r="AA68" s="15">
        <f>(AA67*AA33)</f>
        <v/>
      </c>
      <c r="AB68" s="15">
        <f>(AB67*AB33)</f>
        <v/>
      </c>
      <c r="AC68" s="15">
        <f>(AC67*AC33)</f>
        <v/>
      </c>
      <c r="AD68" s="15">
        <f>(AD67*AD33)</f>
        <v/>
      </c>
      <c r="AE68" s="15">
        <f>(AE67*AE33)</f>
        <v/>
      </c>
      <c r="AF68" s="15">
        <f>(AF67*AF33)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332.210508</v>
      </c>
      <c r="E69" s="13" t="n">
        <v>441.021896</v>
      </c>
      <c r="F69" s="13" t="n">
        <v>436.656</v>
      </c>
      <c r="G69" s="13" t="n">
        <v>271.212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  <c r="P69" s="15">
        <f>(P67-P68)</f>
        <v/>
      </c>
      <c r="Q69" s="15">
        <f>(Q67-Q68)</f>
        <v/>
      </c>
      <c r="R69" s="15">
        <f>(R67-R68)</f>
        <v/>
      </c>
      <c r="S69" s="15">
        <f>(S67-S68)</f>
        <v/>
      </c>
      <c r="T69" s="15">
        <f>(T67-T68)</f>
        <v/>
      </c>
      <c r="U69" s="15">
        <f>(U67-U68)</f>
        <v/>
      </c>
      <c r="V69" s="15">
        <f>(V67-V68)</f>
        <v/>
      </c>
      <c r="W69" s="15">
        <f>(W67-W68)</f>
        <v/>
      </c>
      <c r="X69" s="15">
        <f>(X67-X68)</f>
        <v/>
      </c>
      <c r="Y69" s="15">
        <f>(Y67-Y68)</f>
        <v/>
      </c>
      <c r="Z69" s="15">
        <f>(Z67-Z68)</f>
        <v/>
      </c>
      <c r="AA69" s="15">
        <f>(AA67-AA68)</f>
        <v/>
      </c>
      <c r="AB69" s="15">
        <f>(AB67-AB68)</f>
        <v/>
      </c>
      <c r="AC69" s="15">
        <f>(AC67-AC68)</f>
        <v/>
      </c>
      <c r="AD69" s="15">
        <f>(AD67-AD68)</f>
        <v/>
      </c>
      <c r="AE69" s="15">
        <f>(AE67-AE68)</f>
        <v/>
      </c>
      <c r="AF69" s="15">
        <f>(AF67-AF68)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40882.3315</v>
      </c>
      <c r="E70" s="13" t="n">
        <v>40882.3315</v>
      </c>
      <c r="F70" s="13" t="n">
        <v>40882.3315</v>
      </c>
      <c r="G70" s="13" t="n">
        <v>40882.3315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  <c r="P70" s="15">
        <f>(O70*(1+P35))</f>
        <v/>
      </c>
      <c r="Q70" s="15">
        <f>(P70*(1+Q35))</f>
        <v/>
      </c>
      <c r="R70" s="15">
        <f>(Q70*(1+R35))</f>
        <v/>
      </c>
      <c r="S70" s="15">
        <f>(R70*(1+S35))</f>
        <v/>
      </c>
      <c r="T70" s="15">
        <f>(S70*(1+T35))</f>
        <v/>
      </c>
      <c r="U70" s="15">
        <f>(T70*(1+U35))</f>
        <v/>
      </c>
      <c r="V70" s="15">
        <f>(U70*(1+V35))</f>
        <v/>
      </c>
      <c r="W70" s="15">
        <f>(V70*(1+W35))</f>
        <v/>
      </c>
      <c r="X70" s="15">
        <f>(W70*(1+X35))</f>
        <v/>
      </c>
      <c r="Y70" s="15">
        <f>(X70*(1+Y35))</f>
        <v/>
      </c>
      <c r="Z70" s="15">
        <f>(Y70*(1+Z35))</f>
        <v/>
      </c>
      <c r="AA70" s="15">
        <f>(Z70*(1+AA35))</f>
        <v/>
      </c>
      <c r="AB70" s="15">
        <f>(AA70*(1+AB35))</f>
        <v/>
      </c>
      <c r="AC70" s="15">
        <f>(AB70*(1+AC35))</f>
        <v/>
      </c>
      <c r="AD70" s="15">
        <f>(AC70*(1+AD35))</f>
        <v/>
      </c>
      <c r="AE70" s="15">
        <f>(AD70*(1+AE35))</f>
        <v/>
      </c>
      <c r="AF70" s="15">
        <f>(AE70*(1+AF35))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0.0081260166876735</v>
      </c>
      <c r="E71" s="20" t="n">
        <v>0.01078759160298869</v>
      </c>
      <c r="F71" s="20" t="n">
        <v>0.01068079984626122</v>
      </c>
      <c r="G71" s="20" t="n">
        <v>0.006633966069180765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  <c r="M71" s="21">
        <f>(IF(M70=0,0,M69/M70)*$C$8)</f>
        <v/>
      </c>
      <c r="N71" s="21">
        <f>(IF(N70=0,0,N69/N70)*$C$8)</f>
        <v/>
      </c>
      <c r="O71" s="21">
        <f>(IF(O70=0,0,O69/O70)*$C$8)</f>
        <v/>
      </c>
      <c r="P71" s="21">
        <f>(IF(P70=0,0,P69/P70)*$C$8)</f>
        <v/>
      </c>
      <c r="Q71" s="21">
        <f>(IF(Q70=0,0,Q69/Q70)*$C$8)</f>
        <v/>
      </c>
      <c r="R71" s="21">
        <f>(IF(R70=0,0,R69/R70)*$C$8)</f>
        <v/>
      </c>
      <c r="S71" s="21">
        <f>(IF(S70=0,0,S69/S70)*$C$8)</f>
        <v/>
      </c>
      <c r="T71" s="21">
        <f>(IF(T70=0,0,T69/T70)*$C$8)</f>
        <v/>
      </c>
      <c r="U71" s="21">
        <f>(IF(U70=0,0,U69/U70)*$C$8)</f>
        <v/>
      </c>
      <c r="V71" s="21">
        <f>(IF(V70=0,0,V69/V70)*$C$8)</f>
        <v/>
      </c>
      <c r="W71" s="21">
        <f>(IF(W70=0,0,W69/W70)*$C$8)</f>
        <v/>
      </c>
      <c r="X71" s="21">
        <f>(IF(X70=0,0,X69/X70)*$C$8)</f>
        <v/>
      </c>
      <c r="Y71" s="21">
        <f>(IF(Y70=0,0,Y69/Y70)*$C$8)</f>
        <v/>
      </c>
      <c r="Z71" s="21">
        <f>(IF(Z70=0,0,Z69/Z70)*$C$8)</f>
        <v/>
      </c>
      <c r="AA71" s="21">
        <f>(IF(AA70=0,0,AA69/AA70)*$C$8)</f>
        <v/>
      </c>
      <c r="AB71" s="21">
        <f>(IF(AB70=0,0,AB69/AB70)*$C$8)</f>
        <v/>
      </c>
      <c r="AC71" s="21">
        <f>(IF(AC70=0,0,AC69/AC70)*$C$8)</f>
        <v/>
      </c>
      <c r="AD71" s="21">
        <f>(IF(AD70=0,0,AD69/AD70)*$C$8)</f>
        <v/>
      </c>
      <c r="AE71" s="21">
        <f>(IF(AE70=0,0,AE69/AE70)*$C$8)</f>
        <v/>
      </c>
      <c r="AF71" s="21">
        <f>(IF(AF70=0,0,AF69/AF70)*$C$8)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</v>
      </c>
      <c r="E72" s="20" t="n">
        <v>0</v>
      </c>
      <c r="F72" s="20" t="n">
        <v>0.002946577115040976</v>
      </c>
      <c r="G72" s="20" t="n">
        <v>0.002920238735069199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  <c r="M72" s="21">
        <f>(MAX(M71,0)*M34)</f>
        <v/>
      </c>
      <c r="N72" s="21">
        <f>(MAX(N71,0)*N34)</f>
        <v/>
      </c>
      <c r="O72" s="21">
        <f>(MAX(O71,0)*O34)</f>
        <v/>
      </c>
      <c r="P72" s="21">
        <f>(MAX(P71,0)*P34)</f>
        <v/>
      </c>
      <c r="Q72" s="21">
        <f>(MAX(Q71,0)*Q34)</f>
        <v/>
      </c>
      <c r="R72" s="21">
        <f>(MAX(R71,0)*R34)</f>
        <v/>
      </c>
      <c r="S72" s="21">
        <f>(MAX(S71,0)*S34)</f>
        <v/>
      </c>
      <c r="T72" s="21">
        <f>(MAX(T71,0)*T34)</f>
        <v/>
      </c>
      <c r="U72" s="21">
        <f>(MAX(U71,0)*U34)</f>
        <v/>
      </c>
      <c r="V72" s="21">
        <f>(MAX(V71,0)*V34)</f>
        <v/>
      </c>
      <c r="W72" s="21">
        <f>(MAX(W71,0)*W34)</f>
        <v/>
      </c>
      <c r="X72" s="21">
        <f>(MAX(X71,0)*X34)</f>
        <v/>
      </c>
      <c r="Y72" s="21">
        <f>(MAX(Y71,0)*Y34)</f>
        <v/>
      </c>
      <c r="Z72" s="21">
        <f>(MAX(Z71,0)*Z34)</f>
        <v/>
      </c>
      <c r="AA72" s="21">
        <f>(MAX(AA71,0)*AA34)</f>
        <v/>
      </c>
      <c r="AB72" s="21">
        <f>(MAX(AB71,0)*AB34)</f>
        <v/>
      </c>
      <c r="AC72" s="21">
        <f>(MAX(AC71,0)*AC34)</f>
        <v/>
      </c>
      <c r="AD72" s="21">
        <f>(MAX(AD71,0)*AD34)</f>
        <v/>
      </c>
      <c r="AE72" s="21">
        <f>(MAX(AE71,0)*AE34)</f>
        <v/>
      </c>
      <c r="AF72" s="21">
        <f>(MAX(AF71,0)*AF34)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/>
      <c r="E73" s="13" t="n"/>
      <c r="F73" s="13" t="n"/>
      <c r="G73" s="13" t="n">
        <v>120</v>
      </c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  <c r="P73" s="15">
        <f>IF($C$8=0,0,(O72*O70)/$C$8)</f>
        <v/>
      </c>
      <c r="Q73" s="15">
        <f>IF($C$8=0,0,(P72*P70)/$C$8)</f>
        <v/>
      </c>
      <c r="R73" s="15">
        <f>IF($C$8=0,0,(Q72*Q70)/$C$8)</f>
        <v/>
      </c>
      <c r="S73" s="15">
        <f>IF($C$8=0,0,(R72*R70)/$C$8)</f>
        <v/>
      </c>
      <c r="T73" s="15">
        <f>IF($C$8=0,0,(S72*S70)/$C$8)</f>
        <v/>
      </c>
      <c r="U73" s="15">
        <f>IF($C$8=0,0,(T72*T70)/$C$8)</f>
        <v/>
      </c>
      <c r="V73" s="15">
        <f>IF($C$8=0,0,(U72*U70)/$C$8)</f>
        <v/>
      </c>
      <c r="W73" s="15">
        <f>IF($C$8=0,0,(V72*V70)/$C$8)</f>
        <v/>
      </c>
      <c r="X73" s="15">
        <f>IF($C$8=0,0,(W72*W70)/$C$8)</f>
        <v/>
      </c>
      <c r="Y73" s="15">
        <f>IF($C$8=0,0,(X72*X70)/$C$8)</f>
        <v/>
      </c>
      <c r="Z73" s="15">
        <f>IF($C$8=0,0,(Y72*Y70)/$C$8)</f>
        <v/>
      </c>
      <c r="AA73" s="15">
        <f>IF($C$8=0,0,(Z72*Z70)/$C$8)</f>
        <v/>
      </c>
      <c r="AB73" s="15">
        <f>IF($C$8=0,0,(AA72*AA70)/$C$8)</f>
        <v/>
      </c>
      <c r="AC73" s="15">
        <f>IF($C$8=0,0,(AB72*AB70)/$C$8)</f>
        <v/>
      </c>
      <c r="AD73" s="15">
        <f>IF($C$8=0,0,(AC72*AC70)/$C$8)</f>
        <v/>
      </c>
      <c r="AE73" s="15">
        <f>IF($C$8=0,0,(AD72*AD70)/$C$8)</f>
        <v/>
      </c>
      <c r="AF73" s="15">
        <f>IF($C$8=0,0,(AE72*AE70)/$C$8)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21.27469</v>
      </c>
      <c r="E74" s="13" t="n">
        <v>134.727873</v>
      </c>
      <c r="F74" s="13" t="n">
        <v>405.683</v>
      </c>
      <c r="G74" s="13" t="n">
        <v>661.66</v>
      </c>
      <c r="H74" s="15">
        <f>(((H41*H25)*$C$10)+H26)</f>
        <v/>
      </c>
      <c r="I74" s="15">
        <f>(((I41*I25)*$C$10)+I26)</f>
        <v/>
      </c>
      <c r="J74" s="15">
        <f>(((J41*J25)*$C$10)+J26)</f>
        <v/>
      </c>
      <c r="K74" s="15">
        <f>(((K41*K25)*$C$10)+K26)</f>
        <v/>
      </c>
      <c r="L74" s="15">
        <f>(((L41*L25)*$C$10)+L26)</f>
        <v/>
      </c>
      <c r="M74" s="15">
        <f>(((M41*M25)*$C$10)+M26)</f>
        <v/>
      </c>
      <c r="N74" s="15">
        <f>(((N41*N25)*$C$10)+N26)</f>
        <v/>
      </c>
      <c r="O74" s="15">
        <f>(((O41*O25)*$C$10)+O26)</f>
        <v/>
      </c>
      <c r="P74" s="15">
        <f>(((P41*P25)*$C$10)+P26)</f>
        <v/>
      </c>
      <c r="Q74" s="15">
        <f>(((Q41*Q25)*$C$10)+Q26)</f>
        <v/>
      </c>
      <c r="R74" s="15">
        <f>(((R41*R25)*$C$10)+R26)</f>
        <v/>
      </c>
      <c r="S74" s="15">
        <f>(((S41*S25)*$C$10)+S26)</f>
        <v/>
      </c>
      <c r="T74" s="15">
        <f>(((T41*T25)*$C$10)+T26)</f>
        <v/>
      </c>
      <c r="U74" s="15">
        <f>(((U41*U25)*$C$10)+U26)</f>
        <v/>
      </c>
      <c r="V74" s="15">
        <f>(((V41*V25)*$C$10)+V26)</f>
        <v/>
      </c>
      <c r="W74" s="15">
        <f>(((W41*W25)*$C$10)+W26)</f>
        <v/>
      </c>
      <c r="X74" s="15">
        <f>(((X41*X25)*$C$10)+X26)</f>
        <v/>
      </c>
      <c r="Y74" s="15">
        <f>(((Y41*Y25)*$C$10)+Y26)</f>
        <v/>
      </c>
      <c r="Z74" s="15">
        <f>(((Z41*Z25)*$C$10)+Z26)</f>
        <v/>
      </c>
      <c r="AA74" s="15">
        <f>(((AA41*AA25)*$C$10)+AA26)</f>
        <v/>
      </c>
      <c r="AB74" s="15">
        <f>(((AB41*AB25)*$C$10)+AB26)</f>
        <v/>
      </c>
      <c r="AC74" s="15">
        <f>(((AC41*AC25)*$C$10)+AC26)</f>
        <v/>
      </c>
      <c r="AD74" s="15">
        <f>(((AD41*AD25)*$C$10)+AD26)</f>
        <v/>
      </c>
      <c r="AE74" s="15">
        <f>(((AE41*AE25)*$C$10)+AE26)</f>
        <v/>
      </c>
      <c r="AF74" s="15">
        <f>(((AF41*AF25)*$C$10)+AF26)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156.114599</v>
      </c>
      <c r="F75" s="13" t="n">
        <v>-98.64985799999999</v>
      </c>
      <c r="G75" s="13" t="n">
        <v>-121.364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  <c r="P75" s="15">
        <f>(P80-O80)</f>
        <v/>
      </c>
      <c r="Q75" s="15">
        <f>(Q80-P80)</f>
        <v/>
      </c>
      <c r="R75" s="15">
        <f>(R80-Q80)</f>
        <v/>
      </c>
      <c r="S75" s="15">
        <f>(S80-R80)</f>
        <v/>
      </c>
      <c r="T75" s="15">
        <f>(T80-S80)</f>
        <v/>
      </c>
      <c r="U75" s="15">
        <f>(U80-T80)</f>
        <v/>
      </c>
      <c r="V75" s="15">
        <f>(V80-U80)</f>
        <v/>
      </c>
      <c r="W75" s="15">
        <f>(W80-V80)</f>
        <v/>
      </c>
      <c r="X75" s="15">
        <f>(X80-W80)</f>
        <v/>
      </c>
      <c r="Y75" s="15">
        <f>(Y80-X80)</f>
        <v/>
      </c>
      <c r="Z75" s="15">
        <f>(Z80-Y80)</f>
        <v/>
      </c>
      <c r="AA75" s="15">
        <f>(AA80-Z80)</f>
        <v/>
      </c>
      <c r="AB75" s="15">
        <f>(AB80-AA80)</f>
        <v/>
      </c>
      <c r="AC75" s="15">
        <f>(AC80-AB80)</f>
        <v/>
      </c>
      <c r="AD75" s="15">
        <f>(AD80-AC80)</f>
        <v/>
      </c>
      <c r="AE75" s="15">
        <f>(AE80-AD80)</f>
        <v/>
      </c>
      <c r="AF75" s="15">
        <f>(AF80-AE80)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159.1454145456108</v>
      </c>
      <c r="F76" s="13" t="n">
        <v>150.5606382178288</v>
      </c>
      <c r="G76" s="13" t="n">
        <v>-251.8463014152266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  <c r="P76" s="15">
        <f>((((P59*(1-P28))+P60)-P74)-P75)</f>
        <v/>
      </c>
      <c r="Q76" s="15">
        <f>((((Q59*(1-Q28))+Q60)-Q74)-Q75)</f>
        <v/>
      </c>
      <c r="R76" s="15">
        <f>((((R59*(1-R28))+R60)-R74)-R75)</f>
        <v/>
      </c>
      <c r="S76" s="15">
        <f>((((S59*(1-S28))+S60)-S74)-S75)</f>
        <v/>
      </c>
      <c r="T76" s="15">
        <f>((((T59*(1-T28))+T60)-T74)-T75)</f>
        <v/>
      </c>
      <c r="U76" s="15">
        <f>((((U59*(1-U28))+U60)-U74)-U75)</f>
        <v/>
      </c>
      <c r="V76" s="15">
        <f>((((V59*(1-V28))+V60)-V74)-V75)</f>
        <v/>
      </c>
      <c r="W76" s="15">
        <f>((((W59*(1-W28))+W60)-W74)-W75)</f>
        <v/>
      </c>
      <c r="X76" s="15">
        <f>((((X59*(1-X28))+X60)-X74)-X75)</f>
        <v/>
      </c>
      <c r="Y76" s="15">
        <f>((((Y59*(1-Y28))+Y60)-Y74)-Y75)</f>
        <v/>
      </c>
      <c r="Z76" s="15">
        <f>((((Z59*(1-Z28))+Z60)-Z74)-Z75)</f>
        <v/>
      </c>
      <c r="AA76" s="15">
        <f>((((AA59*(1-AA28))+AA60)-AA74)-AA75)</f>
        <v/>
      </c>
      <c r="AB76" s="15">
        <f>((((AB59*(1-AB28))+AB60)-AB74)-AB75)</f>
        <v/>
      </c>
      <c r="AC76" s="15">
        <f>((((AC59*(1-AC28))+AC60)-AC74)-AC75)</f>
        <v/>
      </c>
      <c r="AD76" s="15">
        <f>((((AD59*(1-AD28))+AD60)-AD74)-AD75)</f>
        <v/>
      </c>
      <c r="AE76" s="15">
        <f>((((AE59*(1-AE28))+AE60)-AE74)-AE75)</f>
        <v/>
      </c>
      <c r="AF76" s="15">
        <f>((((AF59*(1-AF28))+AF60)-AF74)-AF75)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-65.74075299999998</v>
      </c>
      <c r="F77" s="13" t="n">
        <v>-127.984031</v>
      </c>
      <c r="G77" s="13" t="n">
        <v>417.254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  <c r="P77" s="15">
        <f>P31</f>
        <v/>
      </c>
      <c r="Q77" s="15">
        <f>Q31</f>
        <v/>
      </c>
      <c r="R77" s="15">
        <f>R31</f>
        <v/>
      </c>
      <c r="S77" s="15">
        <f>S31</f>
        <v/>
      </c>
      <c r="T77" s="15">
        <f>T31</f>
        <v/>
      </c>
      <c r="U77" s="15">
        <f>U31</f>
        <v/>
      </c>
      <c r="V77" s="15">
        <f>V31</f>
        <v/>
      </c>
      <c r="W77" s="15">
        <f>W31</f>
        <v/>
      </c>
      <c r="X77" s="15">
        <f>X31</f>
        <v/>
      </c>
      <c r="Y77" s="15">
        <f>Y31</f>
        <v/>
      </c>
      <c r="Z77" s="15">
        <f>Z31</f>
        <v/>
      </c>
      <c r="AA77" s="15">
        <f>AA31</f>
        <v/>
      </c>
      <c r="AB77" s="15">
        <f>AB31</f>
        <v/>
      </c>
      <c r="AC77" s="15">
        <f>AC31</f>
        <v/>
      </c>
      <c r="AD77" s="15">
        <f>AD31</f>
        <v/>
      </c>
      <c r="AE77" s="15">
        <f>AE31</f>
        <v/>
      </c>
      <c r="AF77" s="15">
        <f>AF31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  <c r="P78" s="15">
        <f>(MAX(O68,0)*P34)</f>
        <v/>
      </c>
      <c r="Q78" s="15">
        <f>(MAX(P68,0)*Q34)</f>
        <v/>
      </c>
      <c r="R78" s="15">
        <f>(MAX(Q68,0)*R34)</f>
        <v/>
      </c>
      <c r="S78" s="15">
        <f>(MAX(R68,0)*S34)</f>
        <v/>
      </c>
      <c r="T78" s="15">
        <f>(MAX(S68,0)*T34)</f>
        <v/>
      </c>
      <c r="U78" s="15">
        <f>(MAX(T68,0)*U34)</f>
        <v/>
      </c>
      <c r="V78" s="15">
        <f>(MAX(U68,0)*V34)</f>
        <v/>
      </c>
      <c r="W78" s="15">
        <f>(MAX(V68,0)*W34)</f>
        <v/>
      </c>
      <c r="X78" s="15">
        <f>(MAX(W68,0)*X34)</f>
        <v/>
      </c>
      <c r="Y78" s="15">
        <f>(MAX(X68,0)*Y34)</f>
        <v/>
      </c>
      <c r="Z78" s="15">
        <f>(MAX(Y68,0)*Z34)</f>
        <v/>
      </c>
      <c r="AA78" s="15">
        <f>(MAX(Z68,0)*AA34)</f>
        <v/>
      </c>
      <c r="AB78" s="15">
        <f>(MAX(AA68,0)*AB34)</f>
        <v/>
      </c>
      <c r="AC78" s="15">
        <f>(MAX(AB68,0)*AC34)</f>
        <v/>
      </c>
      <c r="AD78" s="15">
        <f>(MAX(AC68,0)*AD34)</f>
        <v/>
      </c>
      <c r="AE78" s="15">
        <f>(MAX(AD68,0)*AE34)</f>
        <v/>
      </c>
      <c r="AF78" s="15">
        <f>(MAX(AE68,0)*AF34)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  <c r="P79" s="15">
        <f>(((((P67+P60)-P74)-P75)+P77)-P78)</f>
        <v/>
      </c>
      <c r="Q79" s="15">
        <f>(((((Q67+Q60)-Q74)-Q75)+Q77)-Q78)</f>
        <v/>
      </c>
      <c r="R79" s="15">
        <f>(((((R67+R60)-R74)-R75)+R77)-R78)</f>
        <v/>
      </c>
      <c r="S79" s="15">
        <f>(((((S67+S60)-S74)-S75)+S77)-S78)</f>
        <v/>
      </c>
      <c r="T79" s="15">
        <f>(((((T67+T60)-T74)-T75)+T77)-T78)</f>
        <v/>
      </c>
      <c r="U79" s="15">
        <f>(((((U67+U60)-U74)-U75)+U77)-U78)</f>
        <v/>
      </c>
      <c r="V79" s="15">
        <f>(((((V67+V60)-V74)-V75)+V77)-V78)</f>
        <v/>
      </c>
      <c r="W79" s="15">
        <f>(((((W67+W60)-W74)-W75)+W77)-W78)</f>
        <v/>
      </c>
      <c r="X79" s="15">
        <f>(((((X67+X60)-X74)-X75)+X77)-X78)</f>
        <v/>
      </c>
      <c r="Y79" s="15">
        <f>(((((Y67+Y60)-Y74)-Y75)+Y77)-Y78)</f>
        <v/>
      </c>
      <c r="Z79" s="15">
        <f>(((((Z67+Z60)-Z74)-Z75)+Z77)-Z78)</f>
        <v/>
      </c>
      <c r="AA79" s="15">
        <f>(((((AA67+AA60)-AA74)-AA75)+AA77)-AA78)</f>
        <v/>
      </c>
      <c r="AB79" s="15">
        <f>(((((AB67+AB60)-AB74)-AB75)+AB77)-AB78)</f>
        <v/>
      </c>
      <c r="AC79" s="15">
        <f>(((((AC67+AC60)-AC74)-AC75)+AC77)-AC78)</f>
        <v/>
      </c>
      <c r="AD79" s="15">
        <f>(((((AD67+AD60)-AD74)-AD75)+AD77)-AD78)</f>
        <v/>
      </c>
      <c r="AE79" s="15">
        <f>(((((AE67+AE60)-AE74)-AE75)+AE77)-AE78)</f>
        <v/>
      </c>
      <c r="AF79" s="15">
        <f>(((((AF67+AF60)-AF74)-AF75)+AF77)-AF78)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-61.338741</v>
      </c>
      <c r="E80" s="13" t="n">
        <v>94.77585799999997</v>
      </c>
      <c r="F80" s="13" t="n">
        <v>-3.874000000000024</v>
      </c>
      <c r="G80" s="13" t="n">
        <v>-125.2380000000001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  <c r="P80" s="15">
        <f>(P55*P27)</f>
        <v/>
      </c>
      <c r="Q80" s="15">
        <f>(Q55*Q27)</f>
        <v/>
      </c>
      <c r="R80" s="15">
        <f>(R55*R27)</f>
        <v/>
      </c>
      <c r="S80" s="15">
        <f>(S55*S27)</f>
        <v/>
      </c>
      <c r="T80" s="15">
        <f>(T55*T27)</f>
        <v/>
      </c>
      <c r="U80" s="15">
        <f>(U55*U27)</f>
        <v/>
      </c>
      <c r="V80" s="15">
        <f>(V55*V27)</f>
        <v/>
      </c>
      <c r="W80" s="15">
        <f>(W55*W27)</f>
        <v/>
      </c>
      <c r="X80" s="15">
        <f>(X55*X27)</f>
        <v/>
      </c>
      <c r="Y80" s="15">
        <f>(Y55*Y27)</f>
        <v/>
      </c>
      <c r="Z80" s="15">
        <f>(Z55*Z27)</f>
        <v/>
      </c>
      <c r="AA80" s="15">
        <f>(AA55*AA27)</f>
        <v/>
      </c>
      <c r="AB80" s="15">
        <f>(AB55*AB27)</f>
        <v/>
      </c>
      <c r="AC80" s="15">
        <f>(AC55*AC27)</f>
        <v/>
      </c>
      <c r="AD80" s="15">
        <f>(AD55*AD27)</f>
        <v/>
      </c>
      <c r="AE80" s="15">
        <f>(AE55*AE27)</f>
        <v/>
      </c>
      <c r="AF80" s="15">
        <f>(AF55*AF27)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511.382167</v>
      </c>
      <c r="E81" s="13" t="n">
        <v>586.422531</v>
      </c>
      <c r="F81" s="13" t="n">
        <v>612.605</v>
      </c>
      <c r="G81" s="13" t="n">
        <v>369.087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  <c r="P81" s="15">
        <f>(((((((O81+P67)+P60)-P74)-P75)+P77)-P73)-P78)</f>
        <v/>
      </c>
      <c r="Q81" s="15">
        <f>(((((((P81+Q67)+Q60)-Q74)-Q75)+Q77)-Q73)-Q78)</f>
        <v/>
      </c>
      <c r="R81" s="15">
        <f>(((((((Q81+R67)+R60)-R74)-R75)+R77)-R73)-R78)</f>
        <v/>
      </c>
      <c r="S81" s="15">
        <f>(((((((R81+S67)+S60)-S74)-S75)+S77)-S73)-S78)</f>
        <v/>
      </c>
      <c r="T81" s="15">
        <f>(((((((S81+T67)+T60)-T74)-T75)+T77)-T73)-T78)</f>
        <v/>
      </c>
      <c r="U81" s="15">
        <f>(((((((T81+U67)+U60)-U74)-U75)+U77)-U73)-U78)</f>
        <v/>
      </c>
      <c r="V81" s="15">
        <f>(((((((U81+V67)+V60)-V74)-V75)+V77)-V73)-V78)</f>
        <v/>
      </c>
      <c r="W81" s="15">
        <f>(((((((V81+W67)+W60)-W74)-W75)+W77)-W73)-W78)</f>
        <v/>
      </c>
      <c r="X81" s="15">
        <f>(((((((W81+X67)+X60)-X74)-X75)+X77)-X73)-X78)</f>
        <v/>
      </c>
      <c r="Y81" s="15">
        <f>(((((((X81+Y67)+Y60)-Y74)-Y75)+Y77)-Y73)-Y78)</f>
        <v/>
      </c>
      <c r="Z81" s="15">
        <f>(((((((Y81+Z67)+Z60)-Z74)-Z75)+Z77)-Z73)-Z78)</f>
        <v/>
      </c>
      <c r="AA81" s="15">
        <f>(((((((Z81+AA67)+AA60)-AA74)-AA75)+AA77)-AA73)-AA78)</f>
        <v/>
      </c>
      <c r="AB81" s="15">
        <f>(((((((AA81+AB67)+AB60)-AB74)-AB75)+AB77)-AB73)-AB78)</f>
        <v/>
      </c>
      <c r="AC81" s="15">
        <f>(((((((AB81+AC67)+AC60)-AC74)-AC75)+AC77)-AC73)-AC78)</f>
        <v/>
      </c>
      <c r="AD81" s="15">
        <f>(((((((AC81+AD67)+AD60)-AD74)-AD75)+AD77)-AD73)-AD78)</f>
        <v/>
      </c>
      <c r="AE81" s="15">
        <f>(((((((AD81+AE67)+AE60)-AE74)-AE75)+AE77)-AE73)-AE78)</f>
        <v/>
      </c>
      <c r="AF81" s="15">
        <f>(((((((AE81+AF67)+AF60)-AF74)-AF75)+AF77)-AF73)-AF78)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489.493784</v>
      </c>
      <c r="E82" s="13" t="n">
        <v>423.753031</v>
      </c>
      <c r="F82" s="13" t="n">
        <v>295.769</v>
      </c>
      <c r="G82" s="13" t="n">
        <v>713.023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  <c r="P82" s="15">
        <f>(O82+P77)</f>
        <v/>
      </c>
      <c r="Q82" s="15">
        <f>(P82+Q77)</f>
        <v/>
      </c>
      <c r="R82" s="15">
        <f>(Q82+R77)</f>
        <v/>
      </c>
      <c r="S82" s="15">
        <f>(R82+S77)</f>
        <v/>
      </c>
      <c r="T82" s="15">
        <f>(S82+T77)</f>
        <v/>
      </c>
      <c r="U82" s="15">
        <f>(T82+U77)</f>
        <v/>
      </c>
      <c r="V82" s="15">
        <f>(U82+V77)</f>
        <v/>
      </c>
      <c r="W82" s="15">
        <f>(V82+W77)</f>
        <v/>
      </c>
      <c r="X82" s="15">
        <f>(W82+X77)</f>
        <v/>
      </c>
      <c r="Y82" s="15">
        <f>(X82+Y77)</f>
        <v/>
      </c>
      <c r="Z82" s="15">
        <f>(Y82+Z77)</f>
        <v/>
      </c>
      <c r="AA82" s="15">
        <f>(Z82+AA77)</f>
        <v/>
      </c>
      <c r="AB82" s="15">
        <f>(AA82+AB77)</f>
        <v/>
      </c>
      <c r="AC82" s="15">
        <f>(AB82+AC77)</f>
        <v/>
      </c>
      <c r="AD82" s="15">
        <f>(AC82+AD77)</f>
        <v/>
      </c>
      <c r="AE82" s="15">
        <f>(AD82+AE77)</f>
        <v/>
      </c>
      <c r="AF82" s="15">
        <f>(AE82+AF77)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610.390876</v>
      </c>
      <c r="E83" s="13" t="n">
        <v>744.108725</v>
      </c>
      <c r="F83" s="13" t="n">
        <v>1085.561</v>
      </c>
      <c r="G83" s="13" t="n">
        <v>1986.933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  <c r="P83" s="15">
        <f>((O83+P74)-P60)</f>
        <v/>
      </c>
      <c r="Q83" s="15">
        <f>((P83+Q74)-Q60)</f>
        <v/>
      </c>
      <c r="R83" s="15">
        <f>((Q83+R74)-R60)</f>
        <v/>
      </c>
      <c r="S83" s="15">
        <f>((R83+S74)-S60)</f>
        <v/>
      </c>
      <c r="T83" s="15">
        <f>((S83+T74)-T60)</f>
        <v/>
      </c>
      <c r="U83" s="15">
        <f>((T83+U74)-U60)</f>
        <v/>
      </c>
      <c r="V83" s="15">
        <f>((U83+V74)-V60)</f>
        <v/>
      </c>
      <c r="W83" s="15">
        <f>((V83+W74)-W60)</f>
        <v/>
      </c>
      <c r="X83" s="15">
        <f>((W83+X74)-X60)</f>
        <v/>
      </c>
      <c r="Y83" s="15">
        <f>((X83+Y74)-Y60)</f>
        <v/>
      </c>
      <c r="Z83" s="15">
        <f>((Y83+Z74)-Z60)</f>
        <v/>
      </c>
      <c r="AA83" s="15">
        <f>((Z83+AA74)-AA60)</f>
        <v/>
      </c>
      <c r="AB83" s="15">
        <f>((AA83+AB74)-AB60)</f>
        <v/>
      </c>
      <c r="AC83" s="15">
        <f>((AB83+AC74)-AC60)</f>
        <v/>
      </c>
      <c r="AD83" s="15">
        <f>((AC83+AD74)-AD60)</f>
        <v/>
      </c>
      <c r="AE83" s="15">
        <f>((AD83+AE74)-AE60)</f>
        <v/>
      </c>
      <c r="AF83" s="15">
        <f>((AE83+AF74)-AF60)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534.503876</v>
      </c>
      <c r="E84" s="13" t="n">
        <v>976.331197</v>
      </c>
      <c r="F84" s="13" t="n">
        <v>1411.313</v>
      </c>
      <c r="G84" s="13" t="n">
        <v>1561.514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  <c r="P84" s="15">
        <f>((O84+P69)-P73)</f>
        <v/>
      </c>
      <c r="Q84" s="15">
        <f>((P84+Q69)-Q73)</f>
        <v/>
      </c>
      <c r="R84" s="15">
        <f>((Q84+R69)-R73)</f>
        <v/>
      </c>
      <c r="S84" s="15">
        <f>((R84+S69)-S73)</f>
        <v/>
      </c>
      <c r="T84" s="15">
        <f>((S84+T69)-T73)</f>
        <v/>
      </c>
      <c r="U84" s="15">
        <f>((T84+U69)-U73)</f>
        <v/>
      </c>
      <c r="V84" s="15">
        <f>((U84+V69)-V73)</f>
        <v/>
      </c>
      <c r="W84" s="15">
        <f>((V84+W69)-W73)</f>
        <v/>
      </c>
      <c r="X84" s="15">
        <f>((W84+X69)-X73)</f>
        <v/>
      </c>
      <c r="Y84" s="15">
        <f>((X84+Y69)-Y73)</f>
        <v/>
      </c>
      <c r="Z84" s="15">
        <f>((Y84+Z69)-Z73)</f>
        <v/>
      </c>
      <c r="AA84" s="15">
        <f>((Z84+AA69)-AA73)</f>
        <v/>
      </c>
      <c r="AB84" s="15">
        <f>((AA84+AB69)-AB73)</f>
        <v/>
      </c>
      <c r="AC84" s="15">
        <f>((AB84+AC69)-AC73)</f>
        <v/>
      </c>
      <c r="AD84" s="15">
        <f>((AC84+AD69)-AD73)</f>
        <v/>
      </c>
      <c r="AE84" s="15">
        <f>((AD84+AE69)-AE73)</f>
        <v/>
      </c>
      <c r="AF84" s="15">
        <f>((AE84+AF69)-AF73)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34.803748</v>
      </c>
      <c r="E85" s="13" t="n">
        <v>61.717998</v>
      </c>
      <c r="F85" s="13" t="n">
        <v>90.95</v>
      </c>
      <c r="G85" s="13" t="n">
        <v>155.897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  <c r="P85" s="15">
        <f>((O85+P68)-P78)</f>
        <v/>
      </c>
      <c r="Q85" s="15">
        <f>((P85+Q68)-Q78)</f>
        <v/>
      </c>
      <c r="R85" s="15">
        <f>((Q85+R68)-R78)</f>
        <v/>
      </c>
      <c r="S85" s="15">
        <f>((R85+S68)-S78)</f>
        <v/>
      </c>
      <c r="T85" s="15">
        <f>((S85+T68)-T78)</f>
        <v/>
      </c>
      <c r="U85" s="15">
        <f>((T85+U68)-U78)</f>
        <v/>
      </c>
      <c r="V85" s="15">
        <f>((U85+V68)-V78)</f>
        <v/>
      </c>
      <c r="W85" s="15">
        <f>((V85+W68)-W78)</f>
        <v/>
      </c>
      <c r="X85" s="15">
        <f>((W85+X68)-X78)</f>
        <v/>
      </c>
      <c r="Y85" s="15">
        <f>((X85+Y68)-Y78)</f>
        <v/>
      </c>
      <c r="Z85" s="15">
        <f>((Y85+Z68)-Z78)</f>
        <v/>
      </c>
      <c r="AA85" s="15">
        <f>((Z85+AA68)-AA78)</f>
        <v/>
      </c>
      <c r="AB85" s="15">
        <f>((AA85+AB68)-AB78)</f>
        <v/>
      </c>
      <c r="AC85" s="15">
        <f>((AB85+AC68)-AC78)</f>
        <v/>
      </c>
      <c r="AD85" s="15">
        <f>((AC85+AD68)-AD78)</f>
        <v/>
      </c>
      <c r="AE85" s="15">
        <f>((AD85+AE68)-AE78)</f>
        <v/>
      </c>
      <c r="AF85" s="15">
        <f>((AE85+AF68)-AF78)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-1.632893999999965</v>
      </c>
      <c r="E86" s="13" t="n">
        <v>36.49511199999995</v>
      </c>
      <c r="F86" s="13" t="n">
        <v>103.7400000000002</v>
      </c>
      <c r="G86" s="13" t="n">
        <v>199.652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  <c r="P86" s="15">
        <f>O86</f>
        <v/>
      </c>
      <c r="Q86" s="15">
        <f>P86</f>
        <v/>
      </c>
      <c r="R86" s="15">
        <f>Q86</f>
        <v/>
      </c>
      <c r="S86" s="15">
        <f>R86</f>
        <v/>
      </c>
      <c r="T86" s="15">
        <f>S86</f>
        <v/>
      </c>
      <c r="U86" s="15">
        <f>T86</f>
        <v/>
      </c>
      <c r="V86" s="15">
        <f>U86</f>
        <v/>
      </c>
      <c r="W86" s="15">
        <f>V86</f>
        <v/>
      </c>
      <c r="X86" s="15">
        <f>W86</f>
        <v/>
      </c>
      <c r="Y86" s="15">
        <f>X86</f>
        <v/>
      </c>
      <c r="Z86" s="15">
        <f>Y86</f>
        <v/>
      </c>
      <c r="AA86" s="15">
        <f>Z86</f>
        <v/>
      </c>
      <c r="AB86" s="15">
        <f>AA86</f>
        <v/>
      </c>
      <c r="AC86" s="15">
        <f>AB86</f>
        <v/>
      </c>
      <c r="AD86" s="15">
        <f>AC86</f>
        <v/>
      </c>
      <c r="AE86" s="15">
        <f>AD86</f>
        <v/>
      </c>
      <c r="AF86" s="15">
        <f>AE86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  <c r="P87" s="15">
        <f>((((((P81+P80)+P83)+P86)-P82)-P84)-P85)</f>
        <v/>
      </c>
      <c r="Q87" s="15">
        <f>((((((Q81+Q80)+Q83)+Q86)-Q82)-Q84)-Q85)</f>
        <v/>
      </c>
      <c r="R87" s="15">
        <f>((((((R81+R80)+R83)+R86)-R82)-R84)-R85)</f>
        <v/>
      </c>
      <c r="S87" s="15">
        <f>((((((S81+S80)+S83)+S86)-S82)-S84)-S85)</f>
        <v/>
      </c>
      <c r="T87" s="15">
        <f>((((((T81+T80)+T83)+T86)-T82)-T84)-T85)</f>
        <v/>
      </c>
      <c r="U87" s="15">
        <f>((((((U81+U80)+U83)+U86)-U82)-U84)-U85)</f>
        <v/>
      </c>
      <c r="V87" s="15">
        <f>((((((V81+V80)+V83)+V86)-V82)-V84)-V85)</f>
        <v/>
      </c>
      <c r="W87" s="15">
        <f>((((((W81+W80)+W83)+W86)-W82)-W84)-W85)</f>
        <v/>
      </c>
      <c r="X87" s="15">
        <f>((((((X81+X80)+X83)+X86)-X82)-X84)-X85)</f>
        <v/>
      </c>
      <c r="Y87" s="15">
        <f>((((((Y81+Y80)+Y83)+Y86)-Y82)-Y84)-Y85)</f>
        <v/>
      </c>
      <c r="Z87" s="15">
        <f>((((((Z81+Z80)+Z83)+Z86)-Z82)-Z84)-Z85)</f>
        <v/>
      </c>
      <c r="AA87" s="15">
        <f>((((((AA81+AA80)+AA83)+AA86)-AA82)-AA84)-AA85)</f>
        <v/>
      </c>
      <c r="AB87" s="15">
        <f>((((((AB81+AB80)+AB83)+AB86)-AB82)-AB84)-AB85)</f>
        <v/>
      </c>
      <c r="AC87" s="15">
        <f>((((((AC81+AC80)+AC83)+AC86)-AC82)-AC84)-AC85)</f>
        <v/>
      </c>
      <c r="AD87" s="15">
        <f>((((((AD81+AD80)+AD83)+AD86)-AD82)-AD84)-AD85)</f>
        <v/>
      </c>
      <c r="AE87" s="15">
        <f>((((((AE81+AE80)+AE83)+AE86)-AE82)-AE84)-AE85)</f>
        <v/>
      </c>
      <c r="AF87" s="15">
        <f>((((((AF81+AF80)+AF83)+AF86)-AF82)-AF84)-AF85)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-21.88838299999998</v>
      </c>
      <c r="E88" s="13" t="n">
        <v>-162.6695</v>
      </c>
      <c r="F88" s="13" t="n">
        <v>-316.836</v>
      </c>
      <c r="G88" s="13" t="n">
        <v>343.936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  <c r="P88" s="15">
        <f>(P82-P81)</f>
        <v/>
      </c>
      <c r="Q88" s="15">
        <f>(Q82-Q81)</f>
        <v/>
      </c>
      <c r="R88" s="15">
        <f>(R82-R81)</f>
        <v/>
      </c>
      <c r="S88" s="15">
        <f>(S82-S81)</f>
        <v/>
      </c>
      <c r="T88" s="15">
        <f>(T82-T81)</f>
        <v/>
      </c>
      <c r="U88" s="15">
        <f>(U82-U81)</f>
        <v/>
      </c>
      <c r="V88" s="15">
        <f>(V82-V81)</f>
        <v/>
      </c>
      <c r="W88" s="15">
        <f>(W82-W81)</f>
        <v/>
      </c>
      <c r="X88" s="15">
        <f>(X82-X81)</f>
        <v/>
      </c>
      <c r="Y88" s="15">
        <f>(Y82-Y81)</f>
        <v/>
      </c>
      <c r="Z88" s="15">
        <f>(Z82-Z81)</f>
        <v/>
      </c>
      <c r="AA88" s="15">
        <f>(AA82-AA81)</f>
        <v/>
      </c>
      <c r="AB88" s="15">
        <f>(AB82-AB81)</f>
        <v/>
      </c>
      <c r="AC88" s="15">
        <f>(AC82-AC81)</f>
        <v/>
      </c>
      <c r="AD88" s="15">
        <f>(AD82-AD81)</f>
        <v/>
      </c>
      <c r="AE88" s="15">
        <f>(AE82-AE81)</f>
        <v/>
      </c>
      <c r="AF88" s="15">
        <f>(AF82-AF81)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0.01307420238495938</v>
      </c>
      <c r="E89" s="20" t="n">
        <v>0.02388149504144596</v>
      </c>
      <c r="F89" s="20" t="n">
        <v>0.03452134328493472</v>
      </c>
      <c r="G89" s="20" t="n">
        <v>0.03819532650675757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  <c r="M89" s="21">
        <f>(IF(M70=0,0,M84/M70)*$C$8)</f>
        <v/>
      </c>
      <c r="N89" s="21">
        <f>(IF(N70=0,0,N84/N70)*$C$8)</f>
        <v/>
      </c>
      <c r="O89" s="21">
        <f>(IF(O70=0,0,O84/O70)*$C$8)</f>
        <v/>
      </c>
      <c r="P89" s="21">
        <f>(IF(P70=0,0,P84/P70)*$C$8)</f>
        <v/>
      </c>
      <c r="Q89" s="21">
        <f>(IF(Q70=0,0,Q84/Q70)*$C$8)</f>
        <v/>
      </c>
      <c r="R89" s="21">
        <f>(IF(R70=0,0,R84/R70)*$C$8)</f>
        <v/>
      </c>
      <c r="S89" s="21">
        <f>(IF(S70=0,0,S84/S70)*$C$8)</f>
        <v/>
      </c>
      <c r="T89" s="21">
        <f>(IF(T70=0,0,T84/T70)*$C$8)</f>
        <v/>
      </c>
      <c r="U89" s="21">
        <f>(IF(U70=0,0,U84/U70)*$C$8)</f>
        <v/>
      </c>
      <c r="V89" s="21">
        <f>(IF(V70=0,0,V84/V70)*$C$8)</f>
        <v/>
      </c>
      <c r="W89" s="21">
        <f>(IF(W70=0,0,W84/W70)*$C$8)</f>
        <v/>
      </c>
      <c r="X89" s="21">
        <f>(IF(X70=0,0,X84/X70)*$C$8)</f>
        <v/>
      </c>
      <c r="Y89" s="21">
        <f>(IF(Y70=0,0,Y84/Y70)*$C$8)</f>
        <v/>
      </c>
      <c r="Z89" s="21">
        <f>(IF(Z70=0,0,Z84/Z70)*$C$8)</f>
        <v/>
      </c>
      <c r="AA89" s="21">
        <f>(IF(AA70=0,0,AA84/AA70)*$C$8)</f>
        <v/>
      </c>
      <c r="AB89" s="21">
        <f>(IF(AB70=0,0,AB84/AB70)*$C$8)</f>
        <v/>
      </c>
      <c r="AC89" s="21">
        <f>(IF(AC70=0,0,AC84/AC70)*$C$8)</f>
        <v/>
      </c>
      <c r="AD89" s="21">
        <f>(IF(AD70=0,0,AD84/AD70)*$C$8)</f>
        <v/>
      </c>
      <c r="AE89" s="21">
        <f>(IF(AE70=0,0,AE84/AE70)*$C$8)</f>
        <v/>
      </c>
      <c r="AF89" s="21">
        <f>(IF(AF70=0,0,AF84/AF70)*$C$8)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0.1958062351404442</v>
      </c>
      <c r="F90" s="4" t="n">
        <v>0.06282087583437468</v>
      </c>
      <c r="G90" s="4" t="n">
        <v>-0.1570244926497791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  <c r="L90" s="17">
        <f>(IF(K55=0,0,L55/K55)-1)</f>
        <v/>
      </c>
      <c r="M90" s="17">
        <f>(IF(L55=0,0,M55/L55)-1)</f>
        <v/>
      </c>
      <c r="N90" s="17">
        <f>(IF(M55=0,0,N55/M55)-1)</f>
        <v/>
      </c>
      <c r="O90" s="17">
        <f>(IF(N55=0,0,O55/N55)-1)</f>
        <v/>
      </c>
      <c r="P90" s="17">
        <f>(IF(O55=0,0,P55/O55)-1)</f>
        <v/>
      </c>
      <c r="Q90" s="17">
        <f>(IF(P55=0,0,Q55/P55)-1)</f>
        <v/>
      </c>
      <c r="R90" s="17">
        <f>(IF(Q55=0,0,R55/Q55)-1)</f>
        <v/>
      </c>
      <c r="S90" s="17">
        <f>(IF(R55=0,0,S55/R55)-1)</f>
        <v/>
      </c>
      <c r="T90" s="17">
        <f>(IF(S55=0,0,T55/S55)-1)</f>
        <v/>
      </c>
      <c r="U90" s="17">
        <f>(IF(T55=0,0,U55/T55)-1)</f>
        <v/>
      </c>
      <c r="V90" s="17">
        <f>(IF(U55=0,0,V55/U55)-1)</f>
        <v/>
      </c>
      <c r="W90" s="17">
        <f>(IF(V55=0,0,W55/V55)-1)</f>
        <v/>
      </c>
      <c r="X90" s="17">
        <f>(IF(W55=0,0,X55/W55)-1)</f>
        <v/>
      </c>
      <c r="Y90" s="17">
        <f>(IF(X55=0,0,Y55/X55)-1)</f>
        <v/>
      </c>
      <c r="Z90" s="17">
        <f>(IF(Y55=0,0,Z55/Y55)-1)</f>
        <v/>
      </c>
      <c r="AA90" s="17">
        <f>(IF(Z55=0,0,AA55/Z55)-1)</f>
        <v/>
      </c>
      <c r="AB90" s="17">
        <f>(IF(AA55=0,0,AB55/AA55)-1)</f>
        <v/>
      </c>
      <c r="AC90" s="17">
        <f>(IF(AB55=0,0,AC55/AB55)-1)</f>
        <v/>
      </c>
      <c r="AD90" s="17">
        <f>(IF(AC55=0,0,AD55/AC55)-1)</f>
        <v/>
      </c>
      <c r="AE90" s="17">
        <f>(IF(AD55=0,0,AE55/AD55)-1)</f>
        <v/>
      </c>
      <c r="AF90" s="17">
        <f>(IF(AE55=0,0,AF55/AE55)-1)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0.5890209162279003</v>
      </c>
      <c r="E91" s="4" t="n">
        <v>0.5370463731020638</v>
      </c>
      <c r="F91" s="4" t="n">
        <v>0.5006051899915351</v>
      </c>
      <c r="G91" s="4" t="n">
        <v>0.4062560383494287</v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  <c r="L91" s="17">
        <f>IF(L55=0,0,L57/L55)</f>
        <v/>
      </c>
      <c r="M91" s="17">
        <f>IF(M55=0,0,M57/M55)</f>
        <v/>
      </c>
      <c r="N91" s="17">
        <f>IF(N55=0,0,N57/N55)</f>
        <v/>
      </c>
      <c r="O91" s="17">
        <f>IF(O55=0,0,O57/O55)</f>
        <v/>
      </c>
      <c r="P91" s="17">
        <f>IF(P55=0,0,P57/P55)</f>
        <v/>
      </c>
      <c r="Q91" s="17">
        <f>IF(Q55=0,0,Q57/Q55)</f>
        <v/>
      </c>
      <c r="R91" s="17">
        <f>IF(R55=0,0,R57/R55)</f>
        <v/>
      </c>
      <c r="S91" s="17">
        <f>IF(S55=0,0,S57/S55)</f>
        <v/>
      </c>
      <c r="T91" s="17">
        <f>IF(T55=0,0,T57/T55)</f>
        <v/>
      </c>
      <c r="U91" s="17">
        <f>IF(U55=0,0,U57/U55)</f>
        <v/>
      </c>
      <c r="V91" s="17">
        <f>IF(V55=0,0,V57/V55)</f>
        <v/>
      </c>
      <c r="W91" s="17">
        <f>IF(W55=0,0,W57/W55)</f>
        <v/>
      </c>
      <c r="X91" s="17">
        <f>IF(X55=0,0,X57/X55)</f>
        <v/>
      </c>
      <c r="Y91" s="17">
        <f>IF(Y55=0,0,Y57/Y55)</f>
        <v/>
      </c>
      <c r="Z91" s="17">
        <f>IF(Z55=0,0,Z57/Z55)</f>
        <v/>
      </c>
      <c r="AA91" s="17">
        <f>IF(AA55=0,0,AA57/AA55)</f>
        <v/>
      </c>
      <c r="AB91" s="17">
        <f>IF(AB55=0,0,AB57/AB55)</f>
        <v/>
      </c>
      <c r="AC91" s="17">
        <f>IF(AC55=0,0,AC57/AC55)</f>
        <v/>
      </c>
      <c r="AD91" s="17">
        <f>IF(AD55=0,0,AD57/AD55)</f>
        <v/>
      </c>
      <c r="AE91" s="17">
        <f>IF(AE55=0,0,AE57/AE55)</f>
        <v/>
      </c>
      <c r="AF91" s="17">
        <f>IF(AF55=0,0,AF57/AF55)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0.5081523964589124</v>
      </c>
      <c r="E92" s="4" t="n">
        <v>0.5293148662806566</v>
      </c>
      <c r="F92" s="4" t="n">
        <v>0.4991964012639243</v>
      </c>
      <c r="G92" s="4" t="n">
        <v>0.3704586473275037</v>
      </c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  <c r="L92" s="17">
        <f>IF(L55=0,0,L61/L55)</f>
        <v/>
      </c>
      <c r="M92" s="17">
        <f>IF(M55=0,0,M61/M55)</f>
        <v/>
      </c>
      <c r="N92" s="17">
        <f>IF(N55=0,0,N61/N55)</f>
        <v/>
      </c>
      <c r="O92" s="17">
        <f>IF(O55=0,0,O61/O55)</f>
        <v/>
      </c>
      <c r="P92" s="17">
        <f>IF(P55=0,0,P61/P55)</f>
        <v/>
      </c>
      <c r="Q92" s="17">
        <f>IF(Q55=0,0,Q61/Q55)</f>
        <v/>
      </c>
      <c r="R92" s="17">
        <f>IF(R55=0,0,R61/R55)</f>
        <v/>
      </c>
      <c r="S92" s="17">
        <f>IF(S55=0,0,S61/S55)</f>
        <v/>
      </c>
      <c r="T92" s="17">
        <f>IF(T55=0,0,T61/T55)</f>
        <v/>
      </c>
      <c r="U92" s="17">
        <f>IF(U55=0,0,U61/U55)</f>
        <v/>
      </c>
      <c r="V92" s="17">
        <f>IF(V55=0,0,V61/V55)</f>
        <v/>
      </c>
      <c r="W92" s="17">
        <f>IF(W55=0,0,W61/W55)</f>
        <v/>
      </c>
      <c r="X92" s="17">
        <f>IF(X55=0,0,X61/X55)</f>
        <v/>
      </c>
      <c r="Y92" s="17">
        <f>IF(Y55=0,0,Y61/Y55)</f>
        <v/>
      </c>
      <c r="Z92" s="17">
        <f>IF(Z55=0,0,Z61/Z55)</f>
        <v/>
      </c>
      <c r="AA92" s="17">
        <f>IF(AA55=0,0,AA61/AA55)</f>
        <v/>
      </c>
      <c r="AB92" s="17">
        <f>IF(AB55=0,0,AB61/AB55)</f>
        <v/>
      </c>
      <c r="AC92" s="17">
        <f>IF(AC55=0,0,AC61/AC55)</f>
        <v/>
      </c>
      <c r="AD92" s="17">
        <f>IF(AD55=0,0,AD61/AD55)</f>
        <v/>
      </c>
      <c r="AE92" s="17">
        <f>IF(AE55=0,0,AE61/AE55)</f>
        <v/>
      </c>
      <c r="AF92" s="17">
        <f>IF(AF55=0,0,AF61/AF55)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0.5063366893156711</v>
      </c>
      <c r="E93" s="4" t="n">
        <v>0.5283223360830899</v>
      </c>
      <c r="F93" s="4" t="n">
        <v>0.4666443709533064</v>
      </c>
      <c r="G93" s="4" t="n">
        <v>0.3251962078137783</v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  <c r="L93" s="17">
        <f>IF(L55=0,0,L59/L55)</f>
        <v/>
      </c>
      <c r="M93" s="17">
        <f>IF(M55=0,0,M59/M55)</f>
        <v/>
      </c>
      <c r="N93" s="17">
        <f>IF(N55=0,0,N59/N55)</f>
        <v/>
      </c>
      <c r="O93" s="17">
        <f>IF(O55=0,0,O59/O55)</f>
        <v/>
      </c>
      <c r="P93" s="17">
        <f>IF(P55=0,0,P59/P55)</f>
        <v/>
      </c>
      <c r="Q93" s="17">
        <f>IF(Q55=0,0,Q59/Q55)</f>
        <v/>
      </c>
      <c r="R93" s="17">
        <f>IF(R55=0,0,R59/R55)</f>
        <v/>
      </c>
      <c r="S93" s="17">
        <f>IF(S55=0,0,S59/S55)</f>
        <v/>
      </c>
      <c r="T93" s="17">
        <f>IF(T55=0,0,T59/T55)</f>
        <v/>
      </c>
      <c r="U93" s="17">
        <f>IF(U55=0,0,U59/U55)</f>
        <v/>
      </c>
      <c r="V93" s="17">
        <f>IF(V55=0,0,V59/V55)</f>
        <v/>
      </c>
      <c r="W93" s="17">
        <f>IF(W55=0,0,W59/W55)</f>
        <v/>
      </c>
      <c r="X93" s="17">
        <f>IF(X55=0,0,X59/X55)</f>
        <v/>
      </c>
      <c r="Y93" s="17">
        <f>IF(Y55=0,0,Y59/Y55)</f>
        <v/>
      </c>
      <c r="Z93" s="17">
        <f>IF(Z55=0,0,Z59/Z55)</f>
        <v/>
      </c>
      <c r="AA93" s="17">
        <f>IF(AA55=0,0,AA59/AA55)</f>
        <v/>
      </c>
      <c r="AB93" s="17">
        <f>IF(AB55=0,0,AB59/AB55)</f>
        <v/>
      </c>
      <c r="AC93" s="17">
        <f>IF(AC55=0,0,AC59/AC55)</f>
        <v/>
      </c>
      <c r="AD93" s="17">
        <f>IF(AD55=0,0,AD59/AD55)</f>
        <v/>
      </c>
      <c r="AE93" s="17">
        <f>IF(AE55=0,0,AE59/AE55)</f>
        <v/>
      </c>
      <c r="AF93" s="17">
        <f>IF(AF55=0,0,AF59/AF55)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0.3658133762920168</v>
      </c>
      <c r="E94" s="4" t="n">
        <v>0.4061117498428382</v>
      </c>
      <c r="F94" s="4" t="n">
        <v>0.3783247543933674</v>
      </c>
      <c r="G94" s="4" t="n">
        <v>0.2787528213224139</v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  <c r="L94" s="17">
        <f>IF(L55=0,0,L69/L55)</f>
        <v/>
      </c>
      <c r="M94" s="17">
        <f>IF(M55=0,0,M69/M55)</f>
        <v/>
      </c>
      <c r="N94" s="17">
        <f>IF(N55=0,0,N69/N55)</f>
        <v/>
      </c>
      <c r="O94" s="17">
        <f>IF(O55=0,0,O69/O55)</f>
        <v/>
      </c>
      <c r="P94" s="17">
        <f>IF(P55=0,0,P69/P55)</f>
        <v/>
      </c>
      <c r="Q94" s="17">
        <f>IF(Q55=0,0,Q69/Q55)</f>
        <v/>
      </c>
      <c r="R94" s="17">
        <f>IF(R55=0,0,R69/R55)</f>
        <v/>
      </c>
      <c r="S94" s="17">
        <f>IF(S55=0,0,S69/S55)</f>
        <v/>
      </c>
      <c r="T94" s="17">
        <f>IF(T55=0,0,T69/T55)</f>
        <v/>
      </c>
      <c r="U94" s="17">
        <f>IF(U55=0,0,U69/U55)</f>
        <v/>
      </c>
      <c r="V94" s="17">
        <f>IF(V55=0,0,V69/V55)</f>
        <v/>
      </c>
      <c r="W94" s="17">
        <f>IF(W55=0,0,W69/W55)</f>
        <v/>
      </c>
      <c r="X94" s="17">
        <f>IF(X55=0,0,X69/X55)</f>
        <v/>
      </c>
      <c r="Y94" s="17">
        <f>IF(Y55=0,0,Y69/Y55)</f>
        <v/>
      </c>
      <c r="Z94" s="17">
        <f>IF(Z55=0,0,Z69/Z55)</f>
        <v/>
      </c>
      <c r="AA94" s="17">
        <f>IF(AA55=0,0,AA69/AA55)</f>
        <v/>
      </c>
      <c r="AB94" s="17">
        <f>IF(AB55=0,0,AB69/AB55)</f>
        <v/>
      </c>
      <c r="AC94" s="17">
        <f>IF(AC55=0,0,AC69/AC55)</f>
        <v/>
      </c>
      <c r="AD94" s="17">
        <f>IF(AD55=0,0,AD69/AD55)</f>
        <v/>
      </c>
      <c r="AE94" s="17">
        <f>IF(AE55=0,0,AE69/AE55)</f>
        <v/>
      </c>
      <c r="AF94" s="17">
        <f>IF(AF55=0,0,AF69/AF55)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0.3275374660936372</v>
      </c>
      <c r="F95" s="4" t="n">
        <v>-0.009899499411702539</v>
      </c>
      <c r="G95" s="4" t="n">
        <v>-0.3788886446081127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  <c r="L95" s="17">
        <f>(IF(K71=0,0,L71/K71)-1)</f>
        <v/>
      </c>
      <c r="M95" s="17">
        <f>(IF(L71=0,0,M71/L71)-1)</f>
        <v/>
      </c>
      <c r="N95" s="17">
        <f>(IF(M71=0,0,N71/M71)-1)</f>
        <v/>
      </c>
      <c r="O95" s="17">
        <f>(IF(N71=0,0,O71/N71)-1)</f>
        <v/>
      </c>
      <c r="P95" s="17">
        <f>(IF(O71=0,0,P71/O71)-1)</f>
        <v/>
      </c>
      <c r="Q95" s="17">
        <f>(IF(P71=0,0,Q71/P71)-1)</f>
        <v/>
      </c>
      <c r="R95" s="17">
        <f>(IF(Q71=0,0,R71/Q71)-1)</f>
        <v/>
      </c>
      <c r="S95" s="17">
        <f>(IF(R71=0,0,S71/R71)-1)</f>
        <v/>
      </c>
      <c r="T95" s="17">
        <f>(IF(S71=0,0,T71/S71)-1)</f>
        <v/>
      </c>
      <c r="U95" s="17">
        <f>(IF(T71=0,0,U71/T71)-1)</f>
        <v/>
      </c>
      <c r="V95" s="17">
        <f>(IF(U71=0,0,V71/U71)-1)</f>
        <v/>
      </c>
      <c r="W95" s="17">
        <f>(IF(V71=0,0,W71/V71)-1)</f>
        <v/>
      </c>
      <c r="X95" s="17">
        <f>(IF(W71=0,0,X71/W71)-1)</f>
        <v/>
      </c>
      <c r="Y95" s="17">
        <f>(IF(X71=0,0,Y71/X71)-1)</f>
        <v/>
      </c>
      <c r="Z95" s="17">
        <f>(IF(Y71=0,0,Z71/Y71)-1)</f>
        <v/>
      </c>
      <c r="AA95" s="17">
        <f>(IF(Z71=0,0,AA71/Z71)-1)</f>
        <v/>
      </c>
      <c r="AB95" s="17">
        <f>(IF(AA71=0,0,AB71/AA71)-1)</f>
        <v/>
      </c>
      <c r="AC95" s="17">
        <f>(IF(AB71=0,0,AC71/AB71)-1)</f>
        <v/>
      </c>
      <c r="AD95" s="17">
        <f>(IF(AC71=0,0,AD71/AC71)-1)</f>
        <v/>
      </c>
      <c r="AE95" s="17">
        <f>(IF(AD71=0,0,AE71/AD71)-1)</f>
        <v/>
      </c>
      <c r="AF95" s="17">
        <f>(IF(AE71=0,0,AF71/AE71)-1)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0.5838120968747196</v>
      </c>
      <c r="F96" s="4" t="n">
        <v>0.3657630400280281</v>
      </c>
      <c r="G96" s="4" t="n">
        <v>0.1824606679097034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  <c r="L96" s="17">
        <f>IF(IF(2=0,0,(L84+K84)/2)=0,0,L69/IF(2=0,0,(L84+K84)/2))</f>
        <v/>
      </c>
      <c r="M96" s="17">
        <f>IF(IF(2=0,0,(M84+L84)/2)=0,0,M69/IF(2=0,0,(M84+L84)/2))</f>
        <v/>
      </c>
      <c r="N96" s="17">
        <f>IF(IF(2=0,0,(N84+M84)/2)=0,0,N69/IF(2=0,0,(N84+M84)/2))</f>
        <v/>
      </c>
      <c r="O96" s="17">
        <f>IF(IF(2=0,0,(O84+N84)/2)=0,0,O69/IF(2=0,0,(O84+N84)/2))</f>
        <v/>
      </c>
      <c r="P96" s="17">
        <f>IF(IF(2=0,0,(P84+O84)/2)=0,0,P69/IF(2=0,0,(P84+O84)/2))</f>
        <v/>
      </c>
      <c r="Q96" s="17">
        <f>IF(IF(2=0,0,(Q84+P84)/2)=0,0,Q69/IF(2=0,0,(Q84+P84)/2))</f>
        <v/>
      </c>
      <c r="R96" s="17">
        <f>IF(IF(2=0,0,(R84+Q84)/2)=0,0,R69/IF(2=0,0,(R84+Q84)/2))</f>
        <v/>
      </c>
      <c r="S96" s="17">
        <f>IF(IF(2=0,0,(S84+R84)/2)=0,0,S69/IF(2=0,0,(S84+R84)/2))</f>
        <v/>
      </c>
      <c r="T96" s="17">
        <f>IF(IF(2=0,0,(T84+S84)/2)=0,0,T69/IF(2=0,0,(T84+S84)/2))</f>
        <v/>
      </c>
      <c r="U96" s="17">
        <f>IF(IF(2=0,0,(U84+T84)/2)=0,0,U69/IF(2=0,0,(U84+T84)/2))</f>
        <v/>
      </c>
      <c r="V96" s="17">
        <f>IF(IF(2=0,0,(V84+U84)/2)=0,0,V69/IF(2=0,0,(V84+U84)/2))</f>
        <v/>
      </c>
      <c r="W96" s="17">
        <f>IF(IF(2=0,0,(W84+V84)/2)=0,0,W69/IF(2=0,0,(W84+V84)/2))</f>
        <v/>
      </c>
      <c r="X96" s="17">
        <f>IF(IF(2=0,0,(X84+W84)/2)=0,0,X69/IF(2=0,0,(X84+W84)/2))</f>
        <v/>
      </c>
      <c r="Y96" s="17">
        <f>IF(IF(2=0,0,(Y84+X84)/2)=0,0,Y69/IF(2=0,0,(Y84+X84)/2))</f>
        <v/>
      </c>
      <c r="Z96" s="17">
        <f>IF(IF(2=0,0,(Z84+Y84)/2)=0,0,Z69/IF(2=0,0,(Z84+Y84)/2))</f>
        <v/>
      </c>
      <c r="AA96" s="17">
        <f>IF(IF(2=0,0,(AA84+Z84)/2)=0,0,AA69/IF(2=0,0,(AA84+Z84)/2))</f>
        <v/>
      </c>
      <c r="AB96" s="17">
        <f>IF(IF(2=0,0,(AB84+AA84)/2)=0,0,AB69/IF(2=0,0,(AB84+AA84)/2))</f>
        <v/>
      </c>
      <c r="AC96" s="17">
        <f>IF(IF(2=0,0,(AC84+AB84)/2)=0,0,AC69/IF(2=0,0,(AC84+AB84)/2))</f>
        <v/>
      </c>
      <c r="AD96" s="17">
        <f>IF(IF(2=0,0,(AD84+AC84)/2)=0,0,AD69/IF(2=0,0,(AD84+AC84)/2))</f>
        <v/>
      </c>
      <c r="AE96" s="17">
        <f>IF(IF(2=0,0,(AE84+AD84)/2)=0,0,AE69/IF(2=0,0,(AE84+AD84)/2))</f>
        <v/>
      </c>
      <c r="AF96" s="17">
        <f>IF(IF(2=0,0,(AF84+AE84)/2)=0,0,AF69/IF(2=0,0,(AF84+AE84)/2))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>
        <v>-0.04743139717668114</v>
      </c>
      <c r="E97" s="22" t="n">
        <v>-0.2829941402322893</v>
      </c>
      <c r="F97" s="22" t="n">
        <v>-0.549905929561722</v>
      </c>
      <c r="G97" s="22" t="n">
        <v>0.954219461376052</v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  <c r="M97" s="23">
        <f>IF(M61=0,0,M88/M61)</f>
        <v/>
      </c>
      <c r="N97" s="23">
        <f>IF(N61=0,0,N88/N61)</f>
        <v/>
      </c>
      <c r="O97" s="23">
        <f>IF(O61=0,0,O88/O61)</f>
        <v/>
      </c>
      <c r="P97" s="23">
        <f>IF(P61=0,0,P88/P61)</f>
        <v/>
      </c>
      <c r="Q97" s="23">
        <f>IF(Q61=0,0,Q88/Q61)</f>
        <v/>
      </c>
      <c r="R97" s="23">
        <f>IF(R61=0,0,R88/R61)</f>
        <v/>
      </c>
      <c r="S97" s="23">
        <f>IF(S61=0,0,S88/S61)</f>
        <v/>
      </c>
      <c r="T97" s="23">
        <f>IF(T61=0,0,T88/T61)</f>
        <v/>
      </c>
      <c r="U97" s="23">
        <f>IF(U61=0,0,U88/U61)</f>
        <v/>
      </c>
      <c r="V97" s="23">
        <f>IF(V61=0,0,V88/V61)</f>
        <v/>
      </c>
      <c r="W97" s="23">
        <f>IF(W61=0,0,W88/W61)</f>
        <v/>
      </c>
      <c r="X97" s="23">
        <f>IF(X61=0,0,X88/X61)</f>
        <v/>
      </c>
      <c r="Y97" s="23">
        <f>IF(Y61=0,0,Y88/Y61)</f>
        <v/>
      </c>
      <c r="Z97" s="23">
        <f>IF(Z61=0,0,Z88/Z61)</f>
        <v/>
      </c>
      <c r="AA97" s="23">
        <f>IF(AA61=0,0,AA88/AA61)</f>
        <v/>
      </c>
      <c r="AB97" s="23">
        <f>IF(AB61=0,0,AB88/AB61)</f>
        <v/>
      </c>
      <c r="AC97" s="23">
        <f>IF(AC61=0,0,AC88/AC61)</f>
        <v/>
      </c>
      <c r="AD97" s="23">
        <f>IF(AD61=0,0,AD88/AD61)</f>
        <v/>
      </c>
      <c r="AE97" s="23">
        <f>IF(AE61=0,0,AE88/AE61)</f>
        <v/>
      </c>
      <c r="AF97" s="23">
        <f>IF(AF61=0,0,AF88/AF61)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</v>
      </c>
      <c r="E98" s="4" t="n">
        <v>0</v>
      </c>
      <c r="F98" s="4" t="n">
        <v>0.2758760727149491</v>
      </c>
      <c r="G98" s="4" t="n">
        <v>0.4401950062174229</v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  <c r="L98" s="17">
        <f>IF(L71=0,0,L72/L71)</f>
        <v/>
      </c>
      <c r="M98" s="17">
        <f>IF(M71=0,0,M72/M71)</f>
        <v/>
      </c>
      <c r="N98" s="17">
        <f>IF(N71=0,0,N72/N71)</f>
        <v/>
      </c>
      <c r="O98" s="17">
        <f>IF(O71=0,0,O72/O71)</f>
        <v/>
      </c>
      <c r="P98" s="17">
        <f>IF(P71=0,0,P72/P71)</f>
        <v/>
      </c>
      <c r="Q98" s="17">
        <f>IF(Q71=0,0,Q72/Q71)</f>
        <v/>
      </c>
      <c r="R98" s="17">
        <f>IF(R71=0,0,R72/R71)</f>
        <v/>
      </c>
      <c r="S98" s="17">
        <f>IF(S71=0,0,S72/S71)</f>
        <v/>
      </c>
      <c r="T98" s="17">
        <f>IF(T71=0,0,T72/T71)</f>
        <v/>
      </c>
      <c r="U98" s="17">
        <f>IF(U71=0,0,U72/U71)</f>
        <v/>
      </c>
      <c r="V98" s="17">
        <f>IF(V71=0,0,V72/V71)</f>
        <v/>
      </c>
      <c r="W98" s="17">
        <f>IF(W71=0,0,W72/W71)</f>
        <v/>
      </c>
      <c r="X98" s="17">
        <f>IF(X71=0,0,X72/X71)</f>
        <v/>
      </c>
      <c r="Y98" s="17">
        <f>IF(Y71=0,0,Y72/Y71)</f>
        <v/>
      </c>
      <c r="Z98" s="17">
        <f>IF(Z71=0,0,Z72/Z71)</f>
        <v/>
      </c>
      <c r="AA98" s="17">
        <f>IF(AA71=0,0,AA72/AA71)</f>
        <v/>
      </c>
      <c r="AB98" s="17">
        <f>IF(AB71=0,0,AB72/AB71)</f>
        <v/>
      </c>
      <c r="AC98" s="17">
        <f>IF(AC71=0,0,AC72/AC71)</f>
        <v/>
      </c>
      <c r="AD98" s="17">
        <f>IF(AD71=0,0,AD72/AD71)</f>
        <v/>
      </c>
      <c r="AE98" s="17">
        <f>IF(AE71=0,0,AE72/AE71)</f>
        <v/>
      </c>
      <c r="AF98" s="17">
        <f>IF(AF71=0,0,AF72/AF71)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0.02342661051066454</v>
      </c>
      <c r="E99" s="4" t="n">
        <v>0.1240631650103687</v>
      </c>
      <c r="F99" s="4" t="n">
        <v>0.3514893218839646</v>
      </c>
      <c r="G99" s="4" t="n">
        <v>0.6800568992381916</v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  <c r="L99" s="17">
        <f>IF(L55=0,0,L74/L55)</f>
        <v/>
      </c>
      <c r="M99" s="17">
        <f>IF(M55=0,0,M74/M55)</f>
        <v/>
      </c>
      <c r="N99" s="17">
        <f>IF(N55=0,0,N74/N55)</f>
        <v/>
      </c>
      <c r="O99" s="17">
        <f>IF(O55=0,0,O74/O55)</f>
        <v/>
      </c>
      <c r="P99" s="17">
        <f>IF(P55=0,0,P74/P55)</f>
        <v/>
      </c>
      <c r="Q99" s="17">
        <f>IF(Q55=0,0,Q74/Q55)</f>
        <v/>
      </c>
      <c r="R99" s="17">
        <f>IF(R55=0,0,R74/R55)</f>
        <v/>
      </c>
      <c r="S99" s="17">
        <f>IF(S55=0,0,S74/S55)</f>
        <v/>
      </c>
      <c r="T99" s="17">
        <f>IF(T55=0,0,T74/T55)</f>
        <v/>
      </c>
      <c r="U99" s="17">
        <f>IF(U55=0,0,U74/U55)</f>
        <v/>
      </c>
      <c r="V99" s="17">
        <f>IF(V55=0,0,V74/V55)</f>
        <v/>
      </c>
      <c r="W99" s="17">
        <f>IF(W55=0,0,W74/W55)</f>
        <v/>
      </c>
      <c r="X99" s="17">
        <f>IF(X55=0,0,X74/X55)</f>
        <v/>
      </c>
      <c r="Y99" s="17">
        <f>IF(Y55=0,0,Y74/Y55)</f>
        <v/>
      </c>
      <c r="Z99" s="17">
        <f>IF(Z55=0,0,Z74/Z55)</f>
        <v/>
      </c>
      <c r="AA99" s="17">
        <f>IF(AA55=0,0,AA74/AA55)</f>
        <v/>
      </c>
      <c r="AB99" s="17">
        <f>IF(AB55=0,0,AB74/AB55)</f>
        <v/>
      </c>
      <c r="AC99" s="17">
        <f>IF(AC55=0,0,AC74/AC55)</f>
        <v/>
      </c>
      <c r="AD99" s="17">
        <f>IF(AD55=0,0,AD74/AD55)</f>
        <v/>
      </c>
      <c r="AE99" s="17">
        <f>IF(AE55=0,0,AE74/AE55)</f>
        <v/>
      </c>
      <c r="AF99" s="17">
        <f>IF(AF55=0,0,AF74/AF55)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1305</v>
      </c>
    </row>
    <row r="103">
      <c r="A103" t="inlineStr">
        <is>
          <t>Shares outstanding (m)</t>
        </is>
      </c>
      <c r="C103" s="13" t="n">
        <v>40882.3315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1849.374</v>
      </c>
    </row>
    <row r="106">
      <c r="A106" t="inlineStr">
        <is>
          <t>Cash at balance-sheet date</t>
        </is>
      </c>
      <c r="C106" s="13" t="n">
        <v>515.0359999999999</v>
      </c>
    </row>
    <row r="107">
      <c r="A107" t="inlineStr">
        <is>
          <t>Minority interest (book)</t>
        </is>
      </c>
      <c r="C107" s="13" t="n">
        <v>154.627</v>
      </c>
    </row>
    <row r="108">
      <c r="A108" t="inlineStr">
        <is>
          <t>Associates &amp; investments (book)</t>
        </is>
      </c>
      <c r="C108" s="13" t="n">
        <v>0</v>
      </c>
    </row>
    <row r="109">
      <c r="A109" t="inlineStr">
        <is>
          <t>Post-balance-sheet &amp; other items (sourced, probability-weighted)</t>
        </is>
      </c>
      <c r="C109" s="13" t="n">
        <v>1159.485</v>
      </c>
    </row>
    <row r="110">
      <c r="A110" t="inlineStr">
        <is>
          <t>Parent equity at balance-sheet date</t>
        </is>
      </c>
      <c r="C110" s="13" t="n">
        <v>1632.877</v>
      </c>
    </row>
    <row r="111">
      <c r="A111" t="inlineStr">
        <is>
          <t>Per-share factor</t>
        </is>
      </c>
      <c r="C111" s="24" t="n">
        <v>1</v>
      </c>
    </row>
    <row r="112">
      <c r="A112" t="inlineStr">
        <is>
          <t>Risk-free rate</t>
        </is>
      </c>
      <c r="C112" s="9">
        <f>Drivers!$C$12</f>
        <v/>
      </c>
    </row>
    <row r="113">
      <c r="A113" t="inlineStr">
        <is>
          <t>Less: default spread (IDR only)</t>
        </is>
      </c>
      <c r="C113" s="9" t="n">
        <v>0</v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0.6287354937855885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  <c r="K126" s="6" t="n">
        <v>0.996578</v>
      </c>
      <c r="L126" s="6" t="n">
        <v>0.996578</v>
      </c>
      <c r="M126" s="6" t="n">
        <v>0.996578</v>
      </c>
      <c r="N126" s="6" t="n">
        <v>0.999316</v>
      </c>
      <c r="O126" s="6" t="n">
        <v>0.996578</v>
      </c>
      <c r="P126" s="6" t="n">
        <v>0.996578</v>
      </c>
      <c r="Q126" s="6" t="n">
        <v>0.996578</v>
      </c>
      <c r="R126" s="6" t="n">
        <v>0.999316</v>
      </c>
      <c r="S126" s="6" t="n">
        <v>0.996578</v>
      </c>
      <c r="T126" s="6" t="n">
        <v>0.996578</v>
      </c>
      <c r="U126" s="6" t="n">
        <v>0.996578</v>
      </c>
      <c r="V126" s="6" t="n">
        <v>0.999316</v>
      </c>
      <c r="W126" s="6" t="n">
        <v>0.996578</v>
      </c>
      <c r="X126" s="6" t="n">
        <v>0.996578</v>
      </c>
      <c r="Y126" s="6" t="n">
        <v>0.996578</v>
      </c>
      <c r="Z126" s="6" t="n">
        <v>0.999316</v>
      </c>
      <c r="AA126" s="6" t="n">
        <v>0.996578</v>
      </c>
      <c r="AB126" s="6" t="n">
        <v>0.996578</v>
      </c>
      <c r="AC126" s="6" t="n">
        <v>0.996578</v>
      </c>
      <c r="AD126" s="6" t="n">
        <v>0.999316</v>
      </c>
      <c r="AE126" s="6" t="n">
        <v>0.996578</v>
      </c>
      <c r="AF126" s="6" t="n">
        <v>0.996578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  <c r="K127" s="6" t="n">
        <v>2.672142</v>
      </c>
      <c r="L127" s="6" t="n">
        <v>3.671458</v>
      </c>
      <c r="M127" s="6" t="n">
        <v>4.670773</v>
      </c>
      <c r="N127" s="6" t="n">
        <v>5.670089</v>
      </c>
      <c r="O127" s="6" t="n">
        <v>6.672142</v>
      </c>
      <c r="P127" s="6" t="n">
        <v>7.671458</v>
      </c>
      <c r="Q127" s="6" t="n">
        <v>8.670773000000001</v>
      </c>
      <c r="R127" s="6" t="n">
        <v>9.670089000000001</v>
      </c>
      <c r="S127" s="6" t="n">
        <v>10.672142</v>
      </c>
      <c r="T127" s="6" t="n">
        <v>11.671458</v>
      </c>
      <c r="U127" s="6" t="n">
        <v>12.670773</v>
      </c>
      <c r="V127" s="6" t="n">
        <v>13.670089</v>
      </c>
      <c r="W127" s="6" t="n">
        <v>14.672142</v>
      </c>
      <c r="X127" s="6" t="n">
        <v>15.671458</v>
      </c>
      <c r="Y127" s="6" t="n">
        <v>16.670773</v>
      </c>
      <c r="Z127" s="6" t="n">
        <v>17.670089</v>
      </c>
      <c r="AA127" s="6" t="n">
        <v>18.672142</v>
      </c>
      <c r="AB127" s="6" t="n">
        <v>19.671458</v>
      </c>
      <c r="AC127" s="6" t="n">
        <v>20.670773</v>
      </c>
      <c r="AD127" s="6" t="n">
        <v>21.670089</v>
      </c>
      <c r="AE127" s="6" t="n">
        <v>22.672142</v>
      </c>
      <c r="AF127" s="6" t="n">
        <v>23.671458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  <c r="P128">
        <f>1/(1+$C$122)^P127</f>
        <v/>
      </c>
      <c r="Q128">
        <f>1/(1+$C$122)^Q127</f>
        <v/>
      </c>
      <c r="R128">
        <f>1/(1+$C$122)^R127</f>
        <v/>
      </c>
      <c r="S128">
        <f>1/(1+$C$122)^S127</f>
        <v/>
      </c>
      <c r="T128">
        <f>1/(1+$C$122)^T127</f>
        <v/>
      </c>
      <c r="U128">
        <f>1/(1+$C$122)^U127</f>
        <v/>
      </c>
      <c r="V128">
        <f>1/(1+$C$122)^V127</f>
        <v/>
      </c>
      <c r="W128">
        <f>1/(1+$C$122)^W127</f>
        <v/>
      </c>
      <c r="X128">
        <f>1/(1+$C$122)^X127</f>
        <v/>
      </c>
      <c r="Y128">
        <f>1/(1+$C$122)^Y127</f>
        <v/>
      </c>
      <c r="Z128">
        <f>1/(1+$C$122)^Z127</f>
        <v/>
      </c>
      <c r="AA128">
        <f>1/(1+$C$122)^AA127</f>
        <v/>
      </c>
      <c r="AB128">
        <f>1/(1+$C$122)^AB127</f>
        <v/>
      </c>
      <c r="AC128">
        <f>1/(1+$C$122)^AC127</f>
        <v/>
      </c>
      <c r="AD128">
        <f>1/(1+$C$122)^AD127</f>
        <v/>
      </c>
      <c r="AE128">
        <f>1/(1+$C$122)^AE127</f>
        <v/>
      </c>
      <c r="AF128">
        <f>1/(1+$C$122)^AF127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  <c r="M129" s="26">
        <f>M76*M126*M128</f>
        <v/>
      </c>
      <c r="N129" s="26">
        <f>N76*N126*N128</f>
        <v/>
      </c>
      <c r="O129" s="26">
        <f>O76*O126*O128</f>
        <v/>
      </c>
      <c r="P129" s="26">
        <f>P76*P126*P128</f>
        <v/>
      </c>
      <c r="Q129" s="26">
        <f>Q76*Q126*Q128</f>
        <v/>
      </c>
      <c r="R129" s="26">
        <f>R76*R126*R128</f>
        <v/>
      </c>
      <c r="S129" s="26">
        <f>S76*S126*S128</f>
        <v/>
      </c>
      <c r="T129" s="26">
        <f>T76*T126*T128</f>
        <v/>
      </c>
      <c r="U129" s="26">
        <f>U76*U126*U128</f>
        <v/>
      </c>
      <c r="V129" s="26">
        <f>V76*V126*V128</f>
        <v/>
      </c>
      <c r="W129" s="26">
        <f>W76*W126*W128</f>
        <v/>
      </c>
      <c r="X129" s="26">
        <f>X76*X126*X128</f>
        <v/>
      </c>
      <c r="Y129" s="26">
        <f>Y76*Y126*Y128</f>
        <v/>
      </c>
      <c r="Z129" s="26">
        <f>Z76*Z126*Z128</f>
        <v/>
      </c>
      <c r="AA129" s="26">
        <f>AA76*AA126*AA128</f>
        <v/>
      </c>
      <c r="AB129" s="26">
        <f>AB76*AB126*AB128</f>
        <v/>
      </c>
      <c r="AC129" s="26">
        <f>AC76*AC126*AC128</f>
        <v/>
      </c>
      <c r="AD129" s="26">
        <f>AD76*AD126*AD128</f>
        <v/>
      </c>
      <c r="AE129" s="26">
        <f>AE76*AE126*AE128</f>
        <v/>
      </c>
      <c r="AF129" s="26">
        <f>AF76*AF126*AF128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  <c r="M130" s="26">
        <f>L130+M129</f>
        <v/>
      </c>
      <c r="N130" s="26">
        <f>M130+N129</f>
        <v/>
      </c>
      <c r="O130" s="26">
        <f>N130+O129</f>
        <v/>
      </c>
      <c r="P130" s="26">
        <f>O130+P129</f>
        <v/>
      </c>
      <c r="Q130" s="26">
        <f>P130+Q129</f>
        <v/>
      </c>
      <c r="R130" s="26">
        <f>Q130+R129</f>
        <v/>
      </c>
      <c r="S130" s="26">
        <f>R130+S129</f>
        <v/>
      </c>
      <c r="T130" s="26">
        <f>S130+T129</f>
        <v/>
      </c>
      <c r="U130" s="26">
        <f>T130+U129</f>
        <v/>
      </c>
      <c r="V130" s="26">
        <f>U130+V129</f>
        <v/>
      </c>
      <c r="W130" s="26">
        <f>V130+W129</f>
        <v/>
      </c>
      <c r="X130" s="26">
        <f>W130+X129</f>
        <v/>
      </c>
      <c r="Y130" s="26">
        <f>X130+Y129</f>
        <v/>
      </c>
      <c r="Z130" s="26">
        <f>Y130+Z129</f>
        <v/>
      </c>
      <c r="AA130" s="26">
        <f>Z130+AA129</f>
        <v/>
      </c>
      <c r="AB130" s="26">
        <f>AA130+AB129</f>
        <v/>
      </c>
      <c r="AC130" s="26">
        <f>AB130+AC129</f>
        <v/>
      </c>
      <c r="AD130" s="26">
        <f>AC130+AD129</f>
        <v/>
      </c>
      <c r="AE130" s="26">
        <f>AD130+AE129</f>
        <v/>
      </c>
      <c r="AF130" s="26">
        <f>AE130+AF129</f>
        <v/>
      </c>
    </row>
    <row r="131">
      <c r="A131" t="inlineStr">
        <is>
          <t>Best cumulative PV (never below zero)</t>
        </is>
      </c>
      <c r="C131" s="26">
        <f>MAX(0,MAX(H130:AF130))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MAX(0,$C$134/$C$103*$C$111*$C$104)</f>
        <v/>
      </c>
    </row>
    <row r="137">
      <c r="A137" s="1" t="inlineStr">
        <is>
          <t>EV/EBITDA</t>
        </is>
      </c>
    </row>
    <row r="138">
      <c r="A138" t="inlineStr">
        <is>
          <t>Target multiple (average of peer median and own five-year average)</t>
        </is>
      </c>
      <c r="C138" s="22" t="n">
        <v>7.465552</v>
      </c>
    </row>
    <row r="139">
      <c r="A139" t="inlineStr">
        <is>
          <t>Metric (LTM, or next-12m DPS for yield)</t>
        </is>
      </c>
      <c r="C139" s="13" t="n">
        <v>360.437</v>
      </c>
    </row>
    <row r="140">
      <c r="A140" t="inlineStr">
        <is>
          <t>Value per share (IDR) — EV/EBITDA</t>
        </is>
      </c>
      <c r="C140" s="27">
        <f>MAX(0,($C$138*$C$139-($C$105-$C$106)-$C$107+$C$108+$C$109)/$C$103*$C$111*$C$104)</f>
        <v/>
      </c>
    </row>
    <row r="142">
      <c r="A142" s="1" t="inlineStr">
        <is>
          <t>Dividend yield</t>
        </is>
      </c>
    </row>
    <row r="143">
      <c r="A143" t="inlineStr">
        <is>
          <t>Target multiple (peer median)</t>
        </is>
      </c>
      <c r="C143" s="4" t="n">
        <v>0.07756200000000001</v>
      </c>
    </row>
    <row r="144">
      <c r="A144" t="inlineStr">
        <is>
          <t>Metric (LTM, or next-12m DPS for yield)</t>
        </is>
      </c>
      <c r="C144" s="13" t="n">
        <v>0.003158</v>
      </c>
    </row>
    <row r="145">
      <c r="A145" t="inlineStr">
        <is>
          <t>Value per share (IDR) — Dividend yield</t>
        </is>
      </c>
      <c r="C145" s="27">
        <f>MAX(0,$C$144/$C$143*$C$104)</f>
        <v/>
      </c>
    </row>
    <row r="147">
      <c r="A147" s="1" t="inlineStr">
        <is>
          <t>TARGET</t>
        </is>
      </c>
    </row>
    <row r="148">
      <c r="A148" t="inlineStr">
        <is>
          <t>Weight: DCF to end of life (no terminal value)</t>
        </is>
      </c>
      <c r="C148" s="4" t="n">
        <v>0.6</v>
      </c>
    </row>
    <row r="149">
      <c r="A149" t="inlineStr">
        <is>
          <t>Weight: EV/EBITDA</t>
        </is>
      </c>
      <c r="C149" s="4" t="n">
        <v>0.25</v>
      </c>
    </row>
    <row r="150">
      <c r="A150" t="inlineStr">
        <is>
          <t>Weight: Dividend yield</t>
        </is>
      </c>
      <c r="C150" s="4" t="n">
        <v>0.15</v>
      </c>
    </row>
    <row r="151">
      <c r="A151" t="inlineStr">
        <is>
          <t>Value today (weighted)</t>
        </is>
      </c>
      <c r="C151" s="27">
        <f>$C$135*$C$148+$C$140*$C$149+$C$145*$C$150</f>
        <v/>
      </c>
    </row>
    <row r="152">
      <c r="A152" t="inlineStr">
        <is>
          <t>DPS expected in next 12 months (IDR)</t>
        </is>
      </c>
      <c r="C152" s="20" t="n">
        <v>57.28362326177342</v>
      </c>
    </row>
    <row r="153">
      <c r="A153" t="inlineStr">
        <is>
          <t>Base-case 12-month value</t>
        </is>
      </c>
      <c r="C153" s="27">
        <f>MAX(0,$C$151*(1+$C$120)-$C$152)</f>
        <v/>
      </c>
    </row>
    <row r="154">
      <c r="A154" t="inlineStr">
        <is>
          <t>Bear probability</t>
        </is>
      </c>
      <c r="C154" s="4" t="n">
        <v>0.25</v>
      </c>
    </row>
    <row r="155">
      <c r="A155" t="inlineStr">
        <is>
          <t>Bear 12-month value (engine)</t>
        </is>
      </c>
      <c r="C155" s="20" t="n">
        <v>481.8460860010974</v>
      </c>
    </row>
    <row r="156">
      <c r="A156" t="inlineStr">
        <is>
          <t>Base probability</t>
        </is>
      </c>
      <c r="C156" s="4" t="n">
        <v>0.5</v>
      </c>
    </row>
    <row r="157">
      <c r="A157" t="inlineStr">
        <is>
          <t>Bull probability</t>
        </is>
      </c>
      <c r="C157" s="4" t="n">
        <v>0.25</v>
      </c>
    </row>
    <row r="158">
      <c r="A158" t="inlineStr">
        <is>
          <t>Bull 12-month value (engine)</t>
        </is>
      </c>
      <c r="C158" s="20" t="n">
        <v>1405.09066185089</v>
      </c>
    </row>
    <row r="159">
      <c r="A159" t="inlineStr">
        <is>
          <t>Probability-weighted 12-month value</t>
        </is>
      </c>
      <c r="C159" s="27">
        <f>$C$154*$C$155+$C$156*$C$153+$C$157*$C$158</f>
        <v/>
      </c>
    </row>
    <row r="160">
      <c r="A160" t="inlineStr">
        <is>
          <t>Liquidity discount (limits.yaml)</t>
        </is>
      </c>
      <c r="C160" s="4" t="n">
        <v>0</v>
      </c>
    </row>
    <row r="161">
      <c r="A161" t="inlineStr">
        <is>
          <t>TARGET PRICE (IDR)</t>
        </is>
      </c>
      <c r="C161" s="28">
        <f>$C$159*(1-$C$160)</f>
        <v/>
      </c>
    </row>
    <row r="162">
      <c r="A162" t="inlineStr">
        <is>
          <t>Expected 12-month total return</t>
        </is>
      </c>
      <c r="C162" s="29">
        <f>($C$161+$C$152)/$C$102-1</f>
        <v/>
      </c>
    </row>
    <row r="163">
      <c r="A163" t="inlineStr">
        <is>
          <t>Rating</t>
        </is>
      </c>
      <c r="C163" s="30">
        <f>IF($C$162&gt;=0.25,"BUY",IF($C$162&gt;=0.1,"ADD",IF($C$162&lt;=-0.25,"SELL",IF($C$162&lt;=-0.1,"REDUCE","HOLD"))))</f>
        <v/>
      </c>
    </row>
    <row r="165">
      <c r="A165" s="1" t="inlineStr">
        <is>
          <t>12-month value vs benchmark price and IDR/USD (engine values)</t>
        </is>
      </c>
    </row>
    <row r="166">
      <c r="A166" s="5" t="inlineStr">
        <is>
          <t>rows: IDR per USD (x deck) · columns: Benchmark price (x deck)</t>
        </is>
      </c>
      <c r="D166" s="1" t="n">
        <v>0.8</v>
      </c>
      <c r="E166" s="1" t="n">
        <v>0.9</v>
      </c>
      <c r="F166" s="1" t="n">
        <v>1</v>
      </c>
      <c r="G166" s="1" t="n">
        <v>1.1</v>
      </c>
      <c r="H166" s="1" t="n">
        <v>1.2</v>
      </c>
    </row>
    <row r="167">
      <c r="C167" s="1" t="n">
        <v>0.9</v>
      </c>
      <c r="D167" s="27" t="n">
        <v>447.782683</v>
      </c>
      <c r="E167" s="27" t="n">
        <v>630.008473</v>
      </c>
      <c r="F167" s="27" t="n">
        <v>823.029393</v>
      </c>
      <c r="G167" s="27" t="n">
        <v>1017.454239</v>
      </c>
      <c r="H167" s="27" t="n">
        <v>1212.452687</v>
      </c>
    </row>
    <row r="168">
      <c r="C168" s="1" t="n">
        <v>0.95</v>
      </c>
      <c r="D168" s="27" t="n">
        <v>473.334511</v>
      </c>
      <c r="E168" s="27" t="n">
        <v>666.014081</v>
      </c>
      <c r="F168" s="27" t="n">
        <v>870.120635</v>
      </c>
      <c r="G168" s="27" t="n">
        <v>1075.713603</v>
      </c>
      <c r="H168" s="27" t="n">
        <v>1281.913919</v>
      </c>
    </row>
    <row r="169">
      <c r="C169" s="1" t="n">
        <v>1</v>
      </c>
      <c r="D169" s="27" t="n">
        <v>498.954099</v>
      </c>
      <c r="E169" s="27" t="n">
        <v>702.118751</v>
      </c>
      <c r="F169" s="27" t="n">
        <v>917.344933</v>
      </c>
      <c r="G169" s="27" t="n">
        <v>1134.14039</v>
      </c>
      <c r="H169" s="27" t="n">
        <v>1351.577097</v>
      </c>
    </row>
    <row r="170">
      <c r="C170" s="1" t="n">
        <v>1.05</v>
      </c>
      <c r="D170" s="27" t="n">
        <v>524.641146</v>
      </c>
      <c r="E170" s="27" t="n">
        <v>738.321865</v>
      </c>
      <c r="F170" s="27" t="n">
        <v>964.701289</v>
      </c>
      <c r="G170" s="27" t="n">
        <v>1192.733212</v>
      </c>
      <c r="H170" s="27" t="n">
        <v>1421.44044</v>
      </c>
    </row>
    <row r="171">
      <c r="C171" s="1" t="n">
        <v>1.1</v>
      </c>
      <c r="D171" s="27" t="n">
        <v>550.3953729999999</v>
      </c>
      <c r="E171" s="27" t="n">
        <v>774.62285</v>
      </c>
      <c r="F171" s="27" t="n">
        <v>1012.188778</v>
      </c>
      <c r="G171" s="27" t="n">
        <v>1251.490785</v>
      </c>
      <c r="H171" s="27" t="n">
        <v>1491.502296</v>
      </c>
    </row>
    <row r="173">
      <c r="A173" s="1" t="inlineStr">
        <is>
          <t>12-month value vs volume and unit cost intensity (engine values)</t>
        </is>
      </c>
    </row>
    <row r="174">
      <c r="A174" s="5" t="inlineStr">
        <is>
          <t>rows: Volume (x plan) · columns: Cost intensity / strip ratio (x)</t>
        </is>
      </c>
      <c r="D174" s="1" t="n">
        <v>0.85</v>
      </c>
      <c r="E174" s="1" t="n">
        <v>0.925</v>
      </c>
      <c r="F174" s="1" t="n">
        <v>1</v>
      </c>
      <c r="G174" s="1" t="n">
        <v>1.075</v>
      </c>
      <c r="H174" s="1" t="n">
        <v>1.15</v>
      </c>
    </row>
    <row r="175">
      <c r="C175" s="1" t="n">
        <v>0.9</v>
      </c>
      <c r="D175" s="27" t="n">
        <v>1105.395671</v>
      </c>
      <c r="E175" s="27" t="n">
        <v>1065.691609</v>
      </c>
      <c r="F175" s="27" t="n">
        <v>1025.987546</v>
      </c>
      <c r="G175" s="27" t="n">
        <v>986.283483</v>
      </c>
      <c r="H175" s="27" t="n">
        <v>946.57942</v>
      </c>
    </row>
    <row r="176">
      <c r="C176" s="1" t="n">
        <v>0.95</v>
      </c>
      <c r="D176" s="27" t="n">
        <v>1158.146047</v>
      </c>
      <c r="E176" s="27" t="n">
        <v>1116.236203</v>
      </c>
      <c r="F176" s="27" t="n">
        <v>1074.326359</v>
      </c>
      <c r="G176" s="27" t="n">
        <v>1032.416515</v>
      </c>
      <c r="H176" s="27" t="n">
        <v>990.506671</v>
      </c>
    </row>
    <row r="177">
      <c r="C177" s="1" t="n">
        <v>1</v>
      </c>
      <c r="D177" s="27" t="n">
        <v>1204.660488</v>
      </c>
      <c r="E177" s="27" t="n">
        <v>1160.855876</v>
      </c>
      <c r="F177" s="27" t="n">
        <v>1117.051263</v>
      </c>
      <c r="G177" s="27" t="n">
        <v>1073.246651</v>
      </c>
      <c r="H177" s="27" t="n">
        <v>1029.442039</v>
      </c>
    </row>
    <row r="178">
      <c r="C178" s="1" t="n">
        <v>1.05</v>
      </c>
      <c r="D178" s="27" t="n">
        <v>1241.719878</v>
      </c>
      <c r="E178" s="27" t="n">
        <v>1196.570513</v>
      </c>
      <c r="F178" s="27" t="n">
        <v>1151.421147</v>
      </c>
      <c r="G178" s="27" t="n">
        <v>1106.271782</v>
      </c>
      <c r="H178" s="27" t="n">
        <v>1061.122417</v>
      </c>
    </row>
    <row r="179">
      <c r="C179" s="1" t="n">
        <v>1.1</v>
      </c>
      <c r="D179" s="27" t="n">
        <v>1276.462332</v>
      </c>
      <c r="E179" s="27" t="n">
        <v>1230.032793</v>
      </c>
      <c r="F179" s="27" t="n">
        <v>1183.603254</v>
      </c>
      <c r="G179" s="27" t="n">
        <v>1137.173715</v>
      </c>
      <c r="H179" s="27" t="n">
        <v>1090.744177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 Atlas Resources Tbk (ARII.JK) — Coal producers</t>
        </is>
      </c>
    </row>
    <row r="2">
      <c r="A2" s="5" t="inlineStr">
        <is>
          <t>Units: USD m; per-share in USD unless marked IDR. Model asof 2026-10-30 · data 2026-10-29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4</v>
      </c>
    </row>
    <row r="8">
      <c r="A8" t="inlineStr">
        <is>
          <t>ps_factor</t>
        </is>
      </c>
      <c r="C8" s="6" t="n">
        <v>1</v>
      </c>
    </row>
    <row r="9">
      <c r="A9" t="inlineStr">
        <is>
          <t>reserves</t>
        </is>
      </c>
      <c r="C9" s="6" t="n">
        <v>268.43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7.535464</v>
      </c>
      <c r="I14" s="13" t="n">
        <v>7.535464</v>
      </c>
      <c r="J14" s="13" t="n">
        <v>7.535464</v>
      </c>
      <c r="K14" s="13" t="n">
        <v>7.535464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0.4453</v>
      </c>
      <c r="I15" s="14" t="n">
        <v>0.4453</v>
      </c>
      <c r="J15" s="14" t="n">
        <v>0.4453</v>
      </c>
      <c r="K15" s="14" t="n">
        <v>0.4453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0.504</v>
      </c>
      <c r="I16" s="4" t="n">
        <v>0.504</v>
      </c>
      <c r="J16" s="4" t="n">
        <v>0.504</v>
      </c>
      <c r="K16" s="4" t="n">
        <v>0.504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6.62</v>
      </c>
      <c r="I17" s="14" t="n">
        <v>6.62</v>
      </c>
      <c r="J17" s="14" t="n">
        <v>6.62</v>
      </c>
      <c r="K17" s="14" t="n">
        <v>6.62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2.398</v>
      </c>
      <c r="I18" s="3" t="n">
        <v>2.398</v>
      </c>
      <c r="J18" s="3" t="n">
        <v>2.398</v>
      </c>
      <c r="K18" s="3" t="n">
        <v>2.398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0.3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20.56</v>
      </c>
      <c r="I20" s="3" t="n">
        <v>20.56</v>
      </c>
      <c r="J20" s="3" t="n">
        <v>20.56</v>
      </c>
      <c r="K20" s="3" t="n">
        <v>20.56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0.0883</v>
      </c>
      <c r="I21" s="4" t="n">
        <v>0.0883</v>
      </c>
      <c r="J21" s="4" t="n">
        <v>0.0883</v>
      </c>
      <c r="K21" s="4" t="n">
        <v>0.0883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0</v>
      </c>
      <c r="I22" s="13" t="n">
        <v>0</v>
      </c>
      <c r="J22" s="13" t="n">
        <v>0</v>
      </c>
      <c r="K22" s="13" t="n">
        <v>0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0.1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4.469</v>
      </c>
      <c r="I24" s="3" t="n">
        <v>4.469</v>
      </c>
      <c r="J24" s="3" t="n">
        <v>4.469</v>
      </c>
      <c r="K24" s="3" t="n">
        <v>4.469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3.975</v>
      </c>
      <c r="I25" s="3" t="n">
        <v>3.975</v>
      </c>
      <c r="J25" s="3" t="n">
        <v>3.975</v>
      </c>
      <c r="K25" s="3" t="n">
        <v>3.975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0</v>
      </c>
      <c r="I26" s="13" t="n">
        <v>0</v>
      </c>
      <c r="J26" s="13" t="n">
        <v>0</v>
      </c>
      <c r="K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-0.15894</v>
      </c>
      <c r="I27" s="4" t="n">
        <v>-0.15894</v>
      </c>
      <c r="J27" s="4" t="n">
        <v>-0.15894</v>
      </c>
      <c r="K27" s="4" t="n">
        <v>-0.15894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0.356</v>
      </c>
      <c r="I28" s="4" t="n">
        <v>0.356</v>
      </c>
      <c r="J28" s="4" t="n">
        <v>0.356</v>
      </c>
      <c r="K28" s="4" t="n">
        <v>0.356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0.043895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0.024954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0</v>
      </c>
      <c r="I31" s="13" t="n">
        <v>0</v>
      </c>
      <c r="J31" s="13" t="n">
        <v>0</v>
      </c>
      <c r="K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  <c r="K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0.45</v>
      </c>
      <c r="I33" s="4" t="n">
        <v>0.45</v>
      </c>
      <c r="J33" s="4" t="n">
        <v>0.45</v>
      </c>
      <c r="K33" s="4" t="n">
        <v>0.45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</v>
      </c>
      <c r="I34" s="4" t="n">
        <v>0</v>
      </c>
      <c r="J34" s="4" t="n">
        <v>0</v>
      </c>
      <c r="K34" s="4" t="n">
        <v>0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0.08687</v>
      </c>
      <c r="I37" s="4" t="n">
        <v>0.08687</v>
      </c>
      <c r="J37" s="4" t="n">
        <v>0.08687</v>
      </c>
      <c r="K37" s="4" t="n">
        <v>0.08687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>
        <v>268.43</v>
      </c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/>
      <c r="F41" s="13" t="n">
        <v>5.445246</v>
      </c>
      <c r="G41" s="13" t="n">
        <v>7.535464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  <c r="K42" s="16">
        <f>Drivers!$O$6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/>
      <c r="G43" s="3" t="n"/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  <c r="K43" s="16">
        <f>(((K15*K42)*(1-K16))+(MIN(Drivers!$O$4,(K15*K42))*K16))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6">
        <f>(((H17*H18)*(1+($C$19*(IF(Drivers!$J$8=0,0,Drivers!$L$8/Drivers!$J$8)-1))))+H20)</f>
        <v/>
      </c>
      <c r="I45" s="16">
        <f>(((I17*I18)*(1+($C$19*(IF(Drivers!$J$8=0,0,Drivers!$M$8/Drivers!$J$8)-1))))+I20)</f>
        <v/>
      </c>
      <c r="J45" s="16">
        <f>(((J17*J18)*(1+($C$19*(IF(Drivers!$J$8=0,0,Drivers!$N$8/Drivers!$J$8)-1))))+J20)</f>
        <v/>
      </c>
      <c r="K45" s="16">
        <f>(((K17*K18)*(1+($C$19*(IF(Drivers!$J$8=0,0,Drivers!$O$8/Drivers!$J$8)-1))))+K20)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>
        <v>6.62</v>
      </c>
      <c r="H46" s="18">
        <f>H17</f>
        <v/>
      </c>
      <c r="I46" s="18">
        <f>I17</f>
        <v/>
      </c>
      <c r="J46" s="18">
        <f>J17</f>
        <v/>
      </c>
      <c r="K46" s="18">
        <f>K17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7">
        <f>H21</f>
        <v/>
      </c>
      <c r="I47" s="17">
        <f>I21</f>
        <v/>
      </c>
      <c r="J47" s="17">
        <f>J21</f>
        <v/>
      </c>
      <c r="K47" s="17">
        <f>K21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/>
      <c r="F48" s="3" t="n">
        <v>3.8363739673102</v>
      </c>
      <c r="G48" s="3" t="n">
        <v>3.447564741865929</v>
      </c>
      <c r="H48" s="19">
        <f>IF((H41*$C$10)=0,0,H61/(H41*$C$10))</f>
        <v/>
      </c>
      <c r="I48" s="19">
        <f>IF((I41*$C$10)=0,0,I61/(I41*$C$10))</f>
        <v/>
      </c>
      <c r="J48" s="19">
        <f>IF((J41*$C$10)=0,0,J61/(J41*$C$10))</f>
        <v/>
      </c>
      <c r="K48" s="19">
        <f>IF((K41*$C$10)=0,0,K61/(K41*$C$10))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9">
        <f>IF((H41*$C$10)=0,0,(H53+H52)/(H41*$C$10))</f>
        <v/>
      </c>
      <c r="I49" s="19">
        <f>IF((I41*$C$10)=0,0,(I53+I52)/(I41*$C$10))</f>
        <v/>
      </c>
      <c r="J49" s="19">
        <f>IF((J41*$C$10)=0,0,(J53+J52)/(J41*$C$10))</f>
        <v/>
      </c>
      <c r="K49" s="19">
        <f>IF((K41*$C$10)=0,0,(K53+K52)/(K41*$C$10))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15">
        <f>((H41*H43)*$C$10)</f>
        <v/>
      </c>
      <c r="I50" s="15">
        <f>((I41*I43)*$C$10)</f>
        <v/>
      </c>
      <c r="J50" s="15">
        <f>((J41*J43)*$C$10)</f>
        <v/>
      </c>
      <c r="K50" s="15">
        <f>((K41*K43)*$C$10)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((H41*H45)*$C$10)</f>
        <v/>
      </c>
      <c r="I53" s="15">
        <f>((I41*I45)*$C$10)</f>
        <v/>
      </c>
      <c r="J53" s="15">
        <f>((J41*J45)*$C$10)</f>
        <v/>
      </c>
      <c r="K53" s="15">
        <f>((K41*K45)*$C$10)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245.981</v>
      </c>
      <c r="E55" s="13" t="n">
        <v>280.609</v>
      </c>
      <c r="F55" s="13" t="n">
        <v>315.151</v>
      </c>
      <c r="G55" s="13" t="n">
        <v>363.677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189.515</v>
      </c>
      <c r="E56" s="13" t="n">
        <v>254.659</v>
      </c>
      <c r="F56" s="13" t="n">
        <v>298.584</v>
      </c>
      <c r="G56" s="13" t="n">
        <v>337.366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56.466</v>
      </c>
      <c r="E57" s="13" t="n">
        <v>25.95</v>
      </c>
      <c r="F57" s="13" t="n">
        <v>16.567</v>
      </c>
      <c r="G57" s="13" t="n">
        <v>26.311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14.864</v>
      </c>
      <c r="E58" s="13" t="n">
        <v>19.211</v>
      </c>
      <c r="F58" s="13" t="n">
        <v>21.004</v>
      </c>
      <c r="G58" s="13" t="n">
        <v>34.509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41.602</v>
      </c>
      <c r="E59" s="13" t="n">
        <v>6.739</v>
      </c>
      <c r="F59" s="13" t="n">
        <v>-5.545</v>
      </c>
      <c r="G59" s="13" t="n">
        <v>-7.696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2.07</v>
      </c>
      <c r="E60" s="13" t="n">
        <v>2.382</v>
      </c>
      <c r="F60" s="13" t="n">
        <v>26.435</v>
      </c>
      <c r="G60" s="13" t="n">
        <v>33.675</v>
      </c>
      <c r="H60" s="15">
        <f>((H41*H24)*$C$10)</f>
        <v/>
      </c>
      <c r="I60" s="15">
        <f>((I41*I24)*$C$10)</f>
        <v/>
      </c>
      <c r="J60" s="15">
        <f>((J41*J24)*$C$10)</f>
        <v/>
      </c>
      <c r="K60" s="15">
        <f>((K41*K24)*$C$10)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43.672</v>
      </c>
      <c r="E61" s="13" t="n">
        <v>9.121</v>
      </c>
      <c r="F61" s="13" t="n">
        <v>20.89</v>
      </c>
      <c r="G61" s="13" t="n">
        <v>25.979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3.662</v>
      </c>
      <c r="E62" s="13" t="n">
        <v>4.32</v>
      </c>
      <c r="F62" s="13" t="n">
        <v>3.419</v>
      </c>
      <c r="G62" s="13" t="n">
        <v>5.07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0.103</v>
      </c>
      <c r="E63" s="13" t="n">
        <v>0.144</v>
      </c>
      <c r="F63" s="13" t="n">
        <v>0.419</v>
      </c>
      <c r="G63" s="13" t="n">
        <v>0.332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-2.211999999999994</v>
      </c>
      <c r="E64" s="13" t="n">
        <v>0.6480000000000002</v>
      </c>
      <c r="F64" s="13" t="n">
        <v>10.54</v>
      </c>
      <c r="G64" s="13" t="n">
        <v>19.212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35.831</v>
      </c>
      <c r="E65" s="13" t="n">
        <v>3.211</v>
      </c>
      <c r="F65" s="13" t="n">
        <v>1.995</v>
      </c>
      <c r="G65" s="13" t="n">
        <v>6.778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9.756</v>
      </c>
      <c r="E66" s="13" t="n">
        <v>2.483</v>
      </c>
      <c r="F66" s="13" t="n">
        <v>1.179</v>
      </c>
      <c r="G66" s="13" t="n">
        <v>4.417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26.075</v>
      </c>
      <c r="E67" s="13" t="n">
        <v>0.728</v>
      </c>
      <c r="F67" s="13" t="n">
        <v>0.8159999999999999</v>
      </c>
      <c r="G67" s="13" t="n">
        <v>2.361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3.742000000000001</v>
      </c>
      <c r="E68" s="13" t="n">
        <v>1.682</v>
      </c>
      <c r="F68" s="13" t="n">
        <v>-0.5080000000000001</v>
      </c>
      <c r="G68" s="13" t="n">
        <v>1.069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22.333</v>
      </c>
      <c r="E69" s="13" t="n">
        <v>-0.954</v>
      </c>
      <c r="F69" s="13" t="n">
        <v>1.324</v>
      </c>
      <c r="G69" s="13" t="n">
        <v>1.292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3431</v>
      </c>
      <c r="E70" s="13" t="n">
        <v>3431</v>
      </c>
      <c r="F70" s="13" t="n">
        <v>3431</v>
      </c>
      <c r="G70" s="13" t="n">
        <v>3750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0.006509180996793937</v>
      </c>
      <c r="E71" s="20" t="n">
        <v>-0.0002780530457592539</v>
      </c>
      <c r="F71" s="20" t="n">
        <v>0.0003858933255610609</v>
      </c>
      <c r="G71" s="20" t="n">
        <v>0.0003445333333333333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</v>
      </c>
      <c r="E72" s="20" t="n">
        <v>0</v>
      </c>
      <c r="F72" s="20" t="n">
        <v>0</v>
      </c>
      <c r="G72" s="20" t="n">
        <v>0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/>
      <c r="E73" s="13" t="n"/>
      <c r="F73" s="13" t="n"/>
      <c r="G73" s="13" t="n"/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24.284</v>
      </c>
      <c r="E74" s="13" t="n">
        <v>33.337</v>
      </c>
      <c r="F74" s="13" t="n">
        <v>52.579</v>
      </c>
      <c r="G74" s="13" t="n">
        <v>32.731</v>
      </c>
      <c r="H74" s="15">
        <f>(((H41*H25)*$C$10)+H26)</f>
        <v/>
      </c>
      <c r="I74" s="15">
        <f>(((I41*I25)*$C$10)+I26)</f>
        <v/>
      </c>
      <c r="J74" s="15">
        <f>(((J41*J25)*$C$10)+J26)</f>
        <v/>
      </c>
      <c r="K74" s="15">
        <f>(((K41*K25)*$C$10)+K26)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-47.63799999999995</v>
      </c>
      <c r="F75" s="13" t="n">
        <v>-26.244</v>
      </c>
      <c r="G75" s="13" t="n">
        <v>63.16399999999993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18.21087044534407</v>
      </c>
      <c r="F76" s="13" t="n">
        <v>-2.168030075187971</v>
      </c>
      <c r="G76" s="13" t="n">
        <v>-64.90076954853933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-5.090999999999994</v>
      </c>
      <c r="F77" s="13" t="n">
        <v>-3.299999999999997</v>
      </c>
      <c r="G77" s="13" t="n">
        <v>-13.723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-47.08699999999999</v>
      </c>
      <c r="E80" s="13" t="n">
        <v>-94.72499999999994</v>
      </c>
      <c r="F80" s="13" t="n">
        <v>-120.9689999999999</v>
      </c>
      <c r="G80" s="13" t="n">
        <v>-57.80500000000001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4.756</v>
      </c>
      <c r="E81" s="13" t="n">
        <v>15.325</v>
      </c>
      <c r="F81" s="13" t="n">
        <v>19.255</v>
      </c>
      <c r="G81" s="13" t="n">
        <v>12.885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102.082</v>
      </c>
      <c r="E82" s="13" t="n">
        <v>96.991</v>
      </c>
      <c r="F82" s="13" t="n">
        <v>93.691</v>
      </c>
      <c r="G82" s="13" t="n">
        <v>79.968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196.972</v>
      </c>
      <c r="E83" s="13" t="n">
        <v>213.742</v>
      </c>
      <c r="F83" s="13" t="n">
        <v>242.789</v>
      </c>
      <c r="G83" s="13" t="n">
        <v>227.275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67.038</v>
      </c>
      <c r="E84" s="13" t="n">
        <v>66.16800000000001</v>
      </c>
      <c r="F84" s="13" t="n">
        <v>67.371</v>
      </c>
      <c r="G84" s="13" t="n">
        <v>73.532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3.195</v>
      </c>
      <c r="E85" s="13" t="n">
        <v>4.885</v>
      </c>
      <c r="F85" s="13" t="n">
        <v>4.286</v>
      </c>
      <c r="G85" s="13" t="n">
        <v>5.338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17.67399999999998</v>
      </c>
      <c r="E86" s="13" t="n">
        <v>33.70199999999994</v>
      </c>
      <c r="F86" s="13" t="n">
        <v>24.27299999999997</v>
      </c>
      <c r="G86" s="13" t="n">
        <v>-23.517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97.32599999999999</v>
      </c>
      <c r="E88" s="13" t="n">
        <v>81.666</v>
      </c>
      <c r="F88" s="13" t="n">
        <v>74.43600000000001</v>
      </c>
      <c r="G88" s="13" t="n">
        <v>67.083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0.01953890993879335</v>
      </c>
      <c r="E89" s="20" t="n">
        <v>0.01928533955115127</v>
      </c>
      <c r="F89" s="20" t="n">
        <v>0.01963596619061498</v>
      </c>
      <c r="G89" s="20" t="n">
        <v>0.01960853333333333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0.1407751005158935</v>
      </c>
      <c r="F90" s="4" t="n">
        <v>0.1230965507164774</v>
      </c>
      <c r="G90" s="4" t="n">
        <v>0.1539769824623751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0.2295543151706839</v>
      </c>
      <c r="E91" s="4" t="n">
        <v>0.09247743301177083</v>
      </c>
      <c r="F91" s="4" t="n">
        <v>0.05256845131381464</v>
      </c>
      <c r="G91" s="4" t="n">
        <v>0.07234716520428841</v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0.177542167891016</v>
      </c>
      <c r="E92" s="4" t="n">
        <v>0.03250430314066905</v>
      </c>
      <c r="F92" s="4" t="n">
        <v>0.06628568527467785</v>
      </c>
      <c r="G92" s="4" t="n">
        <v>0.07143426722063809</v>
      </c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0.1691268837837069</v>
      </c>
      <c r="E93" s="4" t="n">
        <v>0.02401562316247875</v>
      </c>
      <c r="F93" s="4" t="n">
        <v>-0.01759474029909472</v>
      </c>
      <c r="G93" s="4" t="n">
        <v>-0.02116163518726782</v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0.09079156520219041</v>
      </c>
      <c r="E94" s="4" t="n">
        <v>-0.003399748404363367</v>
      </c>
      <c r="F94" s="4" t="n">
        <v>0.004201160713435782</v>
      </c>
      <c r="G94" s="4" t="n">
        <v>0.003552602996615128</v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-1.04271705547844</v>
      </c>
      <c r="F95" s="4" t="n">
        <v>-2.387840670859539</v>
      </c>
      <c r="G95" s="4" t="n">
        <v>-0.1071798590130917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-0.01432367911355344</v>
      </c>
      <c r="F96" s="4" t="n">
        <v>0.0198294131302466</v>
      </c>
      <c r="G96" s="4" t="n">
        <v>0.01833885722802212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>
        <v>2.228567503205715</v>
      </c>
      <c r="E97" s="22" t="n">
        <v>8.953623506194495</v>
      </c>
      <c r="F97" s="22" t="n">
        <v>3.563235998085208</v>
      </c>
      <c r="G97" s="22" t="n">
        <v>2.582201008506871</v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</v>
      </c>
      <c r="E98" s="4" t="n">
        <v>-0</v>
      </c>
      <c r="F98" s="4" t="n">
        <v>0</v>
      </c>
      <c r="G98" s="4" t="n">
        <v>0</v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0.09872307210719528</v>
      </c>
      <c r="E99" s="4" t="n">
        <v>0.1188023192413643</v>
      </c>
      <c r="F99" s="4" t="n">
        <v>0.16683748425358</v>
      </c>
      <c r="G99" s="4" t="n">
        <v>0.09000019247849053</v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500</v>
      </c>
    </row>
    <row r="103">
      <c r="A103" t="inlineStr">
        <is>
          <t>Shares outstanding (m)</t>
        </is>
      </c>
      <c r="C103" s="13" t="n">
        <v>3750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75.462</v>
      </c>
    </row>
    <row r="106">
      <c r="A106" t="inlineStr">
        <is>
          <t>Cash at balance-sheet date</t>
        </is>
      </c>
      <c r="C106" s="13" t="n">
        <v>21.385</v>
      </c>
    </row>
    <row r="107">
      <c r="A107" t="inlineStr">
        <is>
          <t>Minority interest (book)</t>
        </is>
      </c>
      <c r="C107" s="13" t="n">
        <v>10.221</v>
      </c>
    </row>
    <row r="108">
      <c r="A108" t="inlineStr">
        <is>
          <t>Associates &amp; investments (book)</t>
        </is>
      </c>
      <c r="C108" s="13" t="n">
        <v>19.738</v>
      </c>
    </row>
    <row r="109">
      <c r="A109" t="inlineStr">
        <is>
          <t>Post-balance-sheet &amp; other items (sourced, probability-weighted)</t>
        </is>
      </c>
      <c r="C109" s="13" t="n">
        <v>43.18535</v>
      </c>
    </row>
    <row r="110">
      <c r="A110" t="inlineStr">
        <is>
          <t>Parent equity at balance-sheet date</t>
        </is>
      </c>
      <c r="C110" s="13" t="n">
        <v>80.40900000000001</v>
      </c>
    </row>
    <row r="111">
      <c r="A111" t="inlineStr">
        <is>
          <t>Per-share factor</t>
        </is>
      </c>
      <c r="C111" s="24" t="n">
        <v>1</v>
      </c>
    </row>
    <row r="112">
      <c r="A112" t="inlineStr">
        <is>
          <t>Risk-free rate</t>
        </is>
      </c>
      <c r="C112" s="9">
        <f>Drivers!$C$12</f>
        <v/>
      </c>
    </row>
    <row r="113">
      <c r="A113" t="inlineStr">
        <is>
          <t>Less: default spread (IDR only)</t>
        </is>
      </c>
      <c r="C113" s="9" t="n">
        <v>0</v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0.7299892031999999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  <c r="K126" s="6" t="n">
        <v>0.996578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  <c r="K127" s="6" t="n">
        <v>2.672142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</row>
    <row r="131">
      <c r="A131" t="inlineStr">
        <is>
          <t>Best cumulative PV (never below zero)</t>
        </is>
      </c>
      <c r="C131" s="26">
        <f>MAX(0,MAX(H130:K130))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MAX(0,$C$134/$C$103*$C$111*$C$104)</f>
        <v/>
      </c>
    </row>
    <row r="137">
      <c r="A137" s="1" t="inlineStr">
        <is>
          <t>TARGET</t>
        </is>
      </c>
    </row>
    <row r="138">
      <c r="A138" t="inlineStr">
        <is>
          <t>Weight: DCF to end of life (no terminal value)</t>
        </is>
      </c>
      <c r="C138" s="4" t="n">
        <v>1</v>
      </c>
    </row>
    <row r="139">
      <c r="A139" t="inlineStr">
        <is>
          <t>Value today (weighted)</t>
        </is>
      </c>
      <c r="C139" s="27">
        <f>$C$135*$C$138</f>
        <v/>
      </c>
    </row>
    <row r="140">
      <c r="A140" t="inlineStr">
        <is>
          <t>DPS expected in next 12 months (IDR)</t>
        </is>
      </c>
      <c r="C140" s="20" t="n">
        <v>0</v>
      </c>
    </row>
    <row r="141">
      <c r="A141" t="inlineStr">
        <is>
          <t>Base-case 12-month value</t>
        </is>
      </c>
      <c r="C141" s="27">
        <f>MAX(0,$C$139*(1+$C$120)-$C$140)</f>
        <v/>
      </c>
    </row>
    <row r="142">
      <c r="A142" t="inlineStr">
        <is>
          <t>Bear probability</t>
        </is>
      </c>
      <c r="C142" s="4" t="n">
        <v>0.25</v>
      </c>
    </row>
    <row r="143">
      <c r="A143" t="inlineStr">
        <is>
          <t>Bear 12-month value (engine)</t>
        </is>
      </c>
      <c r="C143" s="20" t="n">
        <v>0</v>
      </c>
    </row>
    <row r="144">
      <c r="A144" t="inlineStr">
        <is>
          <t>Base probability</t>
        </is>
      </c>
      <c r="C144" s="4" t="n">
        <v>0.5</v>
      </c>
    </row>
    <row r="145">
      <c r="A145" t="inlineStr">
        <is>
          <t>Bull probability</t>
        </is>
      </c>
      <c r="C145" s="4" t="n">
        <v>0.25</v>
      </c>
    </row>
    <row r="146">
      <c r="A146" t="inlineStr">
        <is>
          <t>Bull 12-month value (engine)</t>
        </is>
      </c>
      <c r="C146" s="20" t="n">
        <v>1067.329797625372</v>
      </c>
    </row>
    <row r="147">
      <c r="A147" t="inlineStr">
        <is>
          <t>Probability-weighted 12-month value</t>
        </is>
      </c>
      <c r="C147" s="27">
        <f>$C$142*$C$143+$C$144*$C$141+$C$145*$C$146</f>
        <v/>
      </c>
    </row>
    <row r="148">
      <c r="A148" t="inlineStr">
        <is>
          <t>Liquidity discount (limits.yaml)</t>
        </is>
      </c>
      <c r="C148" s="4" t="n">
        <v>0.1</v>
      </c>
    </row>
    <row r="149">
      <c r="A149" t="inlineStr">
        <is>
          <t>TARGET PRICE (IDR)</t>
        </is>
      </c>
      <c r="C149" s="28">
        <f>$C$147*(1-$C$148)</f>
        <v/>
      </c>
    </row>
    <row r="150">
      <c r="A150" t="inlineStr">
        <is>
          <t>Expected 12-month total return</t>
        </is>
      </c>
      <c r="C150" s="29">
        <f>($C$149+$C$140)/$C$102-1</f>
        <v/>
      </c>
    </row>
    <row r="151">
      <c r="A151" t="inlineStr">
        <is>
          <t>Rating</t>
        </is>
      </c>
      <c r="C151" s="30">
        <f>IF($C$150&gt;=0.25,"BUY",IF($C$150&gt;=0.1,"ADD",IF($C$150&lt;=-0.25,"SELL",IF($C$150&lt;=-0.1,"REDUCE","HOLD"))))</f>
        <v/>
      </c>
    </row>
    <row r="153">
      <c r="A153" s="1" t="inlineStr">
        <is>
          <t>12-month value vs benchmark price and IDR/USD (engine values)</t>
        </is>
      </c>
    </row>
    <row r="154">
      <c r="A154" s="5" t="inlineStr">
        <is>
          <t>rows: IDR per USD (x deck) · columns: Benchmark price (x deck)</t>
        </is>
      </c>
      <c r="D154" s="1" t="n">
        <v>0.8</v>
      </c>
      <c r="E154" s="1" t="n">
        <v>0.9</v>
      </c>
      <c r="F154" s="1" t="n">
        <v>1</v>
      </c>
      <c r="G154" s="1" t="n">
        <v>1.1</v>
      </c>
      <c r="H154" s="1" t="n">
        <v>1.2</v>
      </c>
    </row>
    <row r="155">
      <c r="C155" s="1" t="n">
        <v>0.9</v>
      </c>
      <c r="D155" s="27" t="n">
        <v>0</v>
      </c>
      <c r="E155" s="27" t="n">
        <v>51.473484</v>
      </c>
      <c r="F155" s="27" t="n">
        <v>130.254036</v>
      </c>
      <c r="G155" s="27" t="n">
        <v>370.266973</v>
      </c>
      <c r="H155" s="27" t="n">
        <v>679.561986</v>
      </c>
    </row>
    <row r="156">
      <c r="C156" s="1" t="n">
        <v>0.95</v>
      </c>
      <c r="D156" s="27" t="n">
        <v>0</v>
      </c>
      <c r="E156" s="27" t="n">
        <v>54.406398</v>
      </c>
      <c r="F156" s="27" t="n">
        <v>137.675804</v>
      </c>
      <c r="G156" s="27" t="n">
        <v>391.381978</v>
      </c>
      <c r="H156" s="27" t="n">
        <v>718.335179</v>
      </c>
    </row>
    <row r="157">
      <c r="C157" s="1" t="n">
        <v>1</v>
      </c>
      <c r="D157" s="27" t="n">
        <v>0</v>
      </c>
      <c r="E157" s="27" t="n">
        <v>57.347026</v>
      </c>
      <c r="F157" s="27" t="n">
        <v>145.117091</v>
      </c>
      <c r="G157" s="27" t="n">
        <v>412.553585</v>
      </c>
      <c r="H157" s="27" t="n">
        <v>757.213546</v>
      </c>
    </row>
    <row r="158">
      <c r="C158" s="1" t="n">
        <v>1.05</v>
      </c>
      <c r="D158" s="27" t="n">
        <v>0</v>
      </c>
      <c r="E158" s="27" t="n">
        <v>60.295367</v>
      </c>
      <c r="F158" s="27" t="n">
        <v>152.577897</v>
      </c>
      <c r="G158" s="27" t="n">
        <v>433.781734</v>
      </c>
      <c r="H158" s="27" t="n">
        <v>796.196904</v>
      </c>
    </row>
    <row r="159">
      <c r="C159" s="1" t="n">
        <v>1.1</v>
      </c>
      <c r="D159" s="27" t="n">
        <v>0</v>
      </c>
      <c r="E159" s="27" t="n">
        <v>63.251422</v>
      </c>
      <c r="F159" s="27" t="n">
        <v>160.058222</v>
      </c>
      <c r="G159" s="27" t="n">
        <v>455.066366</v>
      </c>
      <c r="H159" s="27" t="n">
        <v>835.285082</v>
      </c>
    </row>
    <row r="161">
      <c r="A161" s="1" t="inlineStr">
        <is>
          <t>12-month value vs volume and unit cost intensity (engine values)</t>
        </is>
      </c>
    </row>
    <row r="162">
      <c r="A162" s="5" t="inlineStr">
        <is>
          <t>rows: Volume (x plan) · columns: Cost intensity / strip ratio (x)</t>
        </is>
      </c>
      <c r="D162" s="1" t="n">
        <v>0.85</v>
      </c>
      <c r="E162" s="1" t="n">
        <v>0.925</v>
      </c>
      <c r="F162" s="1" t="n">
        <v>1</v>
      </c>
      <c r="G162" s="1" t="n">
        <v>1.075</v>
      </c>
      <c r="H162" s="1" t="n">
        <v>1.15</v>
      </c>
    </row>
    <row r="163">
      <c r="C163" s="1" t="n">
        <v>0.9</v>
      </c>
      <c r="D163" s="27" t="n">
        <v>224.833773</v>
      </c>
      <c r="E163" s="27" t="n">
        <v>158.536245</v>
      </c>
      <c r="F163" s="27" t="n">
        <v>113.87969</v>
      </c>
      <c r="G163" s="27" t="n">
        <v>97.646852</v>
      </c>
      <c r="H163" s="27" t="n">
        <v>81.513165</v>
      </c>
    </row>
    <row r="164">
      <c r="C164" s="1" t="n">
        <v>0.95</v>
      </c>
      <c r="D164" s="27" t="n">
        <v>246.616589</v>
      </c>
      <c r="E164" s="27" t="n">
        <v>176.635865</v>
      </c>
      <c r="F164" s="27" t="n">
        <v>129.498391</v>
      </c>
      <c r="G164" s="27" t="n">
        <v>112.363728</v>
      </c>
      <c r="H164" s="27" t="n">
        <v>95.333724</v>
      </c>
    </row>
    <row r="165">
      <c r="C165" s="1" t="n">
        <v>1</v>
      </c>
      <c r="D165" s="27" t="n">
        <v>268.399404</v>
      </c>
      <c r="E165" s="27" t="n">
        <v>194.735485</v>
      </c>
      <c r="F165" s="27" t="n">
        <v>145.117091</v>
      </c>
      <c r="G165" s="27" t="n">
        <v>127.080604</v>
      </c>
      <c r="H165" s="27" t="n">
        <v>109.154284</v>
      </c>
    </row>
    <row r="166">
      <c r="C166" s="1" t="n">
        <v>1.05</v>
      </c>
      <c r="D166" s="27" t="n">
        <v>290.18222</v>
      </c>
      <c r="E166" s="27" t="n">
        <v>212.835105</v>
      </c>
      <c r="F166" s="27" t="n">
        <v>160.735791</v>
      </c>
      <c r="G166" s="27" t="n">
        <v>141.79748</v>
      </c>
      <c r="H166" s="27" t="n">
        <v>122.974844</v>
      </c>
    </row>
    <row r="167">
      <c r="C167" s="1" t="n">
        <v>1.1</v>
      </c>
      <c r="D167" s="27" t="n">
        <v>311.965036</v>
      </c>
      <c r="E167" s="27" t="n">
        <v>230.934725</v>
      </c>
      <c r="F167" s="27" t="n">
        <v>176.354491</v>
      </c>
      <c r="G167" s="27" t="n">
        <v>156.514356</v>
      </c>
      <c r="H167" s="27" t="n">
        <v>136.795404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PT. Borneo Olah Sarana Sukses Tbk (BOSS.JK) — Coal producers</t>
        </is>
      </c>
    </row>
    <row r="2">
      <c r="A2" s="5" t="inlineStr">
        <is>
          <t>Units: IDR bn; per-share in IDR unless marked IDR. Model asof 2026-10-30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FY2021A</t>
        </is>
      </c>
      <c r="E4" s="1" t="inlineStr">
        <is>
          <t>FY2022A</t>
        </is>
      </c>
      <c r="F4" s="1" t="inlineStr">
        <is>
          <t>FY2023E</t>
        </is>
      </c>
      <c r="G4" s="1" t="inlineStr">
        <is>
          <t>FY2024E</t>
        </is>
      </c>
      <c r="H4" s="1" t="inlineStr">
        <is>
          <t>FY2025E</t>
        </is>
      </c>
      <c r="I4" s="1" t="inlineStr">
        <is>
          <t>FY2026E</t>
        </is>
      </c>
      <c r="J4" s="1" t="inlineStr">
        <is>
          <t>FY2027E</t>
        </is>
      </c>
      <c r="K4" s="1" t="inlineStr">
        <is>
          <t>FY2028E</t>
        </is>
      </c>
      <c r="L4" s="1" t="inlineStr">
        <is>
          <t>FY2029E</t>
        </is>
      </c>
      <c r="M4" s="1" t="inlineStr">
        <is>
          <t>FY2030E</t>
        </is>
      </c>
      <c r="N4" s="1" t="inlineStr">
        <is>
          <t>FY2031E</t>
        </is>
      </c>
      <c r="O4" s="1" t="inlineStr">
        <is>
          <t>FY2032E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10</v>
      </c>
    </row>
    <row r="8">
      <c r="A8" t="inlineStr">
        <is>
          <t>ps_factor</t>
        </is>
      </c>
      <c r="C8" s="6" t="n">
        <v>1000</v>
      </c>
    </row>
    <row r="9">
      <c r="A9" t="inlineStr">
        <is>
          <t>reserves</t>
        </is>
      </c>
      <c r="C9" s="6" t="n">
        <v>10.83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F14" s="13" t="n">
        <v>0.0765</v>
      </c>
      <c r="G14" s="13" t="n">
        <v>0.0765</v>
      </c>
      <c r="H14" s="13" t="n">
        <v>0.0765</v>
      </c>
      <c r="I14" s="13" t="n">
        <v>0.15</v>
      </c>
      <c r="J14" s="13" t="n">
        <v>0.4</v>
      </c>
      <c r="K14" s="13" t="n">
        <v>0.48</v>
      </c>
      <c r="L14" s="13" t="n">
        <v>0.48</v>
      </c>
      <c r="M14" s="13" t="n">
        <v>0.48</v>
      </c>
      <c r="N14" s="13" t="n">
        <v>0.48</v>
      </c>
      <c r="O14" s="13" t="n">
        <v>0.48</v>
      </c>
    </row>
    <row r="15">
      <c r="A15" t="inlineStr">
        <is>
          <t>Realised price / benchmark</t>
        </is>
      </c>
      <c r="B15" t="inlineStr">
        <is>
          <t>a.realisation</t>
        </is>
      </c>
      <c r="F15" s="14" t="n">
        <v>0.93</v>
      </c>
      <c r="G15" s="14" t="n">
        <v>0.93</v>
      </c>
      <c r="H15" s="14" t="n">
        <v>0.93</v>
      </c>
      <c r="I15" s="14" t="n">
        <v>0.93</v>
      </c>
      <c r="J15" s="14" t="n">
        <v>0.93</v>
      </c>
      <c r="K15" s="14" t="n">
        <v>0.93</v>
      </c>
      <c r="L15" s="14" t="n">
        <v>0.93</v>
      </c>
      <c r="M15" s="14" t="n">
        <v>0.93</v>
      </c>
      <c r="N15" s="14" t="n">
        <v>0.93</v>
      </c>
      <c r="O15" s="14" t="n">
        <v>0.93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F17" s="14" t="n">
        <v>1</v>
      </c>
      <c r="G17" s="14" t="n">
        <v>1</v>
      </c>
      <c r="H17" s="14" t="n">
        <v>1</v>
      </c>
      <c r="I17" s="14" t="n">
        <v>1</v>
      </c>
      <c r="J17" s="14" t="n">
        <v>1</v>
      </c>
      <c r="K17" s="14" t="n">
        <v>1</v>
      </c>
      <c r="L17" s="14" t="n">
        <v>1</v>
      </c>
      <c r="M17" s="14" t="n">
        <v>1</v>
      </c>
      <c r="N17" s="14" t="n">
        <v>1</v>
      </c>
      <c r="O17" s="14" t="n">
        <v>1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F18" s="3" t="n">
        <v>104.55</v>
      </c>
      <c r="G18" s="3" t="n">
        <v>104.55</v>
      </c>
      <c r="H18" s="3" t="n">
        <v>104.55</v>
      </c>
      <c r="I18" s="3" t="n">
        <v>62.1</v>
      </c>
      <c r="J18" s="3" t="n">
        <v>62.1</v>
      </c>
      <c r="K18" s="3" t="n">
        <v>63.34200000000001</v>
      </c>
      <c r="L18" s="3" t="n">
        <v>64.60884</v>
      </c>
      <c r="M18" s="3" t="n">
        <v>65.90101680000001</v>
      </c>
      <c r="N18" s="3" t="n">
        <v>67.219037136</v>
      </c>
      <c r="O18" s="3" t="n">
        <v>68.56341787872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F20" s="3" t="n">
        <v>34.1</v>
      </c>
      <c r="G20" s="3" t="n">
        <v>34.1</v>
      </c>
      <c r="H20" s="3" t="n">
        <v>34.1</v>
      </c>
      <c r="I20" s="3" t="n">
        <v>20.3</v>
      </c>
      <c r="J20" s="3" t="n">
        <v>20.3</v>
      </c>
      <c r="K20" s="3" t="n">
        <v>20.706</v>
      </c>
      <c r="L20" s="3" t="n">
        <v>21.12012</v>
      </c>
      <c r="M20" s="3" t="n">
        <v>21.5425224</v>
      </c>
      <c r="N20" s="3" t="n">
        <v>21.973372848</v>
      </c>
      <c r="O20" s="3" t="n">
        <v>22.41284030496</v>
      </c>
    </row>
    <row r="21">
      <c r="A21" t="inlineStr">
        <is>
          <t>Royalty rate (flat regimes)</t>
        </is>
      </c>
      <c r="B21" t="inlineStr">
        <is>
          <t>a.royalty_rate</t>
        </is>
      </c>
      <c r="F21" s="4" t="n">
        <v>0.121</v>
      </c>
      <c r="G21" s="4" t="n">
        <v>0.121</v>
      </c>
      <c r="H21" s="4" t="n">
        <v>0.121</v>
      </c>
      <c r="I21" s="4" t="n">
        <v>0.121</v>
      </c>
      <c r="J21" s="4" t="n">
        <v>0.121</v>
      </c>
      <c r="K21" s="4" t="n">
        <v>0.121</v>
      </c>
      <c r="L21" s="4" t="n">
        <v>0.121</v>
      </c>
      <c r="M21" s="4" t="n">
        <v>0.121</v>
      </c>
      <c r="N21" s="4" t="n">
        <v>0.121</v>
      </c>
      <c r="O21" s="4" t="n">
        <v>0.121</v>
      </c>
    </row>
    <row r="22">
      <c r="A22" t="inlineStr">
        <is>
          <t>Other revenue</t>
        </is>
      </c>
      <c r="B22" t="inlineStr">
        <is>
          <t>a.other_revenue</t>
        </is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0.1</v>
      </c>
    </row>
    <row r="24">
      <c r="A24" t="inlineStr">
        <is>
          <t>D&amp;A per unit (reporting currency)</t>
        </is>
      </c>
      <c r="B24" t="inlineStr">
        <is>
          <t>a.da_unit</t>
        </is>
      </c>
      <c r="F24" s="3" t="n">
        <v>236431</v>
      </c>
      <c r="G24" s="3" t="n">
        <v>236431</v>
      </c>
      <c r="H24" s="3" t="n">
        <v>236431</v>
      </c>
      <c r="I24" s="3" t="n">
        <v>91942</v>
      </c>
      <c r="J24" s="3" t="n">
        <v>91942</v>
      </c>
      <c r="K24" s="3" t="n">
        <v>93780.84</v>
      </c>
      <c r="L24" s="3" t="n">
        <v>95656.4568</v>
      </c>
      <c r="M24" s="3" t="n">
        <v>97569.58593600002</v>
      </c>
      <c r="N24" s="3" t="n">
        <v>99520.97765472</v>
      </c>
      <c r="O24" s="3" t="n">
        <v>101511.3972078144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F25" s="3" t="n">
        <v>26664</v>
      </c>
      <c r="G25" s="3" t="n">
        <v>26664</v>
      </c>
      <c r="H25" s="3" t="n">
        <v>26664</v>
      </c>
      <c r="I25" s="3" t="n">
        <v>26664</v>
      </c>
      <c r="J25" s="3" t="n">
        <v>26664</v>
      </c>
      <c r="K25" s="3" t="n">
        <v>27197.28</v>
      </c>
      <c r="L25" s="3" t="n">
        <v>27741.2256</v>
      </c>
      <c r="M25" s="3" t="n">
        <v>28296.050112</v>
      </c>
      <c r="N25" s="3" t="n">
        <v>28861.97111424</v>
      </c>
      <c r="O25" s="3" t="n">
        <v>29439.2105365248</v>
      </c>
    </row>
    <row r="26">
      <c r="A26" t="inlineStr">
        <is>
          <t>Other capex (expansion projects)</t>
        </is>
      </c>
      <c r="B26" t="inlineStr">
        <is>
          <t>a.capex_other</t>
        </is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F27" s="4" t="n">
        <v>-0.1123</v>
      </c>
      <c r="G27" s="4" t="n">
        <v>-0.1123</v>
      </c>
      <c r="H27" s="4" t="n">
        <v>-0.1123</v>
      </c>
      <c r="I27" s="4" t="n">
        <v>-0.1123</v>
      </c>
      <c r="J27" s="4" t="n">
        <v>-0.1123</v>
      </c>
      <c r="K27" s="4" t="n">
        <v>-0.1123</v>
      </c>
      <c r="L27" s="4" t="n">
        <v>-0.1123</v>
      </c>
      <c r="M27" s="4" t="n">
        <v>-0.1123</v>
      </c>
      <c r="N27" s="4" t="n">
        <v>-0.1123</v>
      </c>
      <c r="O27" s="4" t="n">
        <v>-0.1123</v>
      </c>
    </row>
    <row r="28">
      <c r="A28" t="inlineStr">
        <is>
          <t>Effective tax rate</t>
        </is>
      </c>
      <c r="B28" t="inlineStr">
        <is>
          <t>a.tax_rate</t>
        </is>
      </c>
      <c r="F28" s="4" t="n">
        <v>0.22</v>
      </c>
      <c r="G28" s="4" t="n">
        <v>0.22</v>
      </c>
      <c r="H28" s="4" t="n">
        <v>0.22</v>
      </c>
      <c r="I28" s="4" t="n">
        <v>0.22</v>
      </c>
      <c r="J28" s="4" t="n">
        <v>0.22</v>
      </c>
      <c r="K28" s="4" t="n">
        <v>0.22</v>
      </c>
      <c r="L28" s="4" t="n">
        <v>0.22</v>
      </c>
      <c r="M28" s="4" t="n">
        <v>0.22</v>
      </c>
      <c r="N28" s="4" t="n">
        <v>0.22</v>
      </c>
      <c r="O28" s="4" t="n">
        <v>0.22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0.1432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</v>
      </c>
    </row>
    <row r="31">
      <c r="A31" t="inlineStr">
        <is>
          <t>Net new borrowing</t>
        </is>
      </c>
      <c r="B31" t="inlineStr">
        <is>
          <t>a.net_borrowing</t>
        </is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</row>
    <row r="34">
      <c r="A34" t="inlineStr">
        <is>
          <t>Dividend payout</t>
        </is>
      </c>
      <c r="B34" t="inlineStr">
        <is>
          <t>a.payout</t>
        </is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t="inlineStr">
        <is>
          <t>Change in share count</t>
        </is>
      </c>
      <c r="B35" t="inlineStr">
        <is>
          <t>a.share_change</t>
        </is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0.04</v>
      </c>
    </row>
    <row r="37">
      <c r="A37" t="inlineStr">
        <is>
          <t>SG&amp;A / revenue</t>
        </is>
      </c>
      <c r="B37" t="inlineStr">
        <is>
          <t>a.opex_pct</t>
        </is>
      </c>
      <c r="F37" s="4" t="n">
        <v>0.1736</v>
      </c>
      <c r="G37" s="4" t="n">
        <v>0.1736</v>
      </c>
      <c r="H37" s="4" t="n">
        <v>0.1736</v>
      </c>
      <c r="I37" s="4" t="n">
        <v>0.096</v>
      </c>
      <c r="J37" s="4" t="n">
        <v>0.096</v>
      </c>
      <c r="K37" s="4" t="n">
        <v>0.096</v>
      </c>
      <c r="L37" s="4" t="n">
        <v>0.096</v>
      </c>
      <c r="M37" s="4" t="n">
        <v>0.096</v>
      </c>
      <c r="N37" s="4" t="n">
        <v>0.096</v>
      </c>
      <c r="O37" s="4" t="n">
        <v>0.096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>
        <v>10.83</v>
      </c>
      <c r="F40" s="15">
        <f>MAX((E40-F41),0)</f>
        <v/>
      </c>
      <c r="G40" s="15">
        <f>MAX((F40-G41),0)</f>
        <v/>
      </c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>
        <v>0.061026</v>
      </c>
      <c r="E41" s="13" t="n">
        <v>0.109322</v>
      </c>
      <c r="F41" s="15">
        <f>IF(($C$9&gt;0),MIN(F14,MAX(E40,0)),F14)</f>
        <v/>
      </c>
      <c r="G41" s="15">
        <f>IF(($C$9&gt;0),MIN(G14,MAX(F40,0)),G14)</f>
        <v/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16">
        <f>Drivers!$G$6</f>
        <v/>
      </c>
      <c r="G42" s="16">
        <f>Drivers!$I$6</f>
        <v/>
      </c>
      <c r="H42" s="16">
        <f>Drivers!$K$6</f>
        <v/>
      </c>
      <c r="I42" s="16">
        <f>Drivers!$L$6</f>
        <v/>
      </c>
      <c r="J42" s="16">
        <f>Drivers!$M$6</f>
        <v/>
      </c>
      <c r="K42" s="16">
        <f>Drivers!$N$6</f>
        <v/>
      </c>
      <c r="L42" s="16">
        <f>Drivers!$O$6</f>
        <v/>
      </c>
      <c r="M42" s="16">
        <f>Drivers!$P$6</f>
        <v/>
      </c>
      <c r="N42" s="16">
        <f>Drivers!$Q$6</f>
        <v/>
      </c>
      <c r="O42" s="16">
        <f>Drivers!$R$6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>
        <v>175</v>
      </c>
      <c r="F43" s="16">
        <f>(((F15*F42)*(1-F16))+(MIN(Drivers!$G$4,(F15*F42))*F16))</f>
        <v/>
      </c>
      <c r="G43" s="16">
        <f>(((G15*G42)*(1-G16))+(MIN(Drivers!$I$4,(G15*G42))*G16))</f>
        <v/>
      </c>
      <c r="H43" s="16">
        <f>(((H15*H42)*(1-H16))+(MIN(Drivers!$K$4,(H15*H42))*H16))</f>
        <v/>
      </c>
      <c r="I43" s="16">
        <f>(((I15*I42)*(1-I16))+(MIN(Drivers!$L$4,(I15*I42))*I16))</f>
        <v/>
      </c>
      <c r="J43" s="16">
        <f>(((J15*J42)*(1-J16))+(MIN(Drivers!$M$4,(J15*J42))*J16))</f>
        <v/>
      </c>
      <c r="K43" s="16">
        <f>(((K15*K42)*(1-K16))+(MIN(Drivers!$N$4,(K15*K42))*K16))</f>
        <v/>
      </c>
      <c r="L43" s="16">
        <f>(((L15*L42)*(1-L16))+(MIN(Drivers!$O$4,(L15*L42))*L16))</f>
        <v/>
      </c>
      <c r="M43" s="16">
        <f>(((M15*M42)*(1-M16))+(MIN(Drivers!$P$4,(M15*M42))*M16))</f>
        <v/>
      </c>
      <c r="N43" s="16">
        <f>(((N15*N42)*(1-N16))+(MIN(Drivers!$Q$4,(N15*N42))*N16))</f>
        <v/>
      </c>
      <c r="O43" s="16">
        <f>(((O15*O42)*(1-O16))+(MIN(Drivers!$R$4,(O15*O42))*O16))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17">
        <f>IF(F42=0,0,F43/F42)</f>
        <v/>
      </c>
      <c r="G44" s="17">
        <f>IF(G42=0,0,G43/G42)</f>
        <v/>
      </c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  <c r="L44" s="17">
        <f>IF(L42=0,0,L43/L42)</f>
        <v/>
      </c>
      <c r="M44" s="17">
        <f>IF(M42=0,0,M43/M42)</f>
        <v/>
      </c>
      <c r="N44" s="17">
        <f>IF(N42=0,0,N43/N42)</f>
        <v/>
      </c>
      <c r="O44" s="17">
        <f>IF(O42=0,0,O43/O42)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16">
        <f>(((F17*F18)*(1+($C$19*(IF(Drivers!$E$8=0,0,Drivers!$G$8/Drivers!$E$8)-1))))+F20)</f>
        <v/>
      </c>
      <c r="G45" s="16">
        <f>(((G17*G18)*(1+($C$19*(IF(Drivers!$E$8=0,0,Drivers!$I$8/Drivers!$E$8)-1))))+G20)</f>
        <v/>
      </c>
      <c r="H45" s="16">
        <f>(((H17*H18)*(1+($C$19*(IF(Drivers!$E$8=0,0,Drivers!$K$8/Drivers!$E$8)-1))))+H20)</f>
        <v/>
      </c>
      <c r="I45" s="16">
        <f>(((I17*I18)*(1+($C$19*(IF(Drivers!$E$8=0,0,Drivers!$L$8/Drivers!$E$8)-1))))+I20)</f>
        <v/>
      </c>
      <c r="J45" s="16">
        <f>(((J17*J18)*(1+($C$19*(IF(Drivers!$E$8=0,0,Drivers!$M$8/Drivers!$E$8)-1))))+J20)</f>
        <v/>
      </c>
      <c r="K45" s="16">
        <f>(((K17*K18)*(1+($C$19*(IF(Drivers!$E$8=0,0,Drivers!$N$8/Drivers!$E$8)-1))))+K20)</f>
        <v/>
      </c>
      <c r="L45" s="16">
        <f>(((L17*L18)*(1+($C$19*(IF(Drivers!$E$8=0,0,Drivers!$O$8/Drivers!$E$8)-1))))+L20)</f>
        <v/>
      </c>
      <c r="M45" s="16">
        <f>(((M17*M18)*(1+($C$19*(IF(Drivers!$E$8=0,0,Drivers!$P$8/Drivers!$E$8)-1))))+M20)</f>
        <v/>
      </c>
      <c r="N45" s="16">
        <f>(((N17*N18)*(1+($C$19*(IF(Drivers!$E$8=0,0,Drivers!$Q$8/Drivers!$E$8)-1))))+N20)</f>
        <v/>
      </c>
      <c r="O45" s="16">
        <f>(((O17*O18)*(1+($C$19*(IF(Drivers!$E$8=0,0,Drivers!$R$8/Drivers!$E$8)-1))))+O20)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8">
        <f>F17</f>
        <v/>
      </c>
      <c r="G46" s="18">
        <f>G17</f>
        <v/>
      </c>
      <c r="H46" s="18">
        <f>H17</f>
        <v/>
      </c>
      <c r="I46" s="18">
        <f>I17</f>
        <v/>
      </c>
      <c r="J46" s="18">
        <f>J17</f>
        <v/>
      </c>
      <c r="K46" s="18">
        <f>K17</f>
        <v/>
      </c>
      <c r="L46" s="18">
        <f>L17</f>
        <v/>
      </c>
      <c r="M46" s="18">
        <f>M17</f>
        <v/>
      </c>
      <c r="N46" s="18">
        <f>N17</f>
        <v/>
      </c>
      <c r="O46" s="18">
        <f>O17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17">
        <f>F21</f>
        <v/>
      </c>
      <c r="G47" s="17">
        <f>G21</f>
        <v/>
      </c>
      <c r="H47" s="17">
        <f>H21</f>
        <v/>
      </c>
      <c r="I47" s="17">
        <f>I21</f>
        <v/>
      </c>
      <c r="J47" s="17">
        <f>J21</f>
        <v/>
      </c>
      <c r="K47" s="17">
        <f>K21</f>
        <v/>
      </c>
      <c r="L47" s="17">
        <f>L21</f>
        <v/>
      </c>
      <c r="M47" s="17">
        <f>M21</f>
        <v/>
      </c>
      <c r="N47" s="17">
        <f>N21</f>
        <v/>
      </c>
      <c r="O47" s="17">
        <f>O21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>
        <v>-72.17871041780126</v>
      </c>
      <c r="E48" s="3" t="n">
        <v>49.36874539645579</v>
      </c>
      <c r="F48" s="16">
        <f>IF(IF(1000=0,0,((F41*$C$10)*Drivers!$G$7)/1000)=0,0,F61/IF(1000=0,0,((F41*$C$10)*Drivers!$G$7)/1000))</f>
        <v/>
      </c>
      <c r="G48" s="16">
        <f>IF(IF(1000=0,0,((G41*$C$10)*Drivers!$I$7)/1000)=0,0,G61/IF(1000=0,0,((G41*$C$10)*Drivers!$I$7)/1000))</f>
        <v/>
      </c>
      <c r="H48" s="16">
        <f>IF(IF(1000=0,0,((H41*$C$10)*Drivers!$K$7)/1000)=0,0,H61/IF(1000=0,0,((H41*$C$10)*Drivers!$K$7)/1000))</f>
        <v/>
      </c>
      <c r="I48" s="16">
        <f>IF(IF(1000=0,0,((I41*$C$10)*Drivers!$L$7)/1000)=0,0,I61/IF(1000=0,0,((I41*$C$10)*Drivers!$L$7)/1000))</f>
        <v/>
      </c>
      <c r="J48" s="16">
        <f>IF(IF(1000=0,0,((J41*$C$10)*Drivers!$M$7)/1000)=0,0,J61/IF(1000=0,0,((J41*$C$10)*Drivers!$M$7)/1000))</f>
        <v/>
      </c>
      <c r="K48" s="16">
        <f>IF(IF(1000=0,0,((K41*$C$10)*Drivers!$N$7)/1000)=0,0,K61/IF(1000=0,0,((K41*$C$10)*Drivers!$N$7)/1000))</f>
        <v/>
      </c>
      <c r="L48" s="16">
        <f>IF(IF(1000=0,0,((L41*$C$10)*Drivers!$O$7)/1000)=0,0,L61/IF(1000=0,0,((L41*$C$10)*Drivers!$O$7)/1000))</f>
        <v/>
      </c>
      <c r="M48" s="16">
        <f>IF(IF(1000=0,0,((M41*$C$10)*Drivers!$P$7)/1000)=0,0,M61/IF(1000=0,0,((M41*$C$10)*Drivers!$P$7)/1000))</f>
        <v/>
      </c>
      <c r="N48" s="16">
        <f>IF(IF(1000=0,0,((N41*$C$10)*Drivers!$Q$7)/1000)=0,0,N61/IF(1000=0,0,((N41*$C$10)*Drivers!$Q$7)/1000))</f>
        <v/>
      </c>
      <c r="O48" s="16">
        <f>IF(IF(1000=0,0,((O41*$C$10)*Drivers!$R$7)/1000)=0,0,O61/IF(1000=0,0,((O41*$C$10)*Drivers!$R$7)/1000))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16">
        <f>IF(IF(1000=0,0,((F41*$C$10)*Drivers!$G$7)/1000)=0,0,(F53+F52)/IF(1000=0,0,((F41*$C$10)*Drivers!$G$7)/1000))</f>
        <v/>
      </c>
      <c r="G49" s="16">
        <f>IF(IF(1000=0,0,((G41*$C$10)*Drivers!$I$7)/1000)=0,0,(G53+G52)/IF(1000=0,0,((G41*$C$10)*Drivers!$I$7)/1000))</f>
        <v/>
      </c>
      <c r="H49" s="16">
        <f>IF(IF(1000=0,0,((H41*$C$10)*Drivers!$K$7)/1000)=0,0,(H53+H52)/IF(1000=0,0,((H41*$C$10)*Drivers!$K$7)/1000))</f>
        <v/>
      </c>
      <c r="I49" s="16">
        <f>IF(IF(1000=0,0,((I41*$C$10)*Drivers!$L$7)/1000)=0,0,(I53+I52)/IF(1000=0,0,((I41*$C$10)*Drivers!$L$7)/1000))</f>
        <v/>
      </c>
      <c r="J49" s="16">
        <f>IF(IF(1000=0,0,((J41*$C$10)*Drivers!$M$7)/1000)=0,0,(J53+J52)/IF(1000=0,0,((J41*$C$10)*Drivers!$M$7)/1000))</f>
        <v/>
      </c>
      <c r="K49" s="16">
        <f>IF(IF(1000=0,0,((K41*$C$10)*Drivers!$N$7)/1000)=0,0,(K53+K52)/IF(1000=0,0,((K41*$C$10)*Drivers!$N$7)/1000))</f>
        <v/>
      </c>
      <c r="L49" s="16">
        <f>IF(IF(1000=0,0,((L41*$C$10)*Drivers!$O$7)/1000)=0,0,(L53+L52)/IF(1000=0,0,((L41*$C$10)*Drivers!$O$7)/1000))</f>
        <v/>
      </c>
      <c r="M49" s="16">
        <f>IF(IF(1000=0,0,((M41*$C$10)*Drivers!$P$7)/1000)=0,0,(M53+M52)/IF(1000=0,0,((M41*$C$10)*Drivers!$P$7)/1000))</f>
        <v/>
      </c>
      <c r="N49" s="16">
        <f>IF(IF(1000=0,0,((N41*$C$10)*Drivers!$Q$7)/1000)=0,0,(N53+N52)/IF(1000=0,0,((N41*$C$10)*Drivers!$Q$7)/1000))</f>
        <v/>
      </c>
      <c r="O49" s="16">
        <f>IF(IF(1000=0,0,((O41*$C$10)*Drivers!$R$7)/1000)=0,0,(O53+O52)/IF(1000=0,0,((O41*$C$10)*Drivers!$R$7)/1000))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31">
        <f>IF(1000=0,0,(((F41*F43)*$C$10)*Drivers!$G$7)/1000)</f>
        <v/>
      </c>
      <c r="G50" s="31">
        <f>IF(1000=0,0,(((G41*G43)*$C$10)*Drivers!$I$7)/1000)</f>
        <v/>
      </c>
      <c r="H50" s="31">
        <f>IF(1000=0,0,(((H41*H43)*$C$10)*Drivers!$K$7)/1000)</f>
        <v/>
      </c>
      <c r="I50" s="31">
        <f>IF(1000=0,0,(((I41*I43)*$C$10)*Drivers!$L$7)/1000)</f>
        <v/>
      </c>
      <c r="J50" s="31">
        <f>IF(1000=0,0,(((J41*J43)*$C$10)*Drivers!$M$7)/1000)</f>
        <v/>
      </c>
      <c r="K50" s="31">
        <f>IF(1000=0,0,(((K41*K43)*$C$10)*Drivers!$N$7)/1000)</f>
        <v/>
      </c>
      <c r="L50" s="31">
        <f>IF(1000=0,0,(((L41*L43)*$C$10)*Drivers!$O$7)/1000)</f>
        <v/>
      </c>
      <c r="M50" s="31">
        <f>IF(1000=0,0,(((M41*M43)*$C$10)*Drivers!$P$7)/1000)</f>
        <v/>
      </c>
      <c r="N50" s="31">
        <f>IF(1000=0,0,(((N41*N43)*$C$10)*Drivers!$Q$7)/1000)</f>
        <v/>
      </c>
      <c r="O50" s="31">
        <f>IF(1000=0,0,(((O41*O43)*$C$10)*Drivers!$R$7)/1000)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5">
        <f>F22</f>
        <v/>
      </c>
      <c r="G51" s="15">
        <f>G22</f>
        <v/>
      </c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5">
        <f>(F50*F47)</f>
        <v/>
      </c>
      <c r="G52" s="15">
        <f>(G50*G47)</f>
        <v/>
      </c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31">
        <f>IF(1000=0,0,(((F41*F45)*$C$10)*Drivers!$G$7)/1000)</f>
        <v/>
      </c>
      <c r="G53" s="31">
        <f>IF(1000=0,0,(((G41*G45)*$C$10)*Drivers!$I$7)/1000)</f>
        <v/>
      </c>
      <c r="H53" s="31">
        <f>IF(1000=0,0,(((H41*H45)*$C$10)*Drivers!$K$7)/1000)</f>
        <v/>
      </c>
      <c r="I53" s="31">
        <f>IF(1000=0,0,(((I41*I45)*$C$10)*Drivers!$L$7)/1000)</f>
        <v/>
      </c>
      <c r="J53" s="31">
        <f>IF(1000=0,0,(((J41*J45)*$C$10)*Drivers!$M$7)/1000)</f>
        <v/>
      </c>
      <c r="K53" s="31">
        <f>IF(1000=0,0,(((K41*K45)*$C$10)*Drivers!$N$7)/1000)</f>
        <v/>
      </c>
      <c r="L53" s="31">
        <f>IF(1000=0,0,(((L41*L45)*$C$10)*Drivers!$O$7)/1000)</f>
        <v/>
      </c>
      <c r="M53" s="31">
        <f>IF(1000=0,0,(((M41*M45)*$C$10)*Drivers!$P$7)/1000)</f>
        <v/>
      </c>
      <c r="N53" s="31">
        <f>IF(1000=0,0,(((N41*N45)*$C$10)*Drivers!$Q$7)/1000)</f>
        <v/>
      </c>
      <c r="O53" s="31">
        <f>IF(1000=0,0,(((O41*O45)*$C$10)*Drivers!$R$7)/1000)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5">
        <f>(F51*(1-$C$23))</f>
        <v/>
      </c>
      <c r="G54" s="15">
        <f>(G51*(1-$C$23))</f>
        <v/>
      </c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43.523306126</v>
      </c>
      <c r="E55" s="13" t="n">
        <v>456.751065782</v>
      </c>
      <c r="F55" s="15">
        <f>(F50+F51)</f>
        <v/>
      </c>
      <c r="G55" s="15">
        <f>(G50+G51)</f>
        <v/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68.53214369</v>
      </c>
      <c r="E56" s="13" t="n">
        <v>272.106815142</v>
      </c>
      <c r="F56" s="15">
        <f>(((F53+F52)+F54)+F60)</f>
        <v/>
      </c>
      <c r="G56" s="15">
        <f>(((G53+G52)+G54)+G60)</f>
        <v/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-25.008837564</v>
      </c>
      <c r="E57" s="13" t="n">
        <v>184.64425064</v>
      </c>
      <c r="F57" s="15">
        <f>(F55-F56)</f>
        <v/>
      </c>
      <c r="G57" s="15">
        <f>(G55-G56)</f>
        <v/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46.846850905</v>
      </c>
      <c r="E58" s="13" t="n">
        <v>116.024090817</v>
      </c>
      <c r="F58" s="15">
        <f>(F55*F37)</f>
        <v/>
      </c>
      <c r="G58" s="15">
        <f>(G55*G37)</f>
        <v/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-71.855688469</v>
      </c>
      <c r="E59" s="13" t="n">
        <v>68.62015982299999</v>
      </c>
      <c r="F59" s="15">
        <f>(F57-F58)</f>
        <v/>
      </c>
      <c r="G59" s="15">
        <f>(G57-G58)</f>
        <v/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8.820938729</v>
      </c>
      <c r="E60" s="13" t="n">
        <v>11.489803717</v>
      </c>
      <c r="F60" s="15">
        <f>IF(1000=0,0,((F41*F24)*$C$10)/1000)</f>
        <v/>
      </c>
      <c r="G60" s="15">
        <f>IF(1000=0,0,((G41*G24)*$C$10)/1000)</f>
        <v/>
      </c>
      <c r="H60" s="15">
        <f>IF(1000=0,0,((H41*H24)*$C$10)/1000)</f>
        <v/>
      </c>
      <c r="I60" s="15">
        <f>IF(1000=0,0,((I41*I24)*$C$10)/1000)</f>
        <v/>
      </c>
      <c r="J60" s="15">
        <f>IF(1000=0,0,((J41*J24)*$C$10)/1000)</f>
        <v/>
      </c>
      <c r="K60" s="15">
        <f>IF(1000=0,0,((K41*K24)*$C$10)/1000)</f>
        <v/>
      </c>
      <c r="L60" s="15">
        <f>IF(1000=0,0,((L41*L24)*$C$10)/1000)</f>
        <v/>
      </c>
      <c r="M60" s="15">
        <f>IF(1000=0,0,((M41*M24)*$C$10)/1000)</f>
        <v/>
      </c>
      <c r="N60" s="15">
        <f>IF(1000=0,0,((N41*N24)*$C$10)/1000)</f>
        <v/>
      </c>
      <c r="O60" s="15">
        <f>IF(1000=0,0,((O41*O24)*$C$10)/1000)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-63.03474974</v>
      </c>
      <c r="E61" s="13" t="n">
        <v>80.10996354</v>
      </c>
      <c r="F61" s="15">
        <f>(F59+F60)</f>
        <v/>
      </c>
      <c r="G61" s="15">
        <f>(G59+G60)</f>
        <v/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9.10455383</v>
      </c>
      <c r="E62" s="13" t="n">
        <v>31.257290623</v>
      </c>
      <c r="F62" s="15">
        <f>(E82*$C$29)</f>
        <v/>
      </c>
      <c r="G62" s="15">
        <f>(F82*$C$29)</f>
        <v/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/>
      <c r="E63" s="13" t="n"/>
      <c r="F63" s="15">
        <f>(E81*$C$30)</f>
        <v/>
      </c>
      <c r="G63" s="15">
        <f>(F81*$C$30)</f>
        <v/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/>
      <c r="E64" s="13" t="n"/>
      <c r="F64" s="15">
        <f>F32</f>
        <v/>
      </c>
      <c r="G64" s="15">
        <f>G32</f>
        <v/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-165.282610741</v>
      </c>
      <c r="E65" s="13" t="n">
        <v>37.694027644</v>
      </c>
      <c r="F65" s="15">
        <f>(((F59-F62)+F63)+F64)</f>
        <v/>
      </c>
      <c r="G65" s="15">
        <f>(((G59-G62)+G63)+G64)</f>
        <v/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0.0819621</v>
      </c>
      <c r="E66" s="13" t="n">
        <v>-1.334025896</v>
      </c>
      <c r="F66" s="15">
        <f>(MAX(F65,0)*F28)</f>
        <v/>
      </c>
      <c r="G66" s="15">
        <f>(MAX(G65,0)*G28)</f>
        <v/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-165.364572841</v>
      </c>
      <c r="E67" s="13" t="n">
        <v>39.02805354</v>
      </c>
      <c r="F67" s="15">
        <f>(F65-F66)</f>
        <v/>
      </c>
      <c r="G67" s="15">
        <f>(G65-G66)</f>
        <v/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-0.001248674000009942</v>
      </c>
      <c r="E68" s="13" t="n">
        <v>-0.001729044000001068</v>
      </c>
      <c r="F68" s="15">
        <f>(F67*F33)</f>
        <v/>
      </c>
      <c r="G68" s="15">
        <f>(G67*G33)</f>
        <v/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-165.363324167</v>
      </c>
      <c r="E69" s="13" t="n">
        <v>39.029782584</v>
      </c>
      <c r="F69" s="15">
        <f>(F67-F68)</f>
        <v/>
      </c>
      <c r="G69" s="15">
        <f>(G67-G68)</f>
        <v/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1400</v>
      </c>
      <c r="E70" s="13" t="n">
        <v>1400</v>
      </c>
      <c r="F70" s="15">
        <f>(E70*(1+F35))</f>
        <v/>
      </c>
      <c r="G70" s="15">
        <f>(F70*(1+G35))</f>
        <v/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-118.1166601192857</v>
      </c>
      <c r="E71" s="20" t="n">
        <v>27.87841613142857</v>
      </c>
      <c r="F71" s="21">
        <f>(IF(F70=0,0,F69/F70)*$C$8)</f>
        <v/>
      </c>
      <c r="G71" s="21">
        <f>(IF(G70=0,0,G69/G70)*$C$8)</f>
        <v/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  <c r="M71" s="21">
        <f>(IF(M70=0,0,M69/M70)*$C$8)</f>
        <v/>
      </c>
      <c r="N71" s="21">
        <f>(IF(N70=0,0,N69/N70)*$C$8)</f>
        <v/>
      </c>
      <c r="O71" s="21">
        <f>(IF(O70=0,0,O69/O70)*$C$8)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</v>
      </c>
      <c r="E72" s="20" t="n">
        <v>0</v>
      </c>
      <c r="F72" s="21">
        <f>(MAX(F71,0)*F34)</f>
        <v/>
      </c>
      <c r="G72" s="21">
        <f>(MAX(G71,0)*G34)</f>
        <v/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  <c r="M72" s="21">
        <f>(MAX(M71,0)*M34)</f>
        <v/>
      </c>
      <c r="N72" s="21">
        <f>(MAX(N71,0)*N34)</f>
        <v/>
      </c>
      <c r="O72" s="21">
        <f>(MAX(O71,0)*O34)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/>
      <c r="E73" s="13" t="n"/>
      <c r="F73" s="15">
        <f>IF($C$8=0,0,(E72*E70)/$C$8)</f>
        <v/>
      </c>
      <c r="G73" s="15">
        <f>IF($C$8=0,0,(F72*F70)/$C$8)</f>
        <v/>
      </c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7.191254433</v>
      </c>
      <c r="E74" s="13" t="n">
        <v>6.994160188</v>
      </c>
      <c r="F74" s="15">
        <f>(IF(1000=0,0,((F41*F25)*$C$10)/1000)+F26)</f>
        <v/>
      </c>
      <c r="G74" s="15">
        <f>(IF(1000=0,0,((G41*G25)*$C$10)/1000)+G26)</f>
        <v/>
      </c>
      <c r="H74" s="15">
        <f>(IF(1000=0,0,((H41*H25)*$C$10)/1000)+H26)</f>
        <v/>
      </c>
      <c r="I74" s="15">
        <f>(IF(1000=0,0,((I41*I25)*$C$10)/1000)+I26)</f>
        <v/>
      </c>
      <c r="J74" s="15">
        <f>(IF(1000=0,0,((J41*J25)*$C$10)/1000)+J26)</f>
        <v/>
      </c>
      <c r="K74" s="15">
        <f>(IF(1000=0,0,((K41*K25)*$C$10)/1000)+K26)</f>
        <v/>
      </c>
      <c r="L74" s="15">
        <f>(IF(1000=0,0,((L41*L25)*$C$10)/1000)+L26)</f>
        <v/>
      </c>
      <c r="M74" s="15">
        <f>(IF(1000=0,0,((M41*M25)*$C$10)/1000)+M26)</f>
        <v/>
      </c>
      <c r="N74" s="15">
        <f>(IF(1000=0,0,((N41*N25)*$C$10)/1000)+N26)</f>
        <v/>
      </c>
      <c r="O74" s="15">
        <f>(IF(1000=0,0,((O41*O25)*$C$10)/1000)+O26)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-27.44550927899999</v>
      </c>
      <c r="F75" s="15">
        <f>(F80-E80)</f>
        <v/>
      </c>
      <c r="G75" s="15">
        <f>(G80-F80)</f>
        <v/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102.9898424515885</v>
      </c>
      <c r="F76" s="15">
        <f>((((F59*(1-F28))+F60)-F74)-F75)</f>
        <v/>
      </c>
      <c r="G76" s="15">
        <f>((((G59*(1-G28))+G60)-G74)-G75)</f>
        <v/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-18.06946316099999</v>
      </c>
      <c r="F77" s="15">
        <f>F31</f>
        <v/>
      </c>
      <c r="G77" s="15">
        <f>G31</f>
        <v/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5">
        <f>(MAX(E68,0)*F34)</f>
        <v/>
      </c>
      <c r="G78" s="15">
        <f>(MAX(F68,0)*G34)</f>
        <v/>
      </c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5">
        <f>(((((F67+F60)-F74)-F75)+F77)-F78)</f>
        <v/>
      </c>
      <c r="G79" s="15">
        <f>(((((G67+G60)-G74)-G75)+G77)-G78)</f>
        <v/>
      </c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-23.86304908700001</v>
      </c>
      <c r="E80" s="13" t="n">
        <v>-51.308558366</v>
      </c>
      <c r="F80" s="15">
        <f>(F55*F27)</f>
        <v/>
      </c>
      <c r="G80" s="15">
        <f>(G55*G27)</f>
        <v/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1.942543427</v>
      </c>
      <c r="E81" s="13" t="n">
        <v>15.314049786</v>
      </c>
      <c r="F81" s="15">
        <f>(((((((E81+F67)+F60)-F74)-F75)+F77)-F73)-F78)</f>
        <v/>
      </c>
      <c r="G81" s="15">
        <f>(((((((F81+G67)+G60)-G74)-G75)+G77)-G73)-G78)</f>
        <v/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218.276145693</v>
      </c>
      <c r="E82" s="13" t="n">
        <v>200.206682532</v>
      </c>
      <c r="F82" s="15">
        <f>(E82+F77)</f>
        <v/>
      </c>
      <c r="G82" s="15">
        <f>(F82+G77)</f>
        <v/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362.982797183</v>
      </c>
      <c r="E83" s="13" t="n">
        <v>354.19444453</v>
      </c>
      <c r="F83" s="15">
        <f>((E83+F74)-F60)</f>
        <v/>
      </c>
      <c r="G83" s="15">
        <f>((F83+G74)-G60)</f>
        <v/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-78.016564558</v>
      </c>
      <c r="E84" s="13" t="n">
        <v>-39.383249599</v>
      </c>
      <c r="F84" s="15">
        <f>((E84+F69)-F73)</f>
        <v/>
      </c>
      <c r="G84" s="15">
        <f>((F84+G69)-G73)</f>
        <v/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0.002301699</v>
      </c>
      <c r="E85" s="13" t="n">
        <v>0.000569324</v>
      </c>
      <c r="F85" s="15">
        <f>((E85+F68)-F78)</f>
        <v/>
      </c>
      <c r="G85" s="15">
        <f>((F85+G68)-G78)</f>
        <v/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-200.800408689</v>
      </c>
      <c r="E86" s="13" t="n">
        <v>-157.375933693</v>
      </c>
      <c r="F86" s="15">
        <f>E86</f>
        <v/>
      </c>
      <c r="G86" s="15">
        <f>F86</f>
        <v/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5">
        <f>((((((F81+F80)+F83)+F86)-F82)-F84)-F85)</f>
        <v/>
      </c>
      <c r="G87" s="15">
        <f>((((((G81+G80)+G83)+G86)-G82)-G84)-G85)</f>
        <v/>
      </c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216.333602266</v>
      </c>
      <c r="E88" s="13" t="n">
        <v>184.892632746</v>
      </c>
      <c r="F88" s="15">
        <f>(F82-F81)</f>
        <v/>
      </c>
      <c r="G88" s="15">
        <f>(G82-G81)</f>
        <v/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-55.72611754142856</v>
      </c>
      <c r="E89" s="20" t="n">
        <v>-28.13089257071429</v>
      </c>
      <c r="F89" s="21">
        <f>(IF(F70=0,0,F84/F70)*$C$8)</f>
        <v/>
      </c>
      <c r="G89" s="21">
        <f>(IF(G70=0,0,G84/G70)*$C$8)</f>
        <v/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  <c r="M89" s="21">
        <f>(IF(M70=0,0,M84/M70)*$C$8)</f>
        <v/>
      </c>
      <c r="N89" s="21">
        <f>(IF(N70=0,0,N84/N70)*$C$8)</f>
        <v/>
      </c>
      <c r="O89" s="21">
        <f>(IF(O70=0,0,O84/O70)*$C$8)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9.494401883434714</v>
      </c>
      <c r="F90" s="17">
        <f>(IF(E55=0,0,F55/E55)-1)</f>
        <v/>
      </c>
      <c r="G90" s="17">
        <f>(IF(F55=0,0,G55/F55)-1)</f>
        <v/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  <c r="L90" s="17">
        <f>(IF(K55=0,0,L55/K55)-1)</f>
        <v/>
      </c>
      <c r="M90" s="17">
        <f>(IF(L55=0,0,M55/L55)-1)</f>
        <v/>
      </c>
      <c r="N90" s="17">
        <f>(IF(M55=0,0,N55/M55)-1)</f>
        <v/>
      </c>
      <c r="O90" s="17">
        <f>(IF(N55=0,0,O55/N55)-1)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-0.5746079466389662</v>
      </c>
      <c r="E91" s="4" t="n">
        <v>0.4042557630902776</v>
      </c>
      <c r="F91" s="17">
        <f>IF(F55=0,0,F57/F55)</f>
        <v/>
      </c>
      <c r="G91" s="17">
        <f>IF(G55=0,0,G57/G55)</f>
        <v/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  <c r="L91" s="17">
        <f>IF(L55=0,0,L57/L55)</f>
        <v/>
      </c>
      <c r="M91" s="17">
        <f>IF(M55=0,0,M57/M55)</f>
        <v/>
      </c>
      <c r="N91" s="17">
        <f>IF(N55=0,0,N57/N55)</f>
        <v/>
      </c>
      <c r="O91" s="17">
        <f>IF(O55=0,0,O57/O55)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-1.44829874728529</v>
      </c>
      <c r="E92" s="4" t="n">
        <v>0.175390862860592</v>
      </c>
      <c r="F92" s="17">
        <f>IF(F55=0,0,F61/F55)</f>
        <v/>
      </c>
      <c r="G92" s="17">
        <f>IF(G55=0,0,G61/G55)</f>
        <v/>
      </c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  <c r="L92" s="17">
        <f>IF(L55=0,0,L61/L55)</f>
        <v/>
      </c>
      <c r="M92" s="17">
        <f>IF(M55=0,0,M61/M55)</f>
        <v/>
      </c>
      <c r="N92" s="17">
        <f>IF(N55=0,0,N61/N55)</f>
        <v/>
      </c>
      <c r="O92" s="17">
        <f>IF(O55=0,0,O61/O55)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-1.650970361970613</v>
      </c>
      <c r="E93" s="4" t="n">
        <v>0.1502353578650461</v>
      </c>
      <c r="F93" s="17">
        <f>IF(F55=0,0,F59/F55)</f>
        <v/>
      </c>
      <c r="G93" s="17">
        <f>IF(G55=0,0,G59/G55)</f>
        <v/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  <c r="L93" s="17">
        <f>IF(L55=0,0,L59/L55)</f>
        <v/>
      </c>
      <c r="M93" s="17">
        <f>IF(M55=0,0,M59/M55)</f>
        <v/>
      </c>
      <c r="N93" s="17">
        <f>IF(N55=0,0,N59/N55)</f>
        <v/>
      </c>
      <c r="O93" s="17">
        <f>IF(O55=0,0,O59/O55)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-3.799420101227445</v>
      </c>
      <c r="E94" s="4" t="n">
        <v>0.08545088453636646</v>
      </c>
      <c r="F94" s="17">
        <f>IF(F55=0,0,F69/F55)</f>
        <v/>
      </c>
      <c r="G94" s="17">
        <f>IF(G55=0,0,G69/G55)</f>
        <v/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  <c r="L94" s="17">
        <f>IF(L55=0,0,L69/L55)</f>
        <v/>
      </c>
      <c r="M94" s="17">
        <f>IF(M55=0,0,M69/M55)</f>
        <v/>
      </c>
      <c r="N94" s="17">
        <f>IF(N55=0,0,N69/N55)</f>
        <v/>
      </c>
      <c r="O94" s="17">
        <f>IF(O55=0,0,O69/O55)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-1.23602441944493</v>
      </c>
      <c r="F95" s="17">
        <f>(IF(E71=0,0,F71/E71)-1)</f>
        <v/>
      </c>
      <c r="G95" s="17">
        <f>(IF(F71=0,0,G71/F71)-1)</f>
        <v/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  <c r="L95" s="17">
        <f>(IF(K71=0,0,L71/K71)-1)</f>
        <v/>
      </c>
      <c r="M95" s="17">
        <f>(IF(L71=0,0,M71/L71)-1)</f>
        <v/>
      </c>
      <c r="N95" s="17">
        <f>(IF(M71=0,0,N71/M71)-1)</f>
        <v/>
      </c>
      <c r="O95" s="17">
        <f>(IF(N71=0,0,O71/N71)-1)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-0.6649036519223968</v>
      </c>
      <c r="F96" s="17">
        <f>IF(IF(2=0,0,(F84+E84)/2)=0,0,F69/IF(2=0,0,(F84+E84)/2))</f>
        <v/>
      </c>
      <c r="G96" s="17">
        <f>IF(IF(2=0,0,(G84+F84)/2)=0,0,G69/IF(2=0,0,(G84+F84)/2))</f>
        <v/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  <c r="L96" s="17">
        <f>IF(IF(2=0,0,(L84+K84)/2)=0,0,L69/IF(2=0,0,(L84+K84)/2))</f>
        <v/>
      </c>
      <c r="M96" s="17">
        <f>IF(IF(2=0,0,(M84+L84)/2)=0,0,M69/IF(2=0,0,(M84+L84)/2))</f>
        <v/>
      </c>
      <c r="N96" s="17">
        <f>IF(IF(2=0,0,(N84+M84)/2)=0,0,N69/IF(2=0,0,(N84+M84)/2))</f>
        <v/>
      </c>
      <c r="O96" s="17">
        <f>IF(IF(2=0,0,(O84+N84)/2)=0,0,O69/IF(2=0,0,(O84+N84)/2))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>
        <v>-3.431973683695313</v>
      </c>
      <c r="E97" s="22" t="n">
        <v>2.307985481152798</v>
      </c>
      <c r="F97" s="23">
        <f>IF(F61=0,0,F88/F61)</f>
        <v/>
      </c>
      <c r="G97" s="23">
        <f>IF(G61=0,0,G88/G61)</f>
        <v/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  <c r="M97" s="23">
        <f>IF(M61=0,0,M88/M61)</f>
        <v/>
      </c>
      <c r="N97" s="23">
        <f>IF(N61=0,0,N88/N61)</f>
        <v/>
      </c>
      <c r="O97" s="23">
        <f>IF(O61=0,0,O88/O61)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-0</v>
      </c>
      <c r="E98" s="4" t="n">
        <v>0</v>
      </c>
      <c r="F98" s="17">
        <f>IF(F71=0,0,F72/F71)</f>
        <v/>
      </c>
      <c r="G98" s="17">
        <f>IF(G71=0,0,G72/G71)</f>
        <v/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  <c r="L98" s="17">
        <f>IF(L71=0,0,L72/L71)</f>
        <v/>
      </c>
      <c r="M98" s="17">
        <f>IF(M71=0,0,M72/M71)</f>
        <v/>
      </c>
      <c r="N98" s="17">
        <f>IF(N71=0,0,N72/N71)</f>
        <v/>
      </c>
      <c r="O98" s="17">
        <f>IF(O71=0,0,O72/O71)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0.1652276693360866</v>
      </c>
      <c r="E99" s="4" t="n">
        <v>0.01531284919067535</v>
      </c>
      <c r="F99" s="17">
        <f>IF(F55=0,0,F74/F55)</f>
        <v/>
      </c>
      <c r="G99" s="17">
        <f>IF(G55=0,0,G74/G55)</f>
        <v/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  <c r="L99" s="17">
        <f>IF(L55=0,0,L74/L55)</f>
        <v/>
      </c>
      <c r="M99" s="17">
        <f>IF(M55=0,0,M74/M55)</f>
        <v/>
      </c>
      <c r="N99" s="17">
        <f>IF(N55=0,0,N74/N55)</f>
        <v/>
      </c>
      <c r="O99" s="17">
        <f>IF(O55=0,0,O74/O55)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50</v>
      </c>
    </row>
    <row r="103">
      <c r="A103" t="inlineStr">
        <is>
          <t>Shares outstanding (m)</t>
        </is>
      </c>
      <c r="C103" s="13" t="n">
        <v>1400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200.206682532</v>
      </c>
    </row>
    <row r="106">
      <c r="A106" t="inlineStr">
        <is>
          <t>Cash at balance-sheet date</t>
        </is>
      </c>
      <c r="C106" s="13" t="n">
        <v>15.314049786</v>
      </c>
    </row>
    <row r="107">
      <c r="A107" t="inlineStr">
        <is>
          <t>Minority interest (book)</t>
        </is>
      </c>
      <c r="C107" s="13" t="n">
        <v>0.000569324</v>
      </c>
    </row>
    <row r="108">
      <c r="A108" t="inlineStr">
        <is>
          <t>Associates &amp; investments (book)</t>
        </is>
      </c>
      <c r="C108" s="13" t="n">
        <v>0</v>
      </c>
    </row>
    <row r="109">
      <c r="A109" t="inlineStr">
        <is>
          <t>Post-balance-sheet &amp; other items (sourced, probability-weighted)</t>
        </is>
      </c>
      <c r="C109" s="13" t="n">
        <v>0</v>
      </c>
    </row>
    <row r="110">
      <c r="A110" t="inlineStr">
        <is>
          <t>Parent equity at balance-sheet date</t>
        </is>
      </c>
      <c r="C110" s="13" t="n">
        <v>-39.383818923</v>
      </c>
    </row>
    <row r="111">
      <c r="A111" t="inlineStr">
        <is>
          <t>Per-share factor</t>
        </is>
      </c>
      <c r="C111" s="24" t="n">
        <v>1000</v>
      </c>
    </row>
    <row r="112">
      <c r="A112" t="inlineStr">
        <is>
          <t>Risk-free rate</t>
        </is>
      </c>
      <c r="C112" s="9">
        <f>Drivers!$C$11</f>
        <v/>
      </c>
    </row>
    <row r="113">
      <c r="A113" t="inlineStr">
        <is>
          <t>Less: default spread (IDR only)</t>
        </is>
      </c>
      <c r="C113" s="9">
        <f>Drivers!$C$13</f>
        <v/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2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0.04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F126" s="6" t="n">
        <v>0.996578</v>
      </c>
      <c r="G126" s="6" t="n">
        <v>0.999316</v>
      </c>
      <c r="H126" s="6" t="n">
        <v>0.996578</v>
      </c>
      <c r="I126" s="6" t="n">
        <v>0.996578</v>
      </c>
      <c r="J126" s="6" t="n">
        <v>0.996578</v>
      </c>
      <c r="K126" s="6" t="n">
        <v>0.999316</v>
      </c>
      <c r="L126" s="6" t="n">
        <v>0.996578</v>
      </c>
      <c r="M126" s="6" t="n">
        <v>0.996578</v>
      </c>
      <c r="N126" s="6" t="n">
        <v>0.996578</v>
      </c>
      <c r="O126" s="6" t="n">
        <v>0.999316</v>
      </c>
    </row>
    <row r="127">
      <c r="A127" t="inlineStr">
        <is>
          <t>Discount time from valuation date (years)</t>
        </is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0.670773</v>
      </c>
      <c r="K127" s="6" t="n">
        <v>1.670089</v>
      </c>
      <c r="L127" s="6" t="n">
        <v>2.672142</v>
      </c>
      <c r="M127" s="6" t="n">
        <v>3.671458</v>
      </c>
      <c r="N127" s="6" t="n">
        <v>4.670773</v>
      </c>
      <c r="O127" s="6" t="n">
        <v>5.670089</v>
      </c>
    </row>
    <row r="128">
      <c r="A128" t="inlineStr">
        <is>
          <t>Discount factor</t>
        </is>
      </c>
      <c r="F128">
        <f>1/(1+$C$122)^F127</f>
        <v/>
      </c>
      <c r="G128">
        <f>1/(1+$C$122)^G127</f>
        <v/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</row>
    <row r="129">
      <c r="A129" t="inlineStr">
        <is>
          <t>PV of FCFF</t>
        </is>
      </c>
      <c r="F129" s="26">
        <f>F76*F126*F128</f>
        <v/>
      </c>
      <c r="G129" s="26">
        <f>G76*G126*G128</f>
        <v/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  <c r="M129" s="26">
        <f>M76*M126*M128</f>
        <v/>
      </c>
      <c r="N129" s="26">
        <f>N76*N126*N128</f>
        <v/>
      </c>
      <c r="O129" s="26">
        <f>O76*O126*O128</f>
        <v/>
      </c>
    </row>
    <row r="130">
      <c r="A130" t="inlineStr">
        <is>
          <t>Cumulative PV (production stops at its peak)</t>
        </is>
      </c>
      <c r="F130" s="26">
        <f>F129</f>
        <v/>
      </c>
      <c r="G130" s="26">
        <f>F130+G129</f>
        <v/>
      </c>
      <c r="H130" s="26">
        <f>G130+H129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  <c r="M130" s="26">
        <f>L130+M129</f>
        <v/>
      </c>
      <c r="N130" s="26">
        <f>M130+N129</f>
        <v/>
      </c>
      <c r="O130" s="26">
        <f>N130+O129</f>
        <v/>
      </c>
    </row>
    <row r="131">
      <c r="A131" t="inlineStr">
        <is>
          <t>Best cumulative PV (never below zero)</t>
        </is>
      </c>
      <c r="C131" s="26">
        <f>MAX(0,MAX(F130:O130))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MAX(0,$C$134/$C$103*$C$111*1)</f>
        <v/>
      </c>
    </row>
    <row r="137">
      <c r="A137" s="1" t="inlineStr">
        <is>
          <t>TARGET</t>
        </is>
      </c>
    </row>
    <row r="138">
      <c r="A138" t="inlineStr">
        <is>
          <t>Weight: DCF to end of life (no terminal value)</t>
        </is>
      </c>
      <c r="C138" s="4" t="n">
        <v>1</v>
      </c>
    </row>
    <row r="139">
      <c r="A139" t="inlineStr">
        <is>
          <t>Value today (weighted)</t>
        </is>
      </c>
      <c r="C139" s="27">
        <f>$C$135*$C$138</f>
        <v/>
      </c>
    </row>
    <row r="140">
      <c r="A140" t="inlineStr">
        <is>
          <t>DPS expected in next 12 months (IDR)</t>
        </is>
      </c>
      <c r="C140" s="20" t="n">
        <v>0</v>
      </c>
    </row>
    <row r="141">
      <c r="A141" t="inlineStr">
        <is>
          <t>Base-case 12-month value</t>
        </is>
      </c>
      <c r="C141" s="27">
        <f>MAX(0,$C$139*(1+$C$120)-$C$140)</f>
        <v/>
      </c>
    </row>
    <row r="142">
      <c r="A142" t="inlineStr">
        <is>
          <t>Bear probability</t>
        </is>
      </c>
      <c r="C142" s="4" t="n">
        <v>0.25</v>
      </c>
    </row>
    <row r="143">
      <c r="A143" t="inlineStr">
        <is>
          <t>Bear 12-month value (engine)</t>
        </is>
      </c>
      <c r="C143" s="20" t="n">
        <v>0</v>
      </c>
    </row>
    <row r="144">
      <c r="A144" t="inlineStr">
        <is>
          <t>Base probability</t>
        </is>
      </c>
      <c r="C144" s="4" t="n">
        <v>0.5</v>
      </c>
    </row>
    <row r="145">
      <c r="A145" t="inlineStr">
        <is>
          <t>Bull probability</t>
        </is>
      </c>
      <c r="C145" s="4" t="n">
        <v>0.25</v>
      </c>
    </row>
    <row r="146">
      <c r="A146" t="inlineStr">
        <is>
          <t>Bull 12-month value (engine)</t>
        </is>
      </c>
      <c r="C146" s="20" t="n">
        <v>144.5535857449295</v>
      </c>
    </row>
    <row r="147">
      <c r="A147" t="inlineStr">
        <is>
          <t>Probability-weighted 12-month value</t>
        </is>
      </c>
      <c r="C147" s="27">
        <f>$C$142*$C$143+$C$144*$C$141+$C$145*$C$146</f>
        <v/>
      </c>
    </row>
    <row r="148">
      <c r="A148" t="inlineStr">
        <is>
          <t>Liquidity discount (limits.yaml)</t>
        </is>
      </c>
      <c r="C148" s="4" t="n">
        <v>0.3</v>
      </c>
    </row>
    <row r="149">
      <c r="A149" t="inlineStr">
        <is>
          <t>TARGET PRICE (IDR)</t>
        </is>
      </c>
      <c r="C149" s="28">
        <f>$C$147*(1-$C$148)</f>
        <v/>
      </c>
    </row>
    <row r="150">
      <c r="A150" t="inlineStr">
        <is>
          <t>Expected 12-month total return</t>
        </is>
      </c>
      <c r="C150" s="29">
        <f>($C$149+$C$140)/$C$102-1</f>
        <v/>
      </c>
    </row>
    <row r="151">
      <c r="A151" t="inlineStr">
        <is>
          <t>Rating</t>
        </is>
      </c>
      <c r="C151" s="30">
        <f>IF($C$150&gt;=0.25,"BUY",IF($C$150&gt;=0.1,"ADD",IF($C$150&lt;=-0.25,"SELL",IF($C$150&lt;=-0.1,"REDUCE","HOLD"))))</f>
        <v/>
      </c>
    </row>
    <row r="153">
      <c r="A153" s="1" t="inlineStr">
        <is>
          <t>12-month value vs benchmark price and IDR/USD (engine values)</t>
        </is>
      </c>
    </row>
    <row r="154">
      <c r="A154" s="5" t="inlineStr">
        <is>
          <t>rows: IDR per USD (x deck) · columns: Benchmark price (x deck)</t>
        </is>
      </c>
      <c r="D154" s="1" t="n">
        <v>0.8</v>
      </c>
      <c r="E154" s="1" t="n">
        <v>0.9</v>
      </c>
      <c r="F154" s="1" t="n">
        <v>1</v>
      </c>
      <c r="G154" s="1" t="n">
        <v>1.1</v>
      </c>
      <c r="H154" s="1" t="n">
        <v>1.2</v>
      </c>
    </row>
    <row r="155">
      <c r="C155" s="1" t="n">
        <v>0.9</v>
      </c>
      <c r="D155" s="27" t="n">
        <v>0</v>
      </c>
      <c r="E155" s="27" t="n">
        <v>0</v>
      </c>
      <c r="F155" s="27" t="n">
        <v>0</v>
      </c>
      <c r="G155" s="27" t="n">
        <v>0</v>
      </c>
      <c r="H155" s="27" t="n">
        <v>52.900625</v>
      </c>
    </row>
    <row r="156">
      <c r="C156" s="1" t="n">
        <v>0.95</v>
      </c>
      <c r="D156" s="27" t="n">
        <v>0</v>
      </c>
      <c r="E156" s="27" t="n">
        <v>0</v>
      </c>
      <c r="F156" s="27" t="n">
        <v>0</v>
      </c>
      <c r="G156" s="27" t="n">
        <v>0</v>
      </c>
      <c r="H156" s="27" t="n">
        <v>63.971215</v>
      </c>
    </row>
    <row r="157">
      <c r="C157" s="1" t="n">
        <v>1</v>
      </c>
      <c r="D157" s="27" t="n">
        <v>0</v>
      </c>
      <c r="E157" s="27" t="n">
        <v>0</v>
      </c>
      <c r="F157" s="27" t="n">
        <v>0</v>
      </c>
      <c r="G157" s="27" t="n">
        <v>0</v>
      </c>
      <c r="H157" s="27" t="n">
        <v>74.581451</v>
      </c>
    </row>
    <row r="158">
      <c r="C158" s="1" t="n">
        <v>1.05</v>
      </c>
      <c r="D158" s="27" t="n">
        <v>0</v>
      </c>
      <c r="E158" s="27" t="n">
        <v>0</v>
      </c>
      <c r="F158" s="27" t="n">
        <v>0</v>
      </c>
      <c r="G158" s="27" t="n">
        <v>0</v>
      </c>
      <c r="H158" s="27" t="n">
        <v>84.717134</v>
      </c>
    </row>
    <row r="159">
      <c r="C159" s="1" t="n">
        <v>1.1</v>
      </c>
      <c r="D159" s="27" t="n">
        <v>0</v>
      </c>
      <c r="E159" s="27" t="n">
        <v>0</v>
      </c>
      <c r="F159" s="27" t="n">
        <v>0</v>
      </c>
      <c r="G159" s="27" t="n">
        <v>0</v>
      </c>
      <c r="H159" s="27" t="n">
        <v>94.36406599999999</v>
      </c>
    </row>
    <row r="161">
      <c r="A161" s="1" t="inlineStr">
        <is>
          <t>12-month value vs volume and unit cost intensity (engine values)</t>
        </is>
      </c>
    </row>
    <row r="162">
      <c r="A162" s="5" t="inlineStr">
        <is>
          <t>rows: Volume (x plan) · columns: Cost intensity / strip ratio (x)</t>
        </is>
      </c>
      <c r="D162" s="1" t="n">
        <v>0.85</v>
      </c>
      <c r="E162" s="1" t="n">
        <v>0.925</v>
      </c>
      <c r="F162" s="1" t="n">
        <v>1</v>
      </c>
      <c r="G162" s="1" t="n">
        <v>1.075</v>
      </c>
      <c r="H162" s="1" t="n">
        <v>1.15</v>
      </c>
    </row>
    <row r="163">
      <c r="C163" s="1" t="n">
        <v>0.9</v>
      </c>
      <c r="D163" s="27" t="n">
        <v>0</v>
      </c>
      <c r="E163" s="27" t="n">
        <v>0</v>
      </c>
      <c r="F163" s="27" t="n">
        <v>0</v>
      </c>
      <c r="G163" s="27" t="n">
        <v>0</v>
      </c>
      <c r="H163" s="27" t="n">
        <v>0</v>
      </c>
    </row>
    <row r="164">
      <c r="C164" s="1" t="n">
        <v>0.95</v>
      </c>
      <c r="D164" s="27" t="n">
        <v>0</v>
      </c>
      <c r="E164" s="27" t="n">
        <v>0</v>
      </c>
      <c r="F164" s="27" t="n">
        <v>0</v>
      </c>
      <c r="G164" s="27" t="n">
        <v>0</v>
      </c>
      <c r="H164" s="27" t="n">
        <v>0</v>
      </c>
    </row>
    <row r="165">
      <c r="C165" s="1" t="n">
        <v>1</v>
      </c>
      <c r="D165" s="27" t="n">
        <v>0</v>
      </c>
      <c r="E165" s="27" t="n">
        <v>0</v>
      </c>
      <c r="F165" s="27" t="n">
        <v>0</v>
      </c>
      <c r="G165" s="27" t="n">
        <v>0</v>
      </c>
      <c r="H165" s="27" t="n">
        <v>0</v>
      </c>
    </row>
    <row r="166">
      <c r="C166" s="1" t="n">
        <v>1.05</v>
      </c>
      <c r="D166" s="27" t="n">
        <v>0</v>
      </c>
      <c r="E166" s="27" t="n">
        <v>0</v>
      </c>
      <c r="F166" s="27" t="n">
        <v>0</v>
      </c>
      <c r="G166" s="27" t="n">
        <v>0</v>
      </c>
      <c r="H166" s="27" t="n">
        <v>0</v>
      </c>
    </row>
    <row r="167">
      <c r="C167" s="1" t="n">
        <v>1.1</v>
      </c>
      <c r="D167" s="27" t="n">
        <v>0</v>
      </c>
      <c r="E167" s="27" t="n">
        <v>0</v>
      </c>
      <c r="F167" s="27" t="n">
        <v>0</v>
      </c>
      <c r="G167" s="27" t="n">
        <v>0</v>
      </c>
      <c r="H167" s="2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 Baramulti Suksessarana Tbk (BSSR.JK) — Coal producers</t>
        </is>
      </c>
    </row>
    <row r="2">
      <c r="A2" s="5" t="inlineStr">
        <is>
          <t>Units: USD m; per-share in USD unless marked IDR. Model asof 2026-10-30 · data 2026-10-26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10</v>
      </c>
    </row>
    <row r="8">
      <c r="A8" t="inlineStr">
        <is>
          <t>ps_factor</t>
        </is>
      </c>
      <c r="C8" s="6" t="n">
        <v>1</v>
      </c>
    </row>
    <row r="9">
      <c r="A9" t="inlineStr">
        <is>
          <t>reserves</t>
        </is>
      </c>
      <c r="C9" s="6" t="n">
        <v>0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17</v>
      </c>
      <c r="I14" s="13" t="n">
        <v>17</v>
      </c>
      <c r="J14" s="13" t="n">
        <v>17</v>
      </c>
      <c r="K14" s="13" t="n">
        <v>17</v>
      </c>
      <c r="L14" s="13" t="n">
        <v>17</v>
      </c>
      <c r="M14" s="13" t="n">
        <v>17</v>
      </c>
      <c r="N14" s="13" t="n">
        <v>17</v>
      </c>
      <c r="O14" s="13" t="n">
        <v>17</v>
      </c>
      <c r="P14" s="13" t="n">
        <v>17</v>
      </c>
      <c r="Q14" s="13" t="n">
        <v>17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0.369</v>
      </c>
      <c r="I15" s="14" t="n">
        <v>0.369</v>
      </c>
      <c r="J15" s="14" t="n">
        <v>0.369</v>
      </c>
      <c r="K15" s="14" t="n">
        <v>0.369</v>
      </c>
      <c r="L15" s="14" t="n">
        <v>0.369</v>
      </c>
      <c r="M15" s="14" t="n">
        <v>0.369</v>
      </c>
      <c r="N15" s="14" t="n">
        <v>0.369</v>
      </c>
      <c r="O15" s="14" t="n">
        <v>0.369</v>
      </c>
      <c r="P15" s="14" t="n">
        <v>0.369</v>
      </c>
      <c r="Q15" s="14" t="n">
        <v>0.369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0.3</v>
      </c>
      <c r="I16" s="4" t="n">
        <v>0.3</v>
      </c>
      <c r="J16" s="4" t="n">
        <v>0.3</v>
      </c>
      <c r="K16" s="4" t="n">
        <v>0.3</v>
      </c>
      <c r="L16" s="4" t="n">
        <v>0.3</v>
      </c>
      <c r="M16" s="4" t="n">
        <v>0.3</v>
      </c>
      <c r="N16" s="4" t="n">
        <v>0.3</v>
      </c>
      <c r="O16" s="4" t="n">
        <v>0.3</v>
      </c>
      <c r="P16" s="4" t="n">
        <v>0.3</v>
      </c>
      <c r="Q16" s="4" t="n">
        <v>0.3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1</v>
      </c>
      <c r="I17" s="14" t="n">
        <v>1</v>
      </c>
      <c r="J17" s="14" t="n">
        <v>1</v>
      </c>
      <c r="K17" s="14" t="n">
        <v>1</v>
      </c>
      <c r="L17" s="14" t="n">
        <v>1</v>
      </c>
      <c r="M17" s="14" t="n">
        <v>1</v>
      </c>
      <c r="N17" s="14" t="n">
        <v>1</v>
      </c>
      <c r="O17" s="14" t="n">
        <v>1</v>
      </c>
      <c r="P17" s="14" t="n">
        <v>1</v>
      </c>
      <c r="Q17" s="14" t="n">
        <v>1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22.26</v>
      </c>
      <c r="I18" s="3" t="n">
        <v>22.26</v>
      </c>
      <c r="J18" s="3" t="n">
        <v>22.26</v>
      </c>
      <c r="K18" s="3" t="n">
        <v>22.26</v>
      </c>
      <c r="L18" s="3" t="n">
        <v>22.26</v>
      </c>
      <c r="M18" s="3" t="n">
        <v>22.7052</v>
      </c>
      <c r="N18" s="3" t="n">
        <v>23.159304</v>
      </c>
      <c r="O18" s="3" t="n">
        <v>23.62249008000001</v>
      </c>
      <c r="P18" s="3" t="n">
        <v>24.0949398816</v>
      </c>
      <c r="Q18" s="3" t="n">
        <v>24.576838679232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0.3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0.1475</v>
      </c>
      <c r="I21" s="4" t="n">
        <v>0.1475</v>
      </c>
      <c r="J21" s="4" t="n">
        <v>0.1475</v>
      </c>
      <c r="K21" s="4" t="n">
        <v>0.1475</v>
      </c>
      <c r="L21" s="4" t="n">
        <v>0.1475</v>
      </c>
      <c r="M21" s="4" t="n">
        <v>0.1475</v>
      </c>
      <c r="N21" s="4" t="n">
        <v>0.1475</v>
      </c>
      <c r="O21" s="4" t="n">
        <v>0.1475</v>
      </c>
      <c r="P21" s="4" t="n">
        <v>0.1475</v>
      </c>
      <c r="Q21" s="4" t="n">
        <v>0.1475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0.1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0.68815</v>
      </c>
      <c r="I24" s="3" t="n">
        <v>0.68815</v>
      </c>
      <c r="J24" s="3" t="n">
        <v>0.68815</v>
      </c>
      <c r="K24" s="3" t="n">
        <v>0.68815</v>
      </c>
      <c r="L24" s="3" t="n">
        <v>0.68815</v>
      </c>
      <c r="M24" s="3" t="n">
        <v>0.701913</v>
      </c>
      <c r="N24" s="3" t="n">
        <v>0.7159512600000001</v>
      </c>
      <c r="O24" s="3" t="n">
        <v>0.7302702852000001</v>
      </c>
      <c r="P24" s="3" t="n">
        <v>0.7448756909040001</v>
      </c>
      <c r="Q24" s="3" t="n">
        <v>0.7597732047220801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1.55</v>
      </c>
      <c r="I25" s="3" t="n">
        <v>1.55</v>
      </c>
      <c r="J25" s="3" t="n">
        <v>1.55</v>
      </c>
      <c r="K25" s="3" t="n">
        <v>1.55</v>
      </c>
      <c r="L25" s="3" t="n">
        <v>1.55</v>
      </c>
      <c r="M25" s="3" t="n">
        <v>1.581</v>
      </c>
      <c r="N25" s="3" t="n">
        <v>1.61262</v>
      </c>
      <c r="O25" s="3" t="n">
        <v>1.6448724</v>
      </c>
      <c r="P25" s="3" t="n">
        <v>1.677769848</v>
      </c>
      <c r="Q25" s="3" t="n">
        <v>1.71132524496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0.055363</v>
      </c>
      <c r="I27" s="4" t="n">
        <v>0.055363</v>
      </c>
      <c r="J27" s="4" t="n">
        <v>0.055363</v>
      </c>
      <c r="K27" s="4" t="n">
        <v>0.055363</v>
      </c>
      <c r="L27" s="4" t="n">
        <v>0.055363</v>
      </c>
      <c r="M27" s="4" t="n">
        <v>0.055363</v>
      </c>
      <c r="N27" s="4" t="n">
        <v>0.055363</v>
      </c>
      <c r="O27" s="4" t="n">
        <v>0.055363</v>
      </c>
      <c r="P27" s="4" t="n">
        <v>0.055363</v>
      </c>
      <c r="Q27" s="4" t="n">
        <v>0.055363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0.231966</v>
      </c>
      <c r="I28" s="4" t="n">
        <v>0.231966</v>
      </c>
      <c r="J28" s="4" t="n">
        <v>0.231966</v>
      </c>
      <c r="K28" s="4" t="n">
        <v>0.231966</v>
      </c>
      <c r="L28" s="4" t="n">
        <v>0.231966</v>
      </c>
      <c r="M28" s="4" t="n">
        <v>0.231966</v>
      </c>
      <c r="N28" s="4" t="n">
        <v>0.231966</v>
      </c>
      <c r="O28" s="4" t="n">
        <v>0.231966</v>
      </c>
      <c r="P28" s="4" t="n">
        <v>0.231966</v>
      </c>
      <c r="Q28" s="4" t="n">
        <v>0.231966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0.040524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0.042371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3e-06</v>
      </c>
      <c r="I33" s="4" t="n">
        <v>3e-06</v>
      </c>
      <c r="J33" s="4" t="n">
        <v>3e-06</v>
      </c>
      <c r="K33" s="4" t="n">
        <v>3e-06</v>
      </c>
      <c r="L33" s="4" t="n">
        <v>3e-06</v>
      </c>
      <c r="M33" s="4" t="n">
        <v>3e-06</v>
      </c>
      <c r="N33" s="4" t="n">
        <v>3e-06</v>
      </c>
      <c r="O33" s="4" t="n">
        <v>3e-06</v>
      </c>
      <c r="P33" s="4" t="n">
        <v>3e-06</v>
      </c>
      <c r="Q33" s="4" t="n">
        <v>3e-06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0.7</v>
      </c>
      <c r="I34" s="4" t="n">
        <v>0.7</v>
      </c>
      <c r="J34" s="4" t="n">
        <v>0.7</v>
      </c>
      <c r="K34" s="4" t="n">
        <v>0.7</v>
      </c>
      <c r="L34" s="4" t="n">
        <v>0.7</v>
      </c>
      <c r="M34" s="4" t="n">
        <v>0.7</v>
      </c>
      <c r="N34" s="4" t="n">
        <v>0.7</v>
      </c>
      <c r="O34" s="4" t="n">
        <v>0.7</v>
      </c>
      <c r="P34" s="4" t="n">
        <v>0.7</v>
      </c>
      <c r="Q34" s="4" t="n">
        <v>0.7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0.151</v>
      </c>
      <c r="I37" s="4" t="n">
        <v>0.151</v>
      </c>
      <c r="J37" s="4" t="n">
        <v>0.151</v>
      </c>
      <c r="K37" s="4" t="n">
        <v>0.151</v>
      </c>
      <c r="L37" s="4" t="n">
        <v>0.151</v>
      </c>
      <c r="M37" s="4" t="n">
        <v>0.151</v>
      </c>
      <c r="N37" s="4" t="n">
        <v>0.151</v>
      </c>
      <c r="O37" s="4" t="n">
        <v>0.151</v>
      </c>
      <c r="P37" s="4" t="n">
        <v>0.151</v>
      </c>
      <c r="Q37" s="4" t="n">
        <v>0.151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/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  <c r="P40" s="15">
        <f>MAX((O40-P41),0)</f>
        <v/>
      </c>
      <c r="Q40" s="15">
        <f>MAX((P40-Q41),0)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/>
      <c r="F41" s="13" t="n">
        <v>20.79</v>
      </c>
      <c r="G41" s="13" t="n">
        <v>17.579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  <c r="P41" s="15">
        <f>IF(($C$9&gt;0),MIN(P14,MAX(O40,0)),P14)</f>
        <v/>
      </c>
      <c r="Q41" s="15">
        <f>IF(($C$9&gt;0),MIN(Q14,MAX(P40,0)),Q14)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  <c r="K42" s="16">
        <f>Drivers!$O$6</f>
        <v/>
      </c>
      <c r="L42" s="16">
        <f>Drivers!$P$6</f>
        <v/>
      </c>
      <c r="M42" s="16">
        <f>Drivers!$Q$6</f>
        <v/>
      </c>
      <c r="N42" s="16">
        <f>Drivers!$R$6</f>
        <v/>
      </c>
      <c r="O42" s="16">
        <f>Drivers!$S$6</f>
        <v/>
      </c>
      <c r="P42" s="16">
        <f>Drivers!$T$6</f>
        <v/>
      </c>
      <c r="Q42" s="16">
        <f>Drivers!$U$6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/>
      <c r="G43" s="3" t="n"/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  <c r="K43" s="16">
        <f>(((K15*K42)*(1-K16))+(MIN(Drivers!$O$4,(K15*K42))*K16))</f>
        <v/>
      </c>
      <c r="L43" s="16">
        <f>(((L15*L42)*(1-L16))+(MIN(Drivers!$P$4,(L15*L42))*L16))</f>
        <v/>
      </c>
      <c r="M43" s="16">
        <f>(((M15*M42)*(1-M16))+(MIN(Drivers!$Q$4,(M15*M42))*M16))</f>
        <v/>
      </c>
      <c r="N43" s="16">
        <f>(((N15*N42)*(1-N16))+(MIN(Drivers!$R$4,(N15*N42))*N16))</f>
        <v/>
      </c>
      <c r="O43" s="16">
        <f>(((O15*O42)*(1-O16))+(MIN(Drivers!$S$4,(O15*O42))*O16))</f>
        <v/>
      </c>
      <c r="P43" s="16">
        <f>(((P15*P42)*(1-P16))+(MIN(Drivers!$T$4,(P15*P42))*P16))</f>
        <v/>
      </c>
      <c r="Q43" s="16">
        <f>(((Q15*Q42)*(1-Q16))+(MIN(Drivers!$U$4,(Q15*Q42))*Q16))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  <c r="L44" s="17">
        <f>IF(L42=0,0,L43/L42)</f>
        <v/>
      </c>
      <c r="M44" s="17">
        <f>IF(M42=0,0,M43/M42)</f>
        <v/>
      </c>
      <c r="N44" s="17">
        <f>IF(N42=0,0,N43/N42)</f>
        <v/>
      </c>
      <c r="O44" s="17">
        <f>IF(O42=0,0,O43/O42)</f>
        <v/>
      </c>
      <c r="P44" s="17">
        <f>IF(P42=0,0,P43/P42)</f>
        <v/>
      </c>
      <c r="Q44" s="17">
        <f>IF(Q42=0,0,Q43/Q42)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6">
        <f>(((H17*H18)*(1+($C$19*(IF(Drivers!$J$8=0,0,Drivers!$L$8/Drivers!$J$8)-1))))+H20)</f>
        <v/>
      </c>
      <c r="I45" s="16">
        <f>(((I17*I18)*(1+($C$19*(IF(Drivers!$J$8=0,0,Drivers!$M$8/Drivers!$J$8)-1))))+I20)</f>
        <v/>
      </c>
      <c r="J45" s="16">
        <f>(((J17*J18)*(1+($C$19*(IF(Drivers!$J$8=0,0,Drivers!$N$8/Drivers!$J$8)-1))))+J20)</f>
        <v/>
      </c>
      <c r="K45" s="16">
        <f>(((K17*K18)*(1+($C$19*(IF(Drivers!$J$8=0,0,Drivers!$O$8/Drivers!$J$8)-1))))+K20)</f>
        <v/>
      </c>
      <c r="L45" s="16">
        <f>(((L17*L18)*(1+($C$19*(IF(Drivers!$J$8=0,0,Drivers!$P$8/Drivers!$J$8)-1))))+L20)</f>
        <v/>
      </c>
      <c r="M45" s="16">
        <f>(((M17*M18)*(1+($C$19*(IF(Drivers!$J$8=0,0,Drivers!$Q$8/Drivers!$J$8)-1))))+M20)</f>
        <v/>
      </c>
      <c r="N45" s="16">
        <f>(((N17*N18)*(1+($C$19*(IF(Drivers!$J$8=0,0,Drivers!$R$8/Drivers!$J$8)-1))))+N20)</f>
        <v/>
      </c>
      <c r="O45" s="16">
        <f>(((O17*O18)*(1+($C$19*(IF(Drivers!$J$8=0,0,Drivers!$S$8/Drivers!$J$8)-1))))+O20)</f>
        <v/>
      </c>
      <c r="P45" s="16">
        <f>(((P17*P18)*(1+($C$19*(IF(Drivers!$J$8=0,0,Drivers!$T$8/Drivers!$J$8)-1))))+P20)</f>
        <v/>
      </c>
      <c r="Q45" s="16">
        <f>(((Q17*Q18)*(1+($C$19*(IF(Drivers!$J$8=0,0,Drivers!$U$8/Drivers!$J$8)-1))))+Q20)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/>
      <c r="H46" s="18">
        <f>H17</f>
        <v/>
      </c>
      <c r="I46" s="18">
        <f>I17</f>
        <v/>
      </c>
      <c r="J46" s="18">
        <f>J17</f>
        <v/>
      </c>
      <c r="K46" s="18">
        <f>K17</f>
        <v/>
      </c>
      <c r="L46" s="18">
        <f>L17</f>
        <v/>
      </c>
      <c r="M46" s="18">
        <f>M17</f>
        <v/>
      </c>
      <c r="N46" s="18">
        <f>N17</f>
        <v/>
      </c>
      <c r="O46" s="18">
        <f>O17</f>
        <v/>
      </c>
      <c r="P46" s="18">
        <f>P17</f>
        <v/>
      </c>
      <c r="Q46" s="18">
        <f>Q17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7">
        <f>H21</f>
        <v/>
      </c>
      <c r="I47" s="17">
        <f>I21</f>
        <v/>
      </c>
      <c r="J47" s="17">
        <f>J21</f>
        <v/>
      </c>
      <c r="K47" s="17">
        <f>K21</f>
        <v/>
      </c>
      <c r="L47" s="17">
        <f>L21</f>
        <v/>
      </c>
      <c r="M47" s="17">
        <f>M21</f>
        <v/>
      </c>
      <c r="N47" s="17">
        <f>N21</f>
        <v/>
      </c>
      <c r="O47" s="17">
        <f>O21</f>
        <v/>
      </c>
      <c r="P47" s="17">
        <f>P21</f>
        <v/>
      </c>
      <c r="Q47" s="17">
        <f>Q21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/>
      <c r="F48" s="3" t="n">
        <v>8.170989033189034</v>
      </c>
      <c r="G48" s="3" t="n">
        <v>5.828293873371637</v>
      </c>
      <c r="H48" s="19">
        <f>IF((H41*$C$10)=0,0,H61/(H41*$C$10))</f>
        <v/>
      </c>
      <c r="I48" s="19">
        <f>IF((I41*$C$10)=0,0,I61/(I41*$C$10))</f>
        <v/>
      </c>
      <c r="J48" s="19">
        <f>IF((J41*$C$10)=0,0,J61/(J41*$C$10))</f>
        <v/>
      </c>
      <c r="K48" s="19">
        <f>IF((K41*$C$10)=0,0,K61/(K41*$C$10))</f>
        <v/>
      </c>
      <c r="L48" s="19">
        <f>IF((L41*$C$10)=0,0,L61/(L41*$C$10))</f>
        <v/>
      </c>
      <c r="M48" s="19">
        <f>IF((M41*$C$10)=0,0,M61/(M41*$C$10))</f>
        <v/>
      </c>
      <c r="N48" s="19">
        <f>IF((N41*$C$10)=0,0,N61/(N41*$C$10))</f>
        <v/>
      </c>
      <c r="O48" s="19">
        <f>IF((O41*$C$10)=0,0,O61/(O41*$C$10))</f>
        <v/>
      </c>
      <c r="P48" s="19">
        <f>IF((P41*$C$10)=0,0,P61/(P41*$C$10))</f>
        <v/>
      </c>
      <c r="Q48" s="19">
        <f>IF((Q41*$C$10)=0,0,Q61/(Q41*$C$10))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9">
        <f>IF((H41*$C$10)=0,0,(H53+H52)/(H41*$C$10))</f>
        <v/>
      </c>
      <c r="I49" s="19">
        <f>IF((I41*$C$10)=0,0,(I53+I52)/(I41*$C$10))</f>
        <v/>
      </c>
      <c r="J49" s="19">
        <f>IF((J41*$C$10)=0,0,(J53+J52)/(J41*$C$10))</f>
        <v/>
      </c>
      <c r="K49" s="19">
        <f>IF((K41*$C$10)=0,0,(K53+K52)/(K41*$C$10))</f>
        <v/>
      </c>
      <c r="L49" s="19">
        <f>IF((L41*$C$10)=0,0,(L53+L52)/(L41*$C$10))</f>
        <v/>
      </c>
      <c r="M49" s="19">
        <f>IF((M41*$C$10)=0,0,(M53+M52)/(M41*$C$10))</f>
        <v/>
      </c>
      <c r="N49" s="19">
        <f>IF((N41*$C$10)=0,0,(N53+N52)/(N41*$C$10))</f>
        <v/>
      </c>
      <c r="O49" s="19">
        <f>IF((O41*$C$10)=0,0,(O53+O52)/(O41*$C$10))</f>
        <v/>
      </c>
      <c r="P49" s="19">
        <f>IF((P41*$C$10)=0,0,(P53+P52)/(P41*$C$10))</f>
        <v/>
      </c>
      <c r="Q49" s="19">
        <f>IF((Q41*$C$10)=0,0,(Q53+Q52)/(Q41*$C$10))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15">
        <f>((H41*H43)*$C$10)</f>
        <v/>
      </c>
      <c r="I50" s="15">
        <f>((I41*I43)*$C$10)</f>
        <v/>
      </c>
      <c r="J50" s="15">
        <f>((J41*J43)*$C$10)</f>
        <v/>
      </c>
      <c r="K50" s="15">
        <f>((K41*K43)*$C$10)</f>
        <v/>
      </c>
      <c r="L50" s="15">
        <f>((L41*L43)*$C$10)</f>
        <v/>
      </c>
      <c r="M50" s="15">
        <f>((M41*M43)*$C$10)</f>
        <v/>
      </c>
      <c r="N50" s="15">
        <f>((N41*N43)*$C$10)</f>
        <v/>
      </c>
      <c r="O50" s="15">
        <f>((O41*O43)*$C$10)</f>
        <v/>
      </c>
      <c r="P50" s="15">
        <f>((P41*P43)*$C$10)</f>
        <v/>
      </c>
      <c r="Q50" s="15">
        <f>((Q41*Q43)*$C$10)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  <c r="P51" s="15">
        <f>P22</f>
        <v/>
      </c>
      <c r="Q51" s="15">
        <f>Q22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  <c r="P52" s="15">
        <f>(P50*P47)</f>
        <v/>
      </c>
      <c r="Q52" s="15">
        <f>(Q50*Q47)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((H41*H45)*$C$10)</f>
        <v/>
      </c>
      <c r="I53" s="15">
        <f>((I41*I45)*$C$10)</f>
        <v/>
      </c>
      <c r="J53" s="15">
        <f>((J41*J45)*$C$10)</f>
        <v/>
      </c>
      <c r="K53" s="15">
        <f>((K41*K45)*$C$10)</f>
        <v/>
      </c>
      <c r="L53" s="15">
        <f>((L41*L45)*$C$10)</f>
        <v/>
      </c>
      <c r="M53" s="15">
        <f>((M41*M45)*$C$10)</f>
        <v/>
      </c>
      <c r="N53" s="15">
        <f>((N41*N45)*$C$10)</f>
        <v/>
      </c>
      <c r="O53" s="15">
        <f>((O41*O45)*$C$10)</f>
        <v/>
      </c>
      <c r="P53" s="15">
        <f>((P41*P45)*$C$10)</f>
        <v/>
      </c>
      <c r="Q53" s="15">
        <f>((Q41*Q45)*$C$10)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  <c r="P54" s="15">
        <f>(P51*(1-$C$23))</f>
        <v/>
      </c>
      <c r="Q54" s="15">
        <f>(Q51*(1-$C$23))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1029.015864</v>
      </c>
      <c r="E55" s="13" t="n">
        <v>1134.336606</v>
      </c>
      <c r="F55" s="13" t="n">
        <v>947.76946</v>
      </c>
      <c r="G55" s="13" t="n">
        <v>703.773741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  <c r="P55" s="15">
        <f>(P50+P51)</f>
        <v/>
      </c>
      <c r="Q55" s="15">
        <f>(Q50+Q51)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565.71483</v>
      </c>
      <c r="E56" s="13" t="n">
        <v>783.055356</v>
      </c>
      <c r="F56" s="13" t="n">
        <v>638.6086309999999</v>
      </c>
      <c r="G56" s="13" t="n">
        <v>495.179758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  <c r="P56" s="15">
        <f>(((P53+P52)+P54)+P60)</f>
        <v/>
      </c>
      <c r="Q56" s="15">
        <f>(((Q53+Q52)+Q54)+Q60)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463.301034</v>
      </c>
      <c r="E57" s="13" t="n">
        <v>351.28125</v>
      </c>
      <c r="F57" s="13" t="n">
        <v>309.160829</v>
      </c>
      <c r="G57" s="13" t="n">
        <v>208.593983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  <c r="P57" s="15">
        <f>(P55-P56)</f>
        <v/>
      </c>
      <c r="Q57" s="15">
        <f>(Q55-Q56)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157.68718</v>
      </c>
      <c r="E58" s="13" t="n">
        <v>130.724857</v>
      </c>
      <c r="F58" s="13" t="n">
        <v>139.399698</v>
      </c>
      <c r="G58" s="13" t="n">
        <v>106.263242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  <c r="P58" s="15">
        <f>(P55*P37)</f>
        <v/>
      </c>
      <c r="Q58" s="15">
        <f>(Q55*Q37)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305.613854</v>
      </c>
      <c r="E59" s="13" t="n">
        <v>220.556393</v>
      </c>
      <c r="F59" s="13" t="n">
        <v>169.761131</v>
      </c>
      <c r="G59" s="13" t="n">
        <v>102.330741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  <c r="P59" s="15">
        <f>(P57-P58)</f>
        <v/>
      </c>
      <c r="Q59" s="15">
        <f>(Q57-Q58)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/>
      <c r="E60" s="13" t="n"/>
      <c r="F60" s="13" t="n">
        <v>0.113731</v>
      </c>
      <c r="G60" s="13" t="n">
        <v>0.124837</v>
      </c>
      <c r="H60" s="15">
        <f>((H41*H24)*$C$10)</f>
        <v/>
      </c>
      <c r="I60" s="15">
        <f>((I41*I24)*$C$10)</f>
        <v/>
      </c>
      <c r="J60" s="15">
        <f>((J41*J24)*$C$10)</f>
        <v/>
      </c>
      <c r="K60" s="15">
        <f>((K41*K24)*$C$10)</f>
        <v/>
      </c>
      <c r="L60" s="15">
        <f>((L41*L24)*$C$10)</f>
        <v/>
      </c>
      <c r="M60" s="15">
        <f>((M41*M24)*$C$10)</f>
        <v/>
      </c>
      <c r="N60" s="15">
        <f>((N41*N24)*$C$10)</f>
        <v/>
      </c>
      <c r="O60" s="15">
        <f>((O41*O24)*$C$10)</f>
        <v/>
      </c>
      <c r="P60" s="15">
        <f>((P41*P24)*$C$10)</f>
        <v/>
      </c>
      <c r="Q60" s="15">
        <f>((Q41*Q24)*$C$10)</f>
        <v/>
      </c>
    </row>
    <row r="61">
      <c r="A61" t="inlineStr">
        <is>
          <t>EBITDA</t>
        </is>
      </c>
      <c r="B61" t="inlineStr">
        <is>
          <t>ebitda</t>
        </is>
      </c>
      <c r="D61" s="13" t="n"/>
      <c r="E61" s="13" t="n"/>
      <c r="F61" s="13" t="n">
        <v>169.874862</v>
      </c>
      <c r="G61" s="13" t="n">
        <v>102.455578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  <c r="P61" s="15">
        <f>(P59+P60)</f>
        <v/>
      </c>
      <c r="Q61" s="15">
        <f>(Q59+Q60)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0.473804</v>
      </c>
      <c r="E62" s="13" t="n">
        <v>0.370239</v>
      </c>
      <c r="F62" s="13" t="n">
        <v>0.228144</v>
      </c>
      <c r="G62" s="13" t="n">
        <v>0.101082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  <c r="P62" s="15">
        <f>(O82*$C$29)</f>
        <v/>
      </c>
      <c r="Q62" s="15">
        <f>(P82*$C$29)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0.975606</v>
      </c>
      <c r="E63" s="13" t="n">
        <v>2.669803</v>
      </c>
      <c r="F63" s="13" t="n">
        <v>2.130542</v>
      </c>
      <c r="G63" s="13" t="n">
        <v>1.790177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  <c r="P63" s="15">
        <f>(O81*$C$30)</f>
        <v/>
      </c>
      <c r="Q63" s="15">
        <f>(P81*$C$30)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2.665519000000015</v>
      </c>
      <c r="E64" s="13" t="n">
        <v>-2.266003000000008</v>
      </c>
      <c r="F64" s="13" t="n">
        <v>-0.03322300000001599</v>
      </c>
      <c r="G64" s="13" t="n">
        <v>0.6994599999999966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  <c r="P64" s="15">
        <f>P32</f>
        <v/>
      </c>
      <c r="Q64" s="15">
        <f>Q32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308.781175</v>
      </c>
      <c r="E65" s="13" t="n">
        <v>220.589954</v>
      </c>
      <c r="F65" s="13" t="n">
        <v>171.630306</v>
      </c>
      <c r="G65" s="13" t="n">
        <v>104.719296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  <c r="P65" s="15">
        <f>(((P59-P62)+P63)+P64)</f>
        <v/>
      </c>
      <c r="Q65" s="15">
        <f>(((Q59-Q62)+Q63)+Q64)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68.88515599999999</v>
      </c>
      <c r="E66" s="13" t="n">
        <v>58.320495</v>
      </c>
      <c r="F66" s="13" t="n">
        <v>40.078628</v>
      </c>
      <c r="G66" s="13" t="n">
        <v>20.733919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  <c r="P66" s="15">
        <f>(MAX(P65,0)*P28)</f>
        <v/>
      </c>
      <c r="Q66" s="15">
        <f>(MAX(Q65,0)*Q28)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239.896019</v>
      </c>
      <c r="E67" s="13" t="n">
        <v>162.269459</v>
      </c>
      <c r="F67" s="13" t="n">
        <v>131.551678</v>
      </c>
      <c r="G67" s="13" t="n">
        <v>83.985377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  <c r="P67" s="15">
        <f>(P65-P66)</f>
        <v/>
      </c>
      <c r="Q67" s="15">
        <f>(Q65-Q66)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0.000415000000003829</v>
      </c>
      <c r="E68" s="13" t="n">
        <v>0.0003790000000094551</v>
      </c>
      <c r="F68" s="13" t="n">
        <v>0.0003300000000194814</v>
      </c>
      <c r="G68" s="13" t="n">
        <v>0.0002350000000035379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  <c r="P68" s="15">
        <f>(P67*P33)</f>
        <v/>
      </c>
      <c r="Q68" s="15">
        <f>(Q67*Q33)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239.895604</v>
      </c>
      <c r="E69" s="13" t="n">
        <v>162.26908</v>
      </c>
      <c r="F69" s="13" t="n">
        <v>131.551348</v>
      </c>
      <c r="G69" s="13" t="n">
        <v>83.98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  <c r="P69" s="15">
        <f>(P67-P68)</f>
        <v/>
      </c>
      <c r="Q69" s="15">
        <f>(Q67-Q68)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2616.5</v>
      </c>
      <c r="E70" s="13" t="n">
        <v>2616.5</v>
      </c>
      <c r="F70" s="13" t="n">
        <v>2616.5</v>
      </c>
      <c r="G70" s="13" t="n">
        <v>2616.5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  <c r="P70" s="15">
        <f>(O70*(1+P35))</f>
        <v/>
      </c>
      <c r="Q70" s="15">
        <f>(P70*(1+Q35))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0.09168568851519204</v>
      </c>
      <c r="E71" s="20" t="n">
        <v>0.06201761131282248</v>
      </c>
      <c r="F71" s="20" t="n">
        <v>0.0502776029046436</v>
      </c>
      <c r="G71" s="20" t="n">
        <v>0.0320963118669979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  <c r="M71" s="21">
        <f>(IF(M70=0,0,M69/M70)*$C$8)</f>
        <v/>
      </c>
      <c r="N71" s="21">
        <f>(IF(N70=0,0,N69/N70)*$C$8)</f>
        <v/>
      </c>
      <c r="O71" s="21">
        <f>(IF(O70=0,0,O69/O70)*$C$8)</f>
        <v/>
      </c>
      <c r="P71" s="21">
        <f>(IF(P70=0,0,P69/P70)*$C$8)</f>
        <v/>
      </c>
      <c r="Q71" s="21">
        <f>(IF(Q70=0,0,Q69/Q70)*$C$8)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0.04525846698987342</v>
      </c>
      <c r="E72" s="20" t="n">
        <v>0.03995871156871297</v>
      </c>
      <c r="F72" s="20" t="n">
        <v>0.03049684128037601</v>
      </c>
      <c r="G72" s="20" t="n">
        <v>0.047773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  <c r="M72" s="21">
        <f>(MAX(M71,0)*M34)</f>
        <v/>
      </c>
      <c r="N72" s="21">
        <f>(MAX(N71,0)*N34)</f>
        <v/>
      </c>
      <c r="O72" s="21">
        <f>(MAX(O71,0)*O34)</f>
        <v/>
      </c>
      <c r="P72" s="21">
        <f>(MAX(P71,0)*P34)</f>
        <v/>
      </c>
      <c r="Q72" s="21">
        <f>(MAX(Q71,0)*Q34)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>
        <v>336</v>
      </c>
      <c r="E73" s="13" t="n">
        <v>120</v>
      </c>
      <c r="F73" s="13" t="n">
        <v>105</v>
      </c>
      <c r="G73" s="13" t="n">
        <v>80</v>
      </c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  <c r="P73" s="15">
        <f>IF($C$8=0,0,(O72*O70)/$C$8)</f>
        <v/>
      </c>
      <c r="Q73" s="15">
        <f>IF($C$8=0,0,(P72*P70)/$C$8)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48.337064</v>
      </c>
      <c r="E74" s="13" t="n">
        <v>34.777342</v>
      </c>
      <c r="F74" s="13" t="n">
        <v>35.526853</v>
      </c>
      <c r="G74" s="13" t="n">
        <v>33.889158</v>
      </c>
      <c r="H74" s="15">
        <f>(((H41*H25)*$C$10)+H26)</f>
        <v/>
      </c>
      <c r="I74" s="15">
        <f>(((I41*I25)*$C$10)+I26)</f>
        <v/>
      </c>
      <c r="J74" s="15">
        <f>(((J41*J25)*$C$10)+J26)</f>
        <v/>
      </c>
      <c r="K74" s="15">
        <f>(((K41*K25)*$C$10)+K26)</f>
        <v/>
      </c>
      <c r="L74" s="15">
        <f>(((L41*L25)*$C$10)+L26)</f>
        <v/>
      </c>
      <c r="M74" s="15">
        <f>(((M41*M25)*$C$10)+M26)</f>
        <v/>
      </c>
      <c r="N74" s="15">
        <f>(((N41*N25)*$C$10)+N26)</f>
        <v/>
      </c>
      <c r="O74" s="15">
        <f>(((O41*O25)*$C$10)+O26)</f>
        <v/>
      </c>
      <c r="P74" s="15">
        <f>(((P41*P25)*$C$10)+P26)</f>
        <v/>
      </c>
      <c r="Q74" s="15">
        <f>(((Q41*Q25)*$C$10)+Q26)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58.13189199999997</v>
      </c>
      <c r="F75" s="13" t="n">
        <v>33.08928700000003</v>
      </c>
      <c r="G75" s="13" t="n">
        <v>22.90926299999998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  <c r="P75" s="15">
        <f>(P80-O80)</f>
        <v/>
      </c>
      <c r="Q75" s="15">
        <f>(Q80-P80)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/>
      <c r="F76" s="13" t="n">
        <v>61.61657850694888</v>
      </c>
      <c r="G76" s="13" t="n">
        <v>25.39616044876289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  <c r="P76" s="15">
        <f>((((P59*(1-P28))+P60)-P74)-P75)</f>
        <v/>
      </c>
      <c r="Q76" s="15">
        <f>((((Q59*(1-Q28))+Q60)-Q74)-Q75)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-2.728702000000001</v>
      </c>
      <c r="F77" s="13" t="n">
        <v>-2.70326</v>
      </c>
      <c r="G77" s="13" t="n">
        <v>-1.549148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  <c r="P77" s="15">
        <f>P31</f>
        <v/>
      </c>
      <c r="Q77" s="15">
        <f>Q31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  <c r="P78" s="15">
        <f>(MAX(O68,0)*P34)</f>
        <v/>
      </c>
      <c r="Q78" s="15">
        <f>(MAX(P68,0)*Q34)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  <c r="P79" s="15">
        <f>(((((P67+P60)-P74)-P75)+P77)-P78)</f>
        <v/>
      </c>
      <c r="Q79" s="15">
        <f>(((((Q67+Q60)-Q74)-Q75)+Q77)-Q78)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-42.76135299999999</v>
      </c>
      <c r="E80" s="13" t="n">
        <v>15.37053899999998</v>
      </c>
      <c r="F80" s="13" t="n">
        <v>48.45982600000001</v>
      </c>
      <c r="G80" s="13" t="n">
        <v>71.36908899999999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  <c r="P80" s="15">
        <f>(P55*P27)</f>
        <v/>
      </c>
      <c r="Q80" s="15">
        <f>(Q55*Q27)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87.540447</v>
      </c>
      <c r="E81" s="13" t="n">
        <v>45.591329</v>
      </c>
      <c r="F81" s="13" t="n">
        <v>35.886262</v>
      </c>
      <c r="G81" s="13" t="n">
        <v>44.249952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  <c r="P81" s="15">
        <f>(((((((O81+P67)+P60)-P74)-P75)+P77)-P73)-P78)</f>
        <v/>
      </c>
      <c r="Q81" s="15">
        <f>(((((((P81+Q67)+Q60)-Q74)-Q75)+Q77)-Q73)-Q78)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8.269431000000001</v>
      </c>
      <c r="E82" s="13" t="n">
        <v>5.540729</v>
      </c>
      <c r="F82" s="13" t="n">
        <v>2.837469</v>
      </c>
      <c r="G82" s="13" t="n">
        <v>1.288321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  <c r="P82" s="15">
        <f>(O82+P77)</f>
        <v/>
      </c>
      <c r="Q82" s="15">
        <f>(P82+Q77)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156.734314</v>
      </c>
      <c r="E83" s="13" t="n">
        <v>152.337241</v>
      </c>
      <c r="F83" s="13" t="n">
        <v>143.946572</v>
      </c>
      <c r="G83" s="13" t="n">
        <v>117.030277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  <c r="P83" s="15">
        <f>((O83+P74)-P60)</f>
        <v/>
      </c>
      <c r="Q83" s="15">
        <f>((P83+Q74)-Q60)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220.476682</v>
      </c>
      <c r="E84" s="13" t="n">
        <v>242.482287</v>
      </c>
      <c r="F84" s="13" t="n">
        <v>264.068159</v>
      </c>
      <c r="G84" s="13" t="n">
        <v>273.024633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  <c r="P84" s="15">
        <f>((O84+P69)-P73)</f>
        <v/>
      </c>
      <c r="Q84" s="15">
        <f>((P84+Q69)-Q73)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0.001092</v>
      </c>
      <c r="E85" s="13" t="n">
        <v>0.001173</v>
      </c>
      <c r="F85" s="13" t="n">
        <v>0.00142</v>
      </c>
      <c r="G85" s="13" t="n">
        <v>0.001448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  <c r="P85" s="15">
        <f>((O85+P68)-P78)</f>
        <v/>
      </c>
      <c r="Q85" s="15">
        <f>((P85+Q68)-Q78)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27.23379699999998</v>
      </c>
      <c r="E86" s="13" t="n">
        <v>34.72508000000002</v>
      </c>
      <c r="F86" s="13" t="n">
        <v>38.61438799999996</v>
      </c>
      <c r="G86" s="13" t="n">
        <v>41.66508399999999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  <c r="P86" s="15">
        <f>O86</f>
        <v/>
      </c>
      <c r="Q86" s="15">
        <f>P86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  <c r="P87" s="15">
        <f>((((((P81+P80)+P83)+P86)-P82)-P84)-P85)</f>
        <v/>
      </c>
      <c r="Q87" s="15">
        <f>((((((Q81+Q80)+Q83)+Q86)-Q82)-Q84)-Q85)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-79.271016</v>
      </c>
      <c r="E88" s="13" t="n">
        <v>-40.0506</v>
      </c>
      <c r="F88" s="13" t="n">
        <v>-33.048793</v>
      </c>
      <c r="G88" s="13" t="n">
        <v>-42.961631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  <c r="P88" s="15">
        <f>(P82-P81)</f>
        <v/>
      </c>
      <c r="Q88" s="15">
        <f>(Q82-Q81)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0.08426397171794382</v>
      </c>
      <c r="E89" s="20" t="n">
        <v>0.09267429275750048</v>
      </c>
      <c r="F89" s="20" t="n">
        <v>0.1009241960634435</v>
      </c>
      <c r="G89" s="20" t="n">
        <v>0.1043472703993885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  <c r="M89" s="21">
        <f>(IF(M70=0,0,M84/M70)*$C$8)</f>
        <v/>
      </c>
      <c r="N89" s="21">
        <f>(IF(N70=0,0,N84/N70)*$C$8)</f>
        <v/>
      </c>
      <c r="O89" s="21">
        <f>(IF(O70=0,0,O84/O70)*$C$8)</f>
        <v/>
      </c>
      <c r="P89" s="21">
        <f>(IF(P70=0,0,P84/P70)*$C$8)</f>
        <v/>
      </c>
      <c r="Q89" s="21">
        <f>(IF(Q70=0,0,Q84/Q70)*$C$8)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0.1023509410152301</v>
      </c>
      <c r="F90" s="4" t="n">
        <v>-0.1644724722918799</v>
      </c>
      <c r="G90" s="4" t="n">
        <v>-0.2574420566368535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  <c r="L90" s="17">
        <f>(IF(K55=0,0,L55/K55)-1)</f>
        <v/>
      </c>
      <c r="M90" s="17">
        <f>(IF(L55=0,0,M55/L55)-1)</f>
        <v/>
      </c>
      <c r="N90" s="17">
        <f>(IF(M55=0,0,N55/M55)-1)</f>
        <v/>
      </c>
      <c r="O90" s="17">
        <f>(IF(N55=0,0,O55/N55)-1)</f>
        <v/>
      </c>
      <c r="P90" s="17">
        <f>(IF(O55=0,0,P55/O55)-1)</f>
        <v/>
      </c>
      <c r="Q90" s="17">
        <f>(IF(P55=0,0,Q55/P55)-1)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0.4502370179202602</v>
      </c>
      <c r="E91" s="4" t="n">
        <v>0.3096799028982408</v>
      </c>
      <c r="F91" s="4" t="n">
        <v>0.3261983446902794</v>
      </c>
      <c r="G91" s="4" t="n">
        <v>0.2963935294084807</v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  <c r="L91" s="17">
        <f>IF(L55=0,0,L57/L55)</f>
        <v/>
      </c>
      <c r="M91" s="17">
        <f>IF(M55=0,0,M57/M55)</f>
        <v/>
      </c>
      <c r="N91" s="17">
        <f>IF(N55=0,0,N57/N55)</f>
        <v/>
      </c>
      <c r="O91" s="17">
        <f>IF(O55=0,0,O57/O55)</f>
        <v/>
      </c>
      <c r="P91" s="17">
        <f>IF(P55=0,0,P57/P55)</f>
        <v/>
      </c>
      <c r="Q91" s="17">
        <f>IF(Q55=0,0,Q57/Q55)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/>
      <c r="E92" s="4" t="n"/>
      <c r="F92" s="4" t="n">
        <v>0.1792364801457097</v>
      </c>
      <c r="G92" s="4" t="n">
        <v>0.1455802796143257</v>
      </c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  <c r="L92" s="17">
        <f>IF(L55=0,0,L61/L55)</f>
        <v/>
      </c>
      <c r="M92" s="17">
        <f>IF(M55=0,0,M61/M55)</f>
        <v/>
      </c>
      <c r="N92" s="17">
        <f>IF(N55=0,0,N61/N55)</f>
        <v/>
      </c>
      <c r="O92" s="17">
        <f>IF(O55=0,0,O61/O55)</f>
        <v/>
      </c>
      <c r="P92" s="17">
        <f>IF(P55=0,0,P61/P55)</f>
        <v/>
      </c>
      <c r="Q92" s="17">
        <f>IF(Q55=0,0,Q61/Q55)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0.2969962511676108</v>
      </c>
      <c r="E93" s="4" t="n">
        <v>0.1944364590134721</v>
      </c>
      <c r="F93" s="4" t="n">
        <v>0.1791164815544911</v>
      </c>
      <c r="G93" s="4" t="n">
        <v>0.1454028973212287</v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  <c r="L93" s="17">
        <f>IF(L55=0,0,L59/L55)</f>
        <v/>
      </c>
      <c r="M93" s="17">
        <f>IF(M55=0,0,M59/M55)</f>
        <v/>
      </c>
      <c r="N93" s="17">
        <f>IF(N55=0,0,N59/N55)</f>
        <v/>
      </c>
      <c r="O93" s="17">
        <f>IF(O55=0,0,O59/O55)</f>
        <v/>
      </c>
      <c r="P93" s="17">
        <f>IF(P55=0,0,P59/P55)</f>
        <v/>
      </c>
      <c r="Q93" s="17">
        <f>IF(Q55=0,0,Q59/Q55)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0.2331311036036661</v>
      </c>
      <c r="E94" s="4" t="n">
        <v>0.1430519645947139</v>
      </c>
      <c r="F94" s="4" t="n">
        <v>0.1388009991374907</v>
      </c>
      <c r="G94" s="4" t="n">
        <v>0.1193281236675183</v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  <c r="L94" s="17">
        <f>IF(L55=0,0,L69/L55)</f>
        <v/>
      </c>
      <c r="M94" s="17">
        <f>IF(M55=0,0,M69/M55)</f>
        <v/>
      </c>
      <c r="N94" s="17">
        <f>IF(N55=0,0,N69/N55)</f>
        <v/>
      </c>
      <c r="O94" s="17">
        <f>IF(O55=0,0,O69/O55)</f>
        <v/>
      </c>
      <c r="P94" s="17">
        <f>IF(P55=0,0,P69/P55)</f>
        <v/>
      </c>
      <c r="Q94" s="17">
        <f>IF(Q55=0,0,Q69/Q55)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-0.3235846039096238</v>
      </c>
      <c r="F95" s="4" t="n">
        <v>-0.1893012026690484</v>
      </c>
      <c r="G95" s="4" t="n">
        <v>-0.361618096076066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  <c r="L95" s="17">
        <f>(IF(K71=0,0,L71/K71)-1)</f>
        <v/>
      </c>
      <c r="M95" s="17">
        <f>(IF(L71=0,0,M71/L71)-1)</f>
        <v/>
      </c>
      <c r="N95" s="17">
        <f>(IF(M71=0,0,N71/M71)-1)</f>
        <v/>
      </c>
      <c r="O95" s="17">
        <f>(IF(N71=0,0,O71/N71)-1)</f>
        <v/>
      </c>
      <c r="P95" s="17">
        <f>(IF(O71=0,0,P71/O71)-1)</f>
        <v/>
      </c>
      <c r="Q95" s="17">
        <f>(IF(P71=0,0,Q71/P71)-1)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0.7010084731720577</v>
      </c>
      <c r="F96" s="4" t="n">
        <v>0.5194007784962053</v>
      </c>
      <c r="G96" s="4" t="n">
        <v>0.3127206369211524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  <c r="L96" s="17">
        <f>IF(IF(2=0,0,(L84+K84)/2)=0,0,L69/IF(2=0,0,(L84+K84)/2))</f>
        <v/>
      </c>
      <c r="M96" s="17">
        <f>IF(IF(2=0,0,(M84+L84)/2)=0,0,M69/IF(2=0,0,(M84+L84)/2))</f>
        <v/>
      </c>
      <c r="N96" s="17">
        <f>IF(IF(2=0,0,(N84+M84)/2)=0,0,N69/IF(2=0,0,(N84+M84)/2))</f>
        <v/>
      </c>
      <c r="O96" s="17">
        <f>IF(IF(2=0,0,(O84+N84)/2)=0,0,O69/IF(2=0,0,(O84+N84)/2))</f>
        <v/>
      </c>
      <c r="P96" s="17">
        <f>IF(IF(2=0,0,(P84+O84)/2)=0,0,P69/IF(2=0,0,(P84+O84)/2))</f>
        <v/>
      </c>
      <c r="Q96" s="17">
        <f>IF(IF(2=0,0,(Q84+P84)/2)=0,0,Q69/IF(2=0,0,(Q84+P84)/2))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/>
      <c r="E97" s="22" t="n"/>
      <c r="F97" s="22" t="n">
        <v>-0.1945478725392578</v>
      </c>
      <c r="G97" s="22" t="n">
        <v>-0.4193195903887244</v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  <c r="M97" s="23">
        <f>IF(M61=0,0,M88/M61)</f>
        <v/>
      </c>
      <c r="N97" s="23">
        <f>IF(N61=0,0,N88/N61)</f>
        <v/>
      </c>
      <c r="O97" s="23">
        <f>IF(O61=0,0,O88/O61)</f>
        <v/>
      </c>
      <c r="P97" s="23">
        <f>IF(P61=0,0,P88/P61)</f>
        <v/>
      </c>
      <c r="Q97" s="23">
        <f>IF(Q61=0,0,Q88/Q61)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0.4936262978749865</v>
      </c>
      <c r="E98" s="4" t="n">
        <v>0.6443123287538051</v>
      </c>
      <c r="F98" s="4" t="n">
        <v>0.6065691186235799</v>
      </c>
      <c r="G98" s="4" t="n">
        <v>1.488426464634437</v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  <c r="L98" s="17">
        <f>IF(L71=0,0,L72/L71)</f>
        <v/>
      </c>
      <c r="M98" s="17">
        <f>IF(M71=0,0,M72/M71)</f>
        <v/>
      </c>
      <c r="N98" s="17">
        <f>IF(N71=0,0,N72/N71)</f>
        <v/>
      </c>
      <c r="O98" s="17">
        <f>IF(O71=0,0,O72/O71)</f>
        <v/>
      </c>
      <c r="P98" s="17">
        <f>IF(P71=0,0,P72/P71)</f>
        <v/>
      </c>
      <c r="Q98" s="17">
        <f>IF(Q71=0,0,Q72/Q71)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0.04697407075154674</v>
      </c>
      <c r="E99" s="4" t="n">
        <v>0.03065874963044258</v>
      </c>
      <c r="F99" s="4" t="n">
        <v>0.03748469907439305</v>
      </c>
      <c r="G99" s="4" t="n">
        <v>0.0481534846012392</v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  <c r="L99" s="17">
        <f>IF(L55=0,0,L74/L55)</f>
        <v/>
      </c>
      <c r="M99" s="17">
        <f>IF(M55=0,0,M74/M55)</f>
        <v/>
      </c>
      <c r="N99" s="17">
        <f>IF(N55=0,0,N74/N55)</f>
        <v/>
      </c>
      <c r="O99" s="17">
        <f>IF(O55=0,0,O74/O55)</f>
        <v/>
      </c>
      <c r="P99" s="17">
        <f>IF(P55=0,0,P74/P55)</f>
        <v/>
      </c>
      <c r="Q99" s="17">
        <f>IF(Q55=0,0,Q74/Q55)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5225</v>
      </c>
    </row>
    <row r="103">
      <c r="A103" t="inlineStr">
        <is>
          <t>Shares outstanding (m)</t>
        </is>
      </c>
      <c r="C103" s="13" t="n">
        <v>2616.5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0</v>
      </c>
    </row>
    <row r="106">
      <c r="A106" t="inlineStr">
        <is>
          <t>Cash at balance-sheet date</t>
        </is>
      </c>
      <c r="C106" s="13" t="n">
        <v>105.465062</v>
      </c>
    </row>
    <row r="107">
      <c r="A107" t="inlineStr">
        <is>
          <t>Minority interest (book)</t>
        </is>
      </c>
      <c r="C107" s="13" t="n">
        <v>0.001404</v>
      </c>
    </row>
    <row r="108">
      <c r="A108" t="inlineStr">
        <is>
          <t>Associates &amp; investments (book)</t>
        </is>
      </c>
      <c r="C108" s="13" t="n">
        <v>0</v>
      </c>
    </row>
    <row r="109">
      <c r="A109" t="inlineStr">
        <is>
          <t>Post-balance-sheet &amp; other items (sourced, probability-weighted)</t>
        </is>
      </c>
      <c r="C109" s="13" t="n">
        <v>0</v>
      </c>
    </row>
    <row r="110">
      <c r="A110" t="inlineStr">
        <is>
          <t>Parent equity at balance-sheet date</t>
        </is>
      </c>
      <c r="C110" s="13" t="n">
        <v>266.352344</v>
      </c>
    </row>
    <row r="111">
      <c r="A111" t="inlineStr">
        <is>
          <t>Per-share factor</t>
        </is>
      </c>
      <c r="C111" s="24" t="n">
        <v>1</v>
      </c>
    </row>
    <row r="112">
      <c r="A112" t="inlineStr">
        <is>
          <t>Risk-free rate</t>
        </is>
      </c>
      <c r="C112" s="9">
        <f>Drivers!$C$12</f>
        <v/>
      </c>
    </row>
    <row r="113">
      <c r="A113" t="inlineStr">
        <is>
          <t>Less: default spread (IDR only)</t>
        </is>
      </c>
      <c r="C113" s="9" t="n">
        <v>0</v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0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  <c r="K126" s="6" t="n">
        <v>0.996578</v>
      </c>
      <c r="L126" s="6" t="n">
        <v>0.996578</v>
      </c>
      <c r="M126" s="6" t="n">
        <v>0.996578</v>
      </c>
      <c r="N126" s="6" t="n">
        <v>0.999316</v>
      </c>
      <c r="O126" s="6" t="n">
        <v>0.996578</v>
      </c>
      <c r="P126" s="6" t="n">
        <v>0.996578</v>
      </c>
      <c r="Q126" s="6" t="n">
        <v>0.996578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  <c r="K127" s="6" t="n">
        <v>2.672142</v>
      </c>
      <c r="L127" s="6" t="n">
        <v>3.671458</v>
      </c>
      <c r="M127" s="6" t="n">
        <v>4.670773</v>
      </c>
      <c r="N127" s="6" t="n">
        <v>5.670089</v>
      </c>
      <c r="O127" s="6" t="n">
        <v>6.672142</v>
      </c>
      <c r="P127" s="6" t="n">
        <v>7.671458</v>
      </c>
      <c r="Q127" s="6" t="n">
        <v>8.670773000000001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  <c r="P128">
        <f>1/(1+$C$122)^P127</f>
        <v/>
      </c>
      <c r="Q128">
        <f>1/(1+$C$122)^Q127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  <c r="M129" s="26">
        <f>M76*M126*M128</f>
        <v/>
      </c>
      <c r="N129" s="26">
        <f>N76*N126*N128</f>
        <v/>
      </c>
      <c r="O129" s="26">
        <f>O76*O126*O128</f>
        <v/>
      </c>
      <c r="P129" s="26">
        <f>P76*P126*P128</f>
        <v/>
      </c>
      <c r="Q129" s="26">
        <f>Q76*Q126*Q128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  <c r="M130" s="26">
        <f>L130+M129</f>
        <v/>
      </c>
      <c r="N130" s="26">
        <f>M130+N129</f>
        <v/>
      </c>
      <c r="O130" s="26">
        <f>N130+O129</f>
        <v/>
      </c>
      <c r="P130" s="26">
        <f>O130+P129</f>
        <v/>
      </c>
      <c r="Q130" s="26">
        <f>P130+Q129</f>
        <v/>
      </c>
    </row>
    <row r="131">
      <c r="A131" t="inlineStr">
        <is>
          <t>Best cumulative PV (never below zero)</t>
        </is>
      </c>
      <c r="C131" s="26">
        <f>MAX(0,MAX(H130:Q130))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MAX(0,$C$134/$C$103*$C$111*$C$104)</f>
        <v/>
      </c>
    </row>
    <row r="137">
      <c r="A137" s="1" t="inlineStr">
        <is>
          <t>EV/EBITDA</t>
        </is>
      </c>
    </row>
    <row r="138">
      <c r="A138" t="inlineStr">
        <is>
          <t>Target multiple (peer median)</t>
        </is>
      </c>
      <c r="C138" s="22" t="n">
        <v>6.356583</v>
      </c>
    </row>
    <row r="139">
      <c r="A139" t="inlineStr">
        <is>
          <t>Metric (LTM, or next-12m DPS for yield)</t>
        </is>
      </c>
      <c r="C139" s="13" t="n">
        <v>102.455578</v>
      </c>
    </row>
    <row r="140">
      <c r="A140" t="inlineStr">
        <is>
          <t>Value per share (IDR) — EV/EBITDA</t>
        </is>
      </c>
      <c r="C140" s="27">
        <f>MAX(0,($C$138*$C$139-($C$105-$C$106)-$C$107+$C$108+$C$109)/$C$103*$C$111*$C$104)</f>
        <v/>
      </c>
    </row>
    <row r="142">
      <c r="A142" s="1" t="inlineStr">
        <is>
          <t>Dividend yield</t>
        </is>
      </c>
    </row>
    <row r="143">
      <c r="A143" t="inlineStr">
        <is>
          <t>Target multiple (average of peer median and own five-year average)</t>
        </is>
      </c>
      <c r="C143" s="4" t="n">
        <v>0.108499</v>
      </c>
    </row>
    <row r="144">
      <c r="A144" t="inlineStr">
        <is>
          <t>Metric (LTM, or next-12m DPS for yield)</t>
        </is>
      </c>
      <c r="C144" s="13" t="n">
        <v>0.034533</v>
      </c>
    </row>
    <row r="145">
      <c r="A145" t="inlineStr">
        <is>
          <t>Value per share (IDR) — Dividend yield</t>
        </is>
      </c>
      <c r="C145" s="27">
        <f>MAX(0,$C$144/$C$143*$C$104)</f>
        <v/>
      </c>
    </row>
    <row r="147">
      <c r="A147" s="1" t="inlineStr">
        <is>
          <t>TARGET</t>
        </is>
      </c>
    </row>
    <row r="148">
      <c r="A148" t="inlineStr">
        <is>
          <t>Weight: DCF to end of life (no terminal value)</t>
        </is>
      </c>
      <c r="C148" s="4" t="n">
        <v>0.6</v>
      </c>
    </row>
    <row r="149">
      <c r="A149" t="inlineStr">
        <is>
          <t>Weight: EV/EBITDA</t>
        </is>
      </c>
      <c r="C149" s="4" t="n">
        <v>0.25</v>
      </c>
    </row>
    <row r="150">
      <c r="A150" t="inlineStr">
        <is>
          <t>Weight: Dividend yield</t>
        </is>
      </c>
      <c r="C150" s="4" t="n">
        <v>0.15</v>
      </c>
    </row>
    <row r="151">
      <c r="A151" t="inlineStr">
        <is>
          <t>Value today (weighted)</t>
        </is>
      </c>
      <c r="C151" s="27">
        <f>$C$135*$C$148+$C$140*$C$149+$C$145*$C$150</f>
        <v/>
      </c>
    </row>
    <row r="152">
      <c r="A152" t="inlineStr">
        <is>
          <t>DPS expected in next 12 months (IDR)</t>
        </is>
      </c>
      <c r="C152" s="20" t="n">
        <v>626.3655358480449</v>
      </c>
    </row>
    <row r="153">
      <c r="A153" t="inlineStr">
        <is>
          <t>Base-case 12-month value</t>
        </is>
      </c>
      <c r="C153" s="27">
        <f>MAX(0,$C$151*(1+$C$120)-$C$152)</f>
        <v/>
      </c>
    </row>
    <row r="154">
      <c r="A154" t="inlineStr">
        <is>
          <t>Bear probability</t>
        </is>
      </c>
      <c r="C154" s="4" t="n">
        <v>0.25</v>
      </c>
    </row>
    <row r="155">
      <c r="A155" t="inlineStr">
        <is>
          <t>Bear 12-month value (engine)</t>
        </is>
      </c>
      <c r="C155" s="20" t="n">
        <v>2050.277963591029</v>
      </c>
    </row>
    <row r="156">
      <c r="A156" t="inlineStr">
        <is>
          <t>Base probability</t>
        </is>
      </c>
      <c r="C156" s="4" t="n">
        <v>0.5</v>
      </c>
    </row>
    <row r="157">
      <c r="A157" t="inlineStr">
        <is>
          <t>Bull probability</t>
        </is>
      </c>
      <c r="C157" s="4" t="n">
        <v>0.25</v>
      </c>
    </row>
    <row r="158">
      <c r="A158" t="inlineStr">
        <is>
          <t>Bull 12-month value (engine)</t>
        </is>
      </c>
      <c r="C158" s="20" t="n">
        <v>6963.699638091576</v>
      </c>
    </row>
    <row r="159">
      <c r="A159" t="inlineStr">
        <is>
          <t>Probability-weighted 12-month value</t>
        </is>
      </c>
      <c r="C159" s="27">
        <f>$C$154*$C$155+$C$156*$C$153+$C$157*$C$158</f>
        <v/>
      </c>
    </row>
    <row r="160">
      <c r="A160" t="inlineStr">
        <is>
          <t>Liquidity discount (limits.yaml)</t>
        </is>
      </c>
      <c r="C160" s="4" t="n">
        <v>0</v>
      </c>
    </row>
    <row r="161">
      <c r="A161" t="inlineStr">
        <is>
          <t>TARGET PRICE (IDR)</t>
        </is>
      </c>
      <c r="C161" s="28">
        <f>$C$159*(1-$C$160)</f>
        <v/>
      </c>
    </row>
    <row r="162">
      <c r="A162" t="inlineStr">
        <is>
          <t>Expected 12-month total return</t>
        </is>
      </c>
      <c r="C162" s="29">
        <f>($C$161+$C$152)/$C$102-1</f>
        <v/>
      </c>
    </row>
    <row r="163">
      <c r="A163" t="inlineStr">
        <is>
          <t>Rating</t>
        </is>
      </c>
      <c r="C163" s="30">
        <f>IF($C$162&gt;=0.25,"BUY",IF($C$162&gt;=0.1,"ADD",IF($C$162&lt;=-0.25,"SELL",IF($C$162&lt;=-0.1,"REDUCE","HOLD"))))</f>
        <v/>
      </c>
    </row>
    <row r="165">
      <c r="A165" s="1" t="inlineStr">
        <is>
          <t>12-month value vs benchmark price and IDR/USD (engine values)</t>
        </is>
      </c>
    </row>
    <row r="166">
      <c r="A166" s="5" t="inlineStr">
        <is>
          <t>rows: IDR per USD (x deck) · columns: Benchmark price (x deck)</t>
        </is>
      </c>
      <c r="D166" s="1" t="n">
        <v>0.8</v>
      </c>
      <c r="E166" s="1" t="n">
        <v>0.9</v>
      </c>
      <c r="F166" s="1" t="n">
        <v>1</v>
      </c>
      <c r="G166" s="1" t="n">
        <v>1.1</v>
      </c>
      <c r="H166" s="1" t="n">
        <v>1.2</v>
      </c>
    </row>
    <row r="167">
      <c r="C167" s="1" t="n">
        <v>0.9</v>
      </c>
      <c r="D167" s="27" t="n">
        <v>1933.579364</v>
      </c>
      <c r="E167" s="27" t="n">
        <v>2269.376191</v>
      </c>
      <c r="F167" s="27" t="n">
        <v>3093.161983</v>
      </c>
      <c r="G167" s="27" t="n">
        <v>4165.732364</v>
      </c>
      <c r="H167" s="27" t="n">
        <v>5252.577042</v>
      </c>
    </row>
    <row r="168">
      <c r="C168" s="1" t="n">
        <v>0.95</v>
      </c>
      <c r="D168" s="27" t="n">
        <v>2041.00044</v>
      </c>
      <c r="E168" s="27" t="n">
        <v>2395.452646</v>
      </c>
      <c r="F168" s="27" t="n">
        <v>3265.004316</v>
      </c>
      <c r="G168" s="27" t="n">
        <v>4397.161939</v>
      </c>
      <c r="H168" s="27" t="n">
        <v>5544.386878</v>
      </c>
    </row>
    <row r="169">
      <c r="C169" s="1" t="n">
        <v>1</v>
      </c>
      <c r="D169" s="27" t="n">
        <v>2148.421516</v>
      </c>
      <c r="E169" s="27" t="n">
        <v>2521.529101</v>
      </c>
      <c r="F169" s="27" t="n">
        <v>3436.846648</v>
      </c>
      <c r="G169" s="27" t="n">
        <v>4628.591515</v>
      </c>
      <c r="H169" s="27" t="n">
        <v>5836.196714</v>
      </c>
    </row>
    <row r="170">
      <c r="C170" s="1" t="n">
        <v>1.05</v>
      </c>
      <c r="D170" s="27" t="n">
        <v>2255.842592</v>
      </c>
      <c r="E170" s="27" t="n">
        <v>2647.605557</v>
      </c>
      <c r="F170" s="27" t="n">
        <v>3608.688981</v>
      </c>
      <c r="G170" s="27" t="n">
        <v>4860.021091</v>
      </c>
      <c r="H170" s="27" t="n">
        <v>6128.006549</v>
      </c>
    </row>
    <row r="171">
      <c r="C171" s="1" t="n">
        <v>1.1</v>
      </c>
      <c r="D171" s="27" t="n">
        <v>2363.263667</v>
      </c>
      <c r="E171" s="27" t="n">
        <v>2773.682012</v>
      </c>
      <c r="F171" s="27" t="n">
        <v>3780.531313</v>
      </c>
      <c r="G171" s="27" t="n">
        <v>5091.450667</v>
      </c>
      <c r="H171" s="27" t="n">
        <v>6419.816385</v>
      </c>
    </row>
    <row r="173">
      <c r="A173" s="1" t="inlineStr">
        <is>
          <t>12-month value vs volume and unit cost intensity (engine values)</t>
        </is>
      </c>
    </row>
    <row r="174">
      <c r="A174" s="5" t="inlineStr">
        <is>
          <t>rows: Volume (x plan) · columns: Cost intensity / strip ratio (x)</t>
        </is>
      </c>
      <c r="D174" s="1" t="n">
        <v>0.85</v>
      </c>
      <c r="E174" s="1" t="n">
        <v>0.925</v>
      </c>
      <c r="F174" s="1" t="n">
        <v>1</v>
      </c>
      <c r="G174" s="1" t="n">
        <v>1.075</v>
      </c>
      <c r="H174" s="1" t="n">
        <v>1.15</v>
      </c>
    </row>
    <row r="175">
      <c r="C175" s="1" t="n">
        <v>0.9</v>
      </c>
      <c r="D175" s="27" t="n">
        <v>4858.484862</v>
      </c>
      <c r="E175" s="27" t="n">
        <v>4181.715979</v>
      </c>
      <c r="F175" s="27" t="n">
        <v>3504.947096</v>
      </c>
      <c r="G175" s="27" t="n">
        <v>2828.178213</v>
      </c>
      <c r="H175" s="27" t="n">
        <v>2407.747087</v>
      </c>
    </row>
    <row r="176">
      <c r="C176" s="1" t="n">
        <v>0.95</v>
      </c>
      <c r="D176" s="27" t="n">
        <v>5011.747707</v>
      </c>
      <c r="E176" s="27" t="n">
        <v>4297.380553</v>
      </c>
      <c r="F176" s="27" t="n">
        <v>3583.013398</v>
      </c>
      <c r="G176" s="27" t="n">
        <v>2868.646243</v>
      </c>
      <c r="H176" s="27" t="n">
        <v>2424.857833</v>
      </c>
    </row>
    <row r="177">
      <c r="C177" s="1" t="n">
        <v>1</v>
      </c>
      <c r="D177" s="27" t="n">
        <v>5165.010552</v>
      </c>
      <c r="E177" s="27" t="n">
        <v>4413.045126</v>
      </c>
      <c r="F177" s="27" t="n">
        <v>3661.0797</v>
      </c>
      <c r="G177" s="27" t="n">
        <v>2909.114274</v>
      </c>
      <c r="H177" s="27" t="n">
        <v>2441.96858</v>
      </c>
    </row>
    <row r="178">
      <c r="C178" s="1" t="n">
        <v>1.05</v>
      </c>
      <c r="D178" s="27" t="n">
        <v>5318.273397</v>
      </c>
      <c r="E178" s="27" t="n">
        <v>4528.709699</v>
      </c>
      <c r="F178" s="27" t="n">
        <v>3739.146002</v>
      </c>
      <c r="G178" s="27" t="n">
        <v>2949.582305</v>
      </c>
      <c r="H178" s="27" t="n">
        <v>2459.079326</v>
      </c>
    </row>
    <row r="179">
      <c r="C179" s="1" t="n">
        <v>1.1</v>
      </c>
      <c r="D179" s="27" t="n">
        <v>5471.536241</v>
      </c>
      <c r="E179" s="27" t="n">
        <v>4644.374273</v>
      </c>
      <c r="F179" s="27" t="n">
        <v>3817.212304</v>
      </c>
      <c r="G179" s="27" t="n">
        <v>2990.050336</v>
      </c>
      <c r="H179" s="27" t="n">
        <v>2476.190072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8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 Bumi Resources Tbk (BUMI.JK) — Coal producers</t>
        </is>
      </c>
    </row>
    <row r="2">
      <c r="A2" s="5" t="inlineStr">
        <is>
          <t>Units: USD m; per-share in USD unless marked IDR. Model asof 2026-10-30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  <c r="R4" s="1" t="inlineStr">
        <is>
          <t>FY2036E</t>
        </is>
      </c>
      <c r="S4" s="1" t="inlineStr">
        <is>
          <t>FY2037E</t>
        </is>
      </c>
      <c r="T4" s="1" t="inlineStr">
        <is>
          <t>FY2038E</t>
        </is>
      </c>
      <c r="U4" s="1" t="inlineStr">
        <is>
          <t>FY2039E</t>
        </is>
      </c>
      <c r="V4" s="1" t="inlineStr">
        <is>
          <t>FY2040E</t>
        </is>
      </c>
      <c r="W4" s="1" t="inlineStr">
        <is>
          <t>FY2041E</t>
        </is>
      </c>
      <c r="X4" s="1" t="inlineStr">
        <is>
          <t>FY2042E</t>
        </is>
      </c>
      <c r="Y4" s="1" t="inlineStr">
        <is>
          <t>FY2043E</t>
        </is>
      </c>
      <c r="Z4" s="1" t="inlineStr">
        <is>
          <t>FY2044E</t>
        </is>
      </c>
      <c r="AA4" s="1" t="inlineStr">
        <is>
          <t>FY2045E</t>
        </is>
      </c>
      <c r="AB4" s="1" t="inlineStr">
        <is>
          <t>FY2046E</t>
        </is>
      </c>
      <c r="AC4" s="1" t="inlineStr">
        <is>
          <t>FY2047E</t>
        </is>
      </c>
      <c r="AD4" s="1" t="inlineStr">
        <is>
          <t>FY2048E</t>
        </is>
      </c>
      <c r="AE4" s="1" t="inlineStr">
        <is>
          <t>FY2049E</t>
        </is>
      </c>
      <c r="AF4" s="1" t="inlineStr">
        <is>
          <t>FY2050E</t>
        </is>
      </c>
      <c r="AG4" s="1" t="inlineStr">
        <is>
          <t>FY2051E</t>
        </is>
      </c>
      <c r="AH4" s="1" t="inlineStr">
        <is>
          <t>FY2052E</t>
        </is>
      </c>
      <c r="AI4" s="1" t="inlineStr">
        <is>
          <t>FY2053E</t>
        </is>
      </c>
      <c r="AJ4" s="1" t="inlineStr">
        <is>
          <t>FY2054E</t>
        </is>
      </c>
      <c r="AK4" s="1" t="inlineStr">
        <is>
          <t>FY2055E</t>
        </is>
      </c>
      <c r="AL4" s="1" t="inlineStr">
        <is>
          <t>FY2056E</t>
        </is>
      </c>
      <c r="AM4" s="1" t="inlineStr">
        <is>
          <t>FY2057E</t>
        </is>
      </c>
      <c r="AN4" s="1" t="inlineStr">
        <is>
          <t>FY2058E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33</v>
      </c>
    </row>
    <row r="8">
      <c r="A8" t="inlineStr">
        <is>
          <t>ps_factor</t>
        </is>
      </c>
      <c r="C8" s="6" t="n">
        <v>1</v>
      </c>
    </row>
    <row r="9">
      <c r="A9" t="inlineStr">
        <is>
          <t>reserves</t>
        </is>
      </c>
      <c r="C9" s="6" t="n">
        <v>2500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77</v>
      </c>
      <c r="I14" s="13" t="n">
        <v>77</v>
      </c>
      <c r="J14" s="13" t="n">
        <v>77</v>
      </c>
      <c r="K14" s="13" t="n">
        <v>77</v>
      </c>
      <c r="L14" s="13" t="n">
        <v>77</v>
      </c>
      <c r="M14" s="13" t="n">
        <v>77</v>
      </c>
      <c r="N14" s="13" t="n">
        <v>77</v>
      </c>
      <c r="O14" s="13" t="n">
        <v>77</v>
      </c>
      <c r="P14" s="13" t="n">
        <v>77</v>
      </c>
      <c r="Q14" s="13" t="n">
        <v>77</v>
      </c>
      <c r="R14" s="13" t="n">
        <v>77</v>
      </c>
      <c r="S14" s="13" t="n">
        <v>77</v>
      </c>
      <c r="T14" s="13" t="n">
        <v>77</v>
      </c>
      <c r="U14" s="13" t="n">
        <v>77</v>
      </c>
      <c r="V14" s="13" t="n">
        <v>77</v>
      </c>
      <c r="W14" s="13" t="n">
        <v>77</v>
      </c>
      <c r="X14" s="13" t="n">
        <v>77</v>
      </c>
      <c r="Y14" s="13" t="n">
        <v>77</v>
      </c>
      <c r="Z14" s="13" t="n">
        <v>77</v>
      </c>
      <c r="AA14" s="13" t="n">
        <v>77</v>
      </c>
      <c r="AB14" s="13" t="n">
        <v>77</v>
      </c>
      <c r="AC14" s="13" t="n">
        <v>77</v>
      </c>
      <c r="AD14" s="13" t="n">
        <v>77</v>
      </c>
      <c r="AE14" s="13" t="n">
        <v>77</v>
      </c>
      <c r="AF14" s="13" t="n">
        <v>77</v>
      </c>
      <c r="AG14" s="13" t="n">
        <v>77</v>
      </c>
      <c r="AH14" s="13" t="n">
        <v>77</v>
      </c>
      <c r="AI14" s="13" t="n">
        <v>77</v>
      </c>
      <c r="AJ14" s="13" t="n">
        <v>77</v>
      </c>
      <c r="AK14" s="13" t="n">
        <v>77</v>
      </c>
      <c r="AL14" s="13" t="n">
        <v>77</v>
      </c>
      <c r="AM14" s="13" t="n">
        <v>77</v>
      </c>
      <c r="AN14" s="13" t="n">
        <v>77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0.5946</v>
      </c>
      <c r="I15" s="14" t="n">
        <v>0.5946</v>
      </c>
      <c r="J15" s="14" t="n">
        <v>0.5946</v>
      </c>
      <c r="K15" s="14" t="n">
        <v>0.5946</v>
      </c>
      <c r="L15" s="14" t="n">
        <v>0.5946</v>
      </c>
      <c r="M15" s="14" t="n">
        <v>0.5946</v>
      </c>
      <c r="N15" s="14" t="n">
        <v>0.5946</v>
      </c>
      <c r="O15" s="14" t="n">
        <v>0.5946</v>
      </c>
      <c r="P15" s="14" t="n">
        <v>0.5946</v>
      </c>
      <c r="Q15" s="14" t="n">
        <v>0.5946</v>
      </c>
      <c r="R15" s="14" t="n">
        <v>0.5946</v>
      </c>
      <c r="S15" s="14" t="n">
        <v>0.5946</v>
      </c>
      <c r="T15" s="14" t="n">
        <v>0.5946</v>
      </c>
      <c r="U15" s="14" t="n">
        <v>0.5946</v>
      </c>
      <c r="V15" s="14" t="n">
        <v>0.5946</v>
      </c>
      <c r="W15" s="14" t="n">
        <v>0.5946</v>
      </c>
      <c r="X15" s="14" t="n">
        <v>0.5946</v>
      </c>
      <c r="Y15" s="14" t="n">
        <v>0.5946</v>
      </c>
      <c r="Z15" s="14" t="n">
        <v>0.5946</v>
      </c>
      <c r="AA15" s="14" t="n">
        <v>0.5946</v>
      </c>
      <c r="AB15" s="14" t="n">
        <v>0.5946</v>
      </c>
      <c r="AC15" s="14" t="n">
        <v>0.5946</v>
      </c>
      <c r="AD15" s="14" t="n">
        <v>0.5946</v>
      </c>
      <c r="AE15" s="14" t="n">
        <v>0.5946</v>
      </c>
      <c r="AF15" s="14" t="n">
        <v>0.5946</v>
      </c>
      <c r="AG15" s="14" t="n">
        <v>0.5946</v>
      </c>
      <c r="AH15" s="14" t="n">
        <v>0.5946</v>
      </c>
      <c r="AI15" s="14" t="n">
        <v>0.5946</v>
      </c>
      <c r="AJ15" s="14" t="n">
        <v>0.5946</v>
      </c>
      <c r="AK15" s="14" t="n">
        <v>0.5946</v>
      </c>
      <c r="AL15" s="14" t="n">
        <v>0.5946</v>
      </c>
      <c r="AM15" s="14" t="n">
        <v>0.5946</v>
      </c>
      <c r="AN15" s="14" t="n">
        <v>0.5946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0.3</v>
      </c>
      <c r="I16" s="4" t="n">
        <v>0.3</v>
      </c>
      <c r="J16" s="4" t="n">
        <v>0.3</v>
      </c>
      <c r="K16" s="4" t="n">
        <v>0.3</v>
      </c>
      <c r="L16" s="4" t="n">
        <v>0.3</v>
      </c>
      <c r="M16" s="4" t="n">
        <v>0.3</v>
      </c>
      <c r="N16" s="4" t="n">
        <v>0.3</v>
      </c>
      <c r="O16" s="4" t="n">
        <v>0.3</v>
      </c>
      <c r="P16" s="4" t="n">
        <v>0.3</v>
      </c>
      <c r="Q16" s="4" t="n">
        <v>0.3</v>
      </c>
      <c r="R16" s="4" t="n">
        <v>0.3</v>
      </c>
      <c r="S16" s="4" t="n">
        <v>0.3</v>
      </c>
      <c r="T16" s="4" t="n">
        <v>0.3</v>
      </c>
      <c r="U16" s="4" t="n">
        <v>0.3</v>
      </c>
      <c r="V16" s="4" t="n">
        <v>0.3</v>
      </c>
      <c r="W16" s="4" t="n">
        <v>0.3</v>
      </c>
      <c r="X16" s="4" t="n">
        <v>0.3</v>
      </c>
      <c r="Y16" s="4" t="n">
        <v>0.3</v>
      </c>
      <c r="Z16" s="4" t="n">
        <v>0.3</v>
      </c>
      <c r="AA16" s="4" t="n">
        <v>0.3</v>
      </c>
      <c r="AB16" s="4" t="n">
        <v>0.3</v>
      </c>
      <c r="AC16" s="4" t="n">
        <v>0.3</v>
      </c>
      <c r="AD16" s="4" t="n">
        <v>0.3</v>
      </c>
      <c r="AE16" s="4" t="n">
        <v>0.3</v>
      </c>
      <c r="AF16" s="4" t="n">
        <v>0.3</v>
      </c>
      <c r="AG16" s="4" t="n">
        <v>0.3</v>
      </c>
      <c r="AH16" s="4" t="n">
        <v>0.3</v>
      </c>
      <c r="AI16" s="4" t="n">
        <v>0.3</v>
      </c>
      <c r="AJ16" s="4" t="n">
        <v>0.3</v>
      </c>
      <c r="AK16" s="4" t="n">
        <v>0.3</v>
      </c>
      <c r="AL16" s="4" t="n">
        <v>0.3</v>
      </c>
      <c r="AM16" s="4" t="n">
        <v>0.3</v>
      </c>
      <c r="AN16" s="4" t="n">
        <v>0.3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8</v>
      </c>
      <c r="I17" s="14" t="n">
        <v>8</v>
      </c>
      <c r="J17" s="14" t="n">
        <v>8</v>
      </c>
      <c r="K17" s="14" t="n">
        <v>8</v>
      </c>
      <c r="L17" s="14" t="n">
        <v>8</v>
      </c>
      <c r="M17" s="14" t="n">
        <v>8</v>
      </c>
      <c r="N17" s="14" t="n">
        <v>8</v>
      </c>
      <c r="O17" s="14" t="n">
        <v>8</v>
      </c>
      <c r="P17" s="14" t="n">
        <v>8</v>
      </c>
      <c r="Q17" s="14" t="n">
        <v>8</v>
      </c>
      <c r="R17" s="14" t="n">
        <v>8</v>
      </c>
      <c r="S17" s="14" t="n">
        <v>8</v>
      </c>
      <c r="T17" s="14" t="n">
        <v>8</v>
      </c>
      <c r="U17" s="14" t="n">
        <v>8</v>
      </c>
      <c r="V17" s="14" t="n">
        <v>8</v>
      </c>
      <c r="W17" s="14" t="n">
        <v>8</v>
      </c>
      <c r="X17" s="14" t="n">
        <v>8</v>
      </c>
      <c r="Y17" s="14" t="n">
        <v>8</v>
      </c>
      <c r="Z17" s="14" t="n">
        <v>8</v>
      </c>
      <c r="AA17" s="14" t="n">
        <v>8</v>
      </c>
      <c r="AB17" s="14" t="n">
        <v>8</v>
      </c>
      <c r="AC17" s="14" t="n">
        <v>8</v>
      </c>
      <c r="AD17" s="14" t="n">
        <v>8</v>
      </c>
      <c r="AE17" s="14" t="n">
        <v>8</v>
      </c>
      <c r="AF17" s="14" t="n">
        <v>8</v>
      </c>
      <c r="AG17" s="14" t="n">
        <v>8</v>
      </c>
      <c r="AH17" s="14" t="n">
        <v>8</v>
      </c>
      <c r="AI17" s="14" t="n">
        <v>8</v>
      </c>
      <c r="AJ17" s="14" t="n">
        <v>8</v>
      </c>
      <c r="AK17" s="14" t="n">
        <v>8</v>
      </c>
      <c r="AL17" s="14" t="n">
        <v>8</v>
      </c>
      <c r="AM17" s="14" t="n">
        <v>8</v>
      </c>
      <c r="AN17" s="14" t="n">
        <v>8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2.6</v>
      </c>
      <c r="I18" s="3" t="n">
        <v>2.6</v>
      </c>
      <c r="J18" s="3" t="n">
        <v>2.6</v>
      </c>
      <c r="K18" s="3" t="n">
        <v>2.6</v>
      </c>
      <c r="L18" s="3" t="n">
        <v>2.6</v>
      </c>
      <c r="M18" s="3" t="n">
        <v>2.652</v>
      </c>
      <c r="N18" s="3" t="n">
        <v>2.70504</v>
      </c>
      <c r="O18" s="3" t="n">
        <v>2.7591408</v>
      </c>
      <c r="P18" s="3" t="n">
        <v>2.814323616</v>
      </c>
      <c r="Q18" s="3" t="n">
        <v>2.87061008832</v>
      </c>
      <c r="R18" s="3" t="n">
        <v>2.9280222900864</v>
      </c>
      <c r="S18" s="3" t="n">
        <v>2.986582735888128</v>
      </c>
      <c r="T18" s="3" t="n">
        <v>3.046314390605891</v>
      </c>
      <c r="U18" s="3" t="n">
        <v>3.107240678418009</v>
      </c>
      <c r="V18" s="3" t="n">
        <v>3.169385491986369</v>
      </c>
      <c r="W18" s="3" t="n">
        <v>3.232773201826097</v>
      </c>
      <c r="X18" s="3" t="n">
        <v>3.297428665862618</v>
      </c>
      <c r="Y18" s="3" t="n">
        <v>3.363377239179871</v>
      </c>
      <c r="Z18" s="3" t="n">
        <v>3.430644783963468</v>
      </c>
      <c r="AA18" s="3" t="n">
        <v>3.499257679642738</v>
      </c>
      <c r="AB18" s="3" t="n">
        <v>3.569242833235593</v>
      </c>
      <c r="AC18" s="3" t="n">
        <v>3.640627689900305</v>
      </c>
      <c r="AD18" s="3" t="n">
        <v>3.713440243698311</v>
      </c>
      <c r="AE18" s="3" t="n">
        <v>3.787709048572277</v>
      </c>
      <c r="AF18" s="3" t="n">
        <v>3.863463229543723</v>
      </c>
      <c r="AG18" s="3" t="n">
        <v>3.940732494134597</v>
      </c>
      <c r="AH18" s="3" t="n">
        <v>4.019547144017289</v>
      </c>
      <c r="AI18" s="3" t="n">
        <v>4.099938086897636</v>
      </c>
      <c r="AJ18" s="3" t="n">
        <v>4.181936848635588</v>
      </c>
      <c r="AK18" s="3" t="n">
        <v>4.2655755856083</v>
      </c>
      <c r="AL18" s="3" t="n">
        <v>4.350887097320466</v>
      </c>
      <c r="AM18" s="3" t="n">
        <v>4.437904839266875</v>
      </c>
      <c r="AN18" s="3" t="n">
        <v>4.526662936052213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0.3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22.5</v>
      </c>
      <c r="I20" s="3" t="n">
        <v>22.5</v>
      </c>
      <c r="J20" s="3" t="n">
        <v>22.5</v>
      </c>
      <c r="K20" s="3" t="n">
        <v>22.5</v>
      </c>
      <c r="L20" s="3" t="n">
        <v>22.5</v>
      </c>
      <c r="M20" s="3" t="n">
        <v>22.95</v>
      </c>
      <c r="N20" s="3" t="n">
        <v>23.409</v>
      </c>
      <c r="O20" s="3" t="n">
        <v>23.87718</v>
      </c>
      <c r="P20" s="3" t="n">
        <v>24.3547236</v>
      </c>
      <c r="Q20" s="3" t="n">
        <v>24.841818072</v>
      </c>
      <c r="R20" s="3" t="n">
        <v>25.33865443344</v>
      </c>
      <c r="S20" s="3" t="n">
        <v>25.8454275221088</v>
      </c>
      <c r="T20" s="3" t="n">
        <v>26.36233607255098</v>
      </c>
      <c r="U20" s="3" t="n">
        <v>26.889582794002</v>
      </c>
      <c r="V20" s="3" t="n">
        <v>27.42737444988204</v>
      </c>
      <c r="W20" s="3" t="n">
        <v>27.97592193887968</v>
      </c>
      <c r="X20" s="3" t="n">
        <v>28.53544037765727</v>
      </c>
      <c r="Y20" s="3" t="n">
        <v>29.10614918521042</v>
      </c>
      <c r="Z20" s="3" t="n">
        <v>29.68827216891463</v>
      </c>
      <c r="AA20" s="3" t="n">
        <v>30.28203761229292</v>
      </c>
      <c r="AB20" s="3" t="n">
        <v>30.88767836453878</v>
      </c>
      <c r="AC20" s="3" t="n">
        <v>31.50543193182956</v>
      </c>
      <c r="AD20" s="3" t="n">
        <v>32.13554057046615</v>
      </c>
      <c r="AE20" s="3" t="n">
        <v>32.77825138187547</v>
      </c>
      <c r="AF20" s="3" t="n">
        <v>33.43381640951299</v>
      </c>
      <c r="AG20" s="3" t="n">
        <v>34.10249273770324</v>
      </c>
      <c r="AH20" s="3" t="n">
        <v>34.78454259245731</v>
      </c>
      <c r="AI20" s="3" t="n">
        <v>35.48023344430646</v>
      </c>
      <c r="AJ20" s="3" t="n">
        <v>36.18983811319259</v>
      </c>
      <c r="AK20" s="3" t="n">
        <v>36.91363487545644</v>
      </c>
      <c r="AL20" s="3" t="n">
        <v>37.65190757296557</v>
      </c>
      <c r="AM20" s="3" t="n">
        <v>38.40494572442488</v>
      </c>
      <c r="AN20" s="3" t="n">
        <v>39.17304463891338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0.18</v>
      </c>
      <c r="I21" s="4" t="n">
        <v>0.18</v>
      </c>
      <c r="J21" s="4" t="n">
        <v>0.18</v>
      </c>
      <c r="K21" s="4" t="n">
        <v>0.18</v>
      </c>
      <c r="L21" s="4" t="n">
        <v>0.18</v>
      </c>
      <c r="M21" s="4" t="n">
        <v>0.18</v>
      </c>
      <c r="N21" s="4" t="n">
        <v>0.18</v>
      </c>
      <c r="O21" s="4" t="n">
        <v>0.18</v>
      </c>
      <c r="P21" s="4" t="n">
        <v>0.18</v>
      </c>
      <c r="Q21" s="4" t="n">
        <v>0.18</v>
      </c>
      <c r="R21" s="4" t="n">
        <v>0.18</v>
      </c>
      <c r="S21" s="4" t="n">
        <v>0.18</v>
      </c>
      <c r="T21" s="4" t="n">
        <v>0.18</v>
      </c>
      <c r="U21" s="4" t="n">
        <v>0.18</v>
      </c>
      <c r="V21" s="4" t="n">
        <v>0.18</v>
      </c>
      <c r="W21" s="4" t="n">
        <v>0.18</v>
      </c>
      <c r="X21" s="4" t="n">
        <v>0.18</v>
      </c>
      <c r="Y21" s="4" t="n">
        <v>0.18</v>
      </c>
      <c r="Z21" s="4" t="n">
        <v>0.18</v>
      </c>
      <c r="AA21" s="4" t="n">
        <v>0.18</v>
      </c>
      <c r="AB21" s="4" t="n">
        <v>0.18</v>
      </c>
      <c r="AC21" s="4" t="n">
        <v>0.18</v>
      </c>
      <c r="AD21" s="4" t="n">
        <v>0.18</v>
      </c>
      <c r="AE21" s="4" t="n">
        <v>0.18</v>
      </c>
      <c r="AF21" s="4" t="n">
        <v>0.18</v>
      </c>
      <c r="AG21" s="4" t="n">
        <v>0.18</v>
      </c>
      <c r="AH21" s="4" t="n">
        <v>0.18</v>
      </c>
      <c r="AI21" s="4" t="n">
        <v>0.18</v>
      </c>
      <c r="AJ21" s="4" t="n">
        <v>0.18</v>
      </c>
      <c r="AK21" s="4" t="n">
        <v>0.18</v>
      </c>
      <c r="AL21" s="4" t="n">
        <v>0.18</v>
      </c>
      <c r="AM21" s="4" t="n">
        <v>0.18</v>
      </c>
      <c r="AN21" s="4" t="n">
        <v>0.18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0.1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2.24</v>
      </c>
      <c r="I24" s="3" t="n">
        <v>2.24</v>
      </c>
      <c r="J24" s="3" t="n">
        <v>2.24</v>
      </c>
      <c r="K24" s="3" t="n">
        <v>2.24</v>
      </c>
      <c r="L24" s="3" t="n">
        <v>2.24</v>
      </c>
      <c r="M24" s="3" t="n">
        <v>2.2848</v>
      </c>
      <c r="N24" s="3" t="n">
        <v>2.330496</v>
      </c>
      <c r="O24" s="3" t="n">
        <v>2.37710592</v>
      </c>
      <c r="P24" s="3" t="n">
        <v>2.4246480384</v>
      </c>
      <c r="Q24" s="3" t="n">
        <v>2.473140999168</v>
      </c>
      <c r="R24" s="3" t="n">
        <v>2.52260381915136</v>
      </c>
      <c r="S24" s="3" t="n">
        <v>2.573055895534388</v>
      </c>
      <c r="T24" s="3" t="n">
        <v>2.624517013445076</v>
      </c>
      <c r="U24" s="3" t="n">
        <v>2.677007353713977</v>
      </c>
      <c r="V24" s="3" t="n">
        <v>2.730547500788257</v>
      </c>
      <c r="W24" s="3" t="n">
        <v>2.785158450804022</v>
      </c>
      <c r="X24" s="3" t="n">
        <v>2.840861619820102</v>
      </c>
      <c r="Y24" s="3" t="n">
        <v>2.897678852216504</v>
      </c>
      <c r="Z24" s="3" t="n">
        <v>2.955632429260834</v>
      </c>
      <c r="AA24" s="3" t="n">
        <v>3.014745077846051</v>
      </c>
      <c r="AB24" s="3" t="n">
        <v>3.075039979402972</v>
      </c>
      <c r="AC24" s="3" t="n">
        <v>3.136540778991032</v>
      </c>
      <c r="AD24" s="3" t="n">
        <v>3.199271594570853</v>
      </c>
      <c r="AE24" s="3" t="n">
        <v>3.26325702646227</v>
      </c>
      <c r="AF24" s="3" t="n">
        <v>3.328522166991515</v>
      </c>
      <c r="AG24" s="3" t="n">
        <v>3.395092610331345</v>
      </c>
      <c r="AH24" s="3" t="n">
        <v>3.462994462537972</v>
      </c>
      <c r="AI24" s="3" t="n">
        <v>3.532254351788732</v>
      </c>
      <c r="AJ24" s="3" t="n">
        <v>3.602899438824507</v>
      </c>
      <c r="AK24" s="3" t="n">
        <v>3.674957427600997</v>
      </c>
      <c r="AL24" s="3" t="n">
        <v>3.748456576153017</v>
      </c>
      <c r="AM24" s="3" t="n">
        <v>3.823425707676078</v>
      </c>
      <c r="AN24" s="3" t="n">
        <v>3.899894221829599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2.04</v>
      </c>
      <c r="N25" s="3" t="n">
        <v>2.0808</v>
      </c>
      <c r="O25" s="3" t="n">
        <v>2.122416</v>
      </c>
      <c r="P25" s="3" t="n">
        <v>2.16486432</v>
      </c>
      <c r="Q25" s="3" t="n">
        <v>2.2081616064</v>
      </c>
      <c r="R25" s="3" t="n">
        <v>2.252324838528</v>
      </c>
      <c r="S25" s="3" t="n">
        <v>2.29737133529856</v>
      </c>
      <c r="T25" s="3" t="n">
        <v>2.343318762004531</v>
      </c>
      <c r="U25" s="3" t="n">
        <v>2.390185137244622</v>
      </c>
      <c r="V25" s="3" t="n">
        <v>2.437988839989515</v>
      </c>
      <c r="W25" s="3" t="n">
        <v>2.486748616789305</v>
      </c>
      <c r="X25" s="3" t="n">
        <v>2.536483589125091</v>
      </c>
      <c r="Y25" s="3" t="n">
        <v>2.587213260907593</v>
      </c>
      <c r="Z25" s="3" t="n">
        <v>2.638957526125745</v>
      </c>
      <c r="AA25" s="3" t="n">
        <v>2.69173667664826</v>
      </c>
      <c r="AB25" s="3" t="n">
        <v>2.745571410181225</v>
      </c>
      <c r="AC25" s="3" t="n">
        <v>2.80048283838485</v>
      </c>
      <c r="AD25" s="3" t="n">
        <v>2.856492495152547</v>
      </c>
      <c r="AE25" s="3" t="n">
        <v>2.913622345055598</v>
      </c>
      <c r="AF25" s="3" t="n">
        <v>2.97189479195671</v>
      </c>
      <c r="AG25" s="3" t="n">
        <v>3.031332687795844</v>
      </c>
      <c r="AH25" s="3" t="n">
        <v>3.091959341551761</v>
      </c>
      <c r="AI25" s="3" t="n">
        <v>3.153798528382796</v>
      </c>
      <c r="AJ25" s="3" t="n">
        <v>3.216874498950452</v>
      </c>
      <c r="AK25" s="3" t="n">
        <v>3.281211988929461</v>
      </c>
      <c r="AL25" s="3" t="n">
        <v>3.34683622870805</v>
      </c>
      <c r="AM25" s="3" t="n">
        <v>3.413772953282212</v>
      </c>
      <c r="AN25" s="3" t="n">
        <v>3.482048412347856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0</v>
      </c>
      <c r="AD26" s="13" t="n">
        <v>0</v>
      </c>
      <c r="AE26" s="13" t="n">
        <v>0</v>
      </c>
      <c r="AF26" s="13" t="n">
        <v>0</v>
      </c>
      <c r="AG26" s="13" t="n">
        <v>0</v>
      </c>
      <c r="AH26" s="13" t="n">
        <v>0</v>
      </c>
      <c r="AI26" s="13" t="n">
        <v>0</v>
      </c>
      <c r="AJ26" s="13" t="n">
        <v>0</v>
      </c>
      <c r="AK26" s="13" t="n">
        <v>0</v>
      </c>
      <c r="AL26" s="13" t="n">
        <v>0</v>
      </c>
      <c r="AM26" s="13" t="n">
        <v>0</v>
      </c>
      <c r="AN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0.0168</v>
      </c>
      <c r="I27" s="4" t="n">
        <v>0.0168</v>
      </c>
      <c r="J27" s="4" t="n">
        <v>0.0168</v>
      </c>
      <c r="K27" s="4" t="n">
        <v>0.0168</v>
      </c>
      <c r="L27" s="4" t="n">
        <v>0.0168</v>
      </c>
      <c r="M27" s="4" t="n">
        <v>0.0168</v>
      </c>
      <c r="N27" s="4" t="n">
        <v>0.0168</v>
      </c>
      <c r="O27" s="4" t="n">
        <v>0.0168</v>
      </c>
      <c r="P27" s="4" t="n">
        <v>0.0168</v>
      </c>
      <c r="Q27" s="4" t="n">
        <v>0.0168</v>
      </c>
      <c r="R27" s="4" t="n">
        <v>0.0168</v>
      </c>
      <c r="S27" s="4" t="n">
        <v>0.0168</v>
      </c>
      <c r="T27" s="4" t="n">
        <v>0.0168</v>
      </c>
      <c r="U27" s="4" t="n">
        <v>0.0168</v>
      </c>
      <c r="V27" s="4" t="n">
        <v>0.0168</v>
      </c>
      <c r="W27" s="4" t="n">
        <v>0.0168</v>
      </c>
      <c r="X27" s="4" t="n">
        <v>0.0168</v>
      </c>
      <c r="Y27" s="4" t="n">
        <v>0.0168</v>
      </c>
      <c r="Z27" s="4" t="n">
        <v>0.0168</v>
      </c>
      <c r="AA27" s="4" t="n">
        <v>0.0168</v>
      </c>
      <c r="AB27" s="4" t="n">
        <v>0.0168</v>
      </c>
      <c r="AC27" s="4" t="n">
        <v>0.0168</v>
      </c>
      <c r="AD27" s="4" t="n">
        <v>0.0168</v>
      </c>
      <c r="AE27" s="4" t="n">
        <v>0.0168</v>
      </c>
      <c r="AF27" s="4" t="n">
        <v>0.0168</v>
      </c>
      <c r="AG27" s="4" t="n">
        <v>0.0168</v>
      </c>
      <c r="AH27" s="4" t="n">
        <v>0.0168</v>
      </c>
      <c r="AI27" s="4" t="n">
        <v>0.0168</v>
      </c>
      <c r="AJ27" s="4" t="n">
        <v>0.0168</v>
      </c>
      <c r="AK27" s="4" t="n">
        <v>0.0168</v>
      </c>
      <c r="AL27" s="4" t="n">
        <v>0.0168</v>
      </c>
      <c r="AM27" s="4" t="n">
        <v>0.0168</v>
      </c>
      <c r="AN27" s="4" t="n">
        <v>0.0168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0.435</v>
      </c>
      <c r="I28" s="4" t="n">
        <v>0.435</v>
      </c>
      <c r="J28" s="4" t="n">
        <v>0.435</v>
      </c>
      <c r="K28" s="4" t="n">
        <v>0.435</v>
      </c>
      <c r="L28" s="4" t="n">
        <v>0.435</v>
      </c>
      <c r="M28" s="4" t="n">
        <v>0.435</v>
      </c>
      <c r="N28" s="4" t="n">
        <v>0.435</v>
      </c>
      <c r="O28" s="4" t="n">
        <v>0.435</v>
      </c>
      <c r="P28" s="4" t="n">
        <v>0.435</v>
      </c>
      <c r="Q28" s="4" t="n">
        <v>0.435</v>
      </c>
      <c r="R28" s="4" t="n">
        <v>0.435</v>
      </c>
      <c r="S28" s="4" t="n">
        <v>0.435</v>
      </c>
      <c r="T28" s="4" t="n">
        <v>0.435</v>
      </c>
      <c r="U28" s="4" t="n">
        <v>0.435</v>
      </c>
      <c r="V28" s="4" t="n">
        <v>0.435</v>
      </c>
      <c r="W28" s="4" t="n">
        <v>0.435</v>
      </c>
      <c r="X28" s="4" t="n">
        <v>0.435</v>
      </c>
      <c r="Y28" s="4" t="n">
        <v>0.435</v>
      </c>
      <c r="Z28" s="4" t="n">
        <v>0.435</v>
      </c>
      <c r="AA28" s="4" t="n">
        <v>0.435</v>
      </c>
      <c r="AB28" s="4" t="n">
        <v>0.435</v>
      </c>
      <c r="AC28" s="4" t="n">
        <v>0.435</v>
      </c>
      <c r="AD28" s="4" t="n">
        <v>0.435</v>
      </c>
      <c r="AE28" s="4" t="n">
        <v>0.435</v>
      </c>
      <c r="AF28" s="4" t="n">
        <v>0.435</v>
      </c>
      <c r="AG28" s="4" t="n">
        <v>0.435</v>
      </c>
      <c r="AH28" s="4" t="n">
        <v>0.435</v>
      </c>
      <c r="AI28" s="4" t="n">
        <v>0.435</v>
      </c>
      <c r="AJ28" s="4" t="n">
        <v>0.435</v>
      </c>
      <c r="AK28" s="4" t="n">
        <v>0.435</v>
      </c>
      <c r="AL28" s="4" t="n">
        <v>0.435</v>
      </c>
      <c r="AM28" s="4" t="n">
        <v>0.435</v>
      </c>
      <c r="AN28" s="4" t="n">
        <v>0.435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0.08200300000000001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0.067159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298.1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  <c r="AG31" s="13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0.5</v>
      </c>
      <c r="I33" s="4" t="n">
        <v>0.5</v>
      </c>
      <c r="J33" s="4" t="n">
        <v>0.5</v>
      </c>
      <c r="K33" s="4" t="n">
        <v>0.5</v>
      </c>
      <c r="L33" s="4" t="n">
        <v>0.5</v>
      </c>
      <c r="M33" s="4" t="n">
        <v>0.5</v>
      </c>
      <c r="N33" s="4" t="n">
        <v>0.5</v>
      </c>
      <c r="O33" s="4" t="n">
        <v>0.5</v>
      </c>
      <c r="P33" s="4" t="n">
        <v>0.5</v>
      </c>
      <c r="Q33" s="4" t="n">
        <v>0.5</v>
      </c>
      <c r="R33" s="4" t="n">
        <v>0.5</v>
      </c>
      <c r="S33" s="4" t="n">
        <v>0.5</v>
      </c>
      <c r="T33" s="4" t="n">
        <v>0.5</v>
      </c>
      <c r="U33" s="4" t="n">
        <v>0.5</v>
      </c>
      <c r="V33" s="4" t="n">
        <v>0.5</v>
      </c>
      <c r="W33" s="4" t="n">
        <v>0.5</v>
      </c>
      <c r="X33" s="4" t="n">
        <v>0.5</v>
      </c>
      <c r="Y33" s="4" t="n">
        <v>0.5</v>
      </c>
      <c r="Z33" s="4" t="n">
        <v>0.5</v>
      </c>
      <c r="AA33" s="4" t="n">
        <v>0.5</v>
      </c>
      <c r="AB33" s="4" t="n">
        <v>0.5</v>
      </c>
      <c r="AC33" s="4" t="n">
        <v>0.5</v>
      </c>
      <c r="AD33" s="4" t="n">
        <v>0.5</v>
      </c>
      <c r="AE33" s="4" t="n">
        <v>0.5</v>
      </c>
      <c r="AF33" s="4" t="n">
        <v>0.5</v>
      </c>
      <c r="AG33" s="4" t="n">
        <v>0.5</v>
      </c>
      <c r="AH33" s="4" t="n">
        <v>0.5</v>
      </c>
      <c r="AI33" s="4" t="n">
        <v>0.5</v>
      </c>
      <c r="AJ33" s="4" t="n">
        <v>0.5</v>
      </c>
      <c r="AK33" s="4" t="n">
        <v>0.5</v>
      </c>
      <c r="AL33" s="4" t="n">
        <v>0.5</v>
      </c>
      <c r="AM33" s="4" t="n">
        <v>0.5</v>
      </c>
      <c r="AN33" s="4" t="n">
        <v>0.5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0.048</v>
      </c>
      <c r="I37" s="4" t="n">
        <v>0.048</v>
      </c>
      <c r="J37" s="4" t="n">
        <v>0.048</v>
      </c>
      <c r="K37" s="4" t="n">
        <v>0.048</v>
      </c>
      <c r="L37" s="4" t="n">
        <v>0.048</v>
      </c>
      <c r="M37" s="4" t="n">
        <v>0.048</v>
      </c>
      <c r="N37" s="4" t="n">
        <v>0.048</v>
      </c>
      <c r="O37" s="4" t="n">
        <v>0.048</v>
      </c>
      <c r="P37" s="4" t="n">
        <v>0.048</v>
      </c>
      <c r="Q37" s="4" t="n">
        <v>0.048</v>
      </c>
      <c r="R37" s="4" t="n">
        <v>0.048</v>
      </c>
      <c r="S37" s="4" t="n">
        <v>0.048</v>
      </c>
      <c r="T37" s="4" t="n">
        <v>0.048</v>
      </c>
      <c r="U37" s="4" t="n">
        <v>0.048</v>
      </c>
      <c r="V37" s="4" t="n">
        <v>0.048</v>
      </c>
      <c r="W37" s="4" t="n">
        <v>0.048</v>
      </c>
      <c r="X37" s="4" t="n">
        <v>0.048</v>
      </c>
      <c r="Y37" s="4" t="n">
        <v>0.048</v>
      </c>
      <c r="Z37" s="4" t="n">
        <v>0.048</v>
      </c>
      <c r="AA37" s="4" t="n">
        <v>0.048</v>
      </c>
      <c r="AB37" s="4" t="n">
        <v>0.048</v>
      </c>
      <c r="AC37" s="4" t="n">
        <v>0.048</v>
      </c>
      <c r="AD37" s="4" t="n">
        <v>0.048</v>
      </c>
      <c r="AE37" s="4" t="n">
        <v>0.048</v>
      </c>
      <c r="AF37" s="4" t="n">
        <v>0.048</v>
      </c>
      <c r="AG37" s="4" t="n">
        <v>0.048</v>
      </c>
      <c r="AH37" s="4" t="n">
        <v>0.048</v>
      </c>
      <c r="AI37" s="4" t="n">
        <v>0.048</v>
      </c>
      <c r="AJ37" s="4" t="n">
        <v>0.048</v>
      </c>
      <c r="AK37" s="4" t="n">
        <v>0.048</v>
      </c>
      <c r="AL37" s="4" t="n">
        <v>0.048</v>
      </c>
      <c r="AM37" s="4" t="n">
        <v>0.048</v>
      </c>
      <c r="AN37" s="4" t="n">
        <v>0.048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>
        <v>2500</v>
      </c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  <c r="P40" s="15">
        <f>MAX((O40-P41),0)</f>
        <v/>
      </c>
      <c r="Q40" s="15">
        <f>MAX((P40-Q41),0)</f>
        <v/>
      </c>
      <c r="R40" s="15">
        <f>MAX((Q40-R41),0)</f>
        <v/>
      </c>
      <c r="S40" s="15">
        <f>MAX((R40-S41),0)</f>
        <v/>
      </c>
      <c r="T40" s="15">
        <f>MAX((S40-T41),0)</f>
        <v/>
      </c>
      <c r="U40" s="15">
        <f>MAX((T40-U41),0)</f>
        <v/>
      </c>
      <c r="V40" s="15">
        <f>MAX((U40-V41),0)</f>
        <v/>
      </c>
      <c r="W40" s="15">
        <f>MAX((V40-W41),0)</f>
        <v/>
      </c>
      <c r="X40" s="15">
        <f>MAX((W40-X41),0)</f>
        <v/>
      </c>
      <c r="Y40" s="15">
        <f>MAX((X40-Y41),0)</f>
        <v/>
      </c>
      <c r="Z40" s="15">
        <f>MAX((Y40-Z41),0)</f>
        <v/>
      </c>
      <c r="AA40" s="15">
        <f>MAX((Z40-AA41),0)</f>
        <v/>
      </c>
      <c r="AB40" s="15">
        <f>MAX((AA40-AB41),0)</f>
        <v/>
      </c>
      <c r="AC40" s="15">
        <f>MAX((AB40-AC41),0)</f>
        <v/>
      </c>
      <c r="AD40" s="15">
        <f>MAX((AC40-AD41),0)</f>
        <v/>
      </c>
      <c r="AE40" s="15">
        <f>MAX((AD40-AE41),0)</f>
        <v/>
      </c>
      <c r="AF40" s="15">
        <f>MAX((AE40-AF41),0)</f>
        <v/>
      </c>
      <c r="AG40" s="15">
        <f>MAX((AF40-AG41),0)</f>
        <v/>
      </c>
      <c r="AH40" s="15">
        <f>MAX((AG40-AH41),0)</f>
        <v/>
      </c>
      <c r="AI40" s="15">
        <f>MAX((AH40-AI41),0)</f>
        <v/>
      </c>
      <c r="AJ40" s="15">
        <f>MAX((AI40-AJ41),0)</f>
        <v/>
      </c>
      <c r="AK40" s="15">
        <f>MAX((AJ40-AK41),0)</f>
        <v/>
      </c>
      <c r="AL40" s="15">
        <f>MAX((AK40-AL41),0)</f>
        <v/>
      </c>
      <c r="AM40" s="15">
        <f>MAX((AL40-AM41),0)</f>
        <v/>
      </c>
      <c r="AN40" s="15">
        <f>MAX((AM40-AN41),0)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/>
      <c r="F41" s="13" t="n"/>
      <c r="G41" s="13" t="n">
        <v>74.59999999999999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  <c r="P41" s="15">
        <f>IF(($C$9&gt;0),MIN(P14,MAX(O40,0)),P14)</f>
        <v/>
      </c>
      <c r="Q41" s="15">
        <f>IF(($C$9&gt;0),MIN(Q14,MAX(P40,0)),Q14)</f>
        <v/>
      </c>
      <c r="R41" s="15">
        <f>IF(($C$9&gt;0),MIN(R14,MAX(Q40,0)),R14)</f>
        <v/>
      </c>
      <c r="S41" s="15">
        <f>IF(($C$9&gt;0),MIN(S14,MAX(R40,0)),S14)</f>
        <v/>
      </c>
      <c r="T41" s="15">
        <f>IF(($C$9&gt;0),MIN(T14,MAX(S40,0)),T14)</f>
        <v/>
      </c>
      <c r="U41" s="15">
        <f>IF(($C$9&gt;0),MIN(U14,MAX(T40,0)),U14)</f>
        <v/>
      </c>
      <c r="V41" s="15">
        <f>IF(($C$9&gt;0),MIN(V14,MAX(U40,0)),V14)</f>
        <v/>
      </c>
      <c r="W41" s="15">
        <f>IF(($C$9&gt;0),MIN(W14,MAX(V40,0)),W14)</f>
        <v/>
      </c>
      <c r="X41" s="15">
        <f>IF(($C$9&gt;0),MIN(X14,MAX(W40,0)),X14)</f>
        <v/>
      </c>
      <c r="Y41" s="15">
        <f>IF(($C$9&gt;0),MIN(Y14,MAX(X40,0)),Y14)</f>
        <v/>
      </c>
      <c r="Z41" s="15">
        <f>IF(($C$9&gt;0),MIN(Z14,MAX(Y40,0)),Z14)</f>
        <v/>
      </c>
      <c r="AA41" s="15">
        <f>IF(($C$9&gt;0),MIN(AA14,MAX(Z40,0)),AA14)</f>
        <v/>
      </c>
      <c r="AB41" s="15">
        <f>IF(($C$9&gt;0),MIN(AB14,MAX(AA40,0)),AB14)</f>
        <v/>
      </c>
      <c r="AC41" s="15">
        <f>IF(($C$9&gt;0),MIN(AC14,MAX(AB40,0)),AC14)</f>
        <v/>
      </c>
      <c r="AD41" s="15">
        <f>IF(($C$9&gt;0),MIN(AD14,MAX(AC40,0)),AD14)</f>
        <v/>
      </c>
      <c r="AE41" s="15">
        <f>IF(($C$9&gt;0),MIN(AE14,MAX(AD40,0)),AE14)</f>
        <v/>
      </c>
      <c r="AF41" s="15">
        <f>IF(($C$9&gt;0),MIN(AF14,MAX(AE40,0)),AF14)</f>
        <v/>
      </c>
      <c r="AG41" s="15">
        <f>IF(($C$9&gt;0),MIN(AG14,MAX(AF40,0)),AG14)</f>
        <v/>
      </c>
      <c r="AH41" s="15">
        <f>IF(($C$9&gt;0),MIN(AH14,MAX(AG40,0)),AH14)</f>
        <v/>
      </c>
      <c r="AI41" s="15">
        <f>IF(($C$9&gt;0),MIN(AI14,MAX(AH40,0)),AI14)</f>
        <v/>
      </c>
      <c r="AJ41" s="15">
        <f>IF(($C$9&gt;0),MIN(AJ14,MAX(AI40,0)),AJ14)</f>
        <v/>
      </c>
      <c r="AK41" s="15">
        <f>IF(($C$9&gt;0),MIN(AK14,MAX(AJ40,0)),AK14)</f>
        <v/>
      </c>
      <c r="AL41" s="15">
        <f>IF(($C$9&gt;0),MIN(AL14,MAX(AK40,0)),AL14)</f>
        <v/>
      </c>
      <c r="AM41" s="15">
        <f>IF(($C$9&gt;0),MIN(AM14,MAX(AL40,0)),AM14)</f>
        <v/>
      </c>
      <c r="AN41" s="15">
        <f>IF(($C$9&gt;0),MIN(AN14,MAX(AM40,0)),AN14)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  <c r="K42" s="16">
        <f>Drivers!$O$6</f>
        <v/>
      </c>
      <c r="L42" s="16">
        <f>Drivers!$P$6</f>
        <v/>
      </c>
      <c r="M42" s="16">
        <f>Drivers!$Q$6</f>
        <v/>
      </c>
      <c r="N42" s="16">
        <f>Drivers!$R$6</f>
        <v/>
      </c>
      <c r="O42" s="16">
        <f>Drivers!$S$6</f>
        <v/>
      </c>
      <c r="P42" s="16">
        <f>Drivers!$T$6</f>
        <v/>
      </c>
      <c r="Q42" s="16">
        <f>Drivers!$U$6</f>
        <v/>
      </c>
      <c r="R42" s="16">
        <f>Drivers!$V$6</f>
        <v/>
      </c>
      <c r="S42" s="16">
        <f>Drivers!$W$6</f>
        <v/>
      </c>
      <c r="T42" s="16">
        <f>Drivers!$X$6</f>
        <v/>
      </c>
      <c r="U42" s="16">
        <f>Drivers!$Y$6</f>
        <v/>
      </c>
      <c r="V42" s="16">
        <f>Drivers!$Z$6</f>
        <v/>
      </c>
      <c r="W42" s="16">
        <f>Drivers!$AA$6</f>
        <v/>
      </c>
      <c r="X42" s="16">
        <f>Drivers!$AB$6</f>
        <v/>
      </c>
      <c r="Y42" s="16">
        <f>Drivers!$AC$6</f>
        <v/>
      </c>
      <c r="Z42" s="16">
        <f>Drivers!$AD$6</f>
        <v/>
      </c>
      <c r="AA42" s="16">
        <f>Drivers!$AE$6</f>
        <v/>
      </c>
      <c r="AB42" s="16">
        <f>Drivers!$AF$6</f>
        <v/>
      </c>
      <c r="AC42" s="16">
        <f>Drivers!$AG$6</f>
        <v/>
      </c>
      <c r="AD42" s="16">
        <f>Drivers!$AH$6</f>
        <v/>
      </c>
      <c r="AE42" s="16">
        <f>Drivers!$AI$6</f>
        <v/>
      </c>
      <c r="AF42" s="16">
        <f>Drivers!$AJ$6</f>
        <v/>
      </c>
      <c r="AG42" s="16">
        <f>Drivers!$AK$6</f>
        <v/>
      </c>
      <c r="AH42" s="16">
        <f>Drivers!$AL$6</f>
        <v/>
      </c>
      <c r="AI42" s="16">
        <f>Drivers!$AM$6</f>
        <v/>
      </c>
      <c r="AJ42" s="16">
        <f>Drivers!$AN$6</f>
        <v/>
      </c>
      <c r="AK42" s="16">
        <f>Drivers!$AO$6</f>
        <v/>
      </c>
      <c r="AL42" s="16">
        <f>Drivers!$AP$6</f>
        <v/>
      </c>
      <c r="AM42" s="16">
        <f>Drivers!$AQ$6</f>
        <v/>
      </c>
      <c r="AN42" s="16">
        <f>Drivers!$AR$6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/>
      <c r="G43" s="3" t="n">
        <v>59.7</v>
      </c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  <c r="K43" s="16">
        <f>(((K15*K42)*(1-K16))+(MIN(Drivers!$O$4,(K15*K42))*K16))</f>
        <v/>
      </c>
      <c r="L43" s="16">
        <f>(((L15*L42)*(1-L16))+(MIN(Drivers!$P$4,(L15*L42))*L16))</f>
        <v/>
      </c>
      <c r="M43" s="16">
        <f>(((M15*M42)*(1-M16))+(MIN(Drivers!$Q$4,(M15*M42))*M16))</f>
        <v/>
      </c>
      <c r="N43" s="16">
        <f>(((N15*N42)*(1-N16))+(MIN(Drivers!$R$4,(N15*N42))*N16))</f>
        <v/>
      </c>
      <c r="O43" s="16">
        <f>(((O15*O42)*(1-O16))+(MIN(Drivers!$S$4,(O15*O42))*O16))</f>
        <v/>
      </c>
      <c r="P43" s="16">
        <f>(((P15*P42)*(1-P16))+(MIN(Drivers!$T$4,(P15*P42))*P16))</f>
        <v/>
      </c>
      <c r="Q43" s="16">
        <f>(((Q15*Q42)*(1-Q16))+(MIN(Drivers!$U$4,(Q15*Q42))*Q16))</f>
        <v/>
      </c>
      <c r="R43" s="16">
        <f>(((R15*R42)*(1-R16))+(MIN(Drivers!$V$4,(R15*R42))*R16))</f>
        <v/>
      </c>
      <c r="S43" s="16">
        <f>(((S15*S42)*(1-S16))+(MIN(Drivers!$W$4,(S15*S42))*S16))</f>
        <v/>
      </c>
      <c r="T43" s="16">
        <f>(((T15*T42)*(1-T16))+(MIN(Drivers!$X$4,(T15*T42))*T16))</f>
        <v/>
      </c>
      <c r="U43" s="16">
        <f>(((U15*U42)*(1-U16))+(MIN(Drivers!$Y$4,(U15*U42))*U16))</f>
        <v/>
      </c>
      <c r="V43" s="16">
        <f>(((V15*V42)*(1-V16))+(MIN(Drivers!$Z$4,(V15*V42))*V16))</f>
        <v/>
      </c>
      <c r="W43" s="16">
        <f>(((W15*W42)*(1-W16))+(MIN(Drivers!$AA$4,(W15*W42))*W16))</f>
        <v/>
      </c>
      <c r="X43" s="16">
        <f>(((X15*X42)*(1-X16))+(MIN(Drivers!$AB$4,(X15*X42))*X16))</f>
        <v/>
      </c>
      <c r="Y43" s="16">
        <f>(((Y15*Y42)*(1-Y16))+(MIN(Drivers!$AC$4,(Y15*Y42))*Y16))</f>
        <v/>
      </c>
      <c r="Z43" s="16">
        <f>(((Z15*Z42)*(1-Z16))+(MIN(Drivers!$AD$4,(Z15*Z42))*Z16))</f>
        <v/>
      </c>
      <c r="AA43" s="16">
        <f>(((AA15*AA42)*(1-AA16))+(MIN(Drivers!$AE$4,(AA15*AA42))*AA16))</f>
        <v/>
      </c>
      <c r="AB43" s="16">
        <f>(((AB15*AB42)*(1-AB16))+(MIN(Drivers!$AF$4,(AB15*AB42))*AB16))</f>
        <v/>
      </c>
      <c r="AC43" s="16">
        <f>(((AC15*AC42)*(1-AC16))+(MIN(Drivers!$AG$4,(AC15*AC42))*AC16))</f>
        <v/>
      </c>
      <c r="AD43" s="16">
        <f>(((AD15*AD42)*(1-AD16))+(MIN(Drivers!$AH$4,(AD15*AD42))*AD16))</f>
        <v/>
      </c>
      <c r="AE43" s="16">
        <f>(((AE15*AE42)*(1-AE16))+(MIN(Drivers!$AI$4,(AE15*AE42))*AE16))</f>
        <v/>
      </c>
      <c r="AF43" s="16">
        <f>(((AF15*AF42)*(1-AF16))+(MIN(Drivers!$AJ$4,(AF15*AF42))*AF16))</f>
        <v/>
      </c>
      <c r="AG43" s="16">
        <f>(((AG15*AG42)*(1-AG16))+(MIN(Drivers!$AK$4,(AG15*AG42))*AG16))</f>
        <v/>
      </c>
      <c r="AH43" s="16">
        <f>(((AH15*AH42)*(1-AH16))+(MIN(Drivers!$AL$4,(AH15*AH42))*AH16))</f>
        <v/>
      </c>
      <c r="AI43" s="16">
        <f>(((AI15*AI42)*(1-AI16))+(MIN(Drivers!$AM$4,(AI15*AI42))*AI16))</f>
        <v/>
      </c>
      <c r="AJ43" s="16">
        <f>(((AJ15*AJ42)*(1-AJ16))+(MIN(Drivers!$AN$4,(AJ15*AJ42))*AJ16))</f>
        <v/>
      </c>
      <c r="AK43" s="16">
        <f>(((AK15*AK42)*(1-AK16))+(MIN(Drivers!$AO$4,(AK15*AK42))*AK16))</f>
        <v/>
      </c>
      <c r="AL43" s="16">
        <f>(((AL15*AL42)*(1-AL16))+(MIN(Drivers!$AP$4,(AL15*AL42))*AL16))</f>
        <v/>
      </c>
      <c r="AM43" s="16">
        <f>(((AM15*AM42)*(1-AM16))+(MIN(Drivers!$AQ$4,(AM15*AM42))*AM16))</f>
        <v/>
      </c>
      <c r="AN43" s="16">
        <f>(((AN15*AN42)*(1-AN16))+(MIN(Drivers!$AR$4,(AN15*AN42))*AN16))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  <c r="L44" s="17">
        <f>IF(L42=0,0,L43/L42)</f>
        <v/>
      </c>
      <c r="M44" s="17">
        <f>IF(M42=0,0,M43/M42)</f>
        <v/>
      </c>
      <c r="N44" s="17">
        <f>IF(N42=0,0,N43/N42)</f>
        <v/>
      </c>
      <c r="O44" s="17">
        <f>IF(O42=0,0,O43/O42)</f>
        <v/>
      </c>
      <c r="P44" s="17">
        <f>IF(P42=0,0,P43/P42)</f>
        <v/>
      </c>
      <c r="Q44" s="17">
        <f>IF(Q42=0,0,Q43/Q42)</f>
        <v/>
      </c>
      <c r="R44" s="17">
        <f>IF(R42=0,0,R43/R42)</f>
        <v/>
      </c>
      <c r="S44" s="17">
        <f>IF(S42=0,0,S43/S42)</f>
        <v/>
      </c>
      <c r="T44" s="17">
        <f>IF(T42=0,0,T43/T42)</f>
        <v/>
      </c>
      <c r="U44" s="17">
        <f>IF(U42=0,0,U43/U42)</f>
        <v/>
      </c>
      <c r="V44" s="17">
        <f>IF(V42=0,0,V43/V42)</f>
        <v/>
      </c>
      <c r="W44" s="17">
        <f>IF(W42=0,0,W43/W42)</f>
        <v/>
      </c>
      <c r="X44" s="17">
        <f>IF(X42=0,0,X43/X42)</f>
        <v/>
      </c>
      <c r="Y44" s="17">
        <f>IF(Y42=0,0,Y43/Y42)</f>
        <v/>
      </c>
      <c r="Z44" s="17">
        <f>IF(Z42=0,0,Z43/Z42)</f>
        <v/>
      </c>
      <c r="AA44" s="17">
        <f>IF(AA42=0,0,AA43/AA42)</f>
        <v/>
      </c>
      <c r="AB44" s="17">
        <f>IF(AB42=0,0,AB43/AB42)</f>
        <v/>
      </c>
      <c r="AC44" s="17">
        <f>IF(AC42=0,0,AC43/AC42)</f>
        <v/>
      </c>
      <c r="AD44" s="17">
        <f>IF(AD42=0,0,AD43/AD42)</f>
        <v/>
      </c>
      <c r="AE44" s="17">
        <f>IF(AE42=0,0,AE43/AE42)</f>
        <v/>
      </c>
      <c r="AF44" s="17">
        <f>IF(AF42=0,0,AF43/AF42)</f>
        <v/>
      </c>
      <c r="AG44" s="17">
        <f>IF(AG42=0,0,AG43/AG42)</f>
        <v/>
      </c>
      <c r="AH44" s="17">
        <f>IF(AH42=0,0,AH43/AH42)</f>
        <v/>
      </c>
      <c r="AI44" s="17">
        <f>IF(AI42=0,0,AI43/AI42)</f>
        <v/>
      </c>
      <c r="AJ44" s="17">
        <f>IF(AJ42=0,0,AJ43/AJ42)</f>
        <v/>
      </c>
      <c r="AK44" s="17">
        <f>IF(AK42=0,0,AK43/AK42)</f>
        <v/>
      </c>
      <c r="AL44" s="17">
        <f>IF(AL42=0,0,AL43/AL42)</f>
        <v/>
      </c>
      <c r="AM44" s="17">
        <f>IF(AM42=0,0,AM43/AM42)</f>
        <v/>
      </c>
      <c r="AN44" s="17">
        <f>IF(AN42=0,0,AN43/AN42)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6">
        <f>(((H17*H18)*(1+($C$19*(IF(Drivers!$J$8=0,0,Drivers!$L$8/Drivers!$J$8)-1))))+H20)</f>
        <v/>
      </c>
      <c r="I45" s="16">
        <f>(((I17*I18)*(1+($C$19*(IF(Drivers!$J$8=0,0,Drivers!$M$8/Drivers!$J$8)-1))))+I20)</f>
        <v/>
      </c>
      <c r="J45" s="16">
        <f>(((J17*J18)*(1+($C$19*(IF(Drivers!$J$8=0,0,Drivers!$N$8/Drivers!$J$8)-1))))+J20)</f>
        <v/>
      </c>
      <c r="K45" s="16">
        <f>(((K17*K18)*(1+($C$19*(IF(Drivers!$J$8=0,0,Drivers!$O$8/Drivers!$J$8)-1))))+K20)</f>
        <v/>
      </c>
      <c r="L45" s="16">
        <f>(((L17*L18)*(1+($C$19*(IF(Drivers!$J$8=0,0,Drivers!$P$8/Drivers!$J$8)-1))))+L20)</f>
        <v/>
      </c>
      <c r="M45" s="16">
        <f>(((M17*M18)*(1+($C$19*(IF(Drivers!$J$8=0,0,Drivers!$Q$8/Drivers!$J$8)-1))))+M20)</f>
        <v/>
      </c>
      <c r="N45" s="16">
        <f>(((N17*N18)*(1+($C$19*(IF(Drivers!$J$8=0,0,Drivers!$R$8/Drivers!$J$8)-1))))+N20)</f>
        <v/>
      </c>
      <c r="O45" s="16">
        <f>(((O17*O18)*(1+($C$19*(IF(Drivers!$J$8=0,0,Drivers!$S$8/Drivers!$J$8)-1))))+O20)</f>
        <v/>
      </c>
      <c r="P45" s="16">
        <f>(((P17*P18)*(1+($C$19*(IF(Drivers!$J$8=0,0,Drivers!$T$8/Drivers!$J$8)-1))))+P20)</f>
        <v/>
      </c>
      <c r="Q45" s="16">
        <f>(((Q17*Q18)*(1+($C$19*(IF(Drivers!$J$8=0,0,Drivers!$U$8/Drivers!$J$8)-1))))+Q20)</f>
        <v/>
      </c>
      <c r="R45" s="16">
        <f>(((R17*R18)*(1+($C$19*(IF(Drivers!$J$8=0,0,Drivers!$V$8/Drivers!$J$8)-1))))+R20)</f>
        <v/>
      </c>
      <c r="S45" s="16">
        <f>(((S17*S18)*(1+($C$19*(IF(Drivers!$J$8=0,0,Drivers!$W$8/Drivers!$J$8)-1))))+S20)</f>
        <v/>
      </c>
      <c r="T45" s="16">
        <f>(((T17*T18)*(1+($C$19*(IF(Drivers!$J$8=0,0,Drivers!$X$8/Drivers!$J$8)-1))))+T20)</f>
        <v/>
      </c>
      <c r="U45" s="16">
        <f>(((U17*U18)*(1+($C$19*(IF(Drivers!$J$8=0,0,Drivers!$Y$8/Drivers!$J$8)-1))))+U20)</f>
        <v/>
      </c>
      <c r="V45" s="16">
        <f>(((V17*V18)*(1+($C$19*(IF(Drivers!$J$8=0,0,Drivers!$Z$8/Drivers!$J$8)-1))))+V20)</f>
        <v/>
      </c>
      <c r="W45" s="16">
        <f>(((W17*W18)*(1+($C$19*(IF(Drivers!$J$8=0,0,Drivers!$AA$8/Drivers!$J$8)-1))))+W20)</f>
        <v/>
      </c>
      <c r="X45" s="16">
        <f>(((X17*X18)*(1+($C$19*(IF(Drivers!$J$8=0,0,Drivers!$AB$8/Drivers!$J$8)-1))))+X20)</f>
        <v/>
      </c>
      <c r="Y45" s="16">
        <f>(((Y17*Y18)*(1+($C$19*(IF(Drivers!$J$8=0,0,Drivers!$AC$8/Drivers!$J$8)-1))))+Y20)</f>
        <v/>
      </c>
      <c r="Z45" s="16">
        <f>(((Z17*Z18)*(1+($C$19*(IF(Drivers!$J$8=0,0,Drivers!$AD$8/Drivers!$J$8)-1))))+Z20)</f>
        <v/>
      </c>
      <c r="AA45" s="16">
        <f>(((AA17*AA18)*(1+($C$19*(IF(Drivers!$J$8=0,0,Drivers!$AE$8/Drivers!$J$8)-1))))+AA20)</f>
        <v/>
      </c>
      <c r="AB45" s="16">
        <f>(((AB17*AB18)*(1+($C$19*(IF(Drivers!$J$8=0,0,Drivers!$AF$8/Drivers!$J$8)-1))))+AB20)</f>
        <v/>
      </c>
      <c r="AC45" s="16">
        <f>(((AC17*AC18)*(1+($C$19*(IF(Drivers!$J$8=0,0,Drivers!$AG$8/Drivers!$J$8)-1))))+AC20)</f>
        <v/>
      </c>
      <c r="AD45" s="16">
        <f>(((AD17*AD18)*(1+($C$19*(IF(Drivers!$J$8=0,0,Drivers!$AH$8/Drivers!$J$8)-1))))+AD20)</f>
        <v/>
      </c>
      <c r="AE45" s="16">
        <f>(((AE17*AE18)*(1+($C$19*(IF(Drivers!$J$8=0,0,Drivers!$AI$8/Drivers!$J$8)-1))))+AE20)</f>
        <v/>
      </c>
      <c r="AF45" s="16">
        <f>(((AF17*AF18)*(1+($C$19*(IF(Drivers!$J$8=0,0,Drivers!$AJ$8/Drivers!$J$8)-1))))+AF20)</f>
        <v/>
      </c>
      <c r="AG45" s="16">
        <f>(((AG17*AG18)*(1+($C$19*(IF(Drivers!$J$8=0,0,Drivers!$AK$8/Drivers!$J$8)-1))))+AG20)</f>
        <v/>
      </c>
      <c r="AH45" s="16">
        <f>(((AH17*AH18)*(1+($C$19*(IF(Drivers!$J$8=0,0,Drivers!$AL$8/Drivers!$J$8)-1))))+AH20)</f>
        <v/>
      </c>
      <c r="AI45" s="16">
        <f>(((AI17*AI18)*(1+($C$19*(IF(Drivers!$J$8=0,0,Drivers!$AM$8/Drivers!$J$8)-1))))+AI20)</f>
        <v/>
      </c>
      <c r="AJ45" s="16">
        <f>(((AJ17*AJ18)*(1+($C$19*(IF(Drivers!$J$8=0,0,Drivers!$AN$8/Drivers!$J$8)-1))))+AJ20)</f>
        <v/>
      </c>
      <c r="AK45" s="16">
        <f>(((AK17*AK18)*(1+($C$19*(IF(Drivers!$J$8=0,0,Drivers!$AO$8/Drivers!$J$8)-1))))+AK20)</f>
        <v/>
      </c>
      <c r="AL45" s="16">
        <f>(((AL17*AL18)*(1+($C$19*(IF(Drivers!$J$8=0,0,Drivers!$AP$8/Drivers!$J$8)-1))))+AL20)</f>
        <v/>
      </c>
      <c r="AM45" s="16">
        <f>(((AM17*AM18)*(1+($C$19*(IF(Drivers!$J$8=0,0,Drivers!$AQ$8/Drivers!$J$8)-1))))+AM20)</f>
        <v/>
      </c>
      <c r="AN45" s="16">
        <f>(((AN17*AN18)*(1+($C$19*(IF(Drivers!$J$8=0,0,Drivers!$AR$8/Drivers!$J$8)-1))))+AN20)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>
        <v>8</v>
      </c>
      <c r="H46" s="18">
        <f>H17</f>
        <v/>
      </c>
      <c r="I46" s="18">
        <f>I17</f>
        <v/>
      </c>
      <c r="J46" s="18">
        <f>J17</f>
        <v/>
      </c>
      <c r="K46" s="18">
        <f>K17</f>
        <v/>
      </c>
      <c r="L46" s="18">
        <f>L17</f>
        <v/>
      </c>
      <c r="M46" s="18">
        <f>M17</f>
        <v/>
      </c>
      <c r="N46" s="18">
        <f>N17</f>
        <v/>
      </c>
      <c r="O46" s="18">
        <f>O17</f>
        <v/>
      </c>
      <c r="P46" s="18">
        <f>P17</f>
        <v/>
      </c>
      <c r="Q46" s="18">
        <f>Q17</f>
        <v/>
      </c>
      <c r="R46" s="18">
        <f>R17</f>
        <v/>
      </c>
      <c r="S46" s="18">
        <f>S17</f>
        <v/>
      </c>
      <c r="T46" s="18">
        <f>T17</f>
        <v/>
      </c>
      <c r="U46" s="18">
        <f>U17</f>
        <v/>
      </c>
      <c r="V46" s="18">
        <f>V17</f>
        <v/>
      </c>
      <c r="W46" s="18">
        <f>W17</f>
        <v/>
      </c>
      <c r="X46" s="18">
        <f>X17</f>
        <v/>
      </c>
      <c r="Y46" s="18">
        <f>Y17</f>
        <v/>
      </c>
      <c r="Z46" s="18">
        <f>Z17</f>
        <v/>
      </c>
      <c r="AA46" s="18">
        <f>AA17</f>
        <v/>
      </c>
      <c r="AB46" s="18">
        <f>AB17</f>
        <v/>
      </c>
      <c r="AC46" s="18">
        <f>AC17</f>
        <v/>
      </c>
      <c r="AD46" s="18">
        <f>AD17</f>
        <v/>
      </c>
      <c r="AE46" s="18">
        <f>AE17</f>
        <v/>
      </c>
      <c r="AF46" s="18">
        <f>AF17</f>
        <v/>
      </c>
      <c r="AG46" s="18">
        <f>AG17</f>
        <v/>
      </c>
      <c r="AH46" s="18">
        <f>AH17</f>
        <v/>
      </c>
      <c r="AI46" s="18">
        <f>AI17</f>
        <v/>
      </c>
      <c r="AJ46" s="18">
        <f>AJ17</f>
        <v/>
      </c>
      <c r="AK46" s="18">
        <f>AK17</f>
        <v/>
      </c>
      <c r="AL46" s="18">
        <f>AL17</f>
        <v/>
      </c>
      <c r="AM46" s="18">
        <f>AM17</f>
        <v/>
      </c>
      <c r="AN46" s="18">
        <f>AN17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9">
        <f>VLOOKUP(Drivers!$L$5,Drivers!$B$25:$C$30,2,TRUE)</f>
        <v/>
      </c>
      <c r="I47" s="9">
        <f>VLOOKUP(Drivers!$M$5,Drivers!$B$25:$C$30,2,TRUE)</f>
        <v/>
      </c>
      <c r="J47" s="9">
        <f>VLOOKUP(Drivers!$N$5,Drivers!$B$25:$C$30,2,TRUE)</f>
        <v/>
      </c>
      <c r="K47" s="9">
        <f>VLOOKUP(Drivers!$O$5,Drivers!$B$25:$C$30,2,TRUE)</f>
        <v/>
      </c>
      <c r="L47" s="9">
        <f>VLOOKUP(Drivers!$P$5,Drivers!$B$25:$C$30,2,TRUE)</f>
        <v/>
      </c>
      <c r="M47" s="9">
        <f>VLOOKUP(Drivers!$Q$5,Drivers!$B$25:$C$30,2,TRUE)</f>
        <v/>
      </c>
      <c r="N47" s="9">
        <f>VLOOKUP(Drivers!$R$5,Drivers!$B$25:$C$30,2,TRUE)</f>
        <v/>
      </c>
      <c r="O47" s="9">
        <f>VLOOKUP(Drivers!$S$5,Drivers!$B$25:$C$30,2,TRUE)</f>
        <v/>
      </c>
      <c r="P47" s="9">
        <f>VLOOKUP(Drivers!$T$5,Drivers!$B$25:$C$30,2,TRUE)</f>
        <v/>
      </c>
      <c r="Q47" s="9">
        <f>VLOOKUP(Drivers!$U$5,Drivers!$B$25:$C$30,2,TRUE)</f>
        <v/>
      </c>
      <c r="R47" s="9">
        <f>VLOOKUP(Drivers!$V$5,Drivers!$B$25:$C$30,2,TRUE)</f>
        <v/>
      </c>
      <c r="S47" s="9">
        <f>VLOOKUP(Drivers!$W$5,Drivers!$B$25:$C$30,2,TRUE)</f>
        <v/>
      </c>
      <c r="T47" s="9">
        <f>VLOOKUP(Drivers!$X$5,Drivers!$B$25:$C$30,2,TRUE)</f>
        <v/>
      </c>
      <c r="U47" s="9">
        <f>VLOOKUP(Drivers!$Y$5,Drivers!$B$25:$C$30,2,TRUE)</f>
        <v/>
      </c>
      <c r="V47" s="9">
        <f>VLOOKUP(Drivers!$Z$5,Drivers!$B$25:$C$30,2,TRUE)</f>
        <v/>
      </c>
      <c r="W47" s="9">
        <f>VLOOKUP(Drivers!$AA$5,Drivers!$B$25:$C$30,2,TRUE)</f>
        <v/>
      </c>
      <c r="X47" s="9">
        <f>VLOOKUP(Drivers!$AB$5,Drivers!$B$25:$C$30,2,TRUE)</f>
        <v/>
      </c>
      <c r="Y47" s="9">
        <f>VLOOKUP(Drivers!$AC$5,Drivers!$B$25:$C$30,2,TRUE)</f>
        <v/>
      </c>
      <c r="Z47" s="9">
        <f>VLOOKUP(Drivers!$AD$5,Drivers!$B$25:$C$30,2,TRUE)</f>
        <v/>
      </c>
      <c r="AA47" s="9">
        <f>VLOOKUP(Drivers!$AE$5,Drivers!$B$25:$C$30,2,TRUE)</f>
        <v/>
      </c>
      <c r="AB47" s="9">
        <f>VLOOKUP(Drivers!$AF$5,Drivers!$B$25:$C$30,2,TRUE)</f>
        <v/>
      </c>
      <c r="AC47" s="9">
        <f>VLOOKUP(Drivers!$AG$5,Drivers!$B$25:$C$30,2,TRUE)</f>
        <v/>
      </c>
      <c r="AD47" s="9">
        <f>VLOOKUP(Drivers!$AH$5,Drivers!$B$25:$C$30,2,TRUE)</f>
        <v/>
      </c>
      <c r="AE47" s="9">
        <f>VLOOKUP(Drivers!$AI$5,Drivers!$B$25:$C$30,2,TRUE)</f>
        <v/>
      </c>
      <c r="AF47" s="9">
        <f>VLOOKUP(Drivers!$AJ$5,Drivers!$B$25:$C$30,2,TRUE)</f>
        <v/>
      </c>
      <c r="AG47" s="9">
        <f>VLOOKUP(Drivers!$AK$5,Drivers!$B$25:$C$30,2,TRUE)</f>
        <v/>
      </c>
      <c r="AH47" s="9">
        <f>VLOOKUP(Drivers!$AL$5,Drivers!$B$25:$C$30,2,TRUE)</f>
        <v/>
      </c>
      <c r="AI47" s="9">
        <f>VLOOKUP(Drivers!$AM$5,Drivers!$B$25:$C$30,2,TRUE)</f>
        <v/>
      </c>
      <c r="AJ47" s="9">
        <f>VLOOKUP(Drivers!$AN$5,Drivers!$B$25:$C$30,2,TRUE)</f>
        <v/>
      </c>
      <c r="AK47" s="9">
        <f>VLOOKUP(Drivers!$AO$5,Drivers!$B$25:$C$30,2,TRUE)</f>
        <v/>
      </c>
      <c r="AL47" s="9">
        <f>VLOOKUP(Drivers!$AP$5,Drivers!$B$25:$C$30,2,TRUE)</f>
        <v/>
      </c>
      <c r="AM47" s="9">
        <f>VLOOKUP(Drivers!$AQ$5,Drivers!$B$25:$C$30,2,TRUE)</f>
        <v/>
      </c>
      <c r="AN47" s="9">
        <f>VLOOKUP(Drivers!$AR$5,Drivers!$B$25:$C$30,2,TRUE)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/>
      <c r="F48" s="3" t="n"/>
      <c r="G48" s="3" t="n">
        <v>4.23284962466488</v>
      </c>
      <c r="H48" s="19">
        <f>IF((H41*$C$10)=0,0,H61/(H41*$C$10))</f>
        <v/>
      </c>
      <c r="I48" s="19">
        <f>IF((I41*$C$10)=0,0,I61/(I41*$C$10))</f>
        <v/>
      </c>
      <c r="J48" s="19">
        <f>IF((J41*$C$10)=0,0,J61/(J41*$C$10))</f>
        <v/>
      </c>
      <c r="K48" s="19">
        <f>IF((K41*$C$10)=0,0,K61/(K41*$C$10))</f>
        <v/>
      </c>
      <c r="L48" s="19">
        <f>IF((L41*$C$10)=0,0,L61/(L41*$C$10))</f>
        <v/>
      </c>
      <c r="M48" s="19">
        <f>IF((M41*$C$10)=0,0,M61/(M41*$C$10))</f>
        <v/>
      </c>
      <c r="N48" s="19">
        <f>IF((N41*$C$10)=0,0,N61/(N41*$C$10))</f>
        <v/>
      </c>
      <c r="O48" s="19">
        <f>IF((O41*$C$10)=0,0,O61/(O41*$C$10))</f>
        <v/>
      </c>
      <c r="P48" s="19">
        <f>IF((P41*$C$10)=0,0,P61/(P41*$C$10))</f>
        <v/>
      </c>
      <c r="Q48" s="19">
        <f>IF((Q41*$C$10)=0,0,Q61/(Q41*$C$10))</f>
        <v/>
      </c>
      <c r="R48" s="19">
        <f>IF((R41*$C$10)=0,0,R61/(R41*$C$10))</f>
        <v/>
      </c>
      <c r="S48" s="19">
        <f>IF((S41*$C$10)=0,0,S61/(S41*$C$10))</f>
        <v/>
      </c>
      <c r="T48" s="19">
        <f>IF((T41*$C$10)=0,0,T61/(T41*$C$10))</f>
        <v/>
      </c>
      <c r="U48" s="19">
        <f>IF((U41*$C$10)=0,0,U61/(U41*$C$10))</f>
        <v/>
      </c>
      <c r="V48" s="19">
        <f>IF((V41*$C$10)=0,0,V61/(V41*$C$10))</f>
        <v/>
      </c>
      <c r="W48" s="19">
        <f>IF((W41*$C$10)=0,0,W61/(W41*$C$10))</f>
        <v/>
      </c>
      <c r="X48" s="19">
        <f>IF((X41*$C$10)=0,0,X61/(X41*$C$10))</f>
        <v/>
      </c>
      <c r="Y48" s="19">
        <f>IF((Y41*$C$10)=0,0,Y61/(Y41*$C$10))</f>
        <v/>
      </c>
      <c r="Z48" s="19">
        <f>IF((Z41*$C$10)=0,0,Z61/(Z41*$C$10))</f>
        <v/>
      </c>
      <c r="AA48" s="19">
        <f>IF((AA41*$C$10)=0,0,AA61/(AA41*$C$10))</f>
        <v/>
      </c>
      <c r="AB48" s="19">
        <f>IF((AB41*$C$10)=0,0,AB61/(AB41*$C$10))</f>
        <v/>
      </c>
      <c r="AC48" s="19">
        <f>IF((AC41*$C$10)=0,0,AC61/(AC41*$C$10))</f>
        <v/>
      </c>
      <c r="AD48" s="19">
        <f>IF((AD41*$C$10)=0,0,AD61/(AD41*$C$10))</f>
        <v/>
      </c>
      <c r="AE48" s="19">
        <f>IF((AE41*$C$10)=0,0,AE61/(AE41*$C$10))</f>
        <v/>
      </c>
      <c r="AF48" s="19">
        <f>IF((AF41*$C$10)=0,0,AF61/(AF41*$C$10))</f>
        <v/>
      </c>
      <c r="AG48" s="19">
        <f>IF((AG41*$C$10)=0,0,AG61/(AG41*$C$10))</f>
        <v/>
      </c>
      <c r="AH48" s="19">
        <f>IF((AH41*$C$10)=0,0,AH61/(AH41*$C$10))</f>
        <v/>
      </c>
      <c r="AI48" s="19">
        <f>IF((AI41*$C$10)=0,0,AI61/(AI41*$C$10))</f>
        <v/>
      </c>
      <c r="AJ48" s="19">
        <f>IF((AJ41*$C$10)=0,0,AJ61/(AJ41*$C$10))</f>
        <v/>
      </c>
      <c r="AK48" s="19">
        <f>IF((AK41*$C$10)=0,0,AK61/(AK41*$C$10))</f>
        <v/>
      </c>
      <c r="AL48" s="19">
        <f>IF((AL41*$C$10)=0,0,AL61/(AL41*$C$10))</f>
        <v/>
      </c>
      <c r="AM48" s="19">
        <f>IF((AM41*$C$10)=0,0,AM61/(AM41*$C$10))</f>
        <v/>
      </c>
      <c r="AN48" s="19">
        <f>IF((AN41*$C$10)=0,0,AN61/(AN41*$C$10))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9">
        <f>IF((H41*$C$10)=0,0,(H53+H52)/(H41*$C$10))</f>
        <v/>
      </c>
      <c r="I49" s="19">
        <f>IF((I41*$C$10)=0,0,(I53+I52)/(I41*$C$10))</f>
        <v/>
      </c>
      <c r="J49" s="19">
        <f>IF((J41*$C$10)=0,0,(J53+J52)/(J41*$C$10))</f>
        <v/>
      </c>
      <c r="K49" s="19">
        <f>IF((K41*$C$10)=0,0,(K53+K52)/(K41*$C$10))</f>
        <v/>
      </c>
      <c r="L49" s="19">
        <f>IF((L41*$C$10)=0,0,(L53+L52)/(L41*$C$10))</f>
        <v/>
      </c>
      <c r="M49" s="19">
        <f>IF((M41*$C$10)=0,0,(M53+M52)/(M41*$C$10))</f>
        <v/>
      </c>
      <c r="N49" s="19">
        <f>IF((N41*$C$10)=0,0,(N53+N52)/(N41*$C$10))</f>
        <v/>
      </c>
      <c r="O49" s="19">
        <f>IF((O41*$C$10)=0,0,(O53+O52)/(O41*$C$10))</f>
        <v/>
      </c>
      <c r="P49" s="19">
        <f>IF((P41*$C$10)=0,0,(P53+P52)/(P41*$C$10))</f>
        <v/>
      </c>
      <c r="Q49" s="19">
        <f>IF((Q41*$C$10)=0,0,(Q53+Q52)/(Q41*$C$10))</f>
        <v/>
      </c>
      <c r="R49" s="19">
        <f>IF((R41*$C$10)=0,0,(R53+R52)/(R41*$C$10))</f>
        <v/>
      </c>
      <c r="S49" s="19">
        <f>IF((S41*$C$10)=0,0,(S53+S52)/(S41*$C$10))</f>
        <v/>
      </c>
      <c r="T49" s="19">
        <f>IF((T41*$C$10)=0,0,(T53+T52)/(T41*$C$10))</f>
        <v/>
      </c>
      <c r="U49" s="19">
        <f>IF((U41*$C$10)=0,0,(U53+U52)/(U41*$C$10))</f>
        <v/>
      </c>
      <c r="V49" s="19">
        <f>IF((V41*$C$10)=0,0,(V53+V52)/(V41*$C$10))</f>
        <v/>
      </c>
      <c r="W49" s="19">
        <f>IF((W41*$C$10)=0,0,(W53+W52)/(W41*$C$10))</f>
        <v/>
      </c>
      <c r="X49" s="19">
        <f>IF((X41*$C$10)=0,0,(X53+X52)/(X41*$C$10))</f>
        <v/>
      </c>
      <c r="Y49" s="19">
        <f>IF((Y41*$C$10)=0,0,(Y53+Y52)/(Y41*$C$10))</f>
        <v/>
      </c>
      <c r="Z49" s="19">
        <f>IF((Z41*$C$10)=0,0,(Z53+Z52)/(Z41*$C$10))</f>
        <v/>
      </c>
      <c r="AA49" s="19">
        <f>IF((AA41*$C$10)=0,0,(AA53+AA52)/(AA41*$C$10))</f>
        <v/>
      </c>
      <c r="AB49" s="19">
        <f>IF((AB41*$C$10)=0,0,(AB53+AB52)/(AB41*$C$10))</f>
        <v/>
      </c>
      <c r="AC49" s="19">
        <f>IF((AC41*$C$10)=0,0,(AC53+AC52)/(AC41*$C$10))</f>
        <v/>
      </c>
      <c r="AD49" s="19">
        <f>IF((AD41*$C$10)=0,0,(AD53+AD52)/(AD41*$C$10))</f>
        <v/>
      </c>
      <c r="AE49" s="19">
        <f>IF((AE41*$C$10)=0,0,(AE53+AE52)/(AE41*$C$10))</f>
        <v/>
      </c>
      <c r="AF49" s="19">
        <f>IF((AF41*$C$10)=0,0,(AF53+AF52)/(AF41*$C$10))</f>
        <v/>
      </c>
      <c r="AG49" s="19">
        <f>IF((AG41*$C$10)=0,0,(AG53+AG52)/(AG41*$C$10))</f>
        <v/>
      </c>
      <c r="AH49" s="19">
        <f>IF((AH41*$C$10)=0,0,(AH53+AH52)/(AH41*$C$10))</f>
        <v/>
      </c>
      <c r="AI49" s="19">
        <f>IF((AI41*$C$10)=0,0,(AI53+AI52)/(AI41*$C$10))</f>
        <v/>
      </c>
      <c r="AJ49" s="19">
        <f>IF((AJ41*$C$10)=0,0,(AJ53+AJ52)/(AJ41*$C$10))</f>
        <v/>
      </c>
      <c r="AK49" s="19">
        <f>IF((AK41*$C$10)=0,0,(AK53+AK52)/(AK41*$C$10))</f>
        <v/>
      </c>
      <c r="AL49" s="19">
        <f>IF((AL41*$C$10)=0,0,(AL53+AL52)/(AL41*$C$10))</f>
        <v/>
      </c>
      <c r="AM49" s="19">
        <f>IF((AM41*$C$10)=0,0,(AM53+AM52)/(AM41*$C$10))</f>
        <v/>
      </c>
      <c r="AN49" s="19">
        <f>IF((AN41*$C$10)=0,0,(AN53+AN52)/(AN41*$C$10))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15">
        <f>((H41*H43)*$C$10)</f>
        <v/>
      </c>
      <c r="I50" s="15">
        <f>((I41*I43)*$C$10)</f>
        <v/>
      </c>
      <c r="J50" s="15">
        <f>((J41*J43)*$C$10)</f>
        <v/>
      </c>
      <c r="K50" s="15">
        <f>((K41*K43)*$C$10)</f>
        <v/>
      </c>
      <c r="L50" s="15">
        <f>((L41*L43)*$C$10)</f>
        <v/>
      </c>
      <c r="M50" s="15">
        <f>((M41*M43)*$C$10)</f>
        <v/>
      </c>
      <c r="N50" s="15">
        <f>((N41*N43)*$C$10)</f>
        <v/>
      </c>
      <c r="O50" s="15">
        <f>((O41*O43)*$C$10)</f>
        <v/>
      </c>
      <c r="P50" s="15">
        <f>((P41*P43)*$C$10)</f>
        <v/>
      </c>
      <c r="Q50" s="15">
        <f>((Q41*Q43)*$C$10)</f>
        <v/>
      </c>
      <c r="R50" s="15">
        <f>((R41*R43)*$C$10)</f>
        <v/>
      </c>
      <c r="S50" s="15">
        <f>((S41*S43)*$C$10)</f>
        <v/>
      </c>
      <c r="T50" s="15">
        <f>((T41*T43)*$C$10)</f>
        <v/>
      </c>
      <c r="U50" s="15">
        <f>((U41*U43)*$C$10)</f>
        <v/>
      </c>
      <c r="V50" s="15">
        <f>((V41*V43)*$C$10)</f>
        <v/>
      </c>
      <c r="W50" s="15">
        <f>((W41*W43)*$C$10)</f>
        <v/>
      </c>
      <c r="X50" s="15">
        <f>((X41*X43)*$C$10)</f>
        <v/>
      </c>
      <c r="Y50" s="15">
        <f>((Y41*Y43)*$C$10)</f>
        <v/>
      </c>
      <c r="Z50" s="15">
        <f>((Z41*Z43)*$C$10)</f>
        <v/>
      </c>
      <c r="AA50" s="15">
        <f>((AA41*AA43)*$C$10)</f>
        <v/>
      </c>
      <c r="AB50" s="15">
        <f>((AB41*AB43)*$C$10)</f>
        <v/>
      </c>
      <c r="AC50" s="15">
        <f>((AC41*AC43)*$C$10)</f>
        <v/>
      </c>
      <c r="AD50" s="15">
        <f>((AD41*AD43)*$C$10)</f>
        <v/>
      </c>
      <c r="AE50" s="15">
        <f>((AE41*AE43)*$C$10)</f>
        <v/>
      </c>
      <c r="AF50" s="15">
        <f>((AF41*AF43)*$C$10)</f>
        <v/>
      </c>
      <c r="AG50" s="15">
        <f>((AG41*AG43)*$C$10)</f>
        <v/>
      </c>
      <c r="AH50" s="15">
        <f>((AH41*AH43)*$C$10)</f>
        <v/>
      </c>
      <c r="AI50" s="15">
        <f>((AI41*AI43)*$C$10)</f>
        <v/>
      </c>
      <c r="AJ50" s="15">
        <f>((AJ41*AJ43)*$C$10)</f>
        <v/>
      </c>
      <c r="AK50" s="15">
        <f>((AK41*AK43)*$C$10)</f>
        <v/>
      </c>
      <c r="AL50" s="15">
        <f>((AL41*AL43)*$C$10)</f>
        <v/>
      </c>
      <c r="AM50" s="15">
        <f>((AM41*AM43)*$C$10)</f>
        <v/>
      </c>
      <c r="AN50" s="15">
        <f>((AN41*AN43)*$C$10)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  <c r="P51" s="15">
        <f>P22</f>
        <v/>
      </c>
      <c r="Q51" s="15">
        <f>Q22</f>
        <v/>
      </c>
      <c r="R51" s="15">
        <f>R22</f>
        <v/>
      </c>
      <c r="S51" s="15">
        <f>S22</f>
        <v/>
      </c>
      <c r="T51" s="15">
        <f>T22</f>
        <v/>
      </c>
      <c r="U51" s="15">
        <f>U22</f>
        <v/>
      </c>
      <c r="V51" s="15">
        <f>V22</f>
        <v/>
      </c>
      <c r="W51" s="15">
        <f>W22</f>
        <v/>
      </c>
      <c r="X51" s="15">
        <f>X22</f>
        <v/>
      </c>
      <c r="Y51" s="15">
        <f>Y22</f>
        <v/>
      </c>
      <c r="Z51" s="15">
        <f>Z22</f>
        <v/>
      </c>
      <c r="AA51" s="15">
        <f>AA22</f>
        <v/>
      </c>
      <c r="AB51" s="15">
        <f>AB22</f>
        <v/>
      </c>
      <c r="AC51" s="15">
        <f>AC22</f>
        <v/>
      </c>
      <c r="AD51" s="15">
        <f>AD22</f>
        <v/>
      </c>
      <c r="AE51" s="15">
        <f>AE22</f>
        <v/>
      </c>
      <c r="AF51" s="15">
        <f>AF22</f>
        <v/>
      </c>
      <c r="AG51" s="15">
        <f>AG22</f>
        <v/>
      </c>
      <c r="AH51" s="15">
        <f>AH22</f>
        <v/>
      </c>
      <c r="AI51" s="15">
        <f>AI22</f>
        <v/>
      </c>
      <c r="AJ51" s="15">
        <f>AJ22</f>
        <v/>
      </c>
      <c r="AK51" s="15">
        <f>AK22</f>
        <v/>
      </c>
      <c r="AL51" s="15">
        <f>AL22</f>
        <v/>
      </c>
      <c r="AM51" s="15">
        <f>AM22</f>
        <v/>
      </c>
      <c r="AN51" s="15">
        <f>AN22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  <c r="P52" s="15">
        <f>(P50*P47)</f>
        <v/>
      </c>
      <c r="Q52" s="15">
        <f>(Q50*Q47)</f>
        <v/>
      </c>
      <c r="R52" s="15">
        <f>(R50*R47)</f>
        <v/>
      </c>
      <c r="S52" s="15">
        <f>(S50*S47)</f>
        <v/>
      </c>
      <c r="T52" s="15">
        <f>(T50*T47)</f>
        <v/>
      </c>
      <c r="U52" s="15">
        <f>(U50*U47)</f>
        <v/>
      </c>
      <c r="V52" s="15">
        <f>(V50*V47)</f>
        <v/>
      </c>
      <c r="W52" s="15">
        <f>(W50*W47)</f>
        <v/>
      </c>
      <c r="X52" s="15">
        <f>(X50*X47)</f>
        <v/>
      </c>
      <c r="Y52" s="15">
        <f>(Y50*Y47)</f>
        <v/>
      </c>
      <c r="Z52" s="15">
        <f>(Z50*Z47)</f>
        <v/>
      </c>
      <c r="AA52" s="15">
        <f>(AA50*AA47)</f>
        <v/>
      </c>
      <c r="AB52" s="15">
        <f>(AB50*AB47)</f>
        <v/>
      </c>
      <c r="AC52" s="15">
        <f>(AC50*AC47)</f>
        <v/>
      </c>
      <c r="AD52" s="15">
        <f>(AD50*AD47)</f>
        <v/>
      </c>
      <c r="AE52" s="15">
        <f>(AE50*AE47)</f>
        <v/>
      </c>
      <c r="AF52" s="15">
        <f>(AF50*AF47)</f>
        <v/>
      </c>
      <c r="AG52" s="15">
        <f>(AG50*AG47)</f>
        <v/>
      </c>
      <c r="AH52" s="15">
        <f>(AH50*AH47)</f>
        <v/>
      </c>
      <c r="AI52" s="15">
        <f>(AI50*AI47)</f>
        <v/>
      </c>
      <c r="AJ52" s="15">
        <f>(AJ50*AJ47)</f>
        <v/>
      </c>
      <c r="AK52" s="15">
        <f>(AK50*AK47)</f>
        <v/>
      </c>
      <c r="AL52" s="15">
        <f>(AL50*AL47)</f>
        <v/>
      </c>
      <c r="AM52" s="15">
        <f>(AM50*AM47)</f>
        <v/>
      </c>
      <c r="AN52" s="15">
        <f>(AN50*AN47)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((H41*H45)*$C$10)</f>
        <v/>
      </c>
      <c r="I53" s="15">
        <f>((I41*I45)*$C$10)</f>
        <v/>
      </c>
      <c r="J53" s="15">
        <f>((J41*J45)*$C$10)</f>
        <v/>
      </c>
      <c r="K53" s="15">
        <f>((K41*K45)*$C$10)</f>
        <v/>
      </c>
      <c r="L53" s="15">
        <f>((L41*L45)*$C$10)</f>
        <v/>
      </c>
      <c r="M53" s="15">
        <f>((M41*M45)*$C$10)</f>
        <v/>
      </c>
      <c r="N53" s="15">
        <f>((N41*N45)*$C$10)</f>
        <v/>
      </c>
      <c r="O53" s="15">
        <f>((O41*O45)*$C$10)</f>
        <v/>
      </c>
      <c r="P53" s="15">
        <f>((P41*P45)*$C$10)</f>
        <v/>
      </c>
      <c r="Q53" s="15">
        <f>((Q41*Q45)*$C$10)</f>
        <v/>
      </c>
      <c r="R53" s="15">
        <f>((R41*R45)*$C$10)</f>
        <v/>
      </c>
      <c r="S53" s="15">
        <f>((S41*S45)*$C$10)</f>
        <v/>
      </c>
      <c r="T53" s="15">
        <f>((T41*T45)*$C$10)</f>
        <v/>
      </c>
      <c r="U53" s="15">
        <f>((U41*U45)*$C$10)</f>
        <v/>
      </c>
      <c r="V53" s="15">
        <f>((V41*V45)*$C$10)</f>
        <v/>
      </c>
      <c r="W53" s="15">
        <f>((W41*W45)*$C$10)</f>
        <v/>
      </c>
      <c r="X53" s="15">
        <f>((X41*X45)*$C$10)</f>
        <v/>
      </c>
      <c r="Y53" s="15">
        <f>((Y41*Y45)*$C$10)</f>
        <v/>
      </c>
      <c r="Z53" s="15">
        <f>((Z41*Z45)*$C$10)</f>
        <v/>
      </c>
      <c r="AA53" s="15">
        <f>((AA41*AA45)*$C$10)</f>
        <v/>
      </c>
      <c r="AB53" s="15">
        <f>((AB41*AB45)*$C$10)</f>
        <v/>
      </c>
      <c r="AC53" s="15">
        <f>((AC41*AC45)*$C$10)</f>
        <v/>
      </c>
      <c r="AD53" s="15">
        <f>((AD41*AD45)*$C$10)</f>
        <v/>
      </c>
      <c r="AE53" s="15">
        <f>((AE41*AE45)*$C$10)</f>
        <v/>
      </c>
      <c r="AF53" s="15">
        <f>((AF41*AF45)*$C$10)</f>
        <v/>
      </c>
      <c r="AG53" s="15">
        <f>((AG41*AG45)*$C$10)</f>
        <v/>
      </c>
      <c r="AH53" s="15">
        <f>((AH41*AH45)*$C$10)</f>
        <v/>
      </c>
      <c r="AI53" s="15">
        <f>((AI41*AI45)*$C$10)</f>
        <v/>
      </c>
      <c r="AJ53" s="15">
        <f>((AJ41*AJ45)*$C$10)</f>
        <v/>
      </c>
      <c r="AK53" s="15">
        <f>((AK41*AK45)*$C$10)</f>
        <v/>
      </c>
      <c r="AL53" s="15">
        <f>((AL41*AL45)*$C$10)</f>
        <v/>
      </c>
      <c r="AM53" s="15">
        <f>((AM41*AM45)*$C$10)</f>
        <v/>
      </c>
      <c r="AN53" s="15">
        <f>((AN41*AN45)*$C$10)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  <c r="P54" s="15">
        <f>(P51*(1-$C$23))</f>
        <v/>
      </c>
      <c r="Q54" s="15">
        <f>(Q51*(1-$C$23))</f>
        <v/>
      </c>
      <c r="R54" s="15">
        <f>(R51*(1-$C$23))</f>
        <v/>
      </c>
      <c r="S54" s="15">
        <f>(S51*(1-$C$23))</f>
        <v/>
      </c>
      <c r="T54" s="15">
        <f>(T51*(1-$C$23))</f>
        <v/>
      </c>
      <c r="U54" s="15">
        <f>(U51*(1-$C$23))</f>
        <v/>
      </c>
      <c r="V54" s="15">
        <f>(V51*(1-$C$23))</f>
        <v/>
      </c>
      <c r="W54" s="15">
        <f>(W51*(1-$C$23))</f>
        <v/>
      </c>
      <c r="X54" s="15">
        <f>(X51*(1-$C$23))</f>
        <v/>
      </c>
      <c r="Y54" s="15">
        <f>(Y51*(1-$C$23))</f>
        <v/>
      </c>
      <c r="Z54" s="15">
        <f>(Z51*(1-$C$23))</f>
        <v/>
      </c>
      <c r="AA54" s="15">
        <f>(AA51*(1-$C$23))</f>
        <v/>
      </c>
      <c r="AB54" s="15">
        <f>(AB51*(1-$C$23))</f>
        <v/>
      </c>
      <c r="AC54" s="15">
        <f>(AC51*(1-$C$23))</f>
        <v/>
      </c>
      <c r="AD54" s="15">
        <f>(AD51*(1-$C$23))</f>
        <v/>
      </c>
      <c r="AE54" s="15">
        <f>(AE51*(1-$C$23))</f>
        <v/>
      </c>
      <c r="AF54" s="15">
        <f>(AF51*(1-$C$23))</f>
        <v/>
      </c>
      <c r="AG54" s="15">
        <f>(AG51*(1-$C$23))</f>
        <v/>
      </c>
      <c r="AH54" s="15">
        <f>(AH51*(1-$C$23))</f>
        <v/>
      </c>
      <c r="AI54" s="15">
        <f>(AI51*(1-$C$23))</f>
        <v/>
      </c>
      <c r="AJ54" s="15">
        <f>(AJ51*(1-$C$23))</f>
        <v/>
      </c>
      <c r="AK54" s="15">
        <f>(AK51*(1-$C$23))</f>
        <v/>
      </c>
      <c r="AL54" s="15">
        <f>(AL51*(1-$C$23))</f>
        <v/>
      </c>
      <c r="AM54" s="15">
        <f>(AM51*(1-$C$23))</f>
        <v/>
      </c>
      <c r="AN54" s="15">
        <f>(AN51*(1-$C$23))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1830.079927</v>
      </c>
      <c r="E55" s="13" t="n">
        <v>1679.948765</v>
      </c>
      <c r="F55" s="13" t="n">
        <v>1359.679473</v>
      </c>
      <c r="G55" s="13" t="n">
        <v>4808.8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  <c r="P55" s="15">
        <f>(P50+P51)</f>
        <v/>
      </c>
      <c r="Q55" s="15">
        <f>(Q50+Q51)</f>
        <v/>
      </c>
      <c r="R55" s="15">
        <f>(R50+R51)</f>
        <v/>
      </c>
      <c r="S55" s="15">
        <f>(S50+S51)</f>
        <v/>
      </c>
      <c r="T55" s="15">
        <f>(T50+T51)</f>
        <v/>
      </c>
      <c r="U55" s="15">
        <f>(U50+U51)</f>
        <v/>
      </c>
      <c r="V55" s="15">
        <f>(V50+V51)</f>
        <v/>
      </c>
      <c r="W55" s="15">
        <f>(W50+W51)</f>
        <v/>
      </c>
      <c r="X55" s="15">
        <f>(X50+X51)</f>
        <v/>
      </c>
      <c r="Y55" s="15">
        <f>(Y50+Y51)</f>
        <v/>
      </c>
      <c r="Z55" s="15">
        <f>(Z50+Z51)</f>
        <v/>
      </c>
      <c r="AA55" s="15">
        <f>(AA50+AA51)</f>
        <v/>
      </c>
      <c r="AB55" s="15">
        <f>(AB50+AB51)</f>
        <v/>
      </c>
      <c r="AC55" s="15">
        <f>(AC50+AC51)</f>
        <v/>
      </c>
      <c r="AD55" s="15">
        <f>(AD50+AD51)</f>
        <v/>
      </c>
      <c r="AE55" s="15">
        <f>(AE50+AE51)</f>
        <v/>
      </c>
      <c r="AF55" s="15">
        <f>(AF50+AF51)</f>
        <v/>
      </c>
      <c r="AG55" s="15">
        <f>(AG50+AG51)</f>
        <v/>
      </c>
      <c r="AH55" s="15">
        <f>(AH50+AH51)</f>
        <v/>
      </c>
      <c r="AI55" s="15">
        <f>(AI50+AI51)</f>
        <v/>
      </c>
      <c r="AJ55" s="15">
        <f>(AJ50+AJ51)</f>
        <v/>
      </c>
      <c r="AK55" s="15">
        <f>(AK50+AK51)</f>
        <v/>
      </c>
      <c r="AL55" s="15">
        <f>(AL50+AL51)</f>
        <v/>
      </c>
      <c r="AM55" s="15">
        <f>(AM50+AM51)</f>
        <v/>
      </c>
      <c r="AN55" s="15">
        <f>(AN50+AN51)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1459.438981</v>
      </c>
      <c r="E56" s="13" t="n">
        <v>1542.653836</v>
      </c>
      <c r="F56" s="13" t="n">
        <v>1190.389426</v>
      </c>
      <c r="G56" s="13" t="n">
        <v>4262.2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  <c r="P56" s="15">
        <f>(((P53+P52)+P54)+P60)</f>
        <v/>
      </c>
      <c r="Q56" s="15">
        <f>(((Q53+Q52)+Q54)+Q60)</f>
        <v/>
      </c>
      <c r="R56" s="15">
        <f>(((R53+R52)+R54)+R60)</f>
        <v/>
      </c>
      <c r="S56" s="15">
        <f>(((S53+S52)+S54)+S60)</f>
        <v/>
      </c>
      <c r="T56" s="15">
        <f>(((T53+T52)+T54)+T60)</f>
        <v/>
      </c>
      <c r="U56" s="15">
        <f>(((U53+U52)+U54)+U60)</f>
        <v/>
      </c>
      <c r="V56" s="15">
        <f>(((V53+V52)+V54)+V60)</f>
        <v/>
      </c>
      <c r="W56" s="15">
        <f>(((W53+W52)+W54)+W60)</f>
        <v/>
      </c>
      <c r="X56" s="15">
        <f>(((X53+X52)+X54)+X60)</f>
        <v/>
      </c>
      <c r="Y56" s="15">
        <f>(((Y53+Y52)+Y54)+Y60)</f>
        <v/>
      </c>
      <c r="Z56" s="15">
        <f>(((Z53+Z52)+Z54)+Z60)</f>
        <v/>
      </c>
      <c r="AA56" s="15">
        <f>(((AA53+AA52)+AA54)+AA60)</f>
        <v/>
      </c>
      <c r="AB56" s="15">
        <f>(((AB53+AB52)+AB54)+AB60)</f>
        <v/>
      </c>
      <c r="AC56" s="15">
        <f>(((AC53+AC52)+AC54)+AC60)</f>
        <v/>
      </c>
      <c r="AD56" s="15">
        <f>(((AD53+AD52)+AD54)+AD60)</f>
        <v/>
      </c>
      <c r="AE56" s="15">
        <f>(((AE53+AE52)+AE54)+AE60)</f>
        <v/>
      </c>
      <c r="AF56" s="15">
        <f>(((AF53+AF52)+AF54)+AF60)</f>
        <v/>
      </c>
      <c r="AG56" s="15">
        <f>(((AG53+AG52)+AG54)+AG60)</f>
        <v/>
      </c>
      <c r="AH56" s="15">
        <f>(((AH53+AH52)+AH54)+AH60)</f>
        <v/>
      </c>
      <c r="AI56" s="15">
        <f>(((AI53+AI52)+AI54)+AI60)</f>
        <v/>
      </c>
      <c r="AJ56" s="15">
        <f>(((AJ53+AJ52)+AJ54)+AJ60)</f>
        <v/>
      </c>
      <c r="AK56" s="15">
        <f>(((AK53+AK52)+AK54)+AK60)</f>
        <v/>
      </c>
      <c r="AL56" s="15">
        <f>(((AL53+AL52)+AL54)+AL60)</f>
        <v/>
      </c>
      <c r="AM56" s="15">
        <f>(((AM53+AM52)+AM54)+AM60)</f>
        <v/>
      </c>
      <c r="AN56" s="15">
        <f>(((AN53+AN52)+AN54)+AN60)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370.640946</v>
      </c>
      <c r="E57" s="13" t="n">
        <v>137.294929</v>
      </c>
      <c r="F57" s="13" t="n">
        <v>169.290047</v>
      </c>
      <c r="G57" s="13" t="n">
        <v>546.6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  <c r="P57" s="15">
        <f>(P55-P56)</f>
        <v/>
      </c>
      <c r="Q57" s="15">
        <f>(Q55-Q56)</f>
        <v/>
      </c>
      <c r="R57" s="15">
        <f>(R55-R56)</f>
        <v/>
      </c>
      <c r="S57" s="15">
        <f>(S55-S56)</f>
        <v/>
      </c>
      <c r="T57" s="15">
        <f>(T55-T56)</f>
        <v/>
      </c>
      <c r="U57" s="15">
        <f>(U55-U56)</f>
        <v/>
      </c>
      <c r="V57" s="15">
        <f>(V55-V56)</f>
        <v/>
      </c>
      <c r="W57" s="15">
        <f>(W55-W56)</f>
        <v/>
      </c>
      <c r="X57" s="15">
        <f>(X55-X56)</f>
        <v/>
      </c>
      <c r="Y57" s="15">
        <f>(Y55-Y56)</f>
        <v/>
      </c>
      <c r="Z57" s="15">
        <f>(Z55-Z56)</f>
        <v/>
      </c>
      <c r="AA57" s="15">
        <f>(AA55-AA56)</f>
        <v/>
      </c>
      <c r="AB57" s="15">
        <f>(AB55-AB56)</f>
        <v/>
      </c>
      <c r="AC57" s="15">
        <f>(AC55-AC56)</f>
        <v/>
      </c>
      <c r="AD57" s="15">
        <f>(AD55-AD56)</f>
        <v/>
      </c>
      <c r="AE57" s="15">
        <f>(AE55-AE56)</f>
        <v/>
      </c>
      <c r="AF57" s="15">
        <f>(AF55-AF56)</f>
        <v/>
      </c>
      <c r="AG57" s="15">
        <f>(AG55-AG56)</f>
        <v/>
      </c>
      <c r="AH57" s="15">
        <f>(AH55-AH56)</f>
        <v/>
      </c>
      <c r="AI57" s="15">
        <f>(AI55-AI56)</f>
        <v/>
      </c>
      <c r="AJ57" s="15">
        <f>(AJ55-AJ56)</f>
        <v/>
      </c>
      <c r="AK57" s="15">
        <f>(AK55-AK56)</f>
        <v/>
      </c>
      <c r="AL57" s="15">
        <f>(AL55-AL56)</f>
        <v/>
      </c>
      <c r="AM57" s="15">
        <f>(AM55-AM56)</f>
        <v/>
      </c>
      <c r="AN57" s="15">
        <f>(AN55-AN56)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158.17182</v>
      </c>
      <c r="E58" s="13" t="n">
        <v>135.166926</v>
      </c>
      <c r="F58" s="13" t="n">
        <v>122.717706</v>
      </c>
      <c r="G58" s="13" t="n">
        <v>232.6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  <c r="P58" s="15">
        <f>(P55*P37)</f>
        <v/>
      </c>
      <c r="Q58" s="15">
        <f>(Q55*Q37)</f>
        <v/>
      </c>
      <c r="R58" s="15">
        <f>(R55*R37)</f>
        <v/>
      </c>
      <c r="S58" s="15">
        <f>(S55*S37)</f>
        <v/>
      </c>
      <c r="T58" s="15">
        <f>(T55*T37)</f>
        <v/>
      </c>
      <c r="U58" s="15">
        <f>(U55*U37)</f>
        <v/>
      </c>
      <c r="V58" s="15">
        <f>(V55*V37)</f>
        <v/>
      </c>
      <c r="W58" s="15">
        <f>(W55*W37)</f>
        <v/>
      </c>
      <c r="X58" s="15">
        <f>(X55*X37)</f>
        <v/>
      </c>
      <c r="Y58" s="15">
        <f>(Y55*Y37)</f>
        <v/>
      </c>
      <c r="Z58" s="15">
        <f>(Z55*Z37)</f>
        <v/>
      </c>
      <c r="AA58" s="15">
        <f>(AA55*AA37)</f>
        <v/>
      </c>
      <c r="AB58" s="15">
        <f>(AB55*AB37)</f>
        <v/>
      </c>
      <c r="AC58" s="15">
        <f>(AC55*AC37)</f>
        <v/>
      </c>
      <c r="AD58" s="15">
        <f>(AD55*AD37)</f>
        <v/>
      </c>
      <c r="AE58" s="15">
        <f>(AE55*AE37)</f>
        <v/>
      </c>
      <c r="AF58" s="15">
        <f>(AF55*AF37)</f>
        <v/>
      </c>
      <c r="AG58" s="15">
        <f>(AG55*AG37)</f>
        <v/>
      </c>
      <c r="AH58" s="15">
        <f>(AH55*AH37)</f>
        <v/>
      </c>
      <c r="AI58" s="15">
        <f>(AI55*AI37)</f>
        <v/>
      </c>
      <c r="AJ58" s="15">
        <f>(AJ55*AJ37)</f>
        <v/>
      </c>
      <c r="AK58" s="15">
        <f>(AK55*AK37)</f>
        <v/>
      </c>
      <c r="AL58" s="15">
        <f>(AL55*AL37)</f>
        <v/>
      </c>
      <c r="AM58" s="15">
        <f>(AM55*AM37)</f>
        <v/>
      </c>
      <c r="AN58" s="15">
        <f>(AN55*AN37)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212.469126</v>
      </c>
      <c r="E59" s="13" t="n">
        <v>2.128003</v>
      </c>
      <c r="F59" s="13" t="n">
        <v>46.572341</v>
      </c>
      <c r="G59" s="13" t="n">
        <v>314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  <c r="P59" s="15">
        <f>(P57-P58)</f>
        <v/>
      </c>
      <c r="Q59" s="15">
        <f>(Q57-Q58)</f>
        <v/>
      </c>
      <c r="R59" s="15">
        <f>(R57-R58)</f>
        <v/>
      </c>
      <c r="S59" s="15">
        <f>(S57-S58)</f>
        <v/>
      </c>
      <c r="T59" s="15">
        <f>(T57-T58)</f>
        <v/>
      </c>
      <c r="U59" s="15">
        <f>(U57-U58)</f>
        <v/>
      </c>
      <c r="V59" s="15">
        <f>(V57-V58)</f>
        <v/>
      </c>
      <c r="W59" s="15">
        <f>(W57-W58)</f>
        <v/>
      </c>
      <c r="X59" s="15">
        <f>(X57-X58)</f>
        <v/>
      </c>
      <c r="Y59" s="15">
        <f>(Y57-Y58)</f>
        <v/>
      </c>
      <c r="Z59" s="15">
        <f>(Z57-Z58)</f>
        <v/>
      </c>
      <c r="AA59" s="15">
        <f>(AA57-AA58)</f>
        <v/>
      </c>
      <c r="AB59" s="15">
        <f>(AB57-AB58)</f>
        <v/>
      </c>
      <c r="AC59" s="15">
        <f>(AC57-AC58)</f>
        <v/>
      </c>
      <c r="AD59" s="15">
        <f>(AD57-AD58)</f>
        <v/>
      </c>
      <c r="AE59" s="15">
        <f>(AE57-AE58)</f>
        <v/>
      </c>
      <c r="AF59" s="15">
        <f>(AF57-AF58)</f>
        <v/>
      </c>
      <c r="AG59" s="15">
        <f>(AG57-AG58)</f>
        <v/>
      </c>
      <c r="AH59" s="15">
        <f>(AH57-AH58)</f>
        <v/>
      </c>
      <c r="AI59" s="15">
        <f>(AI57-AI58)</f>
        <v/>
      </c>
      <c r="AJ59" s="15">
        <f>(AJ57-AJ58)</f>
        <v/>
      </c>
      <c r="AK59" s="15">
        <f>(AK57-AK58)</f>
        <v/>
      </c>
      <c r="AL59" s="15">
        <f>(AL57-AL58)</f>
        <v/>
      </c>
      <c r="AM59" s="15">
        <f>(AM57-AM58)</f>
        <v/>
      </c>
      <c r="AN59" s="15">
        <f>(AN57-AN58)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1.397852</v>
      </c>
      <c r="E60" s="13" t="n">
        <v>1.016239</v>
      </c>
      <c r="F60" s="13" t="n">
        <v>1.119301</v>
      </c>
      <c r="G60" s="13" t="n">
        <v>1.770582</v>
      </c>
      <c r="H60" s="15">
        <f>((H41*H24)*$C$10)</f>
        <v/>
      </c>
      <c r="I60" s="15">
        <f>((I41*I24)*$C$10)</f>
        <v/>
      </c>
      <c r="J60" s="15">
        <f>((J41*J24)*$C$10)</f>
        <v/>
      </c>
      <c r="K60" s="15">
        <f>((K41*K24)*$C$10)</f>
        <v/>
      </c>
      <c r="L60" s="15">
        <f>((L41*L24)*$C$10)</f>
        <v/>
      </c>
      <c r="M60" s="15">
        <f>((M41*M24)*$C$10)</f>
        <v/>
      </c>
      <c r="N60" s="15">
        <f>((N41*N24)*$C$10)</f>
        <v/>
      </c>
      <c r="O60" s="15">
        <f>((O41*O24)*$C$10)</f>
        <v/>
      </c>
      <c r="P60" s="15">
        <f>((P41*P24)*$C$10)</f>
        <v/>
      </c>
      <c r="Q60" s="15">
        <f>((Q41*Q24)*$C$10)</f>
        <v/>
      </c>
      <c r="R60" s="15">
        <f>((R41*R24)*$C$10)</f>
        <v/>
      </c>
      <c r="S60" s="15">
        <f>((S41*S24)*$C$10)</f>
        <v/>
      </c>
      <c r="T60" s="15">
        <f>((T41*T24)*$C$10)</f>
        <v/>
      </c>
      <c r="U60" s="15">
        <f>((U41*U24)*$C$10)</f>
        <v/>
      </c>
      <c r="V60" s="15">
        <f>((V41*V24)*$C$10)</f>
        <v/>
      </c>
      <c r="W60" s="15">
        <f>((W41*W24)*$C$10)</f>
        <v/>
      </c>
      <c r="X60" s="15">
        <f>((X41*X24)*$C$10)</f>
        <v/>
      </c>
      <c r="Y60" s="15">
        <f>((Y41*Y24)*$C$10)</f>
        <v/>
      </c>
      <c r="Z60" s="15">
        <f>((Z41*Z24)*$C$10)</f>
        <v/>
      </c>
      <c r="AA60" s="15">
        <f>((AA41*AA24)*$C$10)</f>
        <v/>
      </c>
      <c r="AB60" s="15">
        <f>((AB41*AB24)*$C$10)</f>
        <v/>
      </c>
      <c r="AC60" s="15">
        <f>((AC41*AC24)*$C$10)</f>
        <v/>
      </c>
      <c r="AD60" s="15">
        <f>((AD41*AD24)*$C$10)</f>
        <v/>
      </c>
      <c r="AE60" s="15">
        <f>((AE41*AE24)*$C$10)</f>
        <v/>
      </c>
      <c r="AF60" s="15">
        <f>((AF41*AF24)*$C$10)</f>
        <v/>
      </c>
      <c r="AG60" s="15">
        <f>((AG41*AG24)*$C$10)</f>
        <v/>
      </c>
      <c r="AH60" s="15">
        <f>((AH41*AH24)*$C$10)</f>
        <v/>
      </c>
      <c r="AI60" s="15">
        <f>((AI41*AI24)*$C$10)</f>
        <v/>
      </c>
      <c r="AJ60" s="15">
        <f>((AJ41*AJ24)*$C$10)</f>
        <v/>
      </c>
      <c r="AK60" s="15">
        <f>((AK41*AK24)*$C$10)</f>
        <v/>
      </c>
      <c r="AL60" s="15">
        <f>((AL41*AL24)*$C$10)</f>
        <v/>
      </c>
      <c r="AM60" s="15">
        <f>((AM41*AM24)*$C$10)</f>
        <v/>
      </c>
      <c r="AN60" s="15">
        <f>((AN41*AN24)*$C$10)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213.866978</v>
      </c>
      <c r="E61" s="13" t="n">
        <v>3.144242</v>
      </c>
      <c r="F61" s="13" t="n">
        <v>47.691642</v>
      </c>
      <c r="G61" s="13" t="n">
        <v>315.770582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  <c r="P61" s="15">
        <f>(P59+P60)</f>
        <v/>
      </c>
      <c r="Q61" s="15">
        <f>(Q59+Q60)</f>
        <v/>
      </c>
      <c r="R61" s="15">
        <f>(R59+R60)</f>
        <v/>
      </c>
      <c r="S61" s="15">
        <f>(S59+S60)</f>
        <v/>
      </c>
      <c r="T61" s="15">
        <f>(T59+T60)</f>
        <v/>
      </c>
      <c r="U61" s="15">
        <f>(U59+U60)</f>
        <v/>
      </c>
      <c r="V61" s="15">
        <f>(V59+V60)</f>
        <v/>
      </c>
      <c r="W61" s="15">
        <f>(W59+W60)</f>
        <v/>
      </c>
      <c r="X61" s="15">
        <f>(X59+X60)</f>
        <v/>
      </c>
      <c r="Y61" s="15">
        <f>(Y59+Y60)</f>
        <v/>
      </c>
      <c r="Z61" s="15">
        <f>(Z59+Z60)</f>
        <v/>
      </c>
      <c r="AA61" s="15">
        <f>(AA59+AA60)</f>
        <v/>
      </c>
      <c r="AB61" s="15">
        <f>(AB59+AB60)</f>
        <v/>
      </c>
      <c r="AC61" s="15">
        <f>(AC59+AC60)</f>
        <v/>
      </c>
      <c r="AD61" s="15">
        <f>(AD59+AD60)</f>
        <v/>
      </c>
      <c r="AE61" s="15">
        <f>(AE59+AE60)</f>
        <v/>
      </c>
      <c r="AF61" s="15">
        <f>(AF59+AF60)</f>
        <v/>
      </c>
      <c r="AG61" s="15">
        <f>(AG59+AG60)</f>
        <v/>
      </c>
      <c r="AH61" s="15">
        <f>(AH59+AH60)</f>
        <v/>
      </c>
      <c r="AI61" s="15">
        <f>(AI59+AI60)</f>
        <v/>
      </c>
      <c r="AJ61" s="15">
        <f>(AJ59+AJ60)</f>
        <v/>
      </c>
      <c r="AK61" s="15">
        <f>(AK59+AK60)</f>
        <v/>
      </c>
      <c r="AL61" s="15">
        <f>(AL59+AL60)</f>
        <v/>
      </c>
      <c r="AM61" s="15">
        <f>(AM59+AM60)</f>
        <v/>
      </c>
      <c r="AN61" s="15">
        <f>(AN59+AN60)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161.651</v>
      </c>
      <c r="E62" s="13" t="n">
        <v>22.543597</v>
      </c>
      <c r="F62" s="13" t="n">
        <v>21.07534</v>
      </c>
      <c r="G62" s="13" t="n">
        <v>26.697162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  <c r="P62" s="15">
        <f>(O82*$C$29)</f>
        <v/>
      </c>
      <c r="Q62" s="15">
        <f>(P82*$C$29)</f>
        <v/>
      </c>
      <c r="R62" s="15">
        <f>(Q82*$C$29)</f>
        <v/>
      </c>
      <c r="S62" s="15">
        <f>(R82*$C$29)</f>
        <v/>
      </c>
      <c r="T62" s="15">
        <f>(S82*$C$29)</f>
        <v/>
      </c>
      <c r="U62" s="15">
        <f>(T82*$C$29)</f>
        <v/>
      </c>
      <c r="V62" s="15">
        <f>(U82*$C$29)</f>
        <v/>
      </c>
      <c r="W62" s="15">
        <f>(V82*$C$29)</f>
        <v/>
      </c>
      <c r="X62" s="15">
        <f>(W82*$C$29)</f>
        <v/>
      </c>
      <c r="Y62" s="15">
        <f>(X82*$C$29)</f>
        <v/>
      </c>
      <c r="Z62" s="15">
        <f>(Y82*$C$29)</f>
        <v/>
      </c>
      <c r="AA62" s="15">
        <f>(Z82*$C$29)</f>
        <v/>
      </c>
      <c r="AB62" s="15">
        <f>(AA82*$C$29)</f>
        <v/>
      </c>
      <c r="AC62" s="15">
        <f>(AB82*$C$29)</f>
        <v/>
      </c>
      <c r="AD62" s="15">
        <f>(AC82*$C$29)</f>
        <v/>
      </c>
      <c r="AE62" s="15">
        <f>(AD82*$C$29)</f>
        <v/>
      </c>
      <c r="AF62" s="15">
        <f>(AE82*$C$29)</f>
        <v/>
      </c>
      <c r="AG62" s="15">
        <f>(AF82*$C$29)</f>
        <v/>
      </c>
      <c r="AH62" s="15">
        <f>(AG82*$C$29)</f>
        <v/>
      </c>
      <c r="AI62" s="15">
        <f>(AH82*$C$29)</f>
        <v/>
      </c>
      <c r="AJ62" s="15">
        <f>(AI82*$C$29)</f>
        <v/>
      </c>
      <c r="AK62" s="15">
        <f>(AJ82*$C$29)</f>
        <v/>
      </c>
      <c r="AL62" s="15">
        <f>(AK82*$C$29)</f>
        <v/>
      </c>
      <c r="AM62" s="15">
        <f>(AL82*$C$29)</f>
        <v/>
      </c>
      <c r="AN62" s="15">
        <f>(AM82*$C$29)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3.941868</v>
      </c>
      <c r="E63" s="13" t="n">
        <v>5.185511</v>
      </c>
      <c r="F63" s="13" t="n">
        <v>7.653116</v>
      </c>
      <c r="G63" s="13" t="n">
        <v>3.836104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  <c r="P63" s="15">
        <f>(O81*$C$30)</f>
        <v/>
      </c>
      <c r="Q63" s="15">
        <f>(P81*$C$30)</f>
        <v/>
      </c>
      <c r="R63" s="15">
        <f>(Q81*$C$30)</f>
        <v/>
      </c>
      <c r="S63" s="15">
        <f>(R81*$C$30)</f>
        <v/>
      </c>
      <c r="T63" s="15">
        <f>(S81*$C$30)</f>
        <v/>
      </c>
      <c r="U63" s="15">
        <f>(T81*$C$30)</f>
        <v/>
      </c>
      <c r="V63" s="15">
        <f>(U81*$C$30)</f>
        <v/>
      </c>
      <c r="W63" s="15">
        <f>(V81*$C$30)</f>
        <v/>
      </c>
      <c r="X63" s="15">
        <f>(W81*$C$30)</f>
        <v/>
      </c>
      <c r="Y63" s="15">
        <f>(X81*$C$30)</f>
        <v/>
      </c>
      <c r="Z63" s="15">
        <f>(Y81*$C$30)</f>
        <v/>
      </c>
      <c r="AA63" s="15">
        <f>(Z81*$C$30)</f>
        <v/>
      </c>
      <c r="AB63" s="15">
        <f>(AA81*$C$30)</f>
        <v/>
      </c>
      <c r="AC63" s="15">
        <f>(AB81*$C$30)</f>
        <v/>
      </c>
      <c r="AD63" s="15">
        <f>(AC81*$C$30)</f>
        <v/>
      </c>
      <c r="AE63" s="15">
        <f>(AD81*$C$30)</f>
        <v/>
      </c>
      <c r="AF63" s="15">
        <f>(AE81*$C$30)</f>
        <v/>
      </c>
      <c r="AG63" s="15">
        <f>(AF81*$C$30)</f>
        <v/>
      </c>
      <c r="AH63" s="15">
        <f>(AG81*$C$30)</f>
        <v/>
      </c>
      <c r="AI63" s="15">
        <f>(AH81*$C$30)</f>
        <v/>
      </c>
      <c r="AJ63" s="15">
        <f>(AI81*$C$30)</f>
        <v/>
      </c>
      <c r="AK63" s="15">
        <f>(AJ81*$C$30)</f>
        <v/>
      </c>
      <c r="AL63" s="15">
        <f>(AK81*$C$30)</f>
        <v/>
      </c>
      <c r="AM63" s="15">
        <f>(AL81*$C$30)</f>
        <v/>
      </c>
      <c r="AN63" s="15">
        <f>(AM81*$C$30)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639.3849140000001</v>
      </c>
      <c r="E64" s="13" t="n">
        <v>97.58029699999999</v>
      </c>
      <c r="F64" s="13" t="n">
        <v>88.751103</v>
      </c>
      <c r="G64" s="13" t="n">
        <v>-5.038941999999979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  <c r="P64" s="15">
        <f>P32</f>
        <v/>
      </c>
      <c r="Q64" s="15">
        <f>Q32</f>
        <v/>
      </c>
      <c r="R64" s="15">
        <f>R32</f>
        <v/>
      </c>
      <c r="S64" s="15">
        <f>S32</f>
        <v/>
      </c>
      <c r="T64" s="15">
        <f>T32</f>
        <v/>
      </c>
      <c r="U64" s="15">
        <f>U32</f>
        <v/>
      </c>
      <c r="V64" s="15">
        <f>V32</f>
        <v/>
      </c>
      <c r="W64" s="15">
        <f>W32</f>
        <v/>
      </c>
      <c r="X64" s="15">
        <f>X32</f>
        <v/>
      </c>
      <c r="Y64" s="15">
        <f>Y32</f>
        <v/>
      </c>
      <c r="Z64" s="15">
        <f>Z32</f>
        <v/>
      </c>
      <c r="AA64" s="15">
        <f>AA32</f>
        <v/>
      </c>
      <c r="AB64" s="15">
        <f>AB32</f>
        <v/>
      </c>
      <c r="AC64" s="15">
        <f>AC32</f>
        <v/>
      </c>
      <c r="AD64" s="15">
        <f>AD32</f>
        <v/>
      </c>
      <c r="AE64" s="15">
        <f>AE32</f>
        <v/>
      </c>
      <c r="AF64" s="15">
        <f>AF32</f>
        <v/>
      </c>
      <c r="AG64" s="15">
        <f>AG32</f>
        <v/>
      </c>
      <c r="AH64" s="15">
        <f>AH32</f>
        <v/>
      </c>
      <c r="AI64" s="15">
        <f>AI32</f>
        <v/>
      </c>
      <c r="AJ64" s="15">
        <f>AJ32</f>
        <v/>
      </c>
      <c r="AK64" s="15">
        <f>AK32</f>
        <v/>
      </c>
      <c r="AL64" s="15">
        <f>AL32</f>
        <v/>
      </c>
      <c r="AM64" s="15">
        <f>AM32</f>
        <v/>
      </c>
      <c r="AN64" s="15">
        <f>AN32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694.144908</v>
      </c>
      <c r="E65" s="13" t="n">
        <v>82.35021399999999</v>
      </c>
      <c r="F65" s="13" t="n">
        <v>121.90122</v>
      </c>
      <c r="G65" s="13" t="n">
        <v>286.1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  <c r="P65" s="15">
        <f>(((P59-P62)+P63)+P64)</f>
        <v/>
      </c>
      <c r="Q65" s="15">
        <f>(((Q59-Q62)+Q63)+Q64)</f>
        <v/>
      </c>
      <c r="R65" s="15">
        <f>(((R59-R62)+R63)+R64)</f>
        <v/>
      </c>
      <c r="S65" s="15">
        <f>(((S59-S62)+S63)+S64)</f>
        <v/>
      </c>
      <c r="T65" s="15">
        <f>(((T59-T62)+T63)+T64)</f>
        <v/>
      </c>
      <c r="U65" s="15">
        <f>(((U59-U62)+U63)+U64)</f>
        <v/>
      </c>
      <c r="V65" s="15">
        <f>(((V59-V62)+V63)+V64)</f>
        <v/>
      </c>
      <c r="W65" s="15">
        <f>(((W59-W62)+W63)+W64)</f>
        <v/>
      </c>
      <c r="X65" s="15">
        <f>(((X59-X62)+X63)+X64)</f>
        <v/>
      </c>
      <c r="Y65" s="15">
        <f>(((Y59-Y62)+Y63)+Y64)</f>
        <v/>
      </c>
      <c r="Z65" s="15">
        <f>(((Z59-Z62)+Z63)+Z64)</f>
        <v/>
      </c>
      <c r="AA65" s="15">
        <f>(((AA59-AA62)+AA63)+AA64)</f>
        <v/>
      </c>
      <c r="AB65" s="15">
        <f>(((AB59-AB62)+AB63)+AB64)</f>
        <v/>
      </c>
      <c r="AC65" s="15">
        <f>(((AC59-AC62)+AC63)+AC64)</f>
        <v/>
      </c>
      <c r="AD65" s="15">
        <f>(((AD59-AD62)+AD63)+AD64)</f>
        <v/>
      </c>
      <c r="AE65" s="15">
        <f>(((AE59-AE62)+AE63)+AE64)</f>
        <v/>
      </c>
      <c r="AF65" s="15">
        <f>(((AF59-AF62)+AF63)+AF64)</f>
        <v/>
      </c>
      <c r="AG65" s="15">
        <f>(((AG59-AG62)+AG63)+AG64)</f>
        <v/>
      </c>
      <c r="AH65" s="15">
        <f>(((AH59-AH62)+AH63)+AH64)</f>
        <v/>
      </c>
      <c r="AI65" s="15">
        <f>(((AI59-AI62)+AI63)+AI64)</f>
        <v/>
      </c>
      <c r="AJ65" s="15">
        <f>(((AJ59-AJ62)+AJ63)+AJ64)</f>
        <v/>
      </c>
      <c r="AK65" s="15">
        <f>(((AK59-AK62)+AK63)+AK64)</f>
        <v/>
      </c>
      <c r="AL65" s="15">
        <f>(((AL59-AL62)+AL63)+AL64)</f>
        <v/>
      </c>
      <c r="AM65" s="15">
        <f>(((AM59-AM62)+AM63)+AM64)</f>
        <v/>
      </c>
      <c r="AN65" s="15">
        <f>(((AN59-AN62)+AN63)+AN64)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115.590243</v>
      </c>
      <c r="E66" s="13" t="n">
        <v>49.924476</v>
      </c>
      <c r="F66" s="13" t="n">
        <v>28.222308</v>
      </c>
      <c r="G66" s="13" t="n">
        <v>55.558551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  <c r="P66" s="15">
        <f>(MAX(P65,0)*P28)</f>
        <v/>
      </c>
      <c r="Q66" s="15">
        <f>(MAX(Q65,0)*Q28)</f>
        <v/>
      </c>
      <c r="R66" s="15">
        <f>(MAX(R65,0)*R28)</f>
        <v/>
      </c>
      <c r="S66" s="15">
        <f>(MAX(S65,0)*S28)</f>
        <v/>
      </c>
      <c r="T66" s="15">
        <f>(MAX(T65,0)*T28)</f>
        <v/>
      </c>
      <c r="U66" s="15">
        <f>(MAX(U65,0)*U28)</f>
        <v/>
      </c>
      <c r="V66" s="15">
        <f>(MAX(V65,0)*V28)</f>
        <v/>
      </c>
      <c r="W66" s="15">
        <f>(MAX(W65,0)*W28)</f>
        <v/>
      </c>
      <c r="X66" s="15">
        <f>(MAX(X65,0)*X28)</f>
        <v/>
      </c>
      <c r="Y66" s="15">
        <f>(MAX(Y65,0)*Y28)</f>
        <v/>
      </c>
      <c r="Z66" s="15">
        <f>(MAX(Z65,0)*Z28)</f>
        <v/>
      </c>
      <c r="AA66" s="15">
        <f>(MAX(AA65,0)*AA28)</f>
        <v/>
      </c>
      <c r="AB66" s="15">
        <f>(MAX(AB65,0)*AB28)</f>
        <v/>
      </c>
      <c r="AC66" s="15">
        <f>(MAX(AC65,0)*AC28)</f>
        <v/>
      </c>
      <c r="AD66" s="15">
        <f>(MAX(AD65,0)*AD28)</f>
        <v/>
      </c>
      <c r="AE66" s="15">
        <f>(MAX(AE65,0)*AE28)</f>
        <v/>
      </c>
      <c r="AF66" s="15">
        <f>(MAX(AF65,0)*AF28)</f>
        <v/>
      </c>
      <c r="AG66" s="15">
        <f>(MAX(AG65,0)*AG28)</f>
        <v/>
      </c>
      <c r="AH66" s="15">
        <f>(MAX(AH65,0)*AH28)</f>
        <v/>
      </c>
      <c r="AI66" s="15">
        <f>(MAX(AI65,0)*AI28)</f>
        <v/>
      </c>
      <c r="AJ66" s="15">
        <f>(MAX(AJ65,0)*AJ28)</f>
        <v/>
      </c>
      <c r="AK66" s="15">
        <f>(MAX(AK65,0)*AK28)</f>
        <v/>
      </c>
      <c r="AL66" s="15">
        <f>(MAX(AL65,0)*AL28)</f>
        <v/>
      </c>
      <c r="AM66" s="15">
        <f>(MAX(AM65,0)*AM28)</f>
        <v/>
      </c>
      <c r="AN66" s="15">
        <f>(MAX(AN65,0)*AN28)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578.554665</v>
      </c>
      <c r="E67" s="13" t="n">
        <v>32.425738</v>
      </c>
      <c r="F67" s="13" t="n">
        <v>93.678912</v>
      </c>
      <c r="G67" s="13" t="n">
        <v>161.8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  <c r="P67" s="15">
        <f>(P65-P66)</f>
        <v/>
      </c>
      <c r="Q67" s="15">
        <f>(Q65-Q66)</f>
        <v/>
      </c>
      <c r="R67" s="15">
        <f>(R65-R66)</f>
        <v/>
      </c>
      <c r="S67" s="15">
        <f>(S65-S66)</f>
        <v/>
      </c>
      <c r="T67" s="15">
        <f>(T65-T66)</f>
        <v/>
      </c>
      <c r="U67" s="15">
        <f>(U65-U66)</f>
        <v/>
      </c>
      <c r="V67" s="15">
        <f>(V65-V66)</f>
        <v/>
      </c>
      <c r="W67" s="15">
        <f>(W65-W66)</f>
        <v/>
      </c>
      <c r="X67" s="15">
        <f>(X65-X66)</f>
        <v/>
      </c>
      <c r="Y67" s="15">
        <f>(Y65-Y66)</f>
        <v/>
      </c>
      <c r="Z67" s="15">
        <f>(Z65-Z66)</f>
        <v/>
      </c>
      <c r="AA67" s="15">
        <f>(AA65-AA66)</f>
        <v/>
      </c>
      <c r="AB67" s="15">
        <f>(AB65-AB66)</f>
        <v/>
      </c>
      <c r="AC67" s="15">
        <f>(AC65-AC66)</f>
        <v/>
      </c>
      <c r="AD67" s="15">
        <f>(AD65-AD66)</f>
        <v/>
      </c>
      <c r="AE67" s="15">
        <f>(AE65-AE66)</f>
        <v/>
      </c>
      <c r="AF67" s="15">
        <f>(AF65-AF66)</f>
        <v/>
      </c>
      <c r="AG67" s="15">
        <f>(AG65-AG66)</f>
        <v/>
      </c>
      <c r="AH67" s="15">
        <f>(AH65-AH66)</f>
        <v/>
      </c>
      <c r="AI67" s="15">
        <f>(AI65-AI66)</f>
        <v/>
      </c>
      <c r="AJ67" s="15">
        <f>(AJ65-AJ66)</f>
        <v/>
      </c>
      <c r="AK67" s="15">
        <f>(AK65-AK66)</f>
        <v/>
      </c>
      <c r="AL67" s="15">
        <f>(AL65-AL66)</f>
        <v/>
      </c>
      <c r="AM67" s="15">
        <f>(AM65-AM66)</f>
        <v/>
      </c>
      <c r="AN67" s="15">
        <f>(AN65-AN66)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53.28032399999995</v>
      </c>
      <c r="E68" s="13" t="n">
        <v>21.502288</v>
      </c>
      <c r="F68" s="13" t="n">
        <v>26.200833</v>
      </c>
      <c r="G68" s="13" t="n">
        <v>44.521586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  <c r="P68" s="15">
        <f>(P67*P33)</f>
        <v/>
      </c>
      <c r="Q68" s="15">
        <f>(Q67*Q33)</f>
        <v/>
      </c>
      <c r="R68" s="15">
        <f>(R67*R33)</f>
        <v/>
      </c>
      <c r="S68" s="15">
        <f>(S67*S33)</f>
        <v/>
      </c>
      <c r="T68" s="15">
        <f>(T67*T33)</f>
        <v/>
      </c>
      <c r="U68" s="15">
        <f>(U67*U33)</f>
        <v/>
      </c>
      <c r="V68" s="15">
        <f>(V67*V33)</f>
        <v/>
      </c>
      <c r="W68" s="15">
        <f>(W67*W33)</f>
        <v/>
      </c>
      <c r="X68" s="15">
        <f>(X67*X33)</f>
        <v/>
      </c>
      <c r="Y68" s="15">
        <f>(Y67*Y33)</f>
        <v/>
      </c>
      <c r="Z68" s="15">
        <f>(Z67*Z33)</f>
        <v/>
      </c>
      <c r="AA68" s="15">
        <f>(AA67*AA33)</f>
        <v/>
      </c>
      <c r="AB68" s="15">
        <f>(AB67*AB33)</f>
        <v/>
      </c>
      <c r="AC68" s="15">
        <f>(AC67*AC33)</f>
        <v/>
      </c>
      <c r="AD68" s="15">
        <f>(AD67*AD33)</f>
        <v/>
      </c>
      <c r="AE68" s="15">
        <f>(AE67*AE33)</f>
        <v/>
      </c>
      <c r="AF68" s="15">
        <f>(AF67*AF33)</f>
        <v/>
      </c>
      <c r="AG68" s="15">
        <f>(AG67*AG33)</f>
        <v/>
      </c>
      <c r="AH68" s="15">
        <f>(AH67*AH33)</f>
        <v/>
      </c>
      <c r="AI68" s="15">
        <f>(AI67*AI33)</f>
        <v/>
      </c>
      <c r="AJ68" s="15">
        <f>(AJ67*AJ33)</f>
        <v/>
      </c>
      <c r="AK68" s="15">
        <f>(AK67*AK33)</f>
        <v/>
      </c>
      <c r="AL68" s="15">
        <f>(AL67*AL33)</f>
        <v/>
      </c>
      <c r="AM68" s="15">
        <f>(AM67*AM33)</f>
        <v/>
      </c>
      <c r="AN68" s="15">
        <f>(AN67*AN33)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525.274341</v>
      </c>
      <c r="E69" s="13" t="n">
        <v>10.92345</v>
      </c>
      <c r="F69" s="13" t="n">
        <v>67.47807899999999</v>
      </c>
      <c r="G69" s="13" t="n">
        <v>81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  <c r="P69" s="15">
        <f>(P67-P68)</f>
        <v/>
      </c>
      <c r="Q69" s="15">
        <f>(Q67-Q68)</f>
        <v/>
      </c>
      <c r="R69" s="15">
        <f>(R67-R68)</f>
        <v/>
      </c>
      <c r="S69" s="15">
        <f>(S67-S68)</f>
        <v/>
      </c>
      <c r="T69" s="15">
        <f>(T67-T68)</f>
        <v/>
      </c>
      <c r="U69" s="15">
        <f>(U67-U68)</f>
        <v/>
      </c>
      <c r="V69" s="15">
        <f>(V67-V68)</f>
        <v/>
      </c>
      <c r="W69" s="15">
        <f>(W67-W68)</f>
        <v/>
      </c>
      <c r="X69" s="15">
        <f>(X67-X68)</f>
        <v/>
      </c>
      <c r="Y69" s="15">
        <f>(Y67-Y68)</f>
        <v/>
      </c>
      <c r="Z69" s="15">
        <f>(Z67-Z68)</f>
        <v/>
      </c>
      <c r="AA69" s="15">
        <f>(AA67-AA68)</f>
        <v/>
      </c>
      <c r="AB69" s="15">
        <f>(AB67-AB68)</f>
        <v/>
      </c>
      <c r="AC69" s="15">
        <f>(AC67-AC68)</f>
        <v/>
      </c>
      <c r="AD69" s="15">
        <f>(AD67-AD68)</f>
        <v/>
      </c>
      <c r="AE69" s="15">
        <f>(AE67-AE68)</f>
        <v/>
      </c>
      <c r="AF69" s="15">
        <f>(AF67-AF68)</f>
        <v/>
      </c>
      <c r="AG69" s="15">
        <f>(AG67-AG68)</f>
        <v/>
      </c>
      <c r="AH69" s="15">
        <f>(AH67-AH68)</f>
        <v/>
      </c>
      <c r="AI69" s="15">
        <f>(AI67-AI68)</f>
        <v/>
      </c>
      <c r="AJ69" s="15">
        <f>(AJ67-AJ68)</f>
        <v/>
      </c>
      <c r="AK69" s="15">
        <f>(AK67-AK68)</f>
        <v/>
      </c>
      <c r="AL69" s="15">
        <f>(AL67-AL68)</f>
        <v/>
      </c>
      <c r="AM69" s="15">
        <f>(AM67-AM68)</f>
        <v/>
      </c>
      <c r="AN69" s="15">
        <f>(AN67-AN68)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371320.676795</v>
      </c>
      <c r="E70" s="13" t="n">
        <v>371320.705024</v>
      </c>
      <c r="F70" s="13" t="n">
        <v>371335.392068</v>
      </c>
      <c r="G70" s="13" t="n">
        <v>371335.392068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  <c r="P70" s="15">
        <f>(O70*(1+P35))</f>
        <v/>
      </c>
      <c r="Q70" s="15">
        <f>(P70*(1+Q35))</f>
        <v/>
      </c>
      <c r="R70" s="15">
        <f>(Q70*(1+R35))</f>
        <v/>
      </c>
      <c r="S70" s="15">
        <f>(R70*(1+S35))</f>
        <v/>
      </c>
      <c r="T70" s="15">
        <f>(S70*(1+T35))</f>
        <v/>
      </c>
      <c r="U70" s="15">
        <f>(T70*(1+U35))</f>
        <v/>
      </c>
      <c r="V70" s="15">
        <f>(U70*(1+V35))</f>
        <v/>
      </c>
      <c r="W70" s="15">
        <f>(V70*(1+W35))</f>
        <v/>
      </c>
      <c r="X70" s="15">
        <f>(W70*(1+X35))</f>
        <v/>
      </c>
      <c r="Y70" s="15">
        <f>(X70*(1+Y35))</f>
        <v/>
      </c>
      <c r="Z70" s="15">
        <f>(Y70*(1+Z35))</f>
        <v/>
      </c>
      <c r="AA70" s="15">
        <f>(Z70*(1+AA35))</f>
        <v/>
      </c>
      <c r="AB70" s="15">
        <f>(AA70*(1+AB35))</f>
        <v/>
      </c>
      <c r="AC70" s="15">
        <f>(AB70*(1+AC35))</f>
        <v/>
      </c>
      <c r="AD70" s="15">
        <f>(AC70*(1+AD35))</f>
        <v/>
      </c>
      <c r="AE70" s="15">
        <f>(AD70*(1+AE35))</f>
        <v/>
      </c>
      <c r="AF70" s="15">
        <f>(AE70*(1+AF35))</f>
        <v/>
      </c>
      <c r="AG70" s="15">
        <f>(AF70*(1+AG35))</f>
        <v/>
      </c>
      <c r="AH70" s="15">
        <f>(AG70*(1+AH35))</f>
        <v/>
      </c>
      <c r="AI70" s="15">
        <f>(AH70*(1+AI35))</f>
        <v/>
      </c>
      <c r="AJ70" s="15">
        <f>(AI70*(1+AJ35))</f>
        <v/>
      </c>
      <c r="AK70" s="15">
        <f>(AJ70*(1+AK35))</f>
        <v/>
      </c>
      <c r="AL70" s="15">
        <f>(AK70*(1+AL35))</f>
        <v/>
      </c>
      <c r="AM70" s="15">
        <f>(AL70*(1+AM35))</f>
        <v/>
      </c>
      <c r="AN70" s="15">
        <f>(AM70*(1+AN35))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0.001414611072924429</v>
      </c>
      <c r="E71" s="20" t="n">
        <v>2.941783168082149e-05</v>
      </c>
      <c r="F71" s="20" t="n">
        <v>0.0001817173381298468</v>
      </c>
      <c r="G71" s="20" t="n">
        <v>0.0002181316452194437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  <c r="M71" s="21">
        <f>(IF(M70=0,0,M69/M70)*$C$8)</f>
        <v/>
      </c>
      <c r="N71" s="21">
        <f>(IF(N70=0,0,N69/N70)*$C$8)</f>
        <v/>
      </c>
      <c r="O71" s="21">
        <f>(IF(O70=0,0,O69/O70)*$C$8)</f>
        <v/>
      </c>
      <c r="P71" s="21">
        <f>(IF(P70=0,0,P69/P70)*$C$8)</f>
        <v/>
      </c>
      <c r="Q71" s="21">
        <f>(IF(Q70=0,0,Q69/Q70)*$C$8)</f>
        <v/>
      </c>
      <c r="R71" s="21">
        <f>(IF(R70=0,0,R69/R70)*$C$8)</f>
        <v/>
      </c>
      <c r="S71" s="21">
        <f>(IF(S70=0,0,S69/S70)*$C$8)</f>
        <v/>
      </c>
      <c r="T71" s="21">
        <f>(IF(T70=0,0,T69/T70)*$C$8)</f>
        <v/>
      </c>
      <c r="U71" s="21">
        <f>(IF(U70=0,0,U69/U70)*$C$8)</f>
        <v/>
      </c>
      <c r="V71" s="21">
        <f>(IF(V70=0,0,V69/V70)*$C$8)</f>
        <v/>
      </c>
      <c r="W71" s="21">
        <f>(IF(W70=0,0,W69/W70)*$C$8)</f>
        <v/>
      </c>
      <c r="X71" s="21">
        <f>(IF(X70=0,0,X69/X70)*$C$8)</f>
        <v/>
      </c>
      <c r="Y71" s="21">
        <f>(IF(Y70=0,0,Y69/Y70)*$C$8)</f>
        <v/>
      </c>
      <c r="Z71" s="21">
        <f>(IF(Z70=0,0,Z69/Z70)*$C$8)</f>
        <v/>
      </c>
      <c r="AA71" s="21">
        <f>(IF(AA70=0,0,AA69/AA70)*$C$8)</f>
        <v/>
      </c>
      <c r="AB71" s="21">
        <f>(IF(AB70=0,0,AB69/AB70)*$C$8)</f>
        <v/>
      </c>
      <c r="AC71" s="21">
        <f>(IF(AC70=0,0,AC69/AC70)*$C$8)</f>
        <v/>
      </c>
      <c r="AD71" s="21">
        <f>(IF(AD70=0,0,AD69/AD70)*$C$8)</f>
        <v/>
      </c>
      <c r="AE71" s="21">
        <f>(IF(AE70=0,0,AE69/AE70)*$C$8)</f>
        <v/>
      </c>
      <c r="AF71" s="21">
        <f>(IF(AF70=0,0,AF69/AF70)*$C$8)</f>
        <v/>
      </c>
      <c r="AG71" s="21">
        <f>(IF(AG70=0,0,AG69/AG70)*$C$8)</f>
        <v/>
      </c>
      <c r="AH71" s="21">
        <f>(IF(AH70=0,0,AH69/AH70)*$C$8)</f>
        <v/>
      </c>
      <c r="AI71" s="21">
        <f>(IF(AI70=0,0,AI69/AI70)*$C$8)</f>
        <v/>
      </c>
      <c r="AJ71" s="21">
        <f>(IF(AJ70=0,0,AJ69/AJ70)*$C$8)</f>
        <v/>
      </c>
      <c r="AK71" s="21">
        <f>(IF(AK70=0,0,AK69/AK70)*$C$8)</f>
        <v/>
      </c>
      <c r="AL71" s="21">
        <f>(IF(AL70=0,0,AL69/AL70)*$C$8)</f>
        <v/>
      </c>
      <c r="AM71" s="21">
        <f>(IF(AM70=0,0,AM69/AM70)*$C$8)</f>
        <v/>
      </c>
      <c r="AN71" s="21">
        <f>(IF(AN70=0,0,AN69/AN70)*$C$8)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</v>
      </c>
      <c r="E72" s="20" t="n">
        <v>0</v>
      </c>
      <c r="F72" s="20" t="n">
        <v>0</v>
      </c>
      <c r="G72" s="20" t="n">
        <v>0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  <c r="M72" s="21">
        <f>(MAX(M71,0)*M34)</f>
        <v/>
      </c>
      <c r="N72" s="21">
        <f>(MAX(N71,0)*N34)</f>
        <v/>
      </c>
      <c r="O72" s="21">
        <f>(MAX(O71,0)*O34)</f>
        <v/>
      </c>
      <c r="P72" s="21">
        <f>(MAX(P71,0)*P34)</f>
        <v/>
      </c>
      <c r="Q72" s="21">
        <f>(MAX(Q71,0)*Q34)</f>
        <v/>
      </c>
      <c r="R72" s="21">
        <f>(MAX(R71,0)*R34)</f>
        <v/>
      </c>
      <c r="S72" s="21">
        <f>(MAX(S71,0)*S34)</f>
        <v/>
      </c>
      <c r="T72" s="21">
        <f>(MAX(T71,0)*T34)</f>
        <v/>
      </c>
      <c r="U72" s="21">
        <f>(MAX(U71,0)*U34)</f>
        <v/>
      </c>
      <c r="V72" s="21">
        <f>(MAX(V71,0)*V34)</f>
        <v/>
      </c>
      <c r="W72" s="21">
        <f>(MAX(W71,0)*W34)</f>
        <v/>
      </c>
      <c r="X72" s="21">
        <f>(MAX(X71,0)*X34)</f>
        <v/>
      </c>
      <c r="Y72" s="21">
        <f>(MAX(Y71,0)*Y34)</f>
        <v/>
      </c>
      <c r="Z72" s="21">
        <f>(MAX(Z71,0)*Z34)</f>
        <v/>
      </c>
      <c r="AA72" s="21">
        <f>(MAX(AA71,0)*AA34)</f>
        <v/>
      </c>
      <c r="AB72" s="21">
        <f>(MAX(AB71,0)*AB34)</f>
        <v/>
      </c>
      <c r="AC72" s="21">
        <f>(MAX(AC71,0)*AC34)</f>
        <v/>
      </c>
      <c r="AD72" s="21">
        <f>(MAX(AD71,0)*AD34)</f>
        <v/>
      </c>
      <c r="AE72" s="21">
        <f>(MAX(AE71,0)*AE34)</f>
        <v/>
      </c>
      <c r="AF72" s="21">
        <f>(MAX(AF71,0)*AF34)</f>
        <v/>
      </c>
      <c r="AG72" s="21">
        <f>(MAX(AG71,0)*AG34)</f>
        <v/>
      </c>
      <c r="AH72" s="21">
        <f>(MAX(AH71,0)*AH34)</f>
        <v/>
      </c>
      <c r="AI72" s="21">
        <f>(MAX(AI71,0)*AI34)</f>
        <v/>
      </c>
      <c r="AJ72" s="21">
        <f>(MAX(AJ71,0)*AJ34)</f>
        <v/>
      </c>
      <c r="AK72" s="21">
        <f>(MAX(AK71,0)*AK34)</f>
        <v/>
      </c>
      <c r="AL72" s="21">
        <f>(MAX(AL71,0)*AL34)</f>
        <v/>
      </c>
      <c r="AM72" s="21">
        <f>(MAX(AM71,0)*AM34)</f>
        <v/>
      </c>
      <c r="AN72" s="21">
        <f>(MAX(AN71,0)*AN34)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/>
      <c r="E73" s="13" t="n"/>
      <c r="F73" s="13" t="n"/>
      <c r="G73" s="13" t="n"/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  <c r="P73" s="15">
        <f>IF($C$8=0,0,(O72*O70)/$C$8)</f>
        <v/>
      </c>
      <c r="Q73" s="15">
        <f>IF($C$8=0,0,(P72*P70)/$C$8)</f>
        <v/>
      </c>
      <c r="R73" s="15">
        <f>IF($C$8=0,0,(Q72*Q70)/$C$8)</f>
        <v/>
      </c>
      <c r="S73" s="15">
        <f>IF($C$8=0,0,(R72*R70)/$C$8)</f>
        <v/>
      </c>
      <c r="T73" s="15">
        <f>IF($C$8=0,0,(S72*S70)/$C$8)</f>
        <v/>
      </c>
      <c r="U73" s="15">
        <f>IF($C$8=0,0,(T72*T70)/$C$8)</f>
        <v/>
      </c>
      <c r="V73" s="15">
        <f>IF($C$8=0,0,(U72*U70)/$C$8)</f>
        <v/>
      </c>
      <c r="W73" s="15">
        <f>IF($C$8=0,0,(V72*V70)/$C$8)</f>
        <v/>
      </c>
      <c r="X73" s="15">
        <f>IF($C$8=0,0,(W72*W70)/$C$8)</f>
        <v/>
      </c>
      <c r="Y73" s="15">
        <f>IF($C$8=0,0,(X72*X70)/$C$8)</f>
        <v/>
      </c>
      <c r="Z73" s="15">
        <f>IF($C$8=0,0,(Y72*Y70)/$C$8)</f>
        <v/>
      </c>
      <c r="AA73" s="15">
        <f>IF($C$8=0,0,(Z72*Z70)/$C$8)</f>
        <v/>
      </c>
      <c r="AB73" s="15">
        <f>IF($C$8=0,0,(AA72*AA70)/$C$8)</f>
        <v/>
      </c>
      <c r="AC73" s="15">
        <f>IF($C$8=0,0,(AB72*AB70)/$C$8)</f>
        <v/>
      </c>
      <c r="AD73" s="15">
        <f>IF($C$8=0,0,(AC72*AC70)/$C$8)</f>
        <v/>
      </c>
      <c r="AE73" s="15">
        <f>IF($C$8=0,0,(AD72*AD70)/$C$8)</f>
        <v/>
      </c>
      <c r="AF73" s="15">
        <f>IF($C$8=0,0,(AE72*AE70)/$C$8)</f>
        <v/>
      </c>
      <c r="AG73" s="15">
        <f>IF($C$8=0,0,(AF72*AF70)/$C$8)</f>
        <v/>
      </c>
      <c r="AH73" s="15">
        <f>IF($C$8=0,0,(AG72*AG70)/$C$8)</f>
        <v/>
      </c>
      <c r="AI73" s="15">
        <f>IF($C$8=0,0,(AH72*AH70)/$C$8)</f>
        <v/>
      </c>
      <c r="AJ73" s="15">
        <f>IF($C$8=0,0,(AI72*AI70)/$C$8)</f>
        <v/>
      </c>
      <c r="AK73" s="15">
        <f>IF($C$8=0,0,(AJ72*AJ70)/$C$8)</f>
        <v/>
      </c>
      <c r="AL73" s="15">
        <f>IF($C$8=0,0,(AK72*AK70)/$C$8)</f>
        <v/>
      </c>
      <c r="AM73" s="15">
        <f>IF($C$8=0,0,(AL72*AL70)/$C$8)</f>
        <v/>
      </c>
      <c r="AN73" s="15">
        <f>IF($C$8=0,0,(AM72*AM70)/$C$8)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129.316626</v>
      </c>
      <c r="E74" s="13" t="n">
        <v>51.944912</v>
      </c>
      <c r="F74" s="13" t="n">
        <v>25.047837</v>
      </c>
      <c r="G74" s="13" t="n">
        <v>124.857814</v>
      </c>
      <c r="H74" s="15">
        <f>(((H41*H25)*$C$10)+H26)</f>
        <v/>
      </c>
      <c r="I74" s="15">
        <f>(((I41*I25)*$C$10)+I26)</f>
        <v/>
      </c>
      <c r="J74" s="15">
        <f>(((J41*J25)*$C$10)+J26)</f>
        <v/>
      </c>
      <c r="K74" s="15">
        <f>(((K41*K25)*$C$10)+K26)</f>
        <v/>
      </c>
      <c r="L74" s="15">
        <f>(((L41*L25)*$C$10)+L26)</f>
        <v/>
      </c>
      <c r="M74" s="15">
        <f>(((M41*M25)*$C$10)+M26)</f>
        <v/>
      </c>
      <c r="N74" s="15">
        <f>(((N41*N25)*$C$10)+N26)</f>
        <v/>
      </c>
      <c r="O74" s="15">
        <f>(((O41*O25)*$C$10)+O26)</f>
        <v/>
      </c>
      <c r="P74" s="15">
        <f>(((P41*P25)*$C$10)+P26)</f>
        <v/>
      </c>
      <c r="Q74" s="15">
        <f>(((Q41*Q25)*$C$10)+Q26)</f>
        <v/>
      </c>
      <c r="R74" s="15">
        <f>(((R41*R25)*$C$10)+R26)</f>
        <v/>
      </c>
      <c r="S74" s="15">
        <f>(((S41*S25)*$C$10)+S26)</f>
        <v/>
      </c>
      <c r="T74" s="15">
        <f>(((T41*T25)*$C$10)+T26)</f>
        <v/>
      </c>
      <c r="U74" s="15">
        <f>(((U41*U25)*$C$10)+U26)</f>
        <v/>
      </c>
      <c r="V74" s="15">
        <f>(((V41*V25)*$C$10)+V26)</f>
        <v/>
      </c>
      <c r="W74" s="15">
        <f>(((W41*W25)*$C$10)+W26)</f>
        <v/>
      </c>
      <c r="X74" s="15">
        <f>(((X41*X25)*$C$10)+X26)</f>
        <v/>
      </c>
      <c r="Y74" s="15">
        <f>(((Y41*Y25)*$C$10)+Y26)</f>
        <v/>
      </c>
      <c r="Z74" s="15">
        <f>(((Z41*Z25)*$C$10)+Z26)</f>
        <v/>
      </c>
      <c r="AA74" s="15">
        <f>(((AA41*AA25)*$C$10)+AA26)</f>
        <v/>
      </c>
      <c r="AB74" s="15">
        <f>(((AB41*AB25)*$C$10)+AB26)</f>
        <v/>
      </c>
      <c r="AC74" s="15">
        <f>(((AC41*AC25)*$C$10)+AC26)</f>
        <v/>
      </c>
      <c r="AD74" s="15">
        <f>(((AD41*AD25)*$C$10)+AD26)</f>
        <v/>
      </c>
      <c r="AE74" s="15">
        <f>(((AE41*AE25)*$C$10)+AE26)</f>
        <v/>
      </c>
      <c r="AF74" s="15">
        <f>(((AF41*AF25)*$C$10)+AF26)</f>
        <v/>
      </c>
      <c r="AG74" s="15">
        <f>(((AG41*AG25)*$C$10)+AG26)</f>
        <v/>
      </c>
      <c r="AH74" s="15">
        <f>(((AH41*AH25)*$C$10)+AH26)</f>
        <v/>
      </c>
      <c r="AI74" s="15">
        <f>(((AI41*AI25)*$C$10)+AI26)</f>
        <v/>
      </c>
      <c r="AJ74" s="15">
        <f>(((AJ41*AJ25)*$C$10)+AJ26)</f>
        <v/>
      </c>
      <c r="AK74" s="15">
        <f>(((AK41*AK25)*$C$10)+AK26)</f>
        <v/>
      </c>
      <c r="AL74" s="15">
        <f>(((AL41*AL25)*$C$10)+AL26)</f>
        <v/>
      </c>
      <c r="AM74" s="15">
        <f>(((AM41*AM25)*$C$10)+AM26)</f>
        <v/>
      </c>
      <c r="AN74" s="15">
        <f>(((AN41*AN25)*$C$10)+AN26)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264.6158840000003</v>
      </c>
      <c r="F75" s="13" t="n">
        <v>167.198036</v>
      </c>
      <c r="G75" s="13" t="n">
        <v>-58.53794800000026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  <c r="P75" s="15">
        <f>(P80-O80)</f>
        <v/>
      </c>
      <c r="Q75" s="15">
        <f>(Q80-P80)</f>
        <v/>
      </c>
      <c r="R75" s="15">
        <f>(R80-Q80)</f>
        <v/>
      </c>
      <c r="S75" s="15">
        <f>(S80-R80)</f>
        <v/>
      </c>
      <c r="T75" s="15">
        <f>(T80-S80)</f>
        <v/>
      </c>
      <c r="U75" s="15">
        <f>(U80-T80)</f>
        <v/>
      </c>
      <c r="V75" s="15">
        <f>(V80-U80)</f>
        <v/>
      </c>
      <c r="W75" s="15">
        <f>(W80-V80)</f>
        <v/>
      </c>
      <c r="X75" s="15">
        <f>(X80-W80)</f>
        <v/>
      </c>
      <c r="Y75" s="15">
        <f>(Y80-X80)</f>
        <v/>
      </c>
      <c r="Z75" s="15">
        <f>(Z80-Y80)</f>
        <v/>
      </c>
      <c r="AA75" s="15">
        <f>(AA80-Z80)</f>
        <v/>
      </c>
      <c r="AB75" s="15">
        <f>(AB80-AA80)</f>
        <v/>
      </c>
      <c r="AC75" s="15">
        <f>(AC80-AB80)</f>
        <v/>
      </c>
      <c r="AD75" s="15">
        <f>(AD80-AC80)</f>
        <v/>
      </c>
      <c r="AE75" s="15">
        <f>(AE80-AD80)</f>
        <v/>
      </c>
      <c r="AF75" s="15">
        <f>(AF80-AE80)</f>
        <v/>
      </c>
      <c r="AG75" s="15">
        <f>(AG80-AF80)</f>
        <v/>
      </c>
      <c r="AH75" s="15">
        <f>(AH80-AG80)</f>
        <v/>
      </c>
      <c r="AI75" s="15">
        <f>(AI80-AH80)</f>
        <v/>
      </c>
      <c r="AJ75" s="15">
        <f>(AJ80-AI80)</f>
        <v/>
      </c>
      <c r="AK75" s="15">
        <f>(AK80-AJ80)</f>
        <v/>
      </c>
      <c r="AL75" s="15">
        <f>(AL80-AK80)</f>
        <v/>
      </c>
      <c r="AM75" s="15">
        <f>(AM80-AL80)</f>
        <v/>
      </c>
      <c r="AN75" s="15">
        <f>(AN80-AM80)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-314.7066470008688</v>
      </c>
      <c r="F76" s="13" t="n">
        <v>-155.3365591176598</v>
      </c>
      <c r="G76" s="13" t="n">
        <v>188.4741867654669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  <c r="P76" s="15">
        <f>((((P59*(1-P28))+P60)-P74)-P75)</f>
        <v/>
      </c>
      <c r="Q76" s="15">
        <f>((((Q59*(1-Q28))+Q60)-Q74)-Q75)</f>
        <v/>
      </c>
      <c r="R76" s="15">
        <f>((((R59*(1-R28))+R60)-R74)-R75)</f>
        <v/>
      </c>
      <c r="S76" s="15">
        <f>((((S59*(1-S28))+S60)-S74)-S75)</f>
        <v/>
      </c>
      <c r="T76" s="15">
        <f>((((T59*(1-T28))+T60)-T74)-T75)</f>
        <v/>
      </c>
      <c r="U76" s="15">
        <f>((((U59*(1-U28))+U60)-U74)-U75)</f>
        <v/>
      </c>
      <c r="V76" s="15">
        <f>((((V59*(1-V28))+V60)-V74)-V75)</f>
        <v/>
      </c>
      <c r="W76" s="15">
        <f>((((W59*(1-W28))+W60)-W74)-W75)</f>
        <v/>
      </c>
      <c r="X76" s="15">
        <f>((((X59*(1-X28))+X60)-X74)-X75)</f>
        <v/>
      </c>
      <c r="Y76" s="15">
        <f>((((Y59*(1-Y28))+Y60)-Y74)-Y75)</f>
        <v/>
      </c>
      <c r="Z76" s="15">
        <f>((((Z59*(1-Z28))+Z60)-Z74)-Z75)</f>
        <v/>
      </c>
      <c r="AA76" s="15">
        <f>((((AA59*(1-AA28))+AA60)-AA74)-AA75)</f>
        <v/>
      </c>
      <c r="AB76" s="15">
        <f>((((AB59*(1-AB28))+AB60)-AB74)-AB75)</f>
        <v/>
      </c>
      <c r="AC76" s="15">
        <f>((((AC59*(1-AC28))+AC60)-AC74)-AC75)</f>
        <v/>
      </c>
      <c r="AD76" s="15">
        <f>((((AD59*(1-AD28))+AD60)-AD74)-AD75)</f>
        <v/>
      </c>
      <c r="AE76" s="15">
        <f>((((AE59*(1-AE28))+AE60)-AE74)-AE75)</f>
        <v/>
      </c>
      <c r="AF76" s="15">
        <f>((((AF59*(1-AF28))+AF60)-AF74)-AF75)</f>
        <v/>
      </c>
      <c r="AG76" s="15">
        <f>((((AG59*(1-AG28))+AG60)-AG74)-AG75)</f>
        <v/>
      </c>
      <c r="AH76" s="15">
        <f>((((AH59*(1-AH28))+AH60)-AH74)-AH75)</f>
        <v/>
      </c>
      <c r="AI76" s="15">
        <f>((((AI59*(1-AI28))+AI60)-AI74)-AI75)</f>
        <v/>
      </c>
      <c r="AJ76" s="15">
        <f>((((AJ59*(1-AJ28))+AJ60)-AJ74)-AJ75)</f>
        <v/>
      </c>
      <c r="AK76" s="15">
        <f>((((AK59*(1-AK28))+AK60)-AK74)-AK75)</f>
        <v/>
      </c>
      <c r="AL76" s="15">
        <f>((((AL59*(1-AL28))+AL60)-AL74)-AL75)</f>
        <v/>
      </c>
      <c r="AM76" s="15">
        <f>((((AM59*(1-AM28))+AM60)-AM74)-AM75)</f>
        <v/>
      </c>
      <c r="AN76" s="15">
        <f>((((AN59*(1-AN28))+AN60)-AN74)-AN75)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61.029167</v>
      </c>
      <c r="F77" s="13" t="n">
        <v>5.823386999999968</v>
      </c>
      <c r="G77" s="13" t="n">
        <v>122.479931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  <c r="P77" s="15">
        <f>P31</f>
        <v/>
      </c>
      <c r="Q77" s="15">
        <f>Q31</f>
        <v/>
      </c>
      <c r="R77" s="15">
        <f>R31</f>
        <v/>
      </c>
      <c r="S77" s="15">
        <f>S31</f>
        <v/>
      </c>
      <c r="T77" s="15">
        <f>T31</f>
        <v/>
      </c>
      <c r="U77" s="15">
        <f>U31</f>
        <v/>
      </c>
      <c r="V77" s="15">
        <f>V31</f>
        <v/>
      </c>
      <c r="W77" s="15">
        <f>W31</f>
        <v/>
      </c>
      <c r="X77" s="15">
        <f>X31</f>
        <v/>
      </c>
      <c r="Y77" s="15">
        <f>Y31</f>
        <v/>
      </c>
      <c r="Z77" s="15">
        <f>Z31</f>
        <v/>
      </c>
      <c r="AA77" s="15">
        <f>AA31</f>
        <v/>
      </c>
      <c r="AB77" s="15">
        <f>AB31</f>
        <v/>
      </c>
      <c r="AC77" s="15">
        <f>AC31</f>
        <v/>
      </c>
      <c r="AD77" s="15">
        <f>AD31</f>
        <v/>
      </c>
      <c r="AE77" s="15">
        <f>AE31</f>
        <v/>
      </c>
      <c r="AF77" s="15">
        <f>AF31</f>
        <v/>
      </c>
      <c r="AG77" s="15">
        <f>AG31</f>
        <v/>
      </c>
      <c r="AH77" s="15">
        <f>AH31</f>
        <v/>
      </c>
      <c r="AI77" s="15">
        <f>AI31</f>
        <v/>
      </c>
      <c r="AJ77" s="15">
        <f>AJ31</f>
        <v/>
      </c>
      <c r="AK77" s="15">
        <f>AK31</f>
        <v/>
      </c>
      <c r="AL77" s="15">
        <f>AL31</f>
        <v/>
      </c>
      <c r="AM77" s="15">
        <f>AM31</f>
        <v/>
      </c>
      <c r="AN77" s="15">
        <f>AN31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  <c r="P78" s="15">
        <f>(MAX(O68,0)*P34)</f>
        <v/>
      </c>
      <c r="Q78" s="15">
        <f>(MAX(P68,0)*Q34)</f>
        <v/>
      </c>
      <c r="R78" s="15">
        <f>(MAX(Q68,0)*R34)</f>
        <v/>
      </c>
      <c r="S78" s="15">
        <f>(MAX(R68,0)*S34)</f>
        <v/>
      </c>
      <c r="T78" s="15">
        <f>(MAX(S68,0)*T34)</f>
        <v/>
      </c>
      <c r="U78" s="15">
        <f>(MAX(T68,0)*U34)</f>
        <v/>
      </c>
      <c r="V78" s="15">
        <f>(MAX(U68,0)*V34)</f>
        <v/>
      </c>
      <c r="W78" s="15">
        <f>(MAX(V68,0)*W34)</f>
        <v/>
      </c>
      <c r="X78" s="15">
        <f>(MAX(W68,0)*X34)</f>
        <v/>
      </c>
      <c r="Y78" s="15">
        <f>(MAX(X68,0)*Y34)</f>
        <v/>
      </c>
      <c r="Z78" s="15">
        <f>(MAX(Y68,0)*Z34)</f>
        <v/>
      </c>
      <c r="AA78" s="15">
        <f>(MAX(Z68,0)*AA34)</f>
        <v/>
      </c>
      <c r="AB78" s="15">
        <f>(MAX(AA68,0)*AB34)</f>
        <v/>
      </c>
      <c r="AC78" s="15">
        <f>(MAX(AB68,0)*AC34)</f>
        <v/>
      </c>
      <c r="AD78" s="15">
        <f>(MAX(AC68,0)*AD34)</f>
        <v/>
      </c>
      <c r="AE78" s="15">
        <f>(MAX(AD68,0)*AE34)</f>
        <v/>
      </c>
      <c r="AF78" s="15">
        <f>(MAX(AE68,0)*AF34)</f>
        <v/>
      </c>
      <c r="AG78" s="15">
        <f>(MAX(AF68,0)*AG34)</f>
        <v/>
      </c>
      <c r="AH78" s="15">
        <f>(MAX(AG68,0)*AH34)</f>
        <v/>
      </c>
      <c r="AI78" s="15">
        <f>(MAX(AH68,0)*AI34)</f>
        <v/>
      </c>
      <c r="AJ78" s="15">
        <f>(MAX(AI68,0)*AJ34)</f>
        <v/>
      </c>
      <c r="AK78" s="15">
        <f>(MAX(AJ68,0)*AK34)</f>
        <v/>
      </c>
      <c r="AL78" s="15">
        <f>(MAX(AK68,0)*AL34)</f>
        <v/>
      </c>
      <c r="AM78" s="15">
        <f>(MAX(AL68,0)*AM34)</f>
        <v/>
      </c>
      <c r="AN78" s="15">
        <f>(MAX(AM68,0)*AN34)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  <c r="P79" s="15">
        <f>(((((P67+P60)-P74)-P75)+P77)-P78)</f>
        <v/>
      </c>
      <c r="Q79" s="15">
        <f>(((((Q67+Q60)-Q74)-Q75)+Q77)-Q78)</f>
        <v/>
      </c>
      <c r="R79" s="15">
        <f>(((((R67+R60)-R74)-R75)+R77)-R78)</f>
        <v/>
      </c>
      <c r="S79" s="15">
        <f>(((((S67+S60)-S74)-S75)+S77)-S78)</f>
        <v/>
      </c>
      <c r="T79" s="15">
        <f>(((((T67+T60)-T74)-T75)+T77)-T78)</f>
        <v/>
      </c>
      <c r="U79" s="15">
        <f>(((((U67+U60)-U74)-U75)+U77)-U78)</f>
        <v/>
      </c>
      <c r="V79" s="15">
        <f>(((((V67+V60)-V74)-V75)+V77)-V78)</f>
        <v/>
      </c>
      <c r="W79" s="15">
        <f>(((((W67+W60)-W74)-W75)+W77)-W78)</f>
        <v/>
      </c>
      <c r="X79" s="15">
        <f>(((((X67+X60)-X74)-X75)+X77)-X78)</f>
        <v/>
      </c>
      <c r="Y79" s="15">
        <f>(((((Y67+Y60)-Y74)-Y75)+Y77)-Y78)</f>
        <v/>
      </c>
      <c r="Z79" s="15">
        <f>(((((Z67+Z60)-Z74)-Z75)+Z77)-Z78)</f>
        <v/>
      </c>
      <c r="AA79" s="15">
        <f>(((((AA67+AA60)-AA74)-AA75)+AA77)-AA78)</f>
        <v/>
      </c>
      <c r="AB79" s="15">
        <f>(((((AB67+AB60)-AB74)-AB75)+AB77)-AB78)</f>
        <v/>
      </c>
      <c r="AC79" s="15">
        <f>(((((AC67+AC60)-AC74)-AC75)+AC77)-AC78)</f>
        <v/>
      </c>
      <c r="AD79" s="15">
        <f>(((((AD67+AD60)-AD74)-AD75)+AD77)-AD78)</f>
        <v/>
      </c>
      <c r="AE79" s="15">
        <f>(((((AE67+AE60)-AE74)-AE75)+AE77)-AE78)</f>
        <v/>
      </c>
      <c r="AF79" s="15">
        <f>(((((AF67+AF60)-AF74)-AF75)+AF77)-AF78)</f>
        <v/>
      </c>
      <c r="AG79" s="15">
        <f>(((((AG67+AG60)-AG74)-AG75)+AG77)-AG78)</f>
        <v/>
      </c>
      <c r="AH79" s="15">
        <f>(((((AH67+AH60)-AH74)-AH75)+AH77)-AH78)</f>
        <v/>
      </c>
      <c r="AI79" s="15">
        <f>(((((AI67+AI60)-AI74)-AI75)+AI77)-AI78)</f>
        <v/>
      </c>
      <c r="AJ79" s="15">
        <f>(((((AJ67+AJ60)-AJ74)-AJ75)+AJ77)-AJ78)</f>
        <v/>
      </c>
      <c r="AK79" s="15">
        <f>(((((AK67+AK60)-AK74)-AK75)+AK77)-AK78)</f>
        <v/>
      </c>
      <c r="AL79" s="15">
        <f>(((((AL67+AL60)-AL74)-AL75)+AL77)-AL78)</f>
        <v/>
      </c>
      <c r="AM79" s="15">
        <f>(((((AM67+AM60)-AM74)-AM75)+AM77)-AM78)</f>
        <v/>
      </c>
      <c r="AN79" s="15">
        <f>(((((AN67+AN60)-AN74)-AN75)+AN77)-AN78)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-292.4791540000001</v>
      </c>
      <c r="E80" s="13" t="n">
        <v>-27.86326999999983</v>
      </c>
      <c r="F80" s="13" t="n">
        <v>139.3347660000002</v>
      </c>
      <c r="G80" s="13" t="n">
        <v>80.79681799999992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  <c r="P80" s="15">
        <f>(P55*P27)</f>
        <v/>
      </c>
      <c r="Q80" s="15">
        <f>(Q55*Q27)</f>
        <v/>
      </c>
      <c r="R80" s="15">
        <f>(R55*R27)</f>
        <v/>
      </c>
      <c r="S80" s="15">
        <f>(S55*S27)</f>
        <v/>
      </c>
      <c r="T80" s="15">
        <f>(T55*T27)</f>
        <v/>
      </c>
      <c r="U80" s="15">
        <f>(U55*U27)</f>
        <v/>
      </c>
      <c r="V80" s="15">
        <f>(V55*V27)</f>
        <v/>
      </c>
      <c r="W80" s="15">
        <f>(W55*W27)</f>
        <v/>
      </c>
      <c r="X80" s="15">
        <f>(X55*X27)</f>
        <v/>
      </c>
      <c r="Y80" s="15">
        <f>(Y55*Y27)</f>
        <v/>
      </c>
      <c r="Z80" s="15">
        <f>(Z55*Z27)</f>
        <v/>
      </c>
      <c r="AA80" s="15">
        <f>(AA55*AA27)</f>
        <v/>
      </c>
      <c r="AB80" s="15">
        <f>(AB55*AB27)</f>
        <v/>
      </c>
      <c r="AC80" s="15">
        <f>(AC55*AC27)</f>
        <v/>
      </c>
      <c r="AD80" s="15">
        <f>(AD55*AD27)</f>
        <v/>
      </c>
      <c r="AE80" s="15">
        <f>(AE55*AE27)</f>
        <v/>
      </c>
      <c r="AF80" s="15">
        <f>(AF55*AF27)</f>
        <v/>
      </c>
      <c r="AG80" s="15">
        <f>(AG55*AG27)</f>
        <v/>
      </c>
      <c r="AH80" s="15">
        <f>(AH55*AH27)</f>
        <v/>
      </c>
      <c r="AI80" s="15">
        <f>(AI55*AI27)</f>
        <v/>
      </c>
      <c r="AJ80" s="15">
        <f>(AJ55*AJ27)</f>
        <v/>
      </c>
      <c r="AK80" s="15">
        <f>(AK55*AK27)</f>
        <v/>
      </c>
      <c r="AL80" s="15">
        <f>(AL55*AL27)</f>
        <v/>
      </c>
      <c r="AM80" s="15">
        <f>(AM55*AM27)</f>
        <v/>
      </c>
      <c r="AN80" s="15">
        <f>(AN55*AN27)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180.30718</v>
      </c>
      <c r="E81" s="13" t="n">
        <v>76.806887</v>
      </c>
      <c r="F81" s="13" t="n">
        <v>52.494887</v>
      </c>
      <c r="G81" s="13" t="n">
        <v>118.591888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  <c r="P81" s="15">
        <f>(((((((O81+P67)+P60)-P74)-P75)+P77)-P73)-P78)</f>
        <v/>
      </c>
      <c r="Q81" s="15">
        <f>(((((((P81+Q67)+Q60)-Q74)-Q75)+Q77)-Q73)-Q78)</f>
        <v/>
      </c>
      <c r="R81" s="15">
        <f>(((((((Q81+R67)+R60)-R74)-R75)+R77)-R73)-R78)</f>
        <v/>
      </c>
      <c r="S81" s="15">
        <f>(((((((R81+S67)+S60)-S74)-S75)+S77)-S73)-S78)</f>
        <v/>
      </c>
      <c r="T81" s="15">
        <f>(((((((S81+T67)+T60)-T74)-T75)+T77)-T73)-T78)</f>
        <v/>
      </c>
      <c r="U81" s="15">
        <f>(((((((T81+U67)+U60)-U74)-U75)+U77)-U73)-U78)</f>
        <v/>
      </c>
      <c r="V81" s="15">
        <f>(((((((U81+V67)+V60)-V74)-V75)+V77)-V73)-V78)</f>
        <v/>
      </c>
      <c r="W81" s="15">
        <f>(((((((V81+W67)+W60)-W74)-W75)+W77)-W73)-W78)</f>
        <v/>
      </c>
      <c r="X81" s="15">
        <f>(((((((W81+X67)+X60)-X74)-X75)+X77)-X73)-X78)</f>
        <v/>
      </c>
      <c r="Y81" s="15">
        <f>(((((((X81+Y67)+Y60)-Y74)-Y75)+Y77)-Y73)-Y78)</f>
        <v/>
      </c>
      <c r="Z81" s="15">
        <f>(((((((Y81+Z67)+Z60)-Z74)-Z75)+Z77)-Z73)-Z78)</f>
        <v/>
      </c>
      <c r="AA81" s="15">
        <f>(((((((Z81+AA67)+AA60)-AA74)-AA75)+AA77)-AA73)-AA78)</f>
        <v/>
      </c>
      <c r="AB81" s="15">
        <f>(((((((AA81+AB67)+AB60)-AB74)-AB75)+AB77)-AB73)-AB78)</f>
        <v/>
      </c>
      <c r="AC81" s="15">
        <f>(((((((AB81+AC67)+AC60)-AC74)-AC75)+AC77)-AC73)-AC78)</f>
        <v/>
      </c>
      <c r="AD81" s="15">
        <f>(((((((AC81+AD67)+AD60)-AD74)-AD75)+AD77)-AD73)-AD78)</f>
        <v/>
      </c>
      <c r="AE81" s="15">
        <f>(((((((AD81+AE67)+AE60)-AE74)-AE75)+AE77)-AE73)-AE78)</f>
        <v/>
      </c>
      <c r="AF81" s="15">
        <f>(((((((AE81+AF67)+AF60)-AF74)-AF75)+AF77)-AF73)-AF78)</f>
        <v/>
      </c>
      <c r="AG81" s="15">
        <f>(((((((AF81+AG67)+AG60)-AG74)-AG75)+AG77)-AG73)-AG78)</f>
        <v/>
      </c>
      <c r="AH81" s="15">
        <f>(((((((AG81+AH67)+AH60)-AH74)-AH75)+AH77)-AH73)-AH78)</f>
        <v/>
      </c>
      <c r="AI81" s="15">
        <f>(((((((AH81+AI67)+AI60)-AI74)-AI75)+AI77)-AI73)-AI78)</f>
        <v/>
      </c>
      <c r="AJ81" s="15">
        <f>(((((((AI81+AJ67)+AJ60)-AJ74)-AJ75)+AJ77)-AJ73)-AJ78)</f>
        <v/>
      </c>
      <c r="AK81" s="15">
        <f>(((((((AJ81+AK67)+AK60)-AK74)-AK75)+AK77)-AK73)-AK78)</f>
        <v/>
      </c>
      <c r="AL81" s="15">
        <f>(((((((AK81+AL67)+AL60)-AL74)-AL75)+AL77)-AL73)-AL78)</f>
        <v/>
      </c>
      <c r="AM81" s="15">
        <f>(((((((AL81+AM67)+AM60)-AM74)-AM75)+AM77)-AM73)-AM78)</f>
        <v/>
      </c>
      <c r="AN81" s="15">
        <f>(((((((AM81+AN67)+AN60)-AN74)-AN75)+AN77)-AN73)-AN78)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245.55168</v>
      </c>
      <c r="E82" s="13" t="n">
        <v>306.580847</v>
      </c>
      <c r="F82" s="13" t="n">
        <v>312.404234</v>
      </c>
      <c r="G82" s="13" t="n">
        <v>434.884165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  <c r="P82" s="15">
        <f>(O82+P77)</f>
        <v/>
      </c>
      <c r="Q82" s="15">
        <f>(P82+Q77)</f>
        <v/>
      </c>
      <c r="R82" s="15">
        <f>(Q82+R77)</f>
        <v/>
      </c>
      <c r="S82" s="15">
        <f>(R82+S77)</f>
        <v/>
      </c>
      <c r="T82" s="15">
        <f>(S82+T77)</f>
        <v/>
      </c>
      <c r="U82" s="15">
        <f>(T82+U77)</f>
        <v/>
      </c>
      <c r="V82" s="15">
        <f>(U82+V77)</f>
        <v/>
      </c>
      <c r="W82" s="15">
        <f>(V82+W77)</f>
        <v/>
      </c>
      <c r="X82" s="15">
        <f>(W82+X77)</f>
        <v/>
      </c>
      <c r="Y82" s="15">
        <f>(X82+Y77)</f>
        <v/>
      </c>
      <c r="Z82" s="15">
        <f>(Y82+Z77)</f>
        <v/>
      </c>
      <c r="AA82" s="15">
        <f>(Z82+AA77)</f>
        <v/>
      </c>
      <c r="AB82" s="15">
        <f>(AA82+AB77)</f>
        <v/>
      </c>
      <c r="AC82" s="15">
        <f>(AB82+AC77)</f>
        <v/>
      </c>
      <c r="AD82" s="15">
        <f>(AC82+AD77)</f>
        <v/>
      </c>
      <c r="AE82" s="15">
        <f>(AD82+AE77)</f>
        <v/>
      </c>
      <c r="AF82" s="15">
        <f>(AE82+AF77)</f>
        <v/>
      </c>
      <c r="AG82" s="15">
        <f>(AF82+AG77)</f>
        <v/>
      </c>
      <c r="AH82" s="15">
        <f>(AG82+AH77)</f>
        <v/>
      </c>
      <c r="AI82" s="15">
        <f>(AH82+AI77)</f>
        <v/>
      </c>
      <c r="AJ82" s="15">
        <f>(AI82+AJ77)</f>
        <v/>
      </c>
      <c r="AK82" s="15">
        <f>(AJ82+AK77)</f>
        <v/>
      </c>
      <c r="AL82" s="15">
        <f>(AK82+AL77)</f>
        <v/>
      </c>
      <c r="AM82" s="15">
        <f>(AL82+AM77)</f>
        <v/>
      </c>
      <c r="AN82" s="15">
        <f>(AM82+AN77)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2042.756031</v>
      </c>
      <c r="E83" s="13" t="n">
        <v>2067.101812</v>
      </c>
      <c r="F83" s="13" t="n">
        <v>2046.697782</v>
      </c>
      <c r="G83" s="13" t="n">
        <v>2115.362035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  <c r="P83" s="15">
        <f>((O83+P74)-P60)</f>
        <v/>
      </c>
      <c r="Q83" s="15">
        <f>((P83+Q74)-Q60)</f>
        <v/>
      </c>
      <c r="R83" s="15">
        <f>((Q83+R74)-R60)</f>
        <v/>
      </c>
      <c r="S83" s="15">
        <f>((R83+S74)-S60)</f>
        <v/>
      </c>
      <c r="T83" s="15">
        <f>((S83+T74)-T60)</f>
        <v/>
      </c>
      <c r="U83" s="15">
        <f>((T83+U74)-U60)</f>
        <v/>
      </c>
      <c r="V83" s="15">
        <f>((U83+V74)-V60)</f>
        <v/>
      </c>
      <c r="W83" s="15">
        <f>((V83+W74)-W60)</f>
        <v/>
      </c>
      <c r="X83" s="15">
        <f>((W83+X74)-X60)</f>
        <v/>
      </c>
      <c r="Y83" s="15">
        <f>((X83+Y74)-Y60)</f>
        <v/>
      </c>
      <c r="Z83" s="15">
        <f>((Y83+Z74)-Z60)</f>
        <v/>
      </c>
      <c r="AA83" s="15">
        <f>((Z83+AA74)-AA60)</f>
        <v/>
      </c>
      <c r="AB83" s="15">
        <f>((AA83+AB74)-AB60)</f>
        <v/>
      </c>
      <c r="AC83" s="15">
        <f>((AB83+AC74)-AC60)</f>
        <v/>
      </c>
      <c r="AD83" s="15">
        <f>((AC83+AD74)-AD60)</f>
        <v/>
      </c>
      <c r="AE83" s="15">
        <f>((AD83+AE74)-AE60)</f>
        <v/>
      </c>
      <c r="AF83" s="15">
        <f>((AE83+AF74)-AF60)</f>
        <v/>
      </c>
      <c r="AG83" s="15">
        <f>((AF83+AG74)-AG60)</f>
        <v/>
      </c>
      <c r="AH83" s="15">
        <f>((AG83+AH74)-AH60)</f>
        <v/>
      </c>
      <c r="AI83" s="15">
        <f>((AH83+AI74)-AI60)</f>
        <v/>
      </c>
      <c r="AJ83" s="15">
        <f>((AI83+AJ74)-AJ60)</f>
        <v/>
      </c>
      <c r="AK83" s="15">
        <f>((AJ83+AK74)-AK60)</f>
        <v/>
      </c>
      <c r="AL83" s="15">
        <f>((AK83+AL74)-AL60)</f>
        <v/>
      </c>
      <c r="AM83" s="15">
        <f>((AL83+AM74)-AM60)</f>
        <v/>
      </c>
      <c r="AN83" s="15">
        <f>((AM83+AN74)-AN60)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1578.362864</v>
      </c>
      <c r="E84" s="13" t="n">
        <v>1543.136952</v>
      </c>
      <c r="F84" s="13" t="n">
        <v>1610.02789</v>
      </c>
      <c r="G84" s="13" t="n">
        <v>1615.319619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  <c r="P84" s="15">
        <f>((O84+P69)-P73)</f>
        <v/>
      </c>
      <c r="Q84" s="15">
        <f>((P84+Q69)-Q73)</f>
        <v/>
      </c>
      <c r="R84" s="15">
        <f>((Q84+R69)-R73)</f>
        <v/>
      </c>
      <c r="S84" s="15">
        <f>((R84+S69)-S73)</f>
        <v/>
      </c>
      <c r="T84" s="15">
        <f>((S84+T69)-T73)</f>
        <v/>
      </c>
      <c r="U84" s="15">
        <f>((T84+U69)-U73)</f>
        <v/>
      </c>
      <c r="V84" s="15">
        <f>((U84+V69)-V73)</f>
        <v/>
      </c>
      <c r="W84" s="15">
        <f>((V84+W69)-W73)</f>
        <v/>
      </c>
      <c r="X84" s="15">
        <f>((W84+X69)-X73)</f>
        <v/>
      </c>
      <c r="Y84" s="15">
        <f>((X84+Y69)-Y73)</f>
        <v/>
      </c>
      <c r="Z84" s="15">
        <f>((Y84+Z69)-Z73)</f>
        <v/>
      </c>
      <c r="AA84" s="15">
        <f>((Z84+AA69)-AA73)</f>
        <v/>
      </c>
      <c r="AB84" s="15">
        <f>((AA84+AB69)-AB73)</f>
        <v/>
      </c>
      <c r="AC84" s="15">
        <f>((AB84+AC69)-AC73)</f>
        <v/>
      </c>
      <c r="AD84" s="15">
        <f>((AC84+AD69)-AD73)</f>
        <v/>
      </c>
      <c r="AE84" s="15">
        <f>((AD84+AE69)-AE73)</f>
        <v/>
      </c>
      <c r="AF84" s="15">
        <f>((AE84+AF69)-AF73)</f>
        <v/>
      </c>
      <c r="AG84" s="15">
        <f>((AF84+AG69)-AG73)</f>
        <v/>
      </c>
      <c r="AH84" s="15">
        <f>((AG84+AH69)-AH73)</f>
        <v/>
      </c>
      <c r="AI84" s="15">
        <f>((AH84+AI69)-AI73)</f>
        <v/>
      </c>
      <c r="AJ84" s="15">
        <f>((AI84+AJ69)-AJ73)</f>
        <v/>
      </c>
      <c r="AK84" s="15">
        <f>((AJ84+AK69)-AK73)</f>
        <v/>
      </c>
      <c r="AL84" s="15">
        <f>((AK84+AL69)-AL73)</f>
        <v/>
      </c>
      <c r="AM84" s="15">
        <f>((AL84+AM69)-AM73)</f>
        <v/>
      </c>
      <c r="AN84" s="15">
        <f>((AM84+AN69)-AN73)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1240.145398</v>
      </c>
      <c r="E85" s="13" t="n">
        <v>1231.639129</v>
      </c>
      <c r="F85" s="13" t="n">
        <v>1254.216468</v>
      </c>
      <c r="G85" s="13" t="n">
        <v>1272.60305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  <c r="P85" s="15">
        <f>((O85+P68)-P78)</f>
        <v/>
      </c>
      <c r="Q85" s="15">
        <f>((P85+Q68)-Q78)</f>
        <v/>
      </c>
      <c r="R85" s="15">
        <f>((Q85+R68)-R78)</f>
        <v/>
      </c>
      <c r="S85" s="15">
        <f>((R85+S68)-S78)</f>
        <v/>
      </c>
      <c r="T85" s="15">
        <f>((S85+T68)-T78)</f>
        <v/>
      </c>
      <c r="U85" s="15">
        <f>((T85+U68)-U78)</f>
        <v/>
      </c>
      <c r="V85" s="15">
        <f>((U85+V68)-V78)</f>
        <v/>
      </c>
      <c r="W85" s="15">
        <f>((V85+W68)-W78)</f>
        <v/>
      </c>
      <c r="X85" s="15">
        <f>((W85+X68)-X78)</f>
        <v/>
      </c>
      <c r="Y85" s="15">
        <f>((X85+Y68)-Y78)</f>
        <v/>
      </c>
      <c r="Z85" s="15">
        <f>((Y85+Z68)-Z78)</f>
        <v/>
      </c>
      <c r="AA85" s="15">
        <f>((Z85+AA68)-AA78)</f>
        <v/>
      </c>
      <c r="AB85" s="15">
        <f>((AA85+AB68)-AB78)</f>
        <v/>
      </c>
      <c r="AC85" s="15">
        <f>((AB85+AC68)-AC78)</f>
        <v/>
      </c>
      <c r="AD85" s="15">
        <f>((AC85+AD68)-AD78)</f>
        <v/>
      </c>
      <c r="AE85" s="15">
        <f>((AD85+AE68)-AE78)</f>
        <v/>
      </c>
      <c r="AF85" s="15">
        <f>((AE85+AF68)-AF78)</f>
        <v/>
      </c>
      <c r="AG85" s="15">
        <f>((AF85+AG68)-AG78)</f>
        <v/>
      </c>
      <c r="AH85" s="15">
        <f>((AG85+AH68)-AH78)</f>
        <v/>
      </c>
      <c r="AI85" s="15">
        <f>((AH85+AI68)-AI78)</f>
        <v/>
      </c>
      <c r="AJ85" s="15">
        <f>((AI85+AJ68)-AJ78)</f>
        <v/>
      </c>
      <c r="AK85" s="15">
        <f>((AJ85+AK68)-AK78)</f>
        <v/>
      </c>
      <c r="AL85" s="15">
        <f>((AK85+AL68)-AL78)</f>
        <v/>
      </c>
      <c r="AM85" s="15">
        <f>((AL85+AM68)-AM78)</f>
        <v/>
      </c>
      <c r="AN85" s="15">
        <f>((AM85+AN68)-AN78)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1133.475885</v>
      </c>
      <c r="E86" s="13" t="n">
        <v>965.3114989999999</v>
      </c>
      <c r="F86" s="13" t="n">
        <v>938.1211569999998</v>
      </c>
      <c r="G86" s="13" t="n">
        <v>1008.056093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  <c r="P86" s="15">
        <f>O86</f>
        <v/>
      </c>
      <c r="Q86" s="15">
        <f>P86</f>
        <v/>
      </c>
      <c r="R86" s="15">
        <f>Q86</f>
        <v/>
      </c>
      <c r="S86" s="15">
        <f>R86</f>
        <v/>
      </c>
      <c r="T86" s="15">
        <f>S86</f>
        <v/>
      </c>
      <c r="U86" s="15">
        <f>T86</f>
        <v/>
      </c>
      <c r="V86" s="15">
        <f>U86</f>
        <v/>
      </c>
      <c r="W86" s="15">
        <f>V86</f>
        <v/>
      </c>
      <c r="X86" s="15">
        <f>W86</f>
        <v/>
      </c>
      <c r="Y86" s="15">
        <f>X86</f>
        <v/>
      </c>
      <c r="Z86" s="15">
        <f>Y86</f>
        <v/>
      </c>
      <c r="AA86" s="15">
        <f>Z86</f>
        <v/>
      </c>
      <c r="AB86" s="15">
        <f>AA86</f>
        <v/>
      </c>
      <c r="AC86" s="15">
        <f>AB86</f>
        <v/>
      </c>
      <c r="AD86" s="15">
        <f>AC86</f>
        <v/>
      </c>
      <c r="AE86" s="15">
        <f>AD86</f>
        <v/>
      </c>
      <c r="AF86" s="15">
        <f>AE86</f>
        <v/>
      </c>
      <c r="AG86" s="15">
        <f>AF86</f>
        <v/>
      </c>
      <c r="AH86" s="15">
        <f>AG86</f>
        <v/>
      </c>
      <c r="AI86" s="15">
        <f>AH86</f>
        <v/>
      </c>
      <c r="AJ86" s="15">
        <f>AI86</f>
        <v/>
      </c>
      <c r="AK86" s="15">
        <f>AJ86</f>
        <v/>
      </c>
      <c r="AL86" s="15">
        <f>AK86</f>
        <v/>
      </c>
      <c r="AM86" s="15">
        <f>AL86</f>
        <v/>
      </c>
      <c r="AN86" s="15">
        <f>AM86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  <c r="P87" s="15">
        <f>((((((P81+P80)+P83)+P86)-P82)-P84)-P85)</f>
        <v/>
      </c>
      <c r="Q87" s="15">
        <f>((((((Q81+Q80)+Q83)+Q86)-Q82)-Q84)-Q85)</f>
        <v/>
      </c>
      <c r="R87" s="15">
        <f>((((((R81+R80)+R83)+R86)-R82)-R84)-R85)</f>
        <v/>
      </c>
      <c r="S87" s="15">
        <f>((((((S81+S80)+S83)+S86)-S82)-S84)-S85)</f>
        <v/>
      </c>
      <c r="T87" s="15">
        <f>((((((T81+T80)+T83)+T86)-T82)-T84)-T85)</f>
        <v/>
      </c>
      <c r="U87" s="15">
        <f>((((((U81+U80)+U83)+U86)-U82)-U84)-U85)</f>
        <v/>
      </c>
      <c r="V87" s="15">
        <f>((((((V81+V80)+V83)+V86)-V82)-V84)-V85)</f>
        <v/>
      </c>
      <c r="W87" s="15">
        <f>((((((W81+W80)+W83)+W86)-W82)-W84)-W85)</f>
        <v/>
      </c>
      <c r="X87" s="15">
        <f>((((((X81+X80)+X83)+X86)-X82)-X84)-X85)</f>
        <v/>
      </c>
      <c r="Y87" s="15">
        <f>((((((Y81+Y80)+Y83)+Y86)-Y82)-Y84)-Y85)</f>
        <v/>
      </c>
      <c r="Z87" s="15">
        <f>((((((Z81+Z80)+Z83)+Z86)-Z82)-Z84)-Z85)</f>
        <v/>
      </c>
      <c r="AA87" s="15">
        <f>((((((AA81+AA80)+AA83)+AA86)-AA82)-AA84)-AA85)</f>
        <v/>
      </c>
      <c r="AB87" s="15">
        <f>((((((AB81+AB80)+AB83)+AB86)-AB82)-AB84)-AB85)</f>
        <v/>
      </c>
      <c r="AC87" s="15">
        <f>((((((AC81+AC80)+AC83)+AC86)-AC82)-AC84)-AC85)</f>
        <v/>
      </c>
      <c r="AD87" s="15">
        <f>((((((AD81+AD80)+AD83)+AD86)-AD82)-AD84)-AD85)</f>
        <v/>
      </c>
      <c r="AE87" s="15">
        <f>((((((AE81+AE80)+AE83)+AE86)-AE82)-AE84)-AE85)</f>
        <v/>
      </c>
      <c r="AF87" s="15">
        <f>((((((AF81+AF80)+AF83)+AF86)-AF82)-AF84)-AF85)</f>
        <v/>
      </c>
      <c r="AG87" s="15">
        <f>((((((AG81+AG80)+AG83)+AG86)-AG82)-AG84)-AG85)</f>
        <v/>
      </c>
      <c r="AH87" s="15">
        <f>((((((AH81+AH80)+AH83)+AH86)-AH82)-AH84)-AH85)</f>
        <v/>
      </c>
      <c r="AI87" s="15">
        <f>((((((AI81+AI80)+AI83)+AI86)-AI82)-AI84)-AI85)</f>
        <v/>
      </c>
      <c r="AJ87" s="15">
        <f>((((((AJ81+AJ80)+AJ83)+AJ86)-AJ82)-AJ84)-AJ85)</f>
        <v/>
      </c>
      <c r="AK87" s="15">
        <f>((((((AK81+AK80)+AK83)+AK86)-AK82)-AK84)-AK85)</f>
        <v/>
      </c>
      <c r="AL87" s="15">
        <f>((((((AL81+AL80)+AL83)+AL86)-AL82)-AL84)-AL85)</f>
        <v/>
      </c>
      <c r="AM87" s="15">
        <f>((((((AM81+AM80)+AM83)+AM86)-AM82)-AM84)-AM85)</f>
        <v/>
      </c>
      <c r="AN87" s="15">
        <f>((((((AN81+AN80)+AN83)+AN86)-AN82)-AN84)-AN85)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65.24450000000002</v>
      </c>
      <c r="E88" s="13" t="n">
        <v>229.77396</v>
      </c>
      <c r="F88" s="13" t="n">
        <v>259.909347</v>
      </c>
      <c r="G88" s="13" t="n">
        <v>316.292277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  <c r="P88" s="15">
        <f>(P82-P81)</f>
        <v/>
      </c>
      <c r="Q88" s="15">
        <f>(Q82-Q81)</f>
        <v/>
      </c>
      <c r="R88" s="15">
        <f>(R82-R81)</f>
        <v/>
      </c>
      <c r="S88" s="15">
        <f>(S82-S81)</f>
        <v/>
      </c>
      <c r="T88" s="15">
        <f>(T82-T81)</f>
        <v/>
      </c>
      <c r="U88" s="15">
        <f>(U82-U81)</f>
        <v/>
      </c>
      <c r="V88" s="15">
        <f>(V82-V81)</f>
        <v/>
      </c>
      <c r="W88" s="15">
        <f>(W82-W81)</f>
        <v/>
      </c>
      <c r="X88" s="15">
        <f>(X82-X81)</f>
        <v/>
      </c>
      <c r="Y88" s="15">
        <f>(Y82-Y81)</f>
        <v/>
      </c>
      <c r="Z88" s="15">
        <f>(Z82-Z81)</f>
        <v/>
      </c>
      <c r="AA88" s="15">
        <f>(AA82-AA81)</f>
        <v/>
      </c>
      <c r="AB88" s="15">
        <f>(AB82-AB81)</f>
        <v/>
      </c>
      <c r="AC88" s="15">
        <f>(AC82-AC81)</f>
        <v/>
      </c>
      <c r="AD88" s="15">
        <f>(AD82-AD81)</f>
        <v/>
      </c>
      <c r="AE88" s="15">
        <f>(AE82-AE81)</f>
        <v/>
      </c>
      <c r="AF88" s="15">
        <f>(AF82-AF81)</f>
        <v/>
      </c>
      <c r="AG88" s="15">
        <f>(AG82-AG81)</f>
        <v/>
      </c>
      <c r="AH88" s="15">
        <f>(AH82-AH81)</f>
        <v/>
      </c>
      <c r="AI88" s="15">
        <f>(AI82-AI81)</f>
        <v/>
      </c>
      <c r="AJ88" s="15">
        <f>(AJ82-AJ81)</f>
        <v/>
      </c>
      <c r="AK88" s="15">
        <f>(AK82-AK81)</f>
        <v/>
      </c>
      <c r="AL88" s="15">
        <f>(AL82-AL81)</f>
        <v/>
      </c>
      <c r="AM88" s="15">
        <f>(AM82-AM81)</f>
        <v/>
      </c>
      <c r="AN88" s="15">
        <f>(AN82-AN81)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0.004250673239161923</v>
      </c>
      <c r="E89" s="20" t="n">
        <v>0.004155806372015427</v>
      </c>
      <c r="F89" s="20" t="n">
        <v>0.004335778178949253</v>
      </c>
      <c r="G89" s="20" t="n">
        <v>0.004350028716638457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  <c r="M89" s="21">
        <f>(IF(M70=0,0,M84/M70)*$C$8)</f>
        <v/>
      </c>
      <c r="N89" s="21">
        <f>(IF(N70=0,0,N84/N70)*$C$8)</f>
        <v/>
      </c>
      <c r="O89" s="21">
        <f>(IF(O70=0,0,O84/O70)*$C$8)</f>
        <v/>
      </c>
      <c r="P89" s="21">
        <f>(IF(P70=0,0,P84/P70)*$C$8)</f>
        <v/>
      </c>
      <c r="Q89" s="21">
        <f>(IF(Q70=0,0,Q84/Q70)*$C$8)</f>
        <v/>
      </c>
      <c r="R89" s="21">
        <f>(IF(R70=0,0,R84/R70)*$C$8)</f>
        <v/>
      </c>
      <c r="S89" s="21">
        <f>(IF(S70=0,0,S84/S70)*$C$8)</f>
        <v/>
      </c>
      <c r="T89" s="21">
        <f>(IF(T70=0,0,T84/T70)*$C$8)</f>
        <v/>
      </c>
      <c r="U89" s="21">
        <f>(IF(U70=0,0,U84/U70)*$C$8)</f>
        <v/>
      </c>
      <c r="V89" s="21">
        <f>(IF(V70=0,0,V84/V70)*$C$8)</f>
        <v/>
      </c>
      <c r="W89" s="21">
        <f>(IF(W70=0,0,W84/W70)*$C$8)</f>
        <v/>
      </c>
      <c r="X89" s="21">
        <f>(IF(X70=0,0,X84/X70)*$C$8)</f>
        <v/>
      </c>
      <c r="Y89" s="21">
        <f>(IF(Y70=0,0,Y84/Y70)*$C$8)</f>
        <v/>
      </c>
      <c r="Z89" s="21">
        <f>(IF(Z70=0,0,Z84/Z70)*$C$8)</f>
        <v/>
      </c>
      <c r="AA89" s="21">
        <f>(IF(AA70=0,0,AA84/AA70)*$C$8)</f>
        <v/>
      </c>
      <c r="AB89" s="21">
        <f>(IF(AB70=0,0,AB84/AB70)*$C$8)</f>
        <v/>
      </c>
      <c r="AC89" s="21">
        <f>(IF(AC70=0,0,AC84/AC70)*$C$8)</f>
        <v/>
      </c>
      <c r="AD89" s="21">
        <f>(IF(AD70=0,0,AD84/AD70)*$C$8)</f>
        <v/>
      </c>
      <c r="AE89" s="21">
        <f>(IF(AE70=0,0,AE84/AE70)*$C$8)</f>
        <v/>
      </c>
      <c r="AF89" s="21">
        <f>(IF(AF70=0,0,AF84/AF70)*$C$8)</f>
        <v/>
      </c>
      <c r="AG89" s="21">
        <f>(IF(AG70=0,0,AG84/AG70)*$C$8)</f>
        <v/>
      </c>
      <c r="AH89" s="21">
        <f>(IF(AH70=0,0,AH84/AH70)*$C$8)</f>
        <v/>
      </c>
      <c r="AI89" s="21">
        <f>(IF(AI70=0,0,AI84/AI70)*$C$8)</f>
        <v/>
      </c>
      <c r="AJ89" s="21">
        <f>(IF(AJ70=0,0,AJ84/AJ70)*$C$8)</f>
        <v/>
      </c>
      <c r="AK89" s="21">
        <f>(IF(AK70=0,0,AK84/AK70)*$C$8)</f>
        <v/>
      </c>
      <c r="AL89" s="21">
        <f>(IF(AL70=0,0,AL84/AL70)*$C$8)</f>
        <v/>
      </c>
      <c r="AM89" s="21">
        <f>(IF(AM70=0,0,AM84/AM70)*$C$8)</f>
        <v/>
      </c>
      <c r="AN89" s="21">
        <f>(IF(AN70=0,0,AN84/AN70)*$C$8)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-0.08203530336847409</v>
      </c>
      <c r="F90" s="4" t="n">
        <v>-0.190642297356015</v>
      </c>
      <c r="G90" s="4" t="n">
        <v>2.536715891863729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  <c r="L90" s="17">
        <f>(IF(K55=0,0,L55/K55)-1)</f>
        <v/>
      </c>
      <c r="M90" s="17">
        <f>(IF(L55=0,0,M55/L55)-1)</f>
        <v/>
      </c>
      <c r="N90" s="17">
        <f>(IF(M55=0,0,N55/M55)-1)</f>
        <v/>
      </c>
      <c r="O90" s="17">
        <f>(IF(N55=0,0,O55/N55)-1)</f>
        <v/>
      </c>
      <c r="P90" s="17">
        <f>(IF(O55=0,0,P55/O55)-1)</f>
        <v/>
      </c>
      <c r="Q90" s="17">
        <f>(IF(P55=0,0,Q55/P55)-1)</f>
        <v/>
      </c>
      <c r="R90" s="17">
        <f>(IF(Q55=0,0,R55/Q55)-1)</f>
        <v/>
      </c>
      <c r="S90" s="17">
        <f>(IF(R55=0,0,S55/R55)-1)</f>
        <v/>
      </c>
      <c r="T90" s="17">
        <f>(IF(S55=0,0,T55/S55)-1)</f>
        <v/>
      </c>
      <c r="U90" s="17">
        <f>(IF(T55=0,0,U55/T55)-1)</f>
        <v/>
      </c>
      <c r="V90" s="17">
        <f>(IF(U55=0,0,V55/U55)-1)</f>
        <v/>
      </c>
      <c r="W90" s="17">
        <f>(IF(V55=0,0,W55/V55)-1)</f>
        <v/>
      </c>
      <c r="X90" s="17">
        <f>(IF(W55=0,0,X55/W55)-1)</f>
        <v/>
      </c>
      <c r="Y90" s="17">
        <f>(IF(X55=0,0,Y55/X55)-1)</f>
        <v/>
      </c>
      <c r="Z90" s="17">
        <f>(IF(Y55=0,0,Z55/Y55)-1)</f>
        <v/>
      </c>
      <c r="AA90" s="17">
        <f>(IF(Z55=0,0,AA55/Z55)-1)</f>
        <v/>
      </c>
      <c r="AB90" s="17">
        <f>(IF(AA55=0,0,AB55/AA55)-1)</f>
        <v/>
      </c>
      <c r="AC90" s="17">
        <f>(IF(AB55=0,0,AC55/AB55)-1)</f>
        <v/>
      </c>
      <c r="AD90" s="17">
        <f>(IF(AC55=0,0,AD55/AC55)-1)</f>
        <v/>
      </c>
      <c r="AE90" s="17">
        <f>(IF(AD55=0,0,AE55/AD55)-1)</f>
        <v/>
      </c>
      <c r="AF90" s="17">
        <f>(IF(AE55=0,0,AF55/AE55)-1)</f>
        <v/>
      </c>
      <c r="AG90" s="17">
        <f>(IF(AF55=0,0,AG55/AF55)-1)</f>
        <v/>
      </c>
      <c r="AH90" s="17">
        <f>(IF(AG55=0,0,AH55/AG55)-1)</f>
        <v/>
      </c>
      <c r="AI90" s="17">
        <f>(IF(AH55=0,0,AI55/AH55)-1)</f>
        <v/>
      </c>
      <c r="AJ90" s="17">
        <f>(IF(AI55=0,0,AJ55/AI55)-1)</f>
        <v/>
      </c>
      <c r="AK90" s="17">
        <f>(IF(AJ55=0,0,AK55/AJ55)-1)</f>
        <v/>
      </c>
      <c r="AL90" s="17">
        <f>(IF(AK55=0,0,AL55/AK55)-1)</f>
        <v/>
      </c>
      <c r="AM90" s="17">
        <f>(IF(AL55=0,0,AM55/AL55)-1)</f>
        <v/>
      </c>
      <c r="AN90" s="17">
        <f>(IF(AM55=0,0,AN55/AM55)-1)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0.2025271904968553</v>
      </c>
      <c r="E91" s="4" t="n">
        <v>0.08172566441334297</v>
      </c>
      <c r="F91" s="4" t="n">
        <v>0.1245073198218386</v>
      </c>
      <c r="G91" s="4" t="n">
        <v>0.1136666112127766</v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  <c r="L91" s="17">
        <f>IF(L55=0,0,L57/L55)</f>
        <v/>
      </c>
      <c r="M91" s="17">
        <f>IF(M55=0,0,M57/M55)</f>
        <v/>
      </c>
      <c r="N91" s="17">
        <f>IF(N55=0,0,N57/N55)</f>
        <v/>
      </c>
      <c r="O91" s="17">
        <f>IF(O55=0,0,O57/O55)</f>
        <v/>
      </c>
      <c r="P91" s="17">
        <f>IF(P55=0,0,P57/P55)</f>
        <v/>
      </c>
      <c r="Q91" s="17">
        <f>IF(Q55=0,0,Q57/Q55)</f>
        <v/>
      </c>
      <c r="R91" s="17">
        <f>IF(R55=0,0,R57/R55)</f>
        <v/>
      </c>
      <c r="S91" s="17">
        <f>IF(S55=0,0,S57/S55)</f>
        <v/>
      </c>
      <c r="T91" s="17">
        <f>IF(T55=0,0,T57/T55)</f>
        <v/>
      </c>
      <c r="U91" s="17">
        <f>IF(U55=0,0,U57/U55)</f>
        <v/>
      </c>
      <c r="V91" s="17">
        <f>IF(V55=0,0,V57/V55)</f>
        <v/>
      </c>
      <c r="W91" s="17">
        <f>IF(W55=0,0,W57/W55)</f>
        <v/>
      </c>
      <c r="X91" s="17">
        <f>IF(X55=0,0,X57/X55)</f>
        <v/>
      </c>
      <c r="Y91" s="17">
        <f>IF(Y55=0,0,Y57/Y55)</f>
        <v/>
      </c>
      <c r="Z91" s="17">
        <f>IF(Z55=0,0,Z57/Z55)</f>
        <v/>
      </c>
      <c r="AA91" s="17">
        <f>IF(AA55=0,0,AA57/AA55)</f>
        <v/>
      </c>
      <c r="AB91" s="17">
        <f>IF(AB55=0,0,AB57/AB55)</f>
        <v/>
      </c>
      <c r="AC91" s="17">
        <f>IF(AC55=0,0,AC57/AC55)</f>
        <v/>
      </c>
      <c r="AD91" s="17">
        <f>IF(AD55=0,0,AD57/AD55)</f>
        <v/>
      </c>
      <c r="AE91" s="17">
        <f>IF(AE55=0,0,AE57/AE55)</f>
        <v/>
      </c>
      <c r="AF91" s="17">
        <f>IF(AF55=0,0,AF57/AF55)</f>
        <v/>
      </c>
      <c r="AG91" s="17">
        <f>IF(AG55=0,0,AG57/AG55)</f>
        <v/>
      </c>
      <c r="AH91" s="17">
        <f>IF(AH55=0,0,AH57/AH55)</f>
        <v/>
      </c>
      <c r="AI91" s="17">
        <f>IF(AI55=0,0,AI57/AI55)</f>
        <v/>
      </c>
      <c r="AJ91" s="17">
        <f>IF(AJ55=0,0,AJ57/AJ55)</f>
        <v/>
      </c>
      <c r="AK91" s="17">
        <f>IF(AK55=0,0,AK57/AK55)</f>
        <v/>
      </c>
      <c r="AL91" s="17">
        <f>IF(AL55=0,0,AL57/AL55)</f>
        <v/>
      </c>
      <c r="AM91" s="17">
        <f>IF(AM55=0,0,AM57/AM55)</f>
        <v/>
      </c>
      <c r="AN91" s="17">
        <f>IF(AN55=0,0,AN57/AN55)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0.116862097029055</v>
      </c>
      <c r="E92" s="4" t="n">
        <v>0.001871629698183087</v>
      </c>
      <c r="F92" s="4" t="n">
        <v>0.03507565050958154</v>
      </c>
      <c r="G92" s="4" t="n">
        <v>0.06566515180502412</v>
      </c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  <c r="L92" s="17">
        <f>IF(L55=0,0,L61/L55)</f>
        <v/>
      </c>
      <c r="M92" s="17">
        <f>IF(M55=0,0,M61/M55)</f>
        <v/>
      </c>
      <c r="N92" s="17">
        <f>IF(N55=0,0,N61/N55)</f>
        <v/>
      </c>
      <c r="O92" s="17">
        <f>IF(O55=0,0,O61/O55)</f>
        <v/>
      </c>
      <c r="P92" s="17">
        <f>IF(P55=0,0,P61/P55)</f>
        <v/>
      </c>
      <c r="Q92" s="17">
        <f>IF(Q55=0,0,Q61/Q55)</f>
        <v/>
      </c>
      <c r="R92" s="17">
        <f>IF(R55=0,0,R61/R55)</f>
        <v/>
      </c>
      <c r="S92" s="17">
        <f>IF(S55=0,0,S61/S55)</f>
        <v/>
      </c>
      <c r="T92" s="17">
        <f>IF(T55=0,0,T61/T55)</f>
        <v/>
      </c>
      <c r="U92" s="17">
        <f>IF(U55=0,0,U61/U55)</f>
        <v/>
      </c>
      <c r="V92" s="17">
        <f>IF(V55=0,0,V61/V55)</f>
        <v/>
      </c>
      <c r="W92" s="17">
        <f>IF(W55=0,0,W61/W55)</f>
        <v/>
      </c>
      <c r="X92" s="17">
        <f>IF(X55=0,0,X61/X55)</f>
        <v/>
      </c>
      <c r="Y92" s="17">
        <f>IF(Y55=0,0,Y61/Y55)</f>
        <v/>
      </c>
      <c r="Z92" s="17">
        <f>IF(Z55=0,0,Z61/Z55)</f>
        <v/>
      </c>
      <c r="AA92" s="17">
        <f>IF(AA55=0,0,AA61/AA55)</f>
        <v/>
      </c>
      <c r="AB92" s="17">
        <f>IF(AB55=0,0,AB61/AB55)</f>
        <v/>
      </c>
      <c r="AC92" s="17">
        <f>IF(AC55=0,0,AC61/AC55)</f>
        <v/>
      </c>
      <c r="AD92" s="17">
        <f>IF(AD55=0,0,AD61/AD55)</f>
        <v/>
      </c>
      <c r="AE92" s="17">
        <f>IF(AE55=0,0,AE61/AE55)</f>
        <v/>
      </c>
      <c r="AF92" s="17">
        <f>IF(AF55=0,0,AF61/AF55)</f>
        <v/>
      </c>
      <c r="AG92" s="17">
        <f>IF(AG55=0,0,AG61/AG55)</f>
        <v/>
      </c>
      <c r="AH92" s="17">
        <f>IF(AH55=0,0,AH61/AH55)</f>
        <v/>
      </c>
      <c r="AI92" s="17">
        <f>IF(AI55=0,0,AI61/AI55)</f>
        <v/>
      </c>
      <c r="AJ92" s="17">
        <f>IF(AJ55=0,0,AJ61/AJ55)</f>
        <v/>
      </c>
      <c r="AK92" s="17">
        <f>IF(AK55=0,0,AK61/AK55)</f>
        <v/>
      </c>
      <c r="AL92" s="17">
        <f>IF(AL55=0,0,AL61/AL55)</f>
        <v/>
      </c>
      <c r="AM92" s="17">
        <f>IF(AM55=0,0,AM61/AM55)</f>
        <v/>
      </c>
      <c r="AN92" s="17">
        <f>IF(AN55=0,0,AN61/AN55)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0.1160982768377198</v>
      </c>
      <c r="E93" s="4" t="n">
        <v>0.001266707083177028</v>
      </c>
      <c r="F93" s="4" t="n">
        <v>0.03425244105306869</v>
      </c>
      <c r="G93" s="4" t="n">
        <v>0.06529695558143403</v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  <c r="L93" s="17">
        <f>IF(L55=0,0,L59/L55)</f>
        <v/>
      </c>
      <c r="M93" s="17">
        <f>IF(M55=0,0,M59/M55)</f>
        <v/>
      </c>
      <c r="N93" s="17">
        <f>IF(N55=0,0,N59/N55)</f>
        <v/>
      </c>
      <c r="O93" s="17">
        <f>IF(O55=0,0,O59/O55)</f>
        <v/>
      </c>
      <c r="P93" s="17">
        <f>IF(P55=0,0,P59/P55)</f>
        <v/>
      </c>
      <c r="Q93" s="17">
        <f>IF(Q55=0,0,Q59/Q55)</f>
        <v/>
      </c>
      <c r="R93" s="17">
        <f>IF(R55=0,0,R59/R55)</f>
        <v/>
      </c>
      <c r="S93" s="17">
        <f>IF(S55=0,0,S59/S55)</f>
        <v/>
      </c>
      <c r="T93" s="17">
        <f>IF(T55=0,0,T59/T55)</f>
        <v/>
      </c>
      <c r="U93" s="17">
        <f>IF(U55=0,0,U59/U55)</f>
        <v/>
      </c>
      <c r="V93" s="17">
        <f>IF(V55=0,0,V59/V55)</f>
        <v/>
      </c>
      <c r="W93" s="17">
        <f>IF(W55=0,0,W59/W55)</f>
        <v/>
      </c>
      <c r="X93" s="17">
        <f>IF(X55=0,0,X59/X55)</f>
        <v/>
      </c>
      <c r="Y93" s="17">
        <f>IF(Y55=0,0,Y59/Y55)</f>
        <v/>
      </c>
      <c r="Z93" s="17">
        <f>IF(Z55=0,0,Z59/Z55)</f>
        <v/>
      </c>
      <c r="AA93" s="17">
        <f>IF(AA55=0,0,AA59/AA55)</f>
        <v/>
      </c>
      <c r="AB93" s="17">
        <f>IF(AB55=0,0,AB59/AB55)</f>
        <v/>
      </c>
      <c r="AC93" s="17">
        <f>IF(AC55=0,0,AC59/AC55)</f>
        <v/>
      </c>
      <c r="AD93" s="17">
        <f>IF(AD55=0,0,AD59/AD55)</f>
        <v/>
      </c>
      <c r="AE93" s="17">
        <f>IF(AE55=0,0,AE59/AE55)</f>
        <v/>
      </c>
      <c r="AF93" s="17">
        <f>IF(AF55=0,0,AF59/AF55)</f>
        <v/>
      </c>
      <c r="AG93" s="17">
        <f>IF(AG55=0,0,AG59/AG55)</f>
        <v/>
      </c>
      <c r="AH93" s="17">
        <f>IF(AH55=0,0,AH59/AH55)</f>
        <v/>
      </c>
      <c r="AI93" s="17">
        <f>IF(AI55=0,0,AI59/AI55)</f>
        <v/>
      </c>
      <c r="AJ93" s="17">
        <f>IF(AJ55=0,0,AJ59/AJ55)</f>
        <v/>
      </c>
      <c r="AK93" s="17">
        <f>IF(AK55=0,0,AK59/AK55)</f>
        <v/>
      </c>
      <c r="AL93" s="17">
        <f>IF(AL55=0,0,AL59/AL55)</f>
        <v/>
      </c>
      <c r="AM93" s="17">
        <f>IF(AM55=0,0,AM59/AM55)</f>
        <v/>
      </c>
      <c r="AN93" s="17">
        <f>IF(AN55=0,0,AN59/AN55)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0.2870226230288575</v>
      </c>
      <c r="E94" s="4" t="n">
        <v>0.00650225187075869</v>
      </c>
      <c r="F94" s="4" t="n">
        <v>0.04962793094987027</v>
      </c>
      <c r="G94" s="4" t="n">
        <v>0.01684411911495591</v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  <c r="L94" s="17">
        <f>IF(L55=0,0,L69/L55)</f>
        <v/>
      </c>
      <c r="M94" s="17">
        <f>IF(M55=0,0,M69/M55)</f>
        <v/>
      </c>
      <c r="N94" s="17">
        <f>IF(N55=0,0,N69/N55)</f>
        <v/>
      </c>
      <c r="O94" s="17">
        <f>IF(O55=0,0,O69/O55)</f>
        <v/>
      </c>
      <c r="P94" s="17">
        <f>IF(P55=0,0,P69/P55)</f>
        <v/>
      </c>
      <c r="Q94" s="17">
        <f>IF(Q55=0,0,Q69/Q55)</f>
        <v/>
      </c>
      <c r="R94" s="17">
        <f>IF(R55=0,0,R69/R55)</f>
        <v/>
      </c>
      <c r="S94" s="17">
        <f>IF(S55=0,0,S69/S55)</f>
        <v/>
      </c>
      <c r="T94" s="17">
        <f>IF(T55=0,0,T69/T55)</f>
        <v/>
      </c>
      <c r="U94" s="17">
        <f>IF(U55=0,0,U69/U55)</f>
        <v/>
      </c>
      <c r="V94" s="17">
        <f>IF(V55=0,0,V69/V55)</f>
        <v/>
      </c>
      <c r="W94" s="17">
        <f>IF(W55=0,0,W69/W55)</f>
        <v/>
      </c>
      <c r="X94" s="17">
        <f>IF(X55=0,0,X69/X55)</f>
        <v/>
      </c>
      <c r="Y94" s="17">
        <f>IF(Y55=0,0,Y69/Y55)</f>
        <v/>
      </c>
      <c r="Z94" s="17">
        <f>IF(Z55=0,0,Z69/Z55)</f>
        <v/>
      </c>
      <c r="AA94" s="17">
        <f>IF(AA55=0,0,AA69/AA55)</f>
        <v/>
      </c>
      <c r="AB94" s="17">
        <f>IF(AB55=0,0,AB69/AB55)</f>
        <v/>
      </c>
      <c r="AC94" s="17">
        <f>IF(AC55=0,0,AC69/AC55)</f>
        <v/>
      </c>
      <c r="AD94" s="17">
        <f>IF(AD55=0,0,AD69/AD55)</f>
        <v/>
      </c>
      <c r="AE94" s="17">
        <f>IF(AE55=0,0,AE69/AE55)</f>
        <v/>
      </c>
      <c r="AF94" s="17">
        <f>IF(AF55=0,0,AF69/AF55)</f>
        <v/>
      </c>
      <c r="AG94" s="17">
        <f>IF(AG55=0,0,AG69/AG55)</f>
        <v/>
      </c>
      <c r="AH94" s="17">
        <f>IF(AH55=0,0,AH69/AH55)</f>
        <v/>
      </c>
      <c r="AI94" s="17">
        <f>IF(AI55=0,0,AI69/AI55)</f>
        <v/>
      </c>
      <c r="AJ94" s="17">
        <f>IF(AJ55=0,0,AJ69/AJ55)</f>
        <v/>
      </c>
      <c r="AK94" s="17">
        <f>IF(AK55=0,0,AK69/AK55)</f>
        <v/>
      </c>
      <c r="AL94" s="17">
        <f>IF(AL55=0,0,AL69/AL55)</f>
        <v/>
      </c>
      <c r="AM94" s="17">
        <f>IF(AM55=0,0,AM69/AM55)</f>
        <v/>
      </c>
      <c r="AN94" s="17">
        <f>IF(AN55=0,0,AN69/AN55)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-0.9792042970369191</v>
      </c>
      <c r="F95" s="4" t="n">
        <v>5.177115298688538</v>
      </c>
      <c r="G95" s="4" t="n">
        <v>0.2003898332671861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  <c r="L95" s="17">
        <f>(IF(K71=0,0,L71/K71)-1)</f>
        <v/>
      </c>
      <c r="M95" s="17">
        <f>(IF(L71=0,0,M71/L71)-1)</f>
        <v/>
      </c>
      <c r="N95" s="17">
        <f>(IF(M71=0,0,N71/M71)-1)</f>
        <v/>
      </c>
      <c r="O95" s="17">
        <f>(IF(N71=0,0,O71/N71)-1)</f>
        <v/>
      </c>
      <c r="P95" s="17">
        <f>(IF(O71=0,0,P71/O71)-1)</f>
        <v/>
      </c>
      <c r="Q95" s="17">
        <f>(IF(P71=0,0,Q71/P71)-1)</f>
        <v/>
      </c>
      <c r="R95" s="17">
        <f>(IF(Q71=0,0,R71/Q71)-1)</f>
        <v/>
      </c>
      <c r="S95" s="17">
        <f>(IF(R71=0,0,S71/R71)-1)</f>
        <v/>
      </c>
      <c r="T95" s="17">
        <f>(IF(S71=0,0,T71/S71)-1)</f>
        <v/>
      </c>
      <c r="U95" s="17">
        <f>(IF(T71=0,0,U71/T71)-1)</f>
        <v/>
      </c>
      <c r="V95" s="17">
        <f>(IF(U71=0,0,V71/U71)-1)</f>
        <v/>
      </c>
      <c r="W95" s="17">
        <f>(IF(V71=0,0,W71/V71)-1)</f>
        <v/>
      </c>
      <c r="X95" s="17">
        <f>(IF(W71=0,0,X71/W71)-1)</f>
        <v/>
      </c>
      <c r="Y95" s="17">
        <f>(IF(X71=0,0,Y71/X71)-1)</f>
        <v/>
      </c>
      <c r="Z95" s="17">
        <f>(IF(Y71=0,0,Z71/Y71)-1)</f>
        <v/>
      </c>
      <c r="AA95" s="17">
        <f>(IF(Z71=0,0,AA71/Z71)-1)</f>
        <v/>
      </c>
      <c r="AB95" s="17">
        <f>(IF(AA71=0,0,AB71/AA71)-1)</f>
        <v/>
      </c>
      <c r="AC95" s="17">
        <f>(IF(AB71=0,0,AC71/AB71)-1)</f>
        <v/>
      </c>
      <c r="AD95" s="17">
        <f>(IF(AC71=0,0,AD71/AC71)-1)</f>
        <v/>
      </c>
      <c r="AE95" s="17">
        <f>(IF(AD71=0,0,AE71/AD71)-1)</f>
        <v/>
      </c>
      <c r="AF95" s="17">
        <f>(IF(AE71=0,0,AF71/AE71)-1)</f>
        <v/>
      </c>
      <c r="AG95" s="17">
        <f>(IF(AF71=0,0,AG71/AF71)-1)</f>
        <v/>
      </c>
      <c r="AH95" s="17">
        <f>(IF(AG71=0,0,AH71/AG71)-1)</f>
        <v/>
      </c>
      <c r="AI95" s="17">
        <f>(IF(AH71=0,0,AI71/AH71)-1)</f>
        <v/>
      </c>
      <c r="AJ95" s="17">
        <f>(IF(AI71=0,0,AJ71/AI71)-1)</f>
        <v/>
      </c>
      <c r="AK95" s="17">
        <f>(IF(AJ71=0,0,AK71/AJ71)-1)</f>
        <v/>
      </c>
      <c r="AL95" s="17">
        <f>(IF(AK71=0,0,AL71/AK71)-1)</f>
        <v/>
      </c>
      <c r="AM95" s="17">
        <f>(IF(AL71=0,0,AM71/AL71)-1)</f>
        <v/>
      </c>
      <c r="AN95" s="17">
        <f>(IF(AM71=0,0,AN71/AM71)-1)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0.00699884712086749</v>
      </c>
      <c r="F96" s="4" t="n">
        <v>0.04280022287524922</v>
      </c>
      <c r="G96" s="4" t="n">
        <v>0.05022714592705303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  <c r="L96" s="17">
        <f>IF(IF(2=0,0,(L84+K84)/2)=0,0,L69/IF(2=0,0,(L84+K84)/2))</f>
        <v/>
      </c>
      <c r="M96" s="17">
        <f>IF(IF(2=0,0,(M84+L84)/2)=0,0,M69/IF(2=0,0,(M84+L84)/2))</f>
        <v/>
      </c>
      <c r="N96" s="17">
        <f>IF(IF(2=0,0,(N84+M84)/2)=0,0,N69/IF(2=0,0,(N84+M84)/2))</f>
        <v/>
      </c>
      <c r="O96" s="17">
        <f>IF(IF(2=0,0,(O84+N84)/2)=0,0,O69/IF(2=0,0,(O84+N84)/2))</f>
        <v/>
      </c>
      <c r="P96" s="17">
        <f>IF(IF(2=0,0,(P84+O84)/2)=0,0,P69/IF(2=0,0,(P84+O84)/2))</f>
        <v/>
      </c>
      <c r="Q96" s="17">
        <f>IF(IF(2=0,0,(Q84+P84)/2)=0,0,Q69/IF(2=0,0,(Q84+P84)/2))</f>
        <v/>
      </c>
      <c r="R96" s="17">
        <f>IF(IF(2=0,0,(R84+Q84)/2)=0,0,R69/IF(2=0,0,(R84+Q84)/2))</f>
        <v/>
      </c>
      <c r="S96" s="17">
        <f>IF(IF(2=0,0,(S84+R84)/2)=0,0,S69/IF(2=0,0,(S84+R84)/2))</f>
        <v/>
      </c>
      <c r="T96" s="17">
        <f>IF(IF(2=0,0,(T84+S84)/2)=0,0,T69/IF(2=0,0,(T84+S84)/2))</f>
        <v/>
      </c>
      <c r="U96" s="17">
        <f>IF(IF(2=0,0,(U84+T84)/2)=0,0,U69/IF(2=0,0,(U84+T84)/2))</f>
        <v/>
      </c>
      <c r="V96" s="17">
        <f>IF(IF(2=0,0,(V84+U84)/2)=0,0,V69/IF(2=0,0,(V84+U84)/2))</f>
        <v/>
      </c>
      <c r="W96" s="17">
        <f>IF(IF(2=0,0,(W84+V84)/2)=0,0,W69/IF(2=0,0,(W84+V84)/2))</f>
        <v/>
      </c>
      <c r="X96" s="17">
        <f>IF(IF(2=0,0,(X84+W84)/2)=0,0,X69/IF(2=0,0,(X84+W84)/2))</f>
        <v/>
      </c>
      <c r="Y96" s="17">
        <f>IF(IF(2=0,0,(Y84+X84)/2)=0,0,Y69/IF(2=0,0,(Y84+X84)/2))</f>
        <v/>
      </c>
      <c r="Z96" s="17">
        <f>IF(IF(2=0,0,(Z84+Y84)/2)=0,0,Z69/IF(2=0,0,(Z84+Y84)/2))</f>
        <v/>
      </c>
      <c r="AA96" s="17">
        <f>IF(IF(2=0,0,(AA84+Z84)/2)=0,0,AA69/IF(2=0,0,(AA84+Z84)/2))</f>
        <v/>
      </c>
      <c r="AB96" s="17">
        <f>IF(IF(2=0,0,(AB84+AA84)/2)=0,0,AB69/IF(2=0,0,(AB84+AA84)/2))</f>
        <v/>
      </c>
      <c r="AC96" s="17">
        <f>IF(IF(2=0,0,(AC84+AB84)/2)=0,0,AC69/IF(2=0,0,(AC84+AB84)/2))</f>
        <v/>
      </c>
      <c r="AD96" s="17">
        <f>IF(IF(2=0,0,(AD84+AC84)/2)=0,0,AD69/IF(2=0,0,(AD84+AC84)/2))</f>
        <v/>
      </c>
      <c r="AE96" s="17">
        <f>IF(IF(2=0,0,(AE84+AD84)/2)=0,0,AE69/IF(2=0,0,(AE84+AD84)/2))</f>
        <v/>
      </c>
      <c r="AF96" s="17">
        <f>IF(IF(2=0,0,(AF84+AE84)/2)=0,0,AF69/IF(2=0,0,(AF84+AE84)/2))</f>
        <v/>
      </c>
      <c r="AG96" s="17">
        <f>IF(IF(2=0,0,(AG84+AF84)/2)=0,0,AG69/IF(2=0,0,(AG84+AF84)/2))</f>
        <v/>
      </c>
      <c r="AH96" s="17">
        <f>IF(IF(2=0,0,(AH84+AG84)/2)=0,0,AH69/IF(2=0,0,(AH84+AG84)/2))</f>
        <v/>
      </c>
      <c r="AI96" s="17">
        <f>IF(IF(2=0,0,(AI84+AH84)/2)=0,0,AI69/IF(2=0,0,(AI84+AH84)/2))</f>
        <v/>
      </c>
      <c r="AJ96" s="17">
        <f>IF(IF(2=0,0,(AJ84+AI84)/2)=0,0,AJ69/IF(2=0,0,(AJ84+AI84)/2))</f>
        <v/>
      </c>
      <c r="AK96" s="17">
        <f>IF(IF(2=0,0,(AK84+AJ84)/2)=0,0,AK69/IF(2=0,0,(AK84+AJ84)/2))</f>
        <v/>
      </c>
      <c r="AL96" s="17">
        <f>IF(IF(2=0,0,(AL84+AK84)/2)=0,0,AL69/IF(2=0,0,(AL84+AK84)/2))</f>
        <v/>
      </c>
      <c r="AM96" s="17">
        <f>IF(IF(2=0,0,(AM84+AL84)/2)=0,0,AM69/IF(2=0,0,(AM84+AL84)/2))</f>
        <v/>
      </c>
      <c r="AN96" s="17">
        <f>IF(IF(2=0,0,(AN84+AM84)/2)=0,0,AN69/IF(2=0,0,(AN84+AM84)/2))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>
        <v>0.3050704723568873</v>
      </c>
      <c r="E97" s="22" t="n">
        <v>73.07769567355183</v>
      </c>
      <c r="F97" s="22" t="n">
        <v>5.449788183011186</v>
      </c>
      <c r="G97" s="22" t="n">
        <v>1.001652133003321</v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  <c r="M97" s="23">
        <f>IF(M61=0,0,M88/M61)</f>
        <v/>
      </c>
      <c r="N97" s="23">
        <f>IF(N61=0,0,N88/N61)</f>
        <v/>
      </c>
      <c r="O97" s="23">
        <f>IF(O61=0,0,O88/O61)</f>
        <v/>
      </c>
      <c r="P97" s="23">
        <f>IF(P61=0,0,P88/P61)</f>
        <v/>
      </c>
      <c r="Q97" s="23">
        <f>IF(Q61=0,0,Q88/Q61)</f>
        <v/>
      </c>
      <c r="R97" s="23">
        <f>IF(R61=0,0,R88/R61)</f>
        <v/>
      </c>
      <c r="S97" s="23">
        <f>IF(S61=0,0,S88/S61)</f>
        <v/>
      </c>
      <c r="T97" s="23">
        <f>IF(T61=0,0,T88/T61)</f>
        <v/>
      </c>
      <c r="U97" s="23">
        <f>IF(U61=0,0,U88/U61)</f>
        <v/>
      </c>
      <c r="V97" s="23">
        <f>IF(V61=0,0,V88/V61)</f>
        <v/>
      </c>
      <c r="W97" s="23">
        <f>IF(W61=0,0,W88/W61)</f>
        <v/>
      </c>
      <c r="X97" s="23">
        <f>IF(X61=0,0,X88/X61)</f>
        <v/>
      </c>
      <c r="Y97" s="23">
        <f>IF(Y61=0,0,Y88/Y61)</f>
        <v/>
      </c>
      <c r="Z97" s="23">
        <f>IF(Z61=0,0,Z88/Z61)</f>
        <v/>
      </c>
      <c r="AA97" s="23">
        <f>IF(AA61=0,0,AA88/AA61)</f>
        <v/>
      </c>
      <c r="AB97" s="23">
        <f>IF(AB61=0,0,AB88/AB61)</f>
        <v/>
      </c>
      <c r="AC97" s="23">
        <f>IF(AC61=0,0,AC88/AC61)</f>
        <v/>
      </c>
      <c r="AD97" s="23">
        <f>IF(AD61=0,0,AD88/AD61)</f>
        <v/>
      </c>
      <c r="AE97" s="23">
        <f>IF(AE61=0,0,AE88/AE61)</f>
        <v/>
      </c>
      <c r="AF97" s="23">
        <f>IF(AF61=0,0,AF88/AF61)</f>
        <v/>
      </c>
      <c r="AG97" s="23">
        <f>IF(AG61=0,0,AG88/AG61)</f>
        <v/>
      </c>
      <c r="AH97" s="23">
        <f>IF(AH61=0,0,AH88/AH61)</f>
        <v/>
      </c>
      <c r="AI97" s="23">
        <f>IF(AI61=0,0,AI88/AI61)</f>
        <v/>
      </c>
      <c r="AJ97" s="23">
        <f>IF(AJ61=0,0,AJ88/AJ61)</f>
        <v/>
      </c>
      <c r="AK97" s="23">
        <f>IF(AK61=0,0,AK88/AK61)</f>
        <v/>
      </c>
      <c r="AL97" s="23">
        <f>IF(AL61=0,0,AL88/AL61)</f>
        <v/>
      </c>
      <c r="AM97" s="23">
        <f>IF(AM61=0,0,AM88/AM61)</f>
        <v/>
      </c>
      <c r="AN97" s="23">
        <f>IF(AN61=0,0,AN88/AN61)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  <c r="L98" s="17">
        <f>IF(L71=0,0,L72/L71)</f>
        <v/>
      </c>
      <c r="M98" s="17">
        <f>IF(M71=0,0,M72/M71)</f>
        <v/>
      </c>
      <c r="N98" s="17">
        <f>IF(N71=0,0,N72/N71)</f>
        <v/>
      </c>
      <c r="O98" s="17">
        <f>IF(O71=0,0,O72/O71)</f>
        <v/>
      </c>
      <c r="P98" s="17">
        <f>IF(P71=0,0,P72/P71)</f>
        <v/>
      </c>
      <c r="Q98" s="17">
        <f>IF(Q71=0,0,Q72/Q71)</f>
        <v/>
      </c>
      <c r="R98" s="17">
        <f>IF(R71=0,0,R72/R71)</f>
        <v/>
      </c>
      <c r="S98" s="17">
        <f>IF(S71=0,0,S72/S71)</f>
        <v/>
      </c>
      <c r="T98" s="17">
        <f>IF(T71=0,0,T72/T71)</f>
        <v/>
      </c>
      <c r="U98" s="17">
        <f>IF(U71=0,0,U72/U71)</f>
        <v/>
      </c>
      <c r="V98" s="17">
        <f>IF(V71=0,0,V72/V71)</f>
        <v/>
      </c>
      <c r="W98" s="17">
        <f>IF(W71=0,0,W72/W71)</f>
        <v/>
      </c>
      <c r="X98" s="17">
        <f>IF(X71=0,0,X72/X71)</f>
        <v/>
      </c>
      <c r="Y98" s="17">
        <f>IF(Y71=0,0,Y72/Y71)</f>
        <v/>
      </c>
      <c r="Z98" s="17">
        <f>IF(Z71=0,0,Z72/Z71)</f>
        <v/>
      </c>
      <c r="AA98" s="17">
        <f>IF(AA71=0,0,AA72/AA71)</f>
        <v/>
      </c>
      <c r="AB98" s="17">
        <f>IF(AB71=0,0,AB72/AB71)</f>
        <v/>
      </c>
      <c r="AC98" s="17">
        <f>IF(AC71=0,0,AC72/AC71)</f>
        <v/>
      </c>
      <c r="AD98" s="17">
        <f>IF(AD71=0,0,AD72/AD71)</f>
        <v/>
      </c>
      <c r="AE98" s="17">
        <f>IF(AE71=0,0,AE72/AE71)</f>
        <v/>
      </c>
      <c r="AF98" s="17">
        <f>IF(AF71=0,0,AF72/AF71)</f>
        <v/>
      </c>
      <c r="AG98" s="17">
        <f>IF(AG71=0,0,AG72/AG71)</f>
        <v/>
      </c>
      <c r="AH98" s="17">
        <f>IF(AH71=0,0,AH72/AH71)</f>
        <v/>
      </c>
      <c r="AI98" s="17">
        <f>IF(AI71=0,0,AI72/AI71)</f>
        <v/>
      </c>
      <c r="AJ98" s="17">
        <f>IF(AJ71=0,0,AJ72/AJ71)</f>
        <v/>
      </c>
      <c r="AK98" s="17">
        <f>IF(AK71=0,0,AK72/AK71)</f>
        <v/>
      </c>
      <c r="AL98" s="17">
        <f>IF(AL71=0,0,AL72/AL71)</f>
        <v/>
      </c>
      <c r="AM98" s="17">
        <f>IF(AM71=0,0,AM72/AM71)</f>
        <v/>
      </c>
      <c r="AN98" s="17">
        <f>IF(AN71=0,0,AN72/AN71)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0.07066173673189521</v>
      </c>
      <c r="E99" s="4" t="n">
        <v>0.03092053346043562</v>
      </c>
      <c r="F99" s="4" t="n">
        <v>0.0184218689017452</v>
      </c>
      <c r="G99" s="4" t="n">
        <v>0.02596444310430877</v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  <c r="L99" s="17">
        <f>IF(L55=0,0,L74/L55)</f>
        <v/>
      </c>
      <c r="M99" s="17">
        <f>IF(M55=0,0,M74/M55)</f>
        <v/>
      </c>
      <c r="N99" s="17">
        <f>IF(N55=0,0,N74/N55)</f>
        <v/>
      </c>
      <c r="O99" s="17">
        <f>IF(O55=0,0,O74/O55)</f>
        <v/>
      </c>
      <c r="P99" s="17">
        <f>IF(P55=0,0,P74/P55)</f>
        <v/>
      </c>
      <c r="Q99" s="17">
        <f>IF(Q55=0,0,Q74/Q55)</f>
        <v/>
      </c>
      <c r="R99" s="17">
        <f>IF(R55=0,0,R74/R55)</f>
        <v/>
      </c>
      <c r="S99" s="17">
        <f>IF(S55=0,0,S74/S55)</f>
        <v/>
      </c>
      <c r="T99" s="17">
        <f>IF(T55=0,0,T74/T55)</f>
        <v/>
      </c>
      <c r="U99" s="17">
        <f>IF(U55=0,0,U74/U55)</f>
        <v/>
      </c>
      <c r="V99" s="17">
        <f>IF(V55=0,0,V74/V55)</f>
        <v/>
      </c>
      <c r="W99" s="17">
        <f>IF(W55=0,0,W74/W55)</f>
        <v/>
      </c>
      <c r="X99" s="17">
        <f>IF(X55=0,0,X74/X55)</f>
        <v/>
      </c>
      <c r="Y99" s="17">
        <f>IF(Y55=0,0,Y74/Y55)</f>
        <v/>
      </c>
      <c r="Z99" s="17">
        <f>IF(Z55=0,0,Z74/Z55)</f>
        <v/>
      </c>
      <c r="AA99" s="17">
        <f>IF(AA55=0,0,AA74/AA55)</f>
        <v/>
      </c>
      <c r="AB99" s="17">
        <f>IF(AB55=0,0,AB74/AB55)</f>
        <v/>
      </c>
      <c r="AC99" s="17">
        <f>IF(AC55=0,0,AC74/AC55)</f>
        <v/>
      </c>
      <c r="AD99" s="17">
        <f>IF(AD55=0,0,AD74/AD55)</f>
        <v/>
      </c>
      <c r="AE99" s="17">
        <f>IF(AE55=0,0,AE74/AE55)</f>
        <v/>
      </c>
      <c r="AF99" s="17">
        <f>IF(AF55=0,0,AF74/AF55)</f>
        <v/>
      </c>
      <c r="AG99" s="17">
        <f>IF(AG55=0,0,AG74/AG55)</f>
        <v/>
      </c>
      <c r="AH99" s="17">
        <f>IF(AH55=0,0,AH74/AH55)</f>
        <v/>
      </c>
      <c r="AI99" s="17">
        <f>IF(AI55=0,0,AI74/AI55)</f>
        <v/>
      </c>
      <c r="AJ99" s="17">
        <f>IF(AJ55=0,0,AJ74/AJ55)</f>
        <v/>
      </c>
      <c r="AK99" s="17">
        <f>IF(AK55=0,0,AK74/AK55)</f>
        <v/>
      </c>
      <c r="AL99" s="17">
        <f>IF(AL55=0,0,AL74/AL55)</f>
        <v/>
      </c>
      <c r="AM99" s="17">
        <f>IF(AM55=0,0,AM74/AM55)</f>
        <v/>
      </c>
      <c r="AN99" s="17">
        <f>IF(AN55=0,0,AN74/AN55)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140</v>
      </c>
    </row>
    <row r="103">
      <c r="A103" t="inlineStr">
        <is>
          <t>Shares outstanding (m)</t>
        </is>
      </c>
      <c r="C103" s="13" t="n">
        <v>371335.392068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732.992985</v>
      </c>
    </row>
    <row r="106">
      <c r="A106" t="inlineStr">
        <is>
          <t>Cash at balance-sheet date</t>
        </is>
      </c>
      <c r="C106" s="13" t="n">
        <v>179.68</v>
      </c>
    </row>
    <row r="107">
      <c r="A107" t="inlineStr">
        <is>
          <t>Minority interest (book)</t>
        </is>
      </c>
      <c r="C107" s="13" t="n">
        <v>1285.921418</v>
      </c>
    </row>
    <row r="108">
      <c r="A108" t="inlineStr">
        <is>
          <t>Associates &amp; investments (book)</t>
        </is>
      </c>
      <c r="C108" s="13" t="n">
        <v>935.090465</v>
      </c>
    </row>
    <row r="109">
      <c r="A109" t="inlineStr">
        <is>
          <t>Post-balance-sheet &amp; other items (sourced, probability-weighted)</t>
        </is>
      </c>
      <c r="C109" s="13" t="n">
        <v>0</v>
      </c>
    </row>
    <row r="110">
      <c r="A110" t="inlineStr">
        <is>
          <t>Parent equity at balance-sheet date</t>
        </is>
      </c>
      <c r="C110" s="13" t="n">
        <v>1664.900756</v>
      </c>
    </row>
    <row r="111">
      <c r="A111" t="inlineStr">
        <is>
          <t>Per-share factor</t>
        </is>
      </c>
      <c r="C111" s="24" t="n">
        <v>1</v>
      </c>
    </row>
    <row r="112">
      <c r="A112" t="inlineStr">
        <is>
          <t>Risk-free rate</t>
        </is>
      </c>
      <c r="C112" s="9">
        <f>Drivers!$C$12</f>
        <v/>
      </c>
    </row>
    <row r="113">
      <c r="A113" t="inlineStr">
        <is>
          <t>Less: default spread (IDR only)</t>
        </is>
      </c>
      <c r="C113" s="9" t="n">
        <v>0</v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0.2557377478674007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  <c r="K126" s="6" t="n">
        <v>0.996578</v>
      </c>
      <c r="L126" s="6" t="n">
        <v>0.996578</v>
      </c>
      <c r="M126" s="6" t="n">
        <v>0.996578</v>
      </c>
      <c r="N126" s="6" t="n">
        <v>0.999316</v>
      </c>
      <c r="O126" s="6" t="n">
        <v>0.996578</v>
      </c>
      <c r="P126" s="6" t="n">
        <v>0.996578</v>
      </c>
      <c r="Q126" s="6" t="n">
        <v>0.996578</v>
      </c>
      <c r="R126" s="6" t="n">
        <v>0.999316</v>
      </c>
      <c r="S126" s="6" t="n">
        <v>0.996578</v>
      </c>
      <c r="T126" s="6" t="n">
        <v>0.996578</v>
      </c>
      <c r="U126" s="6" t="n">
        <v>0.996578</v>
      </c>
      <c r="V126" s="6" t="n">
        <v>0.999316</v>
      </c>
      <c r="W126" s="6" t="n">
        <v>0.996578</v>
      </c>
      <c r="X126" s="6" t="n">
        <v>0.996578</v>
      </c>
      <c r="Y126" s="6" t="n">
        <v>0.996578</v>
      </c>
      <c r="Z126" s="6" t="n">
        <v>0.999316</v>
      </c>
      <c r="AA126" s="6" t="n">
        <v>0.996578</v>
      </c>
      <c r="AB126" s="6" t="n">
        <v>0.996578</v>
      </c>
      <c r="AC126" s="6" t="n">
        <v>0.996578</v>
      </c>
      <c r="AD126" s="6" t="n">
        <v>0.999316</v>
      </c>
      <c r="AE126" s="6" t="n">
        <v>0.996578</v>
      </c>
      <c r="AF126" s="6" t="n">
        <v>0.996578</v>
      </c>
      <c r="AG126" s="6" t="n">
        <v>0.996578</v>
      </c>
      <c r="AH126" s="6" t="n">
        <v>0.999316</v>
      </c>
      <c r="AI126" s="6" t="n">
        <v>0.996578</v>
      </c>
      <c r="AJ126" s="6" t="n">
        <v>0.996578</v>
      </c>
      <c r="AK126" s="6" t="n">
        <v>0.996578</v>
      </c>
      <c r="AL126" s="6" t="n">
        <v>0.999316</v>
      </c>
      <c r="AM126" s="6" t="n">
        <v>0.996578</v>
      </c>
      <c r="AN126" s="6" t="n">
        <v>0.996578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  <c r="K127" s="6" t="n">
        <v>2.672142</v>
      </c>
      <c r="L127" s="6" t="n">
        <v>3.671458</v>
      </c>
      <c r="M127" s="6" t="n">
        <v>4.670773</v>
      </c>
      <c r="N127" s="6" t="n">
        <v>5.670089</v>
      </c>
      <c r="O127" s="6" t="n">
        <v>6.672142</v>
      </c>
      <c r="P127" s="6" t="n">
        <v>7.671458</v>
      </c>
      <c r="Q127" s="6" t="n">
        <v>8.670773000000001</v>
      </c>
      <c r="R127" s="6" t="n">
        <v>9.670089000000001</v>
      </c>
      <c r="S127" s="6" t="n">
        <v>10.672142</v>
      </c>
      <c r="T127" s="6" t="n">
        <v>11.671458</v>
      </c>
      <c r="U127" s="6" t="n">
        <v>12.670773</v>
      </c>
      <c r="V127" s="6" t="n">
        <v>13.670089</v>
      </c>
      <c r="W127" s="6" t="n">
        <v>14.672142</v>
      </c>
      <c r="X127" s="6" t="n">
        <v>15.671458</v>
      </c>
      <c r="Y127" s="6" t="n">
        <v>16.670773</v>
      </c>
      <c r="Z127" s="6" t="n">
        <v>17.670089</v>
      </c>
      <c r="AA127" s="6" t="n">
        <v>18.672142</v>
      </c>
      <c r="AB127" s="6" t="n">
        <v>19.671458</v>
      </c>
      <c r="AC127" s="6" t="n">
        <v>20.670773</v>
      </c>
      <c r="AD127" s="6" t="n">
        <v>21.670089</v>
      </c>
      <c r="AE127" s="6" t="n">
        <v>22.672142</v>
      </c>
      <c r="AF127" s="6" t="n">
        <v>23.671458</v>
      </c>
      <c r="AG127" s="6" t="n">
        <v>24.670773</v>
      </c>
      <c r="AH127" s="6" t="n">
        <v>25.670089</v>
      </c>
      <c r="AI127" s="6" t="n">
        <v>26.672142</v>
      </c>
      <c r="AJ127" s="6" t="n">
        <v>27.671458</v>
      </c>
      <c r="AK127" s="6" t="n">
        <v>28.670773</v>
      </c>
      <c r="AL127" s="6" t="n">
        <v>29.670089</v>
      </c>
      <c r="AM127" s="6" t="n">
        <v>30.672142</v>
      </c>
      <c r="AN127" s="6" t="n">
        <v>31.671458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  <c r="P128">
        <f>1/(1+$C$122)^P127</f>
        <v/>
      </c>
      <c r="Q128">
        <f>1/(1+$C$122)^Q127</f>
        <v/>
      </c>
      <c r="R128">
        <f>1/(1+$C$122)^R127</f>
        <v/>
      </c>
      <c r="S128">
        <f>1/(1+$C$122)^S127</f>
        <v/>
      </c>
      <c r="T128">
        <f>1/(1+$C$122)^T127</f>
        <v/>
      </c>
      <c r="U128">
        <f>1/(1+$C$122)^U127</f>
        <v/>
      </c>
      <c r="V128">
        <f>1/(1+$C$122)^V127</f>
        <v/>
      </c>
      <c r="W128">
        <f>1/(1+$C$122)^W127</f>
        <v/>
      </c>
      <c r="X128">
        <f>1/(1+$C$122)^X127</f>
        <v/>
      </c>
      <c r="Y128">
        <f>1/(1+$C$122)^Y127</f>
        <v/>
      </c>
      <c r="Z128">
        <f>1/(1+$C$122)^Z127</f>
        <v/>
      </c>
      <c r="AA128">
        <f>1/(1+$C$122)^AA127</f>
        <v/>
      </c>
      <c r="AB128">
        <f>1/(1+$C$122)^AB127</f>
        <v/>
      </c>
      <c r="AC128">
        <f>1/(1+$C$122)^AC127</f>
        <v/>
      </c>
      <c r="AD128">
        <f>1/(1+$C$122)^AD127</f>
        <v/>
      </c>
      <c r="AE128">
        <f>1/(1+$C$122)^AE127</f>
        <v/>
      </c>
      <c r="AF128">
        <f>1/(1+$C$122)^AF127</f>
        <v/>
      </c>
      <c r="AG128">
        <f>1/(1+$C$122)^AG127</f>
        <v/>
      </c>
      <c r="AH128">
        <f>1/(1+$C$122)^AH127</f>
        <v/>
      </c>
      <c r="AI128">
        <f>1/(1+$C$122)^AI127</f>
        <v/>
      </c>
      <c r="AJ128">
        <f>1/(1+$C$122)^AJ127</f>
        <v/>
      </c>
      <c r="AK128">
        <f>1/(1+$C$122)^AK127</f>
        <v/>
      </c>
      <c r="AL128">
        <f>1/(1+$C$122)^AL127</f>
        <v/>
      </c>
      <c r="AM128">
        <f>1/(1+$C$122)^AM127</f>
        <v/>
      </c>
      <c r="AN128">
        <f>1/(1+$C$122)^AN127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  <c r="M129" s="26">
        <f>M76*M126*M128</f>
        <v/>
      </c>
      <c r="N129" s="26">
        <f>N76*N126*N128</f>
        <v/>
      </c>
      <c r="O129" s="26">
        <f>O76*O126*O128</f>
        <v/>
      </c>
      <c r="P129" s="26">
        <f>P76*P126*P128</f>
        <v/>
      </c>
      <c r="Q129" s="26">
        <f>Q76*Q126*Q128</f>
        <v/>
      </c>
      <c r="R129" s="26">
        <f>R76*R126*R128</f>
        <v/>
      </c>
      <c r="S129" s="26">
        <f>S76*S126*S128</f>
        <v/>
      </c>
      <c r="T129" s="26">
        <f>T76*T126*T128</f>
        <v/>
      </c>
      <c r="U129" s="26">
        <f>U76*U126*U128</f>
        <v/>
      </c>
      <c r="V129" s="26">
        <f>V76*V126*V128</f>
        <v/>
      </c>
      <c r="W129" s="26">
        <f>W76*W126*W128</f>
        <v/>
      </c>
      <c r="X129" s="26">
        <f>X76*X126*X128</f>
        <v/>
      </c>
      <c r="Y129" s="26">
        <f>Y76*Y126*Y128</f>
        <v/>
      </c>
      <c r="Z129" s="26">
        <f>Z76*Z126*Z128</f>
        <v/>
      </c>
      <c r="AA129" s="26">
        <f>AA76*AA126*AA128</f>
        <v/>
      </c>
      <c r="AB129" s="26">
        <f>AB76*AB126*AB128</f>
        <v/>
      </c>
      <c r="AC129" s="26">
        <f>AC76*AC126*AC128</f>
        <v/>
      </c>
      <c r="AD129" s="26">
        <f>AD76*AD126*AD128</f>
        <v/>
      </c>
      <c r="AE129" s="26">
        <f>AE76*AE126*AE128</f>
        <v/>
      </c>
      <c r="AF129" s="26">
        <f>AF76*AF126*AF128</f>
        <v/>
      </c>
      <c r="AG129" s="26">
        <f>AG76*AG126*AG128</f>
        <v/>
      </c>
      <c r="AH129" s="26">
        <f>AH76*AH126*AH128</f>
        <v/>
      </c>
      <c r="AI129" s="26">
        <f>AI76*AI126*AI128</f>
        <v/>
      </c>
      <c r="AJ129" s="26">
        <f>AJ76*AJ126*AJ128</f>
        <v/>
      </c>
      <c r="AK129" s="26">
        <f>AK76*AK126*AK128</f>
        <v/>
      </c>
      <c r="AL129" s="26">
        <f>AL76*AL126*AL128</f>
        <v/>
      </c>
      <c r="AM129" s="26">
        <f>AM76*AM126*AM128</f>
        <v/>
      </c>
      <c r="AN129" s="26">
        <f>AN76*AN126*AN128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  <c r="M130" s="26">
        <f>L130+M129</f>
        <v/>
      </c>
      <c r="N130" s="26">
        <f>M130+N129</f>
        <v/>
      </c>
      <c r="O130" s="26">
        <f>N130+O129</f>
        <v/>
      </c>
      <c r="P130" s="26">
        <f>O130+P129</f>
        <v/>
      </c>
      <c r="Q130" s="26">
        <f>P130+Q129</f>
        <v/>
      </c>
      <c r="R130" s="26">
        <f>Q130+R129</f>
        <v/>
      </c>
      <c r="S130" s="26">
        <f>R130+S129</f>
        <v/>
      </c>
      <c r="T130" s="26">
        <f>S130+T129</f>
        <v/>
      </c>
      <c r="U130" s="26">
        <f>T130+U129</f>
        <v/>
      </c>
      <c r="V130" s="26">
        <f>U130+V129</f>
        <v/>
      </c>
      <c r="W130" s="26">
        <f>V130+W129</f>
        <v/>
      </c>
      <c r="X130" s="26">
        <f>W130+X129</f>
        <v/>
      </c>
      <c r="Y130" s="26">
        <f>X130+Y129</f>
        <v/>
      </c>
      <c r="Z130" s="26">
        <f>Y130+Z129</f>
        <v/>
      </c>
      <c r="AA130" s="26">
        <f>Z130+AA129</f>
        <v/>
      </c>
      <c r="AB130" s="26">
        <f>AA130+AB129</f>
        <v/>
      </c>
      <c r="AC130" s="26">
        <f>AB130+AC129</f>
        <v/>
      </c>
      <c r="AD130" s="26">
        <f>AC130+AD129</f>
        <v/>
      </c>
      <c r="AE130" s="26">
        <f>AD130+AE129</f>
        <v/>
      </c>
      <c r="AF130" s="26">
        <f>AE130+AF129</f>
        <v/>
      </c>
      <c r="AG130" s="26">
        <f>AF130+AG129</f>
        <v/>
      </c>
      <c r="AH130" s="26">
        <f>AG130+AH129</f>
        <v/>
      </c>
      <c r="AI130" s="26">
        <f>AH130+AI129</f>
        <v/>
      </c>
      <c r="AJ130" s="26">
        <f>AI130+AJ129</f>
        <v/>
      </c>
      <c r="AK130" s="26">
        <f>AJ130+AK129</f>
        <v/>
      </c>
      <c r="AL130" s="26">
        <f>AK130+AL129</f>
        <v/>
      </c>
      <c r="AM130" s="26">
        <f>AL130+AM129</f>
        <v/>
      </c>
      <c r="AN130" s="26">
        <f>AM130+AN129</f>
        <v/>
      </c>
    </row>
    <row r="131">
      <c r="A131" t="inlineStr">
        <is>
          <t>Best cumulative PV (never below zero)</t>
        </is>
      </c>
      <c r="C131" s="26">
        <f>MAX(0,MAX(H130:AN130))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MAX(0,$C$134/$C$103*$C$111*$C$104)</f>
        <v/>
      </c>
    </row>
    <row r="137">
      <c r="A137" s="1" t="inlineStr">
        <is>
          <t>EV/EBITDA</t>
        </is>
      </c>
    </row>
    <row r="138">
      <c r="A138" t="inlineStr">
        <is>
          <t>Target multiple (peer median)</t>
        </is>
      </c>
      <c r="C138" s="22" t="n">
        <v>6.291633</v>
      </c>
    </row>
    <row r="139">
      <c r="A139" t="inlineStr">
        <is>
          <t>Metric (LTM, or next-12m DPS for yield)</t>
        </is>
      </c>
      <c r="C139" s="13" t="n">
        <v>315.770582</v>
      </c>
    </row>
    <row r="140">
      <c r="A140" t="inlineStr">
        <is>
          <t>Value per share (IDR) — EV/EBITDA</t>
        </is>
      </c>
      <c r="C140" s="27">
        <f>MAX(0,($C$138*$C$139-($C$105-$C$106)-$C$107+$C$108+$C$109)/$C$103*$C$111*$C$104)</f>
        <v/>
      </c>
    </row>
    <row r="142">
      <c r="A142" s="1" t="inlineStr">
        <is>
          <t>TARGET</t>
        </is>
      </c>
    </row>
    <row r="143">
      <c r="A143" t="inlineStr">
        <is>
          <t>Weight: DCF to end of life (no terminal value)</t>
        </is>
      </c>
      <c r="C143" s="4" t="n">
        <v>0.705882</v>
      </c>
    </row>
    <row r="144">
      <c r="A144" t="inlineStr">
        <is>
          <t>Weight: EV/EBITDA</t>
        </is>
      </c>
      <c r="C144" s="4" t="n">
        <v>0.294118</v>
      </c>
    </row>
    <row r="145">
      <c r="A145" t="inlineStr">
        <is>
          <t>Value today (weighted)</t>
        </is>
      </c>
      <c r="C145" s="27">
        <f>$C$135*$C$143+$C$140*$C$144</f>
        <v/>
      </c>
    </row>
    <row r="146">
      <c r="A146" t="inlineStr">
        <is>
          <t>DPS expected in next 12 months (IDR)</t>
        </is>
      </c>
      <c r="C146" s="20" t="n">
        <v>0</v>
      </c>
    </row>
    <row r="147">
      <c r="A147" t="inlineStr">
        <is>
          <t>Base-case 12-month value</t>
        </is>
      </c>
      <c r="C147" s="27">
        <f>MAX(0,$C$145*(1+$C$120)-$C$146)</f>
        <v/>
      </c>
    </row>
    <row r="148">
      <c r="A148" t="inlineStr">
        <is>
          <t>Bear probability</t>
        </is>
      </c>
      <c r="C148" s="4" t="n">
        <v>0.25</v>
      </c>
    </row>
    <row r="149">
      <c r="A149" t="inlineStr">
        <is>
          <t>Bear 12-month value (engine)</t>
        </is>
      </c>
      <c r="C149" s="20" t="n">
        <v>17.32779631968883</v>
      </c>
    </row>
    <row r="150">
      <c r="A150" t="inlineStr">
        <is>
          <t>Base probability</t>
        </is>
      </c>
      <c r="C150" s="4" t="n">
        <v>0.6</v>
      </c>
    </row>
    <row r="151">
      <c r="A151" t="inlineStr">
        <is>
          <t>Bull probability</t>
        </is>
      </c>
      <c r="C151" s="4" t="n">
        <v>0.15</v>
      </c>
    </row>
    <row r="152">
      <c r="A152" t="inlineStr">
        <is>
          <t>Bull 12-month value (engine)</t>
        </is>
      </c>
      <c r="C152" s="20" t="n">
        <v>242.1305861335683</v>
      </c>
    </row>
    <row r="153">
      <c r="A153" t="inlineStr">
        <is>
          <t>Probability-weighted 12-month value</t>
        </is>
      </c>
      <c r="C153" s="27">
        <f>$C$148*$C$149+$C$150*$C$147+$C$151*$C$152</f>
        <v/>
      </c>
    </row>
    <row r="154">
      <c r="A154" t="inlineStr">
        <is>
          <t>Liquidity discount (limits.yaml)</t>
        </is>
      </c>
      <c r="C154" s="4" t="n">
        <v>0</v>
      </c>
    </row>
    <row r="155">
      <c r="A155" t="inlineStr">
        <is>
          <t>Fundamental 12-month value (after liquidity discount)</t>
        </is>
      </c>
      <c r="C155" s="27">
        <f>$C$153*(1-$C$154)</f>
        <v/>
      </c>
    </row>
    <row r="156">
      <c r="A156" t="inlineStr">
        <is>
          <t>Konglo lens: price / fundamental value today (engine)</t>
        </is>
      </c>
      <c r="C156" s="22" t="n">
        <v>2.578622</v>
      </c>
    </row>
    <row r="157">
      <c r="A157" t="inlineStr">
        <is>
          <t>Regime bear: probability (konglo deck)</t>
        </is>
      </c>
      <c r="C157" s="4" t="n">
        <v>0.25</v>
      </c>
    </row>
    <row r="158">
      <c r="A158" t="inlineStr">
        <is>
          <t>Regime bear: share of the log gap closed in 12 months</t>
        </is>
      </c>
      <c r="C158" s="4" t="n">
        <v>0.7</v>
      </c>
    </row>
    <row r="159">
      <c r="A159" t="inlineStr">
        <is>
          <t>Regime base: probability (konglo deck)</t>
        </is>
      </c>
      <c r="C159" s="4" t="n">
        <v>0.5</v>
      </c>
    </row>
    <row r="160">
      <c r="A160" t="inlineStr">
        <is>
          <t>Regime base: share of the log gap closed in 12 months</t>
        </is>
      </c>
      <c r="C160" s="4" t="n">
        <v>0.3</v>
      </c>
    </row>
    <row r="161">
      <c r="A161" t="inlineStr">
        <is>
          <t>Regime bull: probability (konglo deck)</t>
        </is>
      </c>
      <c r="C161" s="4" t="n">
        <v>0.25</v>
      </c>
    </row>
    <row r="162">
      <c r="A162" t="inlineStr">
        <is>
          <t>Regime bull: share of the log gap closed in 12 months</t>
        </is>
      </c>
      <c r="C162" s="4" t="n">
        <v>-0.15</v>
      </c>
    </row>
    <row r="163">
      <c r="A163" t="inlineStr">
        <is>
          <t>Share of today's premium kept (probability-weighted)</t>
        </is>
      </c>
      <c r="C163" s="32">
        <f>$C$157*$C$156^(1-$C$158)+$C$159*$C$156^(1-$C$160)+$C$161*$C$156^(1-$C$162)</f>
        <v/>
      </c>
    </row>
    <row r="164">
      <c r="A164" t="inlineStr">
        <is>
          <t>TARGET PRICE (IDR) — konglo lens</t>
        </is>
      </c>
      <c r="C164" s="28">
        <f>$C$155*$C$163</f>
        <v/>
      </c>
    </row>
    <row r="165">
      <c r="A165" t="inlineStr">
        <is>
          <t>Expected 12-month total return</t>
        </is>
      </c>
      <c r="C165" s="29">
        <f>($C$164+$C$146)/$C$102-1</f>
        <v/>
      </c>
    </row>
    <row r="166">
      <c r="A166" t="inlineStr">
        <is>
          <t>Rating</t>
        </is>
      </c>
      <c r="C166" s="30">
        <f>IF($C$165&gt;=0.25,"BUY",IF($C$165&gt;=0.1,"ADD",IF($C$165&lt;=-0.25,"SELL",IF($C$165&lt;=-0.1,"REDUCE","HOLD"))))</f>
        <v/>
      </c>
    </row>
    <row r="168">
      <c r="A168" s="1" t="inlineStr">
        <is>
          <t>12-month value vs benchmark price and IDR/USD (engine values)</t>
        </is>
      </c>
    </row>
    <row r="169">
      <c r="A169" s="5" t="inlineStr">
        <is>
          <t>rows: IDR per USD (x deck) · columns: Benchmark price (x deck)</t>
        </is>
      </c>
      <c r="D169" s="1" t="n">
        <v>0.8</v>
      </c>
      <c r="E169" s="1" t="n">
        <v>0.9</v>
      </c>
      <c r="F169" s="1" t="n">
        <v>1</v>
      </c>
      <c r="G169" s="1" t="n">
        <v>1.1</v>
      </c>
      <c r="H169" s="1" t="n">
        <v>1.2</v>
      </c>
    </row>
    <row r="170">
      <c r="C170" s="1" t="n">
        <v>0.9</v>
      </c>
      <c r="D170" s="27" t="n">
        <v>15.580058</v>
      </c>
      <c r="E170" s="27" t="n">
        <v>15.580058</v>
      </c>
      <c r="F170" s="27" t="n">
        <v>19.199056</v>
      </c>
      <c r="G170" s="27" t="n">
        <v>61.790805</v>
      </c>
      <c r="H170" s="27" t="n">
        <v>100.740148</v>
      </c>
    </row>
    <row r="171">
      <c r="C171" s="1" t="n">
        <v>0.95</v>
      </c>
      <c r="D171" s="27" t="n">
        <v>16.453512</v>
      </c>
      <c r="E171" s="27" t="n">
        <v>16.453512</v>
      </c>
      <c r="F171" s="27" t="n">
        <v>20.278365</v>
      </c>
      <c r="G171" s="27" t="n">
        <v>65.266947</v>
      </c>
      <c r="H171" s="27" t="n">
        <v>106.409632</v>
      </c>
    </row>
    <row r="172">
      <c r="C172" s="1" t="n">
        <v>1</v>
      </c>
      <c r="D172" s="27" t="n">
        <v>17.327796</v>
      </c>
      <c r="E172" s="27" t="n">
        <v>17.327796</v>
      </c>
      <c r="F172" s="27" t="n">
        <v>21.35895</v>
      </c>
      <c r="G172" s="27" t="n">
        <v>68.74740799999999</v>
      </c>
      <c r="H172" s="27" t="n">
        <v>112.086343</v>
      </c>
    </row>
    <row r="173">
      <c r="C173" s="1" t="n">
        <v>1.05</v>
      </c>
      <c r="D173" s="27" t="n">
        <v>18.202912</v>
      </c>
      <c r="E173" s="27" t="n">
        <v>18.202912</v>
      </c>
      <c r="F173" s="27" t="n">
        <v>22.440805</v>
      </c>
      <c r="G173" s="27" t="n">
        <v>72.232159</v>
      </c>
      <c r="H173" s="27" t="n">
        <v>117.770229</v>
      </c>
    </row>
    <row r="174">
      <c r="C174" s="1" t="n">
        <v>1.1</v>
      </c>
      <c r="D174" s="27" t="n">
        <v>19.078858</v>
      </c>
      <c r="E174" s="27" t="n">
        <v>19.078858</v>
      </c>
      <c r="F174" s="27" t="n">
        <v>23.523922</v>
      </c>
      <c r="G174" s="27" t="n">
        <v>75.721171</v>
      </c>
      <c r="H174" s="27" t="n">
        <v>123.461242</v>
      </c>
    </row>
    <row r="176">
      <c r="A176" s="1" t="inlineStr">
        <is>
          <t>12-month value vs volume and unit cost intensity (engine values)</t>
        </is>
      </c>
    </row>
    <row r="177">
      <c r="A177" s="5" t="inlineStr">
        <is>
          <t>rows: Volume (x plan) · columns: Cost intensity / strip ratio (x)</t>
        </is>
      </c>
      <c r="D177" s="1" t="n">
        <v>0.85</v>
      </c>
      <c r="E177" s="1" t="n">
        <v>0.925</v>
      </c>
      <c r="F177" s="1" t="n">
        <v>1</v>
      </c>
      <c r="G177" s="1" t="n">
        <v>1.075</v>
      </c>
      <c r="H177" s="1" t="n">
        <v>1.15</v>
      </c>
    </row>
    <row r="178">
      <c r="C178" s="1" t="n">
        <v>0.9</v>
      </c>
      <c r="D178" s="27" t="n">
        <v>73.13359</v>
      </c>
      <c r="E178" s="27" t="n">
        <v>49.830586</v>
      </c>
      <c r="F178" s="27" t="n">
        <v>28.173675</v>
      </c>
      <c r="G178" s="27" t="n">
        <v>17.327796</v>
      </c>
      <c r="H178" s="27" t="n">
        <v>17.327796</v>
      </c>
    </row>
    <row r="179">
      <c r="C179" s="1" t="n">
        <v>0.95</v>
      </c>
      <c r="D179" s="27" t="n">
        <v>78.076632</v>
      </c>
      <c r="E179" s="27" t="n">
        <v>53.479017</v>
      </c>
      <c r="F179" s="27" t="n">
        <v>30.618944</v>
      </c>
      <c r="G179" s="27" t="n">
        <v>17.327796</v>
      </c>
      <c r="H179" s="27" t="n">
        <v>17.327796</v>
      </c>
    </row>
    <row r="180">
      <c r="C180" s="1" t="n">
        <v>1</v>
      </c>
      <c r="D180" s="27" t="n">
        <v>83.01967399999999</v>
      </c>
      <c r="E180" s="27" t="n">
        <v>57.127448</v>
      </c>
      <c r="F180" s="27" t="n">
        <v>33.064214</v>
      </c>
      <c r="G180" s="27" t="n">
        <v>17.327796</v>
      </c>
      <c r="H180" s="27" t="n">
        <v>17.327796</v>
      </c>
    </row>
    <row r="181">
      <c r="C181" s="1" t="n">
        <v>1.05</v>
      </c>
      <c r="D181" s="27" t="n">
        <v>87.962716</v>
      </c>
      <c r="E181" s="27" t="n">
        <v>60.775878</v>
      </c>
      <c r="F181" s="27" t="n">
        <v>35.509483</v>
      </c>
      <c r="G181" s="27" t="n">
        <v>17.327796</v>
      </c>
      <c r="H181" s="27" t="n">
        <v>17.327796</v>
      </c>
    </row>
    <row r="182">
      <c r="C182" s="1" t="n">
        <v>1.1</v>
      </c>
      <c r="D182" s="27" t="n">
        <v>92.90575800000001</v>
      </c>
      <c r="E182" s="27" t="n">
        <v>64.42430899999999</v>
      </c>
      <c r="F182" s="27" t="n">
        <v>37.954752</v>
      </c>
      <c r="G182" s="27" t="n">
        <v>17.327796</v>
      </c>
      <c r="H182" s="27" t="n">
        <v>17.327796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8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 Bayan Resources Tbk. (BYAN.JK) — Coal producers</t>
        </is>
      </c>
    </row>
    <row r="2">
      <c r="A2" s="5" t="inlineStr">
        <is>
          <t>Units: USD m; per-share in USD unless marked IDR. Model asof 2026-10-30 · data 2026-10-30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  <c r="R4" s="1" t="inlineStr">
        <is>
          <t>FY2036E</t>
        </is>
      </c>
      <c r="S4" s="1" t="inlineStr">
        <is>
          <t>FY2037E</t>
        </is>
      </c>
      <c r="T4" s="1" t="inlineStr">
        <is>
          <t>FY2038E</t>
        </is>
      </c>
      <c r="U4" s="1" t="inlineStr">
        <is>
          <t>FY2039E</t>
        </is>
      </c>
      <c r="V4" s="1" t="inlineStr">
        <is>
          <t>FY2040E</t>
        </is>
      </c>
      <c r="W4" s="1" t="inlineStr">
        <is>
          <t>FY2041E</t>
        </is>
      </c>
      <c r="X4" s="1" t="inlineStr">
        <is>
          <t>FY2042E</t>
        </is>
      </c>
      <c r="Y4" s="1" t="inlineStr">
        <is>
          <t>FY2043E</t>
        </is>
      </c>
      <c r="Z4" s="1" t="inlineStr">
        <is>
          <t>FY2044E</t>
        </is>
      </c>
      <c r="AA4" s="1" t="inlineStr">
        <is>
          <t>FY2045E</t>
        </is>
      </c>
      <c r="AB4" s="1" t="inlineStr">
        <is>
          <t>FY2046E</t>
        </is>
      </c>
      <c r="AC4" s="1" t="inlineStr">
        <is>
          <t>FY2047E</t>
        </is>
      </c>
      <c r="AD4" s="1" t="inlineStr">
        <is>
          <t>FY2048E</t>
        </is>
      </c>
      <c r="AE4" s="1" t="inlineStr">
        <is>
          <t>FY2049E</t>
        </is>
      </c>
      <c r="AF4" s="1" t="inlineStr">
        <is>
          <t>FY2050E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25</v>
      </c>
    </row>
    <row r="8">
      <c r="A8" t="inlineStr">
        <is>
          <t>ps_factor</t>
        </is>
      </c>
      <c r="C8" s="6" t="n">
        <v>1</v>
      </c>
    </row>
    <row r="9">
      <c r="A9" t="inlineStr">
        <is>
          <t>reserves</t>
        </is>
      </c>
      <c r="C9" s="6" t="n">
        <v>2030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67</v>
      </c>
      <c r="I14" s="13" t="n">
        <v>77</v>
      </c>
      <c r="J14" s="13" t="n">
        <v>80</v>
      </c>
      <c r="K14" s="13" t="n">
        <v>80</v>
      </c>
      <c r="L14" s="13" t="n">
        <v>80</v>
      </c>
      <c r="M14" s="13" t="n">
        <v>80</v>
      </c>
      <c r="N14" s="13" t="n">
        <v>80</v>
      </c>
      <c r="O14" s="13" t="n">
        <v>80</v>
      </c>
      <c r="P14" s="13" t="n">
        <v>80</v>
      </c>
      <c r="Q14" s="13" t="n">
        <v>80</v>
      </c>
      <c r="R14" s="13" t="n">
        <v>80</v>
      </c>
      <c r="S14" s="13" t="n">
        <v>80</v>
      </c>
      <c r="T14" s="13" t="n">
        <v>80</v>
      </c>
      <c r="U14" s="13" t="n">
        <v>80</v>
      </c>
      <c r="V14" s="13" t="n">
        <v>80</v>
      </c>
      <c r="W14" s="13" t="n">
        <v>80</v>
      </c>
      <c r="X14" s="13" t="n">
        <v>80</v>
      </c>
      <c r="Y14" s="13" t="n">
        <v>80</v>
      </c>
      <c r="Z14" s="13" t="n">
        <v>80</v>
      </c>
      <c r="AA14" s="13" t="n">
        <v>80</v>
      </c>
      <c r="AB14" s="13" t="n">
        <v>80</v>
      </c>
      <c r="AC14" s="13" t="n">
        <v>80</v>
      </c>
      <c r="AD14" s="13" t="n">
        <v>80</v>
      </c>
      <c r="AE14" s="13" t="n">
        <v>80</v>
      </c>
      <c r="AF14" s="13" t="n">
        <v>80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0.4</v>
      </c>
      <c r="I15" s="14" t="n">
        <v>0.4465</v>
      </c>
      <c r="J15" s="14" t="n">
        <v>0.4465</v>
      </c>
      <c r="K15" s="14" t="n">
        <v>0.4465</v>
      </c>
      <c r="L15" s="14" t="n">
        <v>0.4465</v>
      </c>
      <c r="M15" s="14" t="n">
        <v>0.4465</v>
      </c>
      <c r="N15" s="14" t="n">
        <v>0.4465</v>
      </c>
      <c r="O15" s="14" t="n">
        <v>0.4465</v>
      </c>
      <c r="P15" s="14" t="n">
        <v>0.4465</v>
      </c>
      <c r="Q15" s="14" t="n">
        <v>0.4465</v>
      </c>
      <c r="R15" s="14" t="n">
        <v>0.4465</v>
      </c>
      <c r="S15" s="14" t="n">
        <v>0.4465</v>
      </c>
      <c r="T15" s="14" t="n">
        <v>0.4465</v>
      </c>
      <c r="U15" s="14" t="n">
        <v>0.4465</v>
      </c>
      <c r="V15" s="14" t="n">
        <v>0.4465</v>
      </c>
      <c r="W15" s="14" t="n">
        <v>0.4465</v>
      </c>
      <c r="X15" s="14" t="n">
        <v>0.4465</v>
      </c>
      <c r="Y15" s="14" t="n">
        <v>0.4465</v>
      </c>
      <c r="Z15" s="14" t="n">
        <v>0.4465</v>
      </c>
      <c r="AA15" s="14" t="n">
        <v>0.4465</v>
      </c>
      <c r="AB15" s="14" t="n">
        <v>0.4465</v>
      </c>
      <c r="AC15" s="14" t="n">
        <v>0.4465</v>
      </c>
      <c r="AD15" s="14" t="n">
        <v>0.4465</v>
      </c>
      <c r="AE15" s="14" t="n">
        <v>0.4465</v>
      </c>
      <c r="AF15" s="14" t="n">
        <v>0.4465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0.25</v>
      </c>
      <c r="I16" s="4" t="n">
        <v>0.25</v>
      </c>
      <c r="J16" s="4" t="n">
        <v>0.25</v>
      </c>
      <c r="K16" s="4" t="n">
        <v>0.25</v>
      </c>
      <c r="L16" s="4" t="n">
        <v>0.25</v>
      </c>
      <c r="M16" s="4" t="n">
        <v>0.25</v>
      </c>
      <c r="N16" s="4" t="n">
        <v>0.25</v>
      </c>
      <c r="O16" s="4" t="n">
        <v>0.25</v>
      </c>
      <c r="P16" s="4" t="n">
        <v>0.25</v>
      </c>
      <c r="Q16" s="4" t="n">
        <v>0.25</v>
      </c>
      <c r="R16" s="4" t="n">
        <v>0.25</v>
      </c>
      <c r="S16" s="4" t="n">
        <v>0.25</v>
      </c>
      <c r="T16" s="4" t="n">
        <v>0.25</v>
      </c>
      <c r="U16" s="4" t="n">
        <v>0.25</v>
      </c>
      <c r="V16" s="4" t="n">
        <v>0.25</v>
      </c>
      <c r="W16" s="4" t="n">
        <v>0.25</v>
      </c>
      <c r="X16" s="4" t="n">
        <v>0.25</v>
      </c>
      <c r="Y16" s="4" t="n">
        <v>0.25</v>
      </c>
      <c r="Z16" s="4" t="n">
        <v>0.25</v>
      </c>
      <c r="AA16" s="4" t="n">
        <v>0.25</v>
      </c>
      <c r="AB16" s="4" t="n">
        <v>0.25</v>
      </c>
      <c r="AC16" s="4" t="n">
        <v>0.25</v>
      </c>
      <c r="AD16" s="4" t="n">
        <v>0.25</v>
      </c>
      <c r="AE16" s="4" t="n">
        <v>0.25</v>
      </c>
      <c r="AF16" s="4" t="n">
        <v>0.25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1</v>
      </c>
      <c r="I17" s="14" t="n">
        <v>1</v>
      </c>
      <c r="J17" s="14" t="n">
        <v>1</v>
      </c>
      <c r="K17" s="14" t="n">
        <v>1.01</v>
      </c>
      <c r="L17" s="14" t="n">
        <v>1.02</v>
      </c>
      <c r="M17" s="14" t="n">
        <v>1.05</v>
      </c>
      <c r="N17" s="14" t="n">
        <v>1.05</v>
      </c>
      <c r="O17" s="14" t="n">
        <v>1.05</v>
      </c>
      <c r="P17" s="14" t="n">
        <v>1.05</v>
      </c>
      <c r="Q17" s="14" t="n">
        <v>1.05</v>
      </c>
      <c r="R17" s="14" t="n">
        <v>1.05</v>
      </c>
      <c r="S17" s="14" t="n">
        <v>1.05</v>
      </c>
      <c r="T17" s="14" t="n">
        <v>1.05</v>
      </c>
      <c r="U17" s="14" t="n">
        <v>1.05</v>
      </c>
      <c r="V17" s="14" t="n">
        <v>1.05</v>
      </c>
      <c r="W17" s="14" t="n">
        <v>1.05</v>
      </c>
      <c r="X17" s="14" t="n">
        <v>1.05</v>
      </c>
      <c r="Y17" s="14" t="n">
        <v>1.05</v>
      </c>
      <c r="Z17" s="14" t="n">
        <v>1.05</v>
      </c>
      <c r="AA17" s="14" t="n">
        <v>1.05</v>
      </c>
      <c r="AB17" s="14" t="n">
        <v>1.05</v>
      </c>
      <c r="AC17" s="14" t="n">
        <v>1.05</v>
      </c>
      <c r="AD17" s="14" t="n">
        <v>1.05</v>
      </c>
      <c r="AE17" s="14" t="n">
        <v>1.05</v>
      </c>
      <c r="AF17" s="14" t="n">
        <v>1.05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22</v>
      </c>
      <c r="I18" s="3" t="n">
        <v>22.3</v>
      </c>
      <c r="J18" s="3" t="n">
        <v>22.6</v>
      </c>
      <c r="K18" s="3" t="n">
        <v>22.8</v>
      </c>
      <c r="L18" s="3" t="n">
        <v>23</v>
      </c>
      <c r="M18" s="3" t="n">
        <v>21.93</v>
      </c>
      <c r="N18" s="3" t="n">
        <v>22.3686</v>
      </c>
      <c r="O18" s="3" t="n">
        <v>22.815972</v>
      </c>
      <c r="P18" s="3" t="n">
        <v>23.27229144</v>
      </c>
      <c r="Q18" s="3" t="n">
        <v>23.7377372688</v>
      </c>
      <c r="R18" s="3" t="n">
        <v>24.212492014176</v>
      </c>
      <c r="S18" s="3" t="n">
        <v>24.69674185445952</v>
      </c>
      <c r="T18" s="3" t="n">
        <v>25.19067669154871</v>
      </c>
      <c r="U18" s="3" t="n">
        <v>25.69449022537969</v>
      </c>
      <c r="V18" s="3" t="n">
        <v>26.20838002988728</v>
      </c>
      <c r="W18" s="3" t="n">
        <v>26.73254763048503</v>
      </c>
      <c r="X18" s="3" t="n">
        <v>27.26719858309473</v>
      </c>
      <c r="Y18" s="3" t="n">
        <v>27.81254255475663</v>
      </c>
      <c r="Z18" s="3" t="n">
        <v>28.36879340585176</v>
      </c>
      <c r="AA18" s="3" t="n">
        <v>28.93616927396879</v>
      </c>
      <c r="AB18" s="3" t="n">
        <v>29.51489265944817</v>
      </c>
      <c r="AC18" s="3" t="n">
        <v>30.10519051263713</v>
      </c>
      <c r="AD18" s="3" t="n">
        <v>30.70729432288988</v>
      </c>
      <c r="AE18" s="3" t="n">
        <v>31.32144020934767</v>
      </c>
      <c r="AF18" s="3" t="n">
        <v>31.94786901353463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0.1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5.5</v>
      </c>
      <c r="I20" s="3" t="n">
        <v>5.6</v>
      </c>
      <c r="J20" s="3" t="n">
        <v>5.7</v>
      </c>
      <c r="K20" s="3" t="n">
        <v>5.8</v>
      </c>
      <c r="L20" s="3" t="n">
        <v>5.9</v>
      </c>
      <c r="M20" s="3" t="n">
        <v>6.12</v>
      </c>
      <c r="N20" s="3" t="n">
        <v>6.2424</v>
      </c>
      <c r="O20" s="3" t="n">
        <v>6.367248000000001</v>
      </c>
      <c r="P20" s="3" t="n">
        <v>6.49459296</v>
      </c>
      <c r="Q20" s="3" t="n">
        <v>6.6244848192</v>
      </c>
      <c r="R20" s="3" t="n">
        <v>6.756974515584</v>
      </c>
      <c r="S20" s="3" t="n">
        <v>6.89211400589568</v>
      </c>
      <c r="T20" s="3" t="n">
        <v>7.029956286013594</v>
      </c>
      <c r="U20" s="3" t="n">
        <v>7.170555411733867</v>
      </c>
      <c r="V20" s="3" t="n">
        <v>7.313966519968544</v>
      </c>
      <c r="W20" s="3" t="n">
        <v>7.460245850367915</v>
      </c>
      <c r="X20" s="3" t="n">
        <v>7.609450767375273</v>
      </c>
      <c r="Y20" s="3" t="n">
        <v>7.76163978272278</v>
      </c>
      <c r="Z20" s="3" t="n">
        <v>7.916872578377234</v>
      </c>
      <c r="AA20" s="3" t="n">
        <v>8.075210029944779</v>
      </c>
      <c r="AB20" s="3" t="n">
        <v>8.236714230543676</v>
      </c>
      <c r="AC20" s="3" t="n">
        <v>8.401448515154549</v>
      </c>
      <c r="AD20" s="3" t="n">
        <v>8.569477485457639</v>
      </c>
      <c r="AE20" s="3" t="n">
        <v>8.740867035166794</v>
      </c>
      <c r="AF20" s="3" t="n">
        <v>8.915684375870129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0.08</v>
      </c>
      <c r="I21" s="4" t="n">
        <v>0.08</v>
      </c>
      <c r="J21" s="4" t="n">
        <v>0.08</v>
      </c>
      <c r="K21" s="4" t="n">
        <v>0.08</v>
      </c>
      <c r="L21" s="4" t="n">
        <v>0.08</v>
      </c>
      <c r="M21" s="4" t="n">
        <v>0.08</v>
      </c>
      <c r="N21" s="4" t="n">
        <v>0.08</v>
      </c>
      <c r="O21" s="4" t="n">
        <v>0.08</v>
      </c>
      <c r="P21" s="4" t="n">
        <v>0.08</v>
      </c>
      <c r="Q21" s="4" t="n">
        <v>0.08</v>
      </c>
      <c r="R21" s="4" t="n">
        <v>0.08</v>
      </c>
      <c r="S21" s="4" t="n">
        <v>0.08</v>
      </c>
      <c r="T21" s="4" t="n">
        <v>0.08</v>
      </c>
      <c r="U21" s="4" t="n">
        <v>0.08</v>
      </c>
      <c r="V21" s="4" t="n">
        <v>0.08</v>
      </c>
      <c r="W21" s="4" t="n">
        <v>0.08</v>
      </c>
      <c r="X21" s="4" t="n">
        <v>0.08</v>
      </c>
      <c r="Y21" s="4" t="n">
        <v>0.08</v>
      </c>
      <c r="Z21" s="4" t="n">
        <v>0.08</v>
      </c>
      <c r="AA21" s="4" t="n">
        <v>0.08</v>
      </c>
      <c r="AB21" s="4" t="n">
        <v>0.08</v>
      </c>
      <c r="AC21" s="4" t="n">
        <v>0.08</v>
      </c>
      <c r="AD21" s="4" t="n">
        <v>0.08</v>
      </c>
      <c r="AE21" s="4" t="n">
        <v>0.08</v>
      </c>
      <c r="AF21" s="4" t="n">
        <v>0.08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20</v>
      </c>
      <c r="I22" s="13" t="n">
        <v>20</v>
      </c>
      <c r="J22" s="13" t="n">
        <v>20</v>
      </c>
      <c r="K22" s="13" t="n">
        <v>20</v>
      </c>
      <c r="L22" s="13" t="n">
        <v>20</v>
      </c>
      <c r="M22" s="13" t="n">
        <v>20.4</v>
      </c>
      <c r="N22" s="13" t="n">
        <v>20.808</v>
      </c>
      <c r="O22" s="13" t="n">
        <v>21.22416</v>
      </c>
      <c r="P22" s="13" t="n">
        <v>21.6486432</v>
      </c>
      <c r="Q22" s="13" t="n">
        <v>22.081616064</v>
      </c>
      <c r="R22" s="13" t="n">
        <v>22.52324838528</v>
      </c>
      <c r="S22" s="13" t="n">
        <v>22.9737133529856</v>
      </c>
      <c r="T22" s="13" t="n">
        <v>23.43318762004532</v>
      </c>
      <c r="U22" s="13" t="n">
        <v>23.90185137244622</v>
      </c>
      <c r="V22" s="13" t="n">
        <v>24.37988839989515</v>
      </c>
      <c r="W22" s="13" t="n">
        <v>24.86748616789305</v>
      </c>
      <c r="X22" s="13" t="n">
        <v>25.36483589125091</v>
      </c>
      <c r="Y22" s="13" t="n">
        <v>25.87213260907593</v>
      </c>
      <c r="Z22" s="13" t="n">
        <v>26.38957526125745</v>
      </c>
      <c r="AA22" s="13" t="n">
        <v>26.9173667664826</v>
      </c>
      <c r="AB22" s="13" t="n">
        <v>27.45571410181225</v>
      </c>
      <c r="AC22" s="13" t="n">
        <v>28.0048283838485</v>
      </c>
      <c r="AD22" s="13" t="n">
        <v>28.56492495152547</v>
      </c>
      <c r="AE22" s="13" t="n">
        <v>29.13622345055597</v>
      </c>
      <c r="AF22" s="13" t="n">
        <v>29.7189479195671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0.1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1.57</v>
      </c>
      <c r="I24" s="3" t="n">
        <v>1.57</v>
      </c>
      <c r="J24" s="3" t="n">
        <v>1.57</v>
      </c>
      <c r="K24" s="3" t="n">
        <v>1.57</v>
      </c>
      <c r="L24" s="3" t="n">
        <v>1.57</v>
      </c>
      <c r="M24" s="3" t="n">
        <v>1.6014</v>
      </c>
      <c r="N24" s="3" t="n">
        <v>1.633428</v>
      </c>
      <c r="O24" s="3" t="n">
        <v>1.66609656</v>
      </c>
      <c r="P24" s="3" t="n">
        <v>1.6994184912</v>
      </c>
      <c r="Q24" s="3" t="n">
        <v>1.733406861024</v>
      </c>
      <c r="R24" s="3" t="n">
        <v>1.76807499824448</v>
      </c>
      <c r="S24" s="3" t="n">
        <v>1.80343649820937</v>
      </c>
      <c r="T24" s="3" t="n">
        <v>1.839505228173557</v>
      </c>
      <c r="U24" s="3" t="n">
        <v>1.876295332737028</v>
      </c>
      <c r="V24" s="3" t="n">
        <v>1.913821239391769</v>
      </c>
      <c r="W24" s="3" t="n">
        <v>1.952097664179604</v>
      </c>
      <c r="X24" s="3" t="n">
        <v>1.991139617463197</v>
      </c>
      <c r="Y24" s="3" t="n">
        <v>2.030962409812461</v>
      </c>
      <c r="Z24" s="3" t="n">
        <v>2.07158165800871</v>
      </c>
      <c r="AA24" s="3" t="n">
        <v>2.113013291168884</v>
      </c>
      <c r="AB24" s="3" t="n">
        <v>2.155273556992262</v>
      </c>
      <c r="AC24" s="3" t="n">
        <v>2.198379028132107</v>
      </c>
      <c r="AD24" s="3" t="n">
        <v>2.242346608694749</v>
      </c>
      <c r="AE24" s="3" t="n">
        <v>2.287193540868644</v>
      </c>
      <c r="AF24" s="3" t="n">
        <v>2.332937411686017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2.4</v>
      </c>
      <c r="I25" s="3" t="n">
        <v>2.45</v>
      </c>
      <c r="J25" s="3" t="n">
        <v>2.5</v>
      </c>
      <c r="K25" s="3" t="n">
        <v>2.55</v>
      </c>
      <c r="L25" s="3" t="n">
        <v>2.6</v>
      </c>
      <c r="M25" s="3" t="n">
        <v>2.652</v>
      </c>
      <c r="N25" s="3" t="n">
        <v>2.70504</v>
      </c>
      <c r="O25" s="3" t="n">
        <v>2.7591408</v>
      </c>
      <c r="P25" s="3" t="n">
        <v>2.814323616</v>
      </c>
      <c r="Q25" s="3" t="n">
        <v>2.87061008832</v>
      </c>
      <c r="R25" s="3" t="n">
        <v>2.9280222900864</v>
      </c>
      <c r="S25" s="3" t="n">
        <v>2.986582735888128</v>
      </c>
      <c r="T25" s="3" t="n">
        <v>3.046314390605891</v>
      </c>
      <c r="U25" s="3" t="n">
        <v>3.107240678418009</v>
      </c>
      <c r="V25" s="3" t="n">
        <v>3.169385491986369</v>
      </c>
      <c r="W25" s="3" t="n">
        <v>3.232773201826097</v>
      </c>
      <c r="X25" s="3" t="n">
        <v>3.297428665862618</v>
      </c>
      <c r="Y25" s="3" t="n">
        <v>3.363377239179871</v>
      </c>
      <c r="Z25" s="3" t="n">
        <v>3.430644783963468</v>
      </c>
      <c r="AA25" s="3" t="n">
        <v>3.499257679642738</v>
      </c>
      <c r="AB25" s="3" t="n">
        <v>3.569242833235593</v>
      </c>
      <c r="AC25" s="3" t="n">
        <v>3.640627689900305</v>
      </c>
      <c r="AD25" s="3" t="n">
        <v>3.713440243698311</v>
      </c>
      <c r="AE25" s="3" t="n">
        <v>3.787709048572277</v>
      </c>
      <c r="AF25" s="3" t="n">
        <v>3.863463229543723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40</v>
      </c>
      <c r="I26" s="13" t="n">
        <v>40</v>
      </c>
      <c r="J26" s="13" t="n">
        <v>30</v>
      </c>
      <c r="K26" s="13" t="n">
        <v>20</v>
      </c>
      <c r="L26" s="13" t="n">
        <v>20</v>
      </c>
      <c r="M26" s="13" t="n">
        <v>15.3</v>
      </c>
      <c r="N26" s="13" t="n">
        <v>15.606</v>
      </c>
      <c r="O26" s="13" t="n">
        <v>15.91812</v>
      </c>
      <c r="P26" s="13" t="n">
        <v>16.2364824</v>
      </c>
      <c r="Q26" s="13" t="n">
        <v>16.561212048</v>
      </c>
      <c r="R26" s="13" t="n">
        <v>16.89243628896</v>
      </c>
      <c r="S26" s="13" t="n">
        <v>17.2302850147392</v>
      </c>
      <c r="T26" s="13" t="n">
        <v>17.57489071503399</v>
      </c>
      <c r="U26" s="13" t="n">
        <v>17.92638852933467</v>
      </c>
      <c r="V26" s="13" t="n">
        <v>18.28491629992136</v>
      </c>
      <c r="W26" s="13" t="n">
        <v>18.65061462591979</v>
      </c>
      <c r="X26" s="13" t="n">
        <v>19.02362691843818</v>
      </c>
      <c r="Y26" s="13" t="n">
        <v>19.40409945680695</v>
      </c>
      <c r="Z26" s="13" t="n">
        <v>19.79218144594309</v>
      </c>
      <c r="AA26" s="13" t="n">
        <v>20.18802507486195</v>
      </c>
      <c r="AB26" s="13" t="n">
        <v>20.59178557635919</v>
      </c>
      <c r="AC26" s="13" t="n">
        <v>21.00362128788637</v>
      </c>
      <c r="AD26" s="13" t="n">
        <v>21.4236937136441</v>
      </c>
      <c r="AE26" s="13" t="n">
        <v>21.85216758791698</v>
      </c>
      <c r="AF26" s="13" t="n">
        <v>22.28921093967532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0.047097</v>
      </c>
      <c r="I27" s="4" t="n">
        <v>0.047097</v>
      </c>
      <c r="J27" s="4" t="n">
        <v>0.047097</v>
      </c>
      <c r="K27" s="4" t="n">
        <v>0.047097</v>
      </c>
      <c r="L27" s="4" t="n">
        <v>0.047097</v>
      </c>
      <c r="M27" s="4" t="n">
        <v>0.047097</v>
      </c>
      <c r="N27" s="4" t="n">
        <v>0.047097</v>
      </c>
      <c r="O27" s="4" t="n">
        <v>0.047097</v>
      </c>
      <c r="P27" s="4" t="n">
        <v>0.047097</v>
      </c>
      <c r="Q27" s="4" t="n">
        <v>0.047097</v>
      </c>
      <c r="R27" s="4" t="n">
        <v>0.047097</v>
      </c>
      <c r="S27" s="4" t="n">
        <v>0.047097</v>
      </c>
      <c r="T27" s="4" t="n">
        <v>0.047097</v>
      </c>
      <c r="U27" s="4" t="n">
        <v>0.047097</v>
      </c>
      <c r="V27" s="4" t="n">
        <v>0.047097</v>
      </c>
      <c r="W27" s="4" t="n">
        <v>0.047097</v>
      </c>
      <c r="X27" s="4" t="n">
        <v>0.047097</v>
      </c>
      <c r="Y27" s="4" t="n">
        <v>0.047097</v>
      </c>
      <c r="Z27" s="4" t="n">
        <v>0.047097</v>
      </c>
      <c r="AA27" s="4" t="n">
        <v>0.047097</v>
      </c>
      <c r="AB27" s="4" t="n">
        <v>0.047097</v>
      </c>
      <c r="AC27" s="4" t="n">
        <v>0.047097</v>
      </c>
      <c r="AD27" s="4" t="n">
        <v>0.047097</v>
      </c>
      <c r="AE27" s="4" t="n">
        <v>0.047097</v>
      </c>
      <c r="AF27" s="4" t="n">
        <v>0.047097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0.219708</v>
      </c>
      <c r="I28" s="4" t="n">
        <v>0.219708</v>
      </c>
      <c r="J28" s="4" t="n">
        <v>0.219708</v>
      </c>
      <c r="K28" s="4" t="n">
        <v>0.219708</v>
      </c>
      <c r="L28" s="4" t="n">
        <v>0.219708</v>
      </c>
      <c r="M28" s="4" t="n">
        <v>0.219708</v>
      </c>
      <c r="N28" s="4" t="n">
        <v>0.219708</v>
      </c>
      <c r="O28" s="4" t="n">
        <v>0.219708</v>
      </c>
      <c r="P28" s="4" t="n">
        <v>0.219708</v>
      </c>
      <c r="Q28" s="4" t="n">
        <v>0.219708</v>
      </c>
      <c r="R28" s="4" t="n">
        <v>0.219708</v>
      </c>
      <c r="S28" s="4" t="n">
        <v>0.219708</v>
      </c>
      <c r="T28" s="4" t="n">
        <v>0.219708</v>
      </c>
      <c r="U28" s="4" t="n">
        <v>0.219708</v>
      </c>
      <c r="V28" s="4" t="n">
        <v>0.219708</v>
      </c>
      <c r="W28" s="4" t="n">
        <v>0.219708</v>
      </c>
      <c r="X28" s="4" t="n">
        <v>0.219708</v>
      </c>
      <c r="Y28" s="4" t="n">
        <v>0.219708</v>
      </c>
      <c r="Z28" s="4" t="n">
        <v>0.219708</v>
      </c>
      <c r="AA28" s="4" t="n">
        <v>0.219708</v>
      </c>
      <c r="AB28" s="4" t="n">
        <v>0.219708</v>
      </c>
      <c r="AC28" s="4" t="n">
        <v>0.219708</v>
      </c>
      <c r="AD28" s="4" t="n">
        <v>0.219708</v>
      </c>
      <c r="AE28" s="4" t="n">
        <v>0.219708</v>
      </c>
      <c r="AF28" s="4" t="n">
        <v>0.219708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0.03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0.024951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0.024865</v>
      </c>
      <c r="I33" s="4" t="n">
        <v>0.024865</v>
      </c>
      <c r="J33" s="4" t="n">
        <v>0.024865</v>
      </c>
      <c r="K33" s="4" t="n">
        <v>0.024865</v>
      </c>
      <c r="L33" s="4" t="n">
        <v>0.024865</v>
      </c>
      <c r="M33" s="4" t="n">
        <v>0.024865</v>
      </c>
      <c r="N33" s="4" t="n">
        <v>0.024865</v>
      </c>
      <c r="O33" s="4" t="n">
        <v>0.024865</v>
      </c>
      <c r="P33" s="4" t="n">
        <v>0.024865</v>
      </c>
      <c r="Q33" s="4" t="n">
        <v>0.024865</v>
      </c>
      <c r="R33" s="4" t="n">
        <v>0.024865</v>
      </c>
      <c r="S33" s="4" t="n">
        <v>0.024865</v>
      </c>
      <c r="T33" s="4" t="n">
        <v>0.024865</v>
      </c>
      <c r="U33" s="4" t="n">
        <v>0.024865</v>
      </c>
      <c r="V33" s="4" t="n">
        <v>0.024865</v>
      </c>
      <c r="W33" s="4" t="n">
        <v>0.024865</v>
      </c>
      <c r="X33" s="4" t="n">
        <v>0.024865</v>
      </c>
      <c r="Y33" s="4" t="n">
        <v>0.024865</v>
      </c>
      <c r="Z33" s="4" t="n">
        <v>0.024865</v>
      </c>
      <c r="AA33" s="4" t="n">
        <v>0.024865</v>
      </c>
      <c r="AB33" s="4" t="n">
        <v>0.024865</v>
      </c>
      <c r="AC33" s="4" t="n">
        <v>0.024865</v>
      </c>
      <c r="AD33" s="4" t="n">
        <v>0.024865</v>
      </c>
      <c r="AE33" s="4" t="n">
        <v>0.024865</v>
      </c>
      <c r="AF33" s="4" t="n">
        <v>0.024865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0.73</v>
      </c>
      <c r="I34" s="4" t="n">
        <v>0.73</v>
      </c>
      <c r="J34" s="4" t="n">
        <v>0.73</v>
      </c>
      <c r="K34" s="4" t="n">
        <v>0.73</v>
      </c>
      <c r="L34" s="4" t="n">
        <v>0.73</v>
      </c>
      <c r="M34" s="4" t="n">
        <v>0.73</v>
      </c>
      <c r="N34" s="4" t="n">
        <v>0.73</v>
      </c>
      <c r="O34" s="4" t="n">
        <v>0.73</v>
      </c>
      <c r="P34" s="4" t="n">
        <v>0.73</v>
      </c>
      <c r="Q34" s="4" t="n">
        <v>0.73</v>
      </c>
      <c r="R34" s="4" t="n">
        <v>0.73</v>
      </c>
      <c r="S34" s="4" t="n">
        <v>0.73</v>
      </c>
      <c r="T34" s="4" t="n">
        <v>0.73</v>
      </c>
      <c r="U34" s="4" t="n">
        <v>0.73</v>
      </c>
      <c r="V34" s="4" t="n">
        <v>0.73</v>
      </c>
      <c r="W34" s="4" t="n">
        <v>0.73</v>
      </c>
      <c r="X34" s="4" t="n">
        <v>0.73</v>
      </c>
      <c r="Y34" s="4" t="n">
        <v>0.73</v>
      </c>
      <c r="Z34" s="4" t="n">
        <v>0.73</v>
      </c>
      <c r="AA34" s="4" t="n">
        <v>0.73</v>
      </c>
      <c r="AB34" s="4" t="n">
        <v>0.73</v>
      </c>
      <c r="AC34" s="4" t="n">
        <v>0.73</v>
      </c>
      <c r="AD34" s="4" t="n">
        <v>0.73</v>
      </c>
      <c r="AE34" s="4" t="n">
        <v>0.73</v>
      </c>
      <c r="AF34" s="4" t="n">
        <v>0.73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0.028</v>
      </c>
      <c r="I37" s="4" t="n">
        <v>0.028</v>
      </c>
      <c r="J37" s="4" t="n">
        <v>0.029</v>
      </c>
      <c r="K37" s="4" t="n">
        <v>0.029</v>
      </c>
      <c r="L37" s="4" t="n">
        <v>0.03</v>
      </c>
      <c r="M37" s="4" t="n">
        <v>0.03</v>
      </c>
      <c r="N37" s="4" t="n">
        <v>0.03</v>
      </c>
      <c r="O37" s="4" t="n">
        <v>0.03</v>
      </c>
      <c r="P37" s="4" t="n">
        <v>0.03</v>
      </c>
      <c r="Q37" s="4" t="n">
        <v>0.03</v>
      </c>
      <c r="R37" s="4" t="n">
        <v>0.03</v>
      </c>
      <c r="S37" s="4" t="n">
        <v>0.03</v>
      </c>
      <c r="T37" s="4" t="n">
        <v>0.03</v>
      </c>
      <c r="U37" s="4" t="n">
        <v>0.03</v>
      </c>
      <c r="V37" s="4" t="n">
        <v>0.03</v>
      </c>
      <c r="W37" s="4" t="n">
        <v>0.03</v>
      </c>
      <c r="X37" s="4" t="n">
        <v>0.03</v>
      </c>
      <c r="Y37" s="4" t="n">
        <v>0.03</v>
      </c>
      <c r="Z37" s="4" t="n">
        <v>0.03</v>
      </c>
      <c r="AA37" s="4" t="n">
        <v>0.03</v>
      </c>
      <c r="AB37" s="4" t="n">
        <v>0.03</v>
      </c>
      <c r="AC37" s="4" t="n">
        <v>0.03</v>
      </c>
      <c r="AD37" s="4" t="n">
        <v>0.03</v>
      </c>
      <c r="AE37" s="4" t="n">
        <v>0.03</v>
      </c>
      <c r="AF37" s="4" t="n">
        <v>0.03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>
        <v>2030</v>
      </c>
      <c r="E40" s="13" t="n"/>
      <c r="F40" s="13" t="n"/>
      <c r="G40" s="13" t="n">
        <v>2030</v>
      </c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  <c r="P40" s="15">
        <f>MAX((O40-P41),0)</f>
        <v/>
      </c>
      <c r="Q40" s="15">
        <f>MAX((P40-Q41),0)</f>
        <v/>
      </c>
      <c r="R40" s="15">
        <f>MAX((Q40-R41),0)</f>
        <v/>
      </c>
      <c r="S40" s="15">
        <f>MAX((R40-S41),0)</f>
        <v/>
      </c>
      <c r="T40" s="15">
        <f>MAX((S40-T41),0)</f>
        <v/>
      </c>
      <c r="U40" s="15">
        <f>MAX((T40-U41),0)</f>
        <v/>
      </c>
      <c r="V40" s="15">
        <f>MAX((U40-V41),0)</f>
        <v/>
      </c>
      <c r="W40" s="15">
        <f>MAX((V40-W41),0)</f>
        <v/>
      </c>
      <c r="X40" s="15">
        <f>MAX((W40-X41),0)</f>
        <v/>
      </c>
      <c r="Y40" s="15">
        <f>MAX((X40-Y41),0)</f>
        <v/>
      </c>
      <c r="Z40" s="15">
        <f>MAX((Y40-Z41),0)</f>
        <v/>
      </c>
      <c r="AA40" s="15">
        <f>MAX((Z40-AA41),0)</f>
        <v/>
      </c>
      <c r="AB40" s="15">
        <f>MAX((AA40-AB41),0)</f>
        <v/>
      </c>
      <c r="AC40" s="15">
        <f>MAX((AB40-AC41),0)</f>
        <v/>
      </c>
      <c r="AD40" s="15">
        <f>MAX((AC40-AD41),0)</f>
        <v/>
      </c>
      <c r="AE40" s="15">
        <f>MAX((AD40-AE41),0)</f>
        <v/>
      </c>
      <c r="AF40" s="15">
        <f>MAX((AE40-AF41),0)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/>
      <c r="F41" s="13" t="n">
        <v>56.2</v>
      </c>
      <c r="G41" s="13" t="n">
        <v>70.8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  <c r="P41" s="15">
        <f>IF(($C$9&gt;0),MIN(P14,MAX(O40,0)),P14)</f>
        <v/>
      </c>
      <c r="Q41" s="15">
        <f>IF(($C$9&gt;0),MIN(Q14,MAX(P40,0)),Q14)</f>
        <v/>
      </c>
      <c r="R41" s="15">
        <f>IF(($C$9&gt;0),MIN(R14,MAX(Q40,0)),R14)</f>
        <v/>
      </c>
      <c r="S41" s="15">
        <f>IF(($C$9&gt;0),MIN(S14,MAX(R40,0)),S14)</f>
        <v/>
      </c>
      <c r="T41" s="15">
        <f>IF(($C$9&gt;0),MIN(T14,MAX(S40,0)),T14)</f>
        <v/>
      </c>
      <c r="U41" s="15">
        <f>IF(($C$9&gt;0),MIN(U14,MAX(T40,0)),U14)</f>
        <v/>
      </c>
      <c r="V41" s="15">
        <f>IF(($C$9&gt;0),MIN(V14,MAX(U40,0)),V14)</f>
        <v/>
      </c>
      <c r="W41" s="15">
        <f>IF(($C$9&gt;0),MIN(W14,MAX(V40,0)),W14)</f>
        <v/>
      </c>
      <c r="X41" s="15">
        <f>IF(($C$9&gt;0),MIN(X14,MAX(W40,0)),X14)</f>
        <v/>
      </c>
      <c r="Y41" s="15">
        <f>IF(($C$9&gt;0),MIN(Y14,MAX(X40,0)),Y14)</f>
        <v/>
      </c>
      <c r="Z41" s="15">
        <f>IF(($C$9&gt;0),MIN(Z14,MAX(Y40,0)),Z14)</f>
        <v/>
      </c>
      <c r="AA41" s="15">
        <f>IF(($C$9&gt;0),MIN(AA14,MAX(Z40,0)),AA14)</f>
        <v/>
      </c>
      <c r="AB41" s="15">
        <f>IF(($C$9&gt;0),MIN(AB14,MAX(AA40,0)),AB14)</f>
        <v/>
      </c>
      <c r="AC41" s="15">
        <f>IF(($C$9&gt;0),MIN(AC14,MAX(AB40,0)),AC14)</f>
        <v/>
      </c>
      <c r="AD41" s="15">
        <f>IF(($C$9&gt;0),MIN(AD14,MAX(AC40,0)),AD14)</f>
        <v/>
      </c>
      <c r="AE41" s="15">
        <f>IF(($C$9&gt;0),MIN(AE14,MAX(AD40,0)),AE14)</f>
        <v/>
      </c>
      <c r="AF41" s="15">
        <f>IF(($C$9&gt;0),MIN(AF14,MAX(AE40,0)),AF14)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  <c r="K42" s="16">
        <f>Drivers!$O$6</f>
        <v/>
      </c>
      <c r="L42" s="16">
        <f>Drivers!$P$6</f>
        <v/>
      </c>
      <c r="M42" s="16">
        <f>Drivers!$Q$6</f>
        <v/>
      </c>
      <c r="N42" s="16">
        <f>Drivers!$R$6</f>
        <v/>
      </c>
      <c r="O42" s="16">
        <f>Drivers!$S$6</f>
        <v/>
      </c>
      <c r="P42" s="16">
        <f>Drivers!$T$6</f>
        <v/>
      </c>
      <c r="Q42" s="16">
        <f>Drivers!$U$6</f>
        <v/>
      </c>
      <c r="R42" s="16">
        <f>Drivers!$V$6</f>
        <v/>
      </c>
      <c r="S42" s="16">
        <f>Drivers!$W$6</f>
        <v/>
      </c>
      <c r="T42" s="16">
        <f>Drivers!$X$6</f>
        <v/>
      </c>
      <c r="U42" s="16">
        <f>Drivers!$Y$6</f>
        <v/>
      </c>
      <c r="V42" s="16">
        <f>Drivers!$Z$6</f>
        <v/>
      </c>
      <c r="W42" s="16">
        <f>Drivers!$AA$6</f>
        <v/>
      </c>
      <c r="X42" s="16">
        <f>Drivers!$AB$6</f>
        <v/>
      </c>
      <c r="Y42" s="16">
        <f>Drivers!$AC$6</f>
        <v/>
      </c>
      <c r="Z42" s="16">
        <f>Drivers!$AD$6</f>
        <v/>
      </c>
      <c r="AA42" s="16">
        <f>Drivers!$AE$6</f>
        <v/>
      </c>
      <c r="AB42" s="16">
        <f>Drivers!$AF$6</f>
        <v/>
      </c>
      <c r="AC42" s="16">
        <f>Drivers!$AG$6</f>
        <v/>
      </c>
      <c r="AD42" s="16">
        <f>Drivers!$AH$6</f>
        <v/>
      </c>
      <c r="AE42" s="16">
        <f>Drivers!$AI$6</f>
        <v/>
      </c>
      <c r="AF42" s="16">
        <f>Drivers!$AJ$6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>
        <v>61.3</v>
      </c>
      <c r="G43" s="3" t="n">
        <v>48.4</v>
      </c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  <c r="K43" s="16">
        <f>(((K15*K42)*(1-K16))+(MIN(Drivers!$O$4,(K15*K42))*K16))</f>
        <v/>
      </c>
      <c r="L43" s="16">
        <f>(((L15*L42)*(1-L16))+(MIN(Drivers!$P$4,(L15*L42))*L16))</f>
        <v/>
      </c>
      <c r="M43" s="16">
        <f>(((M15*M42)*(1-M16))+(MIN(Drivers!$Q$4,(M15*M42))*M16))</f>
        <v/>
      </c>
      <c r="N43" s="16">
        <f>(((N15*N42)*(1-N16))+(MIN(Drivers!$R$4,(N15*N42))*N16))</f>
        <v/>
      </c>
      <c r="O43" s="16">
        <f>(((O15*O42)*(1-O16))+(MIN(Drivers!$S$4,(O15*O42))*O16))</f>
        <v/>
      </c>
      <c r="P43" s="16">
        <f>(((P15*P42)*(1-P16))+(MIN(Drivers!$T$4,(P15*P42))*P16))</f>
        <v/>
      </c>
      <c r="Q43" s="16">
        <f>(((Q15*Q42)*(1-Q16))+(MIN(Drivers!$U$4,(Q15*Q42))*Q16))</f>
        <v/>
      </c>
      <c r="R43" s="16">
        <f>(((R15*R42)*(1-R16))+(MIN(Drivers!$V$4,(R15*R42))*R16))</f>
        <v/>
      </c>
      <c r="S43" s="16">
        <f>(((S15*S42)*(1-S16))+(MIN(Drivers!$W$4,(S15*S42))*S16))</f>
        <v/>
      </c>
      <c r="T43" s="16">
        <f>(((T15*T42)*(1-T16))+(MIN(Drivers!$X$4,(T15*T42))*T16))</f>
        <v/>
      </c>
      <c r="U43" s="16">
        <f>(((U15*U42)*(1-U16))+(MIN(Drivers!$Y$4,(U15*U42))*U16))</f>
        <v/>
      </c>
      <c r="V43" s="16">
        <f>(((V15*V42)*(1-V16))+(MIN(Drivers!$Z$4,(V15*V42))*V16))</f>
        <v/>
      </c>
      <c r="W43" s="16">
        <f>(((W15*W42)*(1-W16))+(MIN(Drivers!$AA$4,(W15*W42))*W16))</f>
        <v/>
      </c>
      <c r="X43" s="16">
        <f>(((X15*X42)*(1-X16))+(MIN(Drivers!$AB$4,(X15*X42))*X16))</f>
        <v/>
      </c>
      <c r="Y43" s="16">
        <f>(((Y15*Y42)*(1-Y16))+(MIN(Drivers!$AC$4,(Y15*Y42))*Y16))</f>
        <v/>
      </c>
      <c r="Z43" s="16">
        <f>(((Z15*Z42)*(1-Z16))+(MIN(Drivers!$AD$4,(Z15*Z42))*Z16))</f>
        <v/>
      </c>
      <c r="AA43" s="16">
        <f>(((AA15*AA42)*(1-AA16))+(MIN(Drivers!$AE$4,(AA15*AA42))*AA16))</f>
        <v/>
      </c>
      <c r="AB43" s="16">
        <f>(((AB15*AB42)*(1-AB16))+(MIN(Drivers!$AF$4,(AB15*AB42))*AB16))</f>
        <v/>
      </c>
      <c r="AC43" s="16">
        <f>(((AC15*AC42)*(1-AC16))+(MIN(Drivers!$AG$4,(AC15*AC42))*AC16))</f>
        <v/>
      </c>
      <c r="AD43" s="16">
        <f>(((AD15*AD42)*(1-AD16))+(MIN(Drivers!$AH$4,(AD15*AD42))*AD16))</f>
        <v/>
      </c>
      <c r="AE43" s="16">
        <f>(((AE15*AE42)*(1-AE16))+(MIN(Drivers!$AI$4,(AE15*AE42))*AE16))</f>
        <v/>
      </c>
      <c r="AF43" s="16">
        <f>(((AF15*AF42)*(1-AF16))+(MIN(Drivers!$AJ$4,(AF15*AF42))*AF16))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  <c r="L44" s="17">
        <f>IF(L42=0,0,L43/L42)</f>
        <v/>
      </c>
      <c r="M44" s="17">
        <f>IF(M42=0,0,M43/M42)</f>
        <v/>
      </c>
      <c r="N44" s="17">
        <f>IF(N42=0,0,N43/N42)</f>
        <v/>
      </c>
      <c r="O44" s="17">
        <f>IF(O42=0,0,O43/O42)</f>
        <v/>
      </c>
      <c r="P44" s="17">
        <f>IF(P42=0,0,P43/P42)</f>
        <v/>
      </c>
      <c r="Q44" s="17">
        <f>IF(Q42=0,0,Q43/Q42)</f>
        <v/>
      </c>
      <c r="R44" s="17">
        <f>IF(R42=0,0,R43/R42)</f>
        <v/>
      </c>
      <c r="S44" s="17">
        <f>IF(S42=0,0,S43/S42)</f>
        <v/>
      </c>
      <c r="T44" s="17">
        <f>IF(T42=0,0,T43/T42)</f>
        <v/>
      </c>
      <c r="U44" s="17">
        <f>IF(U42=0,0,U43/U42)</f>
        <v/>
      </c>
      <c r="V44" s="17">
        <f>IF(V42=0,0,V43/V42)</f>
        <v/>
      </c>
      <c r="W44" s="17">
        <f>IF(W42=0,0,W43/W42)</f>
        <v/>
      </c>
      <c r="X44" s="17">
        <f>IF(X42=0,0,X43/X42)</f>
        <v/>
      </c>
      <c r="Y44" s="17">
        <f>IF(Y42=0,0,Y43/Y42)</f>
        <v/>
      </c>
      <c r="Z44" s="17">
        <f>IF(Z42=0,0,Z43/Z42)</f>
        <v/>
      </c>
      <c r="AA44" s="17">
        <f>IF(AA42=0,0,AA43/AA42)</f>
        <v/>
      </c>
      <c r="AB44" s="17">
        <f>IF(AB42=0,0,AB43/AB42)</f>
        <v/>
      </c>
      <c r="AC44" s="17">
        <f>IF(AC42=0,0,AC43/AC42)</f>
        <v/>
      </c>
      <c r="AD44" s="17">
        <f>IF(AD42=0,0,AD43/AD42)</f>
        <v/>
      </c>
      <c r="AE44" s="17">
        <f>IF(AE42=0,0,AE43/AE42)</f>
        <v/>
      </c>
      <c r="AF44" s="17">
        <f>IF(AF42=0,0,AF43/AF42)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>
        <v>37.8</v>
      </c>
      <c r="G45" s="3" t="n">
        <v>32.5</v>
      </c>
      <c r="H45" s="16">
        <f>(((H17*H18)*(1+($C$19*(IF(Drivers!$J$8=0,0,Drivers!$L$8/Drivers!$J$8)-1))))+H20)</f>
        <v/>
      </c>
      <c r="I45" s="16">
        <f>(((I17*I18)*(1+($C$19*(IF(Drivers!$J$8=0,0,Drivers!$M$8/Drivers!$J$8)-1))))+I20)</f>
        <v/>
      </c>
      <c r="J45" s="16">
        <f>(((J17*J18)*(1+($C$19*(IF(Drivers!$J$8=0,0,Drivers!$N$8/Drivers!$J$8)-1))))+J20)</f>
        <v/>
      </c>
      <c r="K45" s="16">
        <f>(((K17*K18)*(1+($C$19*(IF(Drivers!$J$8=0,0,Drivers!$O$8/Drivers!$J$8)-1))))+K20)</f>
        <v/>
      </c>
      <c r="L45" s="16">
        <f>(((L17*L18)*(1+($C$19*(IF(Drivers!$J$8=0,0,Drivers!$P$8/Drivers!$J$8)-1))))+L20)</f>
        <v/>
      </c>
      <c r="M45" s="16">
        <f>(((M17*M18)*(1+($C$19*(IF(Drivers!$J$8=0,0,Drivers!$Q$8/Drivers!$J$8)-1))))+M20)</f>
        <v/>
      </c>
      <c r="N45" s="16">
        <f>(((N17*N18)*(1+($C$19*(IF(Drivers!$J$8=0,0,Drivers!$R$8/Drivers!$J$8)-1))))+N20)</f>
        <v/>
      </c>
      <c r="O45" s="16">
        <f>(((O17*O18)*(1+($C$19*(IF(Drivers!$J$8=0,0,Drivers!$S$8/Drivers!$J$8)-1))))+O20)</f>
        <v/>
      </c>
      <c r="P45" s="16">
        <f>(((P17*P18)*(1+($C$19*(IF(Drivers!$J$8=0,0,Drivers!$T$8/Drivers!$J$8)-1))))+P20)</f>
        <v/>
      </c>
      <c r="Q45" s="16">
        <f>(((Q17*Q18)*(1+($C$19*(IF(Drivers!$J$8=0,0,Drivers!$U$8/Drivers!$J$8)-1))))+Q20)</f>
        <v/>
      </c>
      <c r="R45" s="16">
        <f>(((R17*R18)*(1+($C$19*(IF(Drivers!$J$8=0,0,Drivers!$V$8/Drivers!$J$8)-1))))+R20)</f>
        <v/>
      </c>
      <c r="S45" s="16">
        <f>(((S17*S18)*(1+($C$19*(IF(Drivers!$J$8=0,0,Drivers!$W$8/Drivers!$J$8)-1))))+S20)</f>
        <v/>
      </c>
      <c r="T45" s="16">
        <f>(((T17*T18)*(1+($C$19*(IF(Drivers!$J$8=0,0,Drivers!$X$8/Drivers!$J$8)-1))))+T20)</f>
        <v/>
      </c>
      <c r="U45" s="16">
        <f>(((U17*U18)*(1+($C$19*(IF(Drivers!$J$8=0,0,Drivers!$Y$8/Drivers!$J$8)-1))))+U20)</f>
        <v/>
      </c>
      <c r="V45" s="16">
        <f>(((V17*V18)*(1+($C$19*(IF(Drivers!$J$8=0,0,Drivers!$Z$8/Drivers!$J$8)-1))))+V20)</f>
        <v/>
      </c>
      <c r="W45" s="16">
        <f>(((W17*W18)*(1+($C$19*(IF(Drivers!$J$8=0,0,Drivers!$AA$8/Drivers!$J$8)-1))))+W20)</f>
        <v/>
      </c>
      <c r="X45" s="16">
        <f>(((X17*X18)*(1+($C$19*(IF(Drivers!$J$8=0,0,Drivers!$AB$8/Drivers!$J$8)-1))))+X20)</f>
        <v/>
      </c>
      <c r="Y45" s="16">
        <f>(((Y17*Y18)*(1+($C$19*(IF(Drivers!$J$8=0,0,Drivers!$AC$8/Drivers!$J$8)-1))))+Y20)</f>
        <v/>
      </c>
      <c r="Z45" s="16">
        <f>(((Z17*Z18)*(1+($C$19*(IF(Drivers!$J$8=0,0,Drivers!$AD$8/Drivers!$J$8)-1))))+Z20)</f>
        <v/>
      </c>
      <c r="AA45" s="16">
        <f>(((AA17*AA18)*(1+($C$19*(IF(Drivers!$J$8=0,0,Drivers!$AE$8/Drivers!$J$8)-1))))+AA20)</f>
        <v/>
      </c>
      <c r="AB45" s="16">
        <f>(((AB17*AB18)*(1+($C$19*(IF(Drivers!$J$8=0,0,Drivers!$AF$8/Drivers!$J$8)-1))))+AB20)</f>
        <v/>
      </c>
      <c r="AC45" s="16">
        <f>(((AC17*AC18)*(1+($C$19*(IF(Drivers!$J$8=0,0,Drivers!$AG$8/Drivers!$J$8)-1))))+AC20)</f>
        <v/>
      </c>
      <c r="AD45" s="16">
        <f>(((AD17*AD18)*(1+($C$19*(IF(Drivers!$J$8=0,0,Drivers!$AH$8/Drivers!$J$8)-1))))+AD20)</f>
        <v/>
      </c>
      <c r="AE45" s="16">
        <f>(((AE17*AE18)*(1+($C$19*(IF(Drivers!$J$8=0,0,Drivers!$AI$8/Drivers!$J$8)-1))))+AE20)</f>
        <v/>
      </c>
      <c r="AF45" s="16">
        <f>(((AF17*AF18)*(1+($C$19*(IF(Drivers!$J$8=0,0,Drivers!$AJ$8/Drivers!$J$8)-1))))+AF20)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>
        <v>4.5</v>
      </c>
      <c r="H46" s="18">
        <f>H17</f>
        <v/>
      </c>
      <c r="I46" s="18">
        <f>I17</f>
        <v/>
      </c>
      <c r="J46" s="18">
        <f>J17</f>
        <v/>
      </c>
      <c r="K46" s="18">
        <f>K17</f>
        <v/>
      </c>
      <c r="L46" s="18">
        <f>L17</f>
        <v/>
      </c>
      <c r="M46" s="18">
        <f>M17</f>
        <v/>
      </c>
      <c r="N46" s="18">
        <f>N17</f>
        <v/>
      </c>
      <c r="O46" s="18">
        <f>O17</f>
        <v/>
      </c>
      <c r="P46" s="18">
        <f>P17</f>
        <v/>
      </c>
      <c r="Q46" s="18">
        <f>Q17</f>
        <v/>
      </c>
      <c r="R46" s="18">
        <f>R17</f>
        <v/>
      </c>
      <c r="S46" s="18">
        <f>S17</f>
        <v/>
      </c>
      <c r="T46" s="18">
        <f>T17</f>
        <v/>
      </c>
      <c r="U46" s="18">
        <f>U17</f>
        <v/>
      </c>
      <c r="V46" s="18">
        <f>V17</f>
        <v/>
      </c>
      <c r="W46" s="18">
        <f>W17</f>
        <v/>
      </c>
      <c r="X46" s="18">
        <f>X17</f>
        <v/>
      </c>
      <c r="Y46" s="18">
        <f>Y17</f>
        <v/>
      </c>
      <c r="Z46" s="18">
        <f>Z17</f>
        <v/>
      </c>
      <c r="AA46" s="18">
        <f>AA17</f>
        <v/>
      </c>
      <c r="AB46" s="18">
        <f>AB17</f>
        <v/>
      </c>
      <c r="AC46" s="18">
        <f>AC17</f>
        <v/>
      </c>
      <c r="AD46" s="18">
        <f>AD17</f>
        <v/>
      </c>
      <c r="AE46" s="18">
        <f>AE17</f>
        <v/>
      </c>
      <c r="AF46" s="18">
        <f>AF17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7">
        <f>H21</f>
        <v/>
      </c>
      <c r="I47" s="17">
        <f>I21</f>
        <v/>
      </c>
      <c r="J47" s="17">
        <f>J21</f>
        <v/>
      </c>
      <c r="K47" s="17">
        <f>K21</f>
        <v/>
      </c>
      <c r="L47" s="17">
        <f>L21</f>
        <v/>
      </c>
      <c r="M47" s="17">
        <f>M21</f>
        <v/>
      </c>
      <c r="N47" s="17">
        <f>N21</f>
        <v/>
      </c>
      <c r="O47" s="17">
        <f>O21</f>
        <v/>
      </c>
      <c r="P47" s="17">
        <f>P21</f>
        <v/>
      </c>
      <c r="Q47" s="17">
        <f>Q21</f>
        <v/>
      </c>
      <c r="R47" s="17">
        <f>R21</f>
        <v/>
      </c>
      <c r="S47" s="17">
        <f>S21</f>
        <v/>
      </c>
      <c r="T47" s="17">
        <f>T21</f>
        <v/>
      </c>
      <c r="U47" s="17">
        <f>U21</f>
        <v/>
      </c>
      <c r="V47" s="17">
        <f>V21</f>
        <v/>
      </c>
      <c r="W47" s="17">
        <f>W21</f>
        <v/>
      </c>
      <c r="X47" s="17">
        <f>X21</f>
        <v/>
      </c>
      <c r="Y47" s="17">
        <f>Y21</f>
        <v/>
      </c>
      <c r="Z47" s="17">
        <f>Z21</f>
        <v/>
      </c>
      <c r="AA47" s="17">
        <f>AA21</f>
        <v/>
      </c>
      <c r="AB47" s="17">
        <f>AB21</f>
        <v/>
      </c>
      <c r="AC47" s="17">
        <f>AC21</f>
        <v/>
      </c>
      <c r="AD47" s="17">
        <f>AD21</f>
        <v/>
      </c>
      <c r="AE47" s="17">
        <f>AE21</f>
        <v/>
      </c>
      <c r="AF47" s="17">
        <f>AF21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/>
      <c r="F48" s="3" t="n">
        <v>23.29716779359431</v>
      </c>
      <c r="G48" s="3" t="n">
        <v>15.72669310734463</v>
      </c>
      <c r="H48" s="19">
        <f>IF((H41*$C$10)=0,0,H61/(H41*$C$10))</f>
        <v/>
      </c>
      <c r="I48" s="19">
        <f>IF((I41*$C$10)=0,0,I61/(I41*$C$10))</f>
        <v/>
      </c>
      <c r="J48" s="19">
        <f>IF((J41*$C$10)=0,0,J61/(J41*$C$10))</f>
        <v/>
      </c>
      <c r="K48" s="19">
        <f>IF((K41*$C$10)=0,0,K61/(K41*$C$10))</f>
        <v/>
      </c>
      <c r="L48" s="19">
        <f>IF((L41*$C$10)=0,0,L61/(L41*$C$10))</f>
        <v/>
      </c>
      <c r="M48" s="19">
        <f>IF((M41*$C$10)=0,0,M61/(M41*$C$10))</f>
        <v/>
      </c>
      <c r="N48" s="19">
        <f>IF((N41*$C$10)=0,0,N61/(N41*$C$10))</f>
        <v/>
      </c>
      <c r="O48" s="19">
        <f>IF((O41*$C$10)=0,0,O61/(O41*$C$10))</f>
        <v/>
      </c>
      <c r="P48" s="19">
        <f>IF((P41*$C$10)=0,0,P61/(P41*$C$10))</f>
        <v/>
      </c>
      <c r="Q48" s="19">
        <f>IF((Q41*$C$10)=0,0,Q61/(Q41*$C$10))</f>
        <v/>
      </c>
      <c r="R48" s="19">
        <f>IF((R41*$C$10)=0,0,R61/(R41*$C$10))</f>
        <v/>
      </c>
      <c r="S48" s="19">
        <f>IF((S41*$C$10)=0,0,S61/(S41*$C$10))</f>
        <v/>
      </c>
      <c r="T48" s="19">
        <f>IF((T41*$C$10)=0,0,T61/(T41*$C$10))</f>
        <v/>
      </c>
      <c r="U48" s="19">
        <f>IF((U41*$C$10)=0,0,U61/(U41*$C$10))</f>
        <v/>
      </c>
      <c r="V48" s="19">
        <f>IF((V41*$C$10)=0,0,V61/(V41*$C$10))</f>
        <v/>
      </c>
      <c r="W48" s="19">
        <f>IF((W41*$C$10)=0,0,W61/(W41*$C$10))</f>
        <v/>
      </c>
      <c r="X48" s="19">
        <f>IF((X41*$C$10)=0,0,X61/(X41*$C$10))</f>
        <v/>
      </c>
      <c r="Y48" s="19">
        <f>IF((Y41*$C$10)=0,0,Y61/(Y41*$C$10))</f>
        <v/>
      </c>
      <c r="Z48" s="19">
        <f>IF((Z41*$C$10)=0,0,Z61/(Z41*$C$10))</f>
        <v/>
      </c>
      <c r="AA48" s="19">
        <f>IF((AA41*$C$10)=0,0,AA61/(AA41*$C$10))</f>
        <v/>
      </c>
      <c r="AB48" s="19">
        <f>IF((AB41*$C$10)=0,0,AB61/(AB41*$C$10))</f>
        <v/>
      </c>
      <c r="AC48" s="19">
        <f>IF((AC41*$C$10)=0,0,AC61/(AC41*$C$10))</f>
        <v/>
      </c>
      <c r="AD48" s="19">
        <f>IF((AD41*$C$10)=0,0,AD61/(AD41*$C$10))</f>
        <v/>
      </c>
      <c r="AE48" s="19">
        <f>IF((AE41*$C$10)=0,0,AE61/(AE41*$C$10))</f>
        <v/>
      </c>
      <c r="AF48" s="19">
        <f>IF((AF41*$C$10)=0,0,AF61/(AF41*$C$10))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9">
        <f>IF((H41*$C$10)=0,0,(H53+H52)/(H41*$C$10))</f>
        <v/>
      </c>
      <c r="I49" s="19">
        <f>IF((I41*$C$10)=0,0,(I53+I52)/(I41*$C$10))</f>
        <v/>
      </c>
      <c r="J49" s="19">
        <f>IF((J41*$C$10)=0,0,(J53+J52)/(J41*$C$10))</f>
        <v/>
      </c>
      <c r="K49" s="19">
        <f>IF((K41*$C$10)=0,0,(K53+K52)/(K41*$C$10))</f>
        <v/>
      </c>
      <c r="L49" s="19">
        <f>IF((L41*$C$10)=0,0,(L53+L52)/(L41*$C$10))</f>
        <v/>
      </c>
      <c r="M49" s="19">
        <f>IF((M41*$C$10)=0,0,(M53+M52)/(M41*$C$10))</f>
        <v/>
      </c>
      <c r="N49" s="19">
        <f>IF((N41*$C$10)=0,0,(N53+N52)/(N41*$C$10))</f>
        <v/>
      </c>
      <c r="O49" s="19">
        <f>IF((O41*$C$10)=0,0,(O53+O52)/(O41*$C$10))</f>
        <v/>
      </c>
      <c r="P49" s="19">
        <f>IF((P41*$C$10)=0,0,(P53+P52)/(P41*$C$10))</f>
        <v/>
      </c>
      <c r="Q49" s="19">
        <f>IF((Q41*$C$10)=0,0,(Q53+Q52)/(Q41*$C$10))</f>
        <v/>
      </c>
      <c r="R49" s="19">
        <f>IF((R41*$C$10)=0,0,(R53+R52)/(R41*$C$10))</f>
        <v/>
      </c>
      <c r="S49" s="19">
        <f>IF((S41*$C$10)=0,0,(S53+S52)/(S41*$C$10))</f>
        <v/>
      </c>
      <c r="T49" s="19">
        <f>IF((T41*$C$10)=0,0,(T53+T52)/(T41*$C$10))</f>
        <v/>
      </c>
      <c r="U49" s="19">
        <f>IF((U41*$C$10)=0,0,(U53+U52)/(U41*$C$10))</f>
        <v/>
      </c>
      <c r="V49" s="19">
        <f>IF((V41*$C$10)=0,0,(V53+V52)/(V41*$C$10))</f>
        <v/>
      </c>
      <c r="W49" s="19">
        <f>IF((W41*$C$10)=0,0,(W53+W52)/(W41*$C$10))</f>
        <v/>
      </c>
      <c r="X49" s="19">
        <f>IF((X41*$C$10)=0,0,(X53+X52)/(X41*$C$10))</f>
        <v/>
      </c>
      <c r="Y49" s="19">
        <f>IF((Y41*$C$10)=0,0,(Y53+Y52)/(Y41*$C$10))</f>
        <v/>
      </c>
      <c r="Z49" s="19">
        <f>IF((Z41*$C$10)=0,0,(Z53+Z52)/(Z41*$C$10))</f>
        <v/>
      </c>
      <c r="AA49" s="19">
        <f>IF((AA41*$C$10)=0,0,(AA53+AA52)/(AA41*$C$10))</f>
        <v/>
      </c>
      <c r="AB49" s="19">
        <f>IF((AB41*$C$10)=0,0,(AB53+AB52)/(AB41*$C$10))</f>
        <v/>
      </c>
      <c r="AC49" s="19">
        <f>IF((AC41*$C$10)=0,0,(AC53+AC52)/(AC41*$C$10))</f>
        <v/>
      </c>
      <c r="AD49" s="19">
        <f>IF((AD41*$C$10)=0,0,(AD53+AD52)/(AD41*$C$10))</f>
        <v/>
      </c>
      <c r="AE49" s="19">
        <f>IF((AE41*$C$10)=0,0,(AE53+AE52)/(AE41*$C$10))</f>
        <v/>
      </c>
      <c r="AF49" s="19">
        <f>IF((AF41*$C$10)=0,0,(AF53+AF52)/(AF41*$C$10))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15">
        <f>((H41*H43)*$C$10)</f>
        <v/>
      </c>
      <c r="I50" s="15">
        <f>((I41*I43)*$C$10)</f>
        <v/>
      </c>
      <c r="J50" s="15">
        <f>((J41*J43)*$C$10)</f>
        <v/>
      </c>
      <c r="K50" s="15">
        <f>((K41*K43)*$C$10)</f>
        <v/>
      </c>
      <c r="L50" s="15">
        <f>((L41*L43)*$C$10)</f>
        <v/>
      </c>
      <c r="M50" s="15">
        <f>((M41*M43)*$C$10)</f>
        <v/>
      </c>
      <c r="N50" s="15">
        <f>((N41*N43)*$C$10)</f>
        <v/>
      </c>
      <c r="O50" s="15">
        <f>((O41*O43)*$C$10)</f>
        <v/>
      </c>
      <c r="P50" s="15">
        <f>((P41*P43)*$C$10)</f>
        <v/>
      </c>
      <c r="Q50" s="15">
        <f>((Q41*Q43)*$C$10)</f>
        <v/>
      </c>
      <c r="R50" s="15">
        <f>((R41*R43)*$C$10)</f>
        <v/>
      </c>
      <c r="S50" s="15">
        <f>((S41*S43)*$C$10)</f>
        <v/>
      </c>
      <c r="T50" s="15">
        <f>((T41*T43)*$C$10)</f>
        <v/>
      </c>
      <c r="U50" s="15">
        <f>((U41*U43)*$C$10)</f>
        <v/>
      </c>
      <c r="V50" s="15">
        <f>((V41*V43)*$C$10)</f>
        <v/>
      </c>
      <c r="W50" s="15">
        <f>((W41*W43)*$C$10)</f>
        <v/>
      </c>
      <c r="X50" s="15">
        <f>((X41*X43)*$C$10)</f>
        <v/>
      </c>
      <c r="Y50" s="15">
        <f>((Y41*Y43)*$C$10)</f>
        <v/>
      </c>
      <c r="Z50" s="15">
        <f>((Z41*Z43)*$C$10)</f>
        <v/>
      </c>
      <c r="AA50" s="15">
        <f>((AA41*AA43)*$C$10)</f>
        <v/>
      </c>
      <c r="AB50" s="15">
        <f>((AB41*AB43)*$C$10)</f>
        <v/>
      </c>
      <c r="AC50" s="15">
        <f>((AC41*AC43)*$C$10)</f>
        <v/>
      </c>
      <c r="AD50" s="15">
        <f>((AD41*AD43)*$C$10)</f>
        <v/>
      </c>
      <c r="AE50" s="15">
        <f>((AE41*AE43)*$C$10)</f>
        <v/>
      </c>
      <c r="AF50" s="15">
        <f>((AF41*AF43)*$C$10)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  <c r="P51" s="15">
        <f>P22</f>
        <v/>
      </c>
      <c r="Q51" s="15">
        <f>Q22</f>
        <v/>
      </c>
      <c r="R51" s="15">
        <f>R22</f>
        <v/>
      </c>
      <c r="S51" s="15">
        <f>S22</f>
        <v/>
      </c>
      <c r="T51" s="15">
        <f>T22</f>
        <v/>
      </c>
      <c r="U51" s="15">
        <f>U22</f>
        <v/>
      </c>
      <c r="V51" s="15">
        <f>V22</f>
        <v/>
      </c>
      <c r="W51" s="15">
        <f>W22</f>
        <v/>
      </c>
      <c r="X51" s="15">
        <f>X22</f>
        <v/>
      </c>
      <c r="Y51" s="15">
        <f>Y22</f>
        <v/>
      </c>
      <c r="Z51" s="15">
        <f>Z22</f>
        <v/>
      </c>
      <c r="AA51" s="15">
        <f>AA22</f>
        <v/>
      </c>
      <c r="AB51" s="15">
        <f>AB22</f>
        <v/>
      </c>
      <c r="AC51" s="15">
        <f>AC22</f>
        <v/>
      </c>
      <c r="AD51" s="15">
        <f>AD22</f>
        <v/>
      </c>
      <c r="AE51" s="15">
        <f>AE22</f>
        <v/>
      </c>
      <c r="AF51" s="15">
        <f>AF22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  <c r="P52" s="15">
        <f>(P50*P47)</f>
        <v/>
      </c>
      <c r="Q52" s="15">
        <f>(Q50*Q47)</f>
        <v/>
      </c>
      <c r="R52" s="15">
        <f>(R50*R47)</f>
        <v/>
      </c>
      <c r="S52" s="15">
        <f>(S50*S47)</f>
        <v/>
      </c>
      <c r="T52" s="15">
        <f>(T50*T47)</f>
        <v/>
      </c>
      <c r="U52" s="15">
        <f>(U50*U47)</f>
        <v/>
      </c>
      <c r="V52" s="15">
        <f>(V50*V47)</f>
        <v/>
      </c>
      <c r="W52" s="15">
        <f>(W50*W47)</f>
        <v/>
      </c>
      <c r="X52" s="15">
        <f>(X50*X47)</f>
        <v/>
      </c>
      <c r="Y52" s="15">
        <f>(Y50*Y47)</f>
        <v/>
      </c>
      <c r="Z52" s="15">
        <f>(Z50*Z47)</f>
        <v/>
      </c>
      <c r="AA52" s="15">
        <f>(AA50*AA47)</f>
        <v/>
      </c>
      <c r="AB52" s="15">
        <f>(AB50*AB47)</f>
        <v/>
      </c>
      <c r="AC52" s="15">
        <f>(AC50*AC47)</f>
        <v/>
      </c>
      <c r="AD52" s="15">
        <f>(AD50*AD47)</f>
        <v/>
      </c>
      <c r="AE52" s="15">
        <f>(AE50*AE47)</f>
        <v/>
      </c>
      <c r="AF52" s="15">
        <f>(AF50*AF47)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((H41*H45)*$C$10)</f>
        <v/>
      </c>
      <c r="I53" s="15">
        <f>((I41*I45)*$C$10)</f>
        <v/>
      </c>
      <c r="J53" s="15">
        <f>((J41*J45)*$C$10)</f>
        <v/>
      </c>
      <c r="K53" s="15">
        <f>((K41*K45)*$C$10)</f>
        <v/>
      </c>
      <c r="L53" s="15">
        <f>((L41*L45)*$C$10)</f>
        <v/>
      </c>
      <c r="M53" s="15">
        <f>((M41*M45)*$C$10)</f>
        <v/>
      </c>
      <c r="N53" s="15">
        <f>((N41*N45)*$C$10)</f>
        <v/>
      </c>
      <c r="O53" s="15">
        <f>((O41*O45)*$C$10)</f>
        <v/>
      </c>
      <c r="P53" s="15">
        <f>((P41*P45)*$C$10)</f>
        <v/>
      </c>
      <c r="Q53" s="15">
        <f>((Q41*Q45)*$C$10)</f>
        <v/>
      </c>
      <c r="R53" s="15">
        <f>((R41*R45)*$C$10)</f>
        <v/>
      </c>
      <c r="S53" s="15">
        <f>((S41*S45)*$C$10)</f>
        <v/>
      </c>
      <c r="T53" s="15">
        <f>((T41*T45)*$C$10)</f>
        <v/>
      </c>
      <c r="U53" s="15">
        <f>((U41*U45)*$C$10)</f>
        <v/>
      </c>
      <c r="V53" s="15">
        <f>((V41*V45)*$C$10)</f>
        <v/>
      </c>
      <c r="W53" s="15">
        <f>((W41*W45)*$C$10)</f>
        <v/>
      </c>
      <c r="X53" s="15">
        <f>((X41*X45)*$C$10)</f>
        <v/>
      </c>
      <c r="Y53" s="15">
        <f>((Y41*Y45)*$C$10)</f>
        <v/>
      </c>
      <c r="Z53" s="15">
        <f>((Z41*Z45)*$C$10)</f>
        <v/>
      </c>
      <c r="AA53" s="15">
        <f>((AA41*AA45)*$C$10)</f>
        <v/>
      </c>
      <c r="AB53" s="15">
        <f>((AB41*AB45)*$C$10)</f>
        <v/>
      </c>
      <c r="AC53" s="15">
        <f>((AC41*AC45)*$C$10)</f>
        <v/>
      </c>
      <c r="AD53" s="15">
        <f>((AD41*AD45)*$C$10)</f>
        <v/>
      </c>
      <c r="AE53" s="15">
        <f>((AE41*AE45)*$C$10)</f>
        <v/>
      </c>
      <c r="AF53" s="15">
        <f>((AF41*AF45)*$C$10)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  <c r="P54" s="15">
        <f>(P51*(1-$C$23))</f>
        <v/>
      </c>
      <c r="Q54" s="15">
        <f>(Q51*(1-$C$23))</f>
        <v/>
      </c>
      <c r="R54" s="15">
        <f>(R51*(1-$C$23))</f>
        <v/>
      </c>
      <c r="S54" s="15">
        <f>(S51*(1-$C$23))</f>
        <v/>
      </c>
      <c r="T54" s="15">
        <f>(T51*(1-$C$23))</f>
        <v/>
      </c>
      <c r="U54" s="15">
        <f>(U51*(1-$C$23))</f>
        <v/>
      </c>
      <c r="V54" s="15">
        <f>(V51*(1-$C$23))</f>
        <v/>
      </c>
      <c r="W54" s="15">
        <f>(W51*(1-$C$23))</f>
        <v/>
      </c>
      <c r="X54" s="15">
        <f>(X51*(1-$C$23))</f>
        <v/>
      </c>
      <c r="Y54" s="15">
        <f>(Y51*(1-$C$23))</f>
        <v/>
      </c>
      <c r="Z54" s="15">
        <f>(Z51*(1-$C$23))</f>
        <v/>
      </c>
      <c r="AA54" s="15">
        <f>(AA51*(1-$C$23))</f>
        <v/>
      </c>
      <c r="AB54" s="15">
        <f>(AB51*(1-$C$23))</f>
        <v/>
      </c>
      <c r="AC54" s="15">
        <f>(AC51*(1-$C$23))</f>
        <v/>
      </c>
      <c r="AD54" s="15">
        <f>(AD51*(1-$C$23))</f>
        <v/>
      </c>
      <c r="AE54" s="15">
        <f>(AE51*(1-$C$23))</f>
        <v/>
      </c>
      <c r="AF54" s="15">
        <f>(AF51*(1-$C$23))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4703.622038</v>
      </c>
      <c r="E55" s="13" t="n">
        <v>3581.375403</v>
      </c>
      <c r="F55" s="13" t="n">
        <v>3446.214954</v>
      </c>
      <c r="G55" s="13" t="n">
        <v>3427.576485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  <c r="P55" s="15">
        <f>(P50+P51)</f>
        <v/>
      </c>
      <c r="Q55" s="15">
        <f>(Q50+Q51)</f>
        <v/>
      </c>
      <c r="R55" s="15">
        <f>(R50+R51)</f>
        <v/>
      </c>
      <c r="S55" s="15">
        <f>(S50+S51)</f>
        <v/>
      </c>
      <c r="T55" s="15">
        <f>(T50+T51)</f>
        <v/>
      </c>
      <c r="U55" s="15">
        <f>(U50+U51)</f>
        <v/>
      </c>
      <c r="V55" s="15">
        <f>(V50+V51)</f>
        <v/>
      </c>
      <c r="W55" s="15">
        <f>(W50+W51)</f>
        <v/>
      </c>
      <c r="X55" s="15">
        <f>(X50+X51)</f>
        <v/>
      </c>
      <c r="Y55" s="15">
        <f>(Y50+Y51)</f>
        <v/>
      </c>
      <c r="Z55" s="15">
        <f>(Z50+Z51)</f>
        <v/>
      </c>
      <c r="AA55" s="15">
        <f>(AA50+AA51)</f>
        <v/>
      </c>
      <c r="AB55" s="15">
        <f>(AB50+AB51)</f>
        <v/>
      </c>
      <c r="AC55" s="15">
        <f>(AC50+AC51)</f>
        <v/>
      </c>
      <c r="AD55" s="15">
        <f>(AD50+AD51)</f>
        <v/>
      </c>
      <c r="AE55" s="15">
        <f>(AE50+AE51)</f>
        <v/>
      </c>
      <c r="AF55" s="15">
        <f>(AF50+AF51)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1543.553155</v>
      </c>
      <c r="E56" s="13" t="n">
        <v>1917.15214</v>
      </c>
      <c r="F56" s="13" t="n">
        <v>2113.429456</v>
      </c>
      <c r="G56" s="13" t="n">
        <v>2321.274978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  <c r="P56" s="15">
        <f>(((P53+P52)+P54)+P60)</f>
        <v/>
      </c>
      <c r="Q56" s="15">
        <f>(((Q53+Q52)+Q54)+Q60)</f>
        <v/>
      </c>
      <c r="R56" s="15">
        <f>(((R53+R52)+R54)+R60)</f>
        <v/>
      </c>
      <c r="S56" s="15">
        <f>(((S53+S52)+S54)+S60)</f>
        <v/>
      </c>
      <c r="T56" s="15">
        <f>(((T53+T52)+T54)+T60)</f>
        <v/>
      </c>
      <c r="U56" s="15">
        <f>(((U53+U52)+U54)+U60)</f>
        <v/>
      </c>
      <c r="V56" s="15">
        <f>(((V53+V52)+V54)+V60)</f>
        <v/>
      </c>
      <c r="W56" s="15">
        <f>(((W53+W52)+W54)+W60)</f>
        <v/>
      </c>
      <c r="X56" s="15">
        <f>(((X53+X52)+X54)+X60)</f>
        <v/>
      </c>
      <c r="Y56" s="15">
        <f>(((Y53+Y52)+Y54)+Y60)</f>
        <v/>
      </c>
      <c r="Z56" s="15">
        <f>(((Z53+Z52)+Z54)+Z60)</f>
        <v/>
      </c>
      <c r="AA56" s="15">
        <f>(((AA53+AA52)+AA54)+AA60)</f>
        <v/>
      </c>
      <c r="AB56" s="15">
        <f>(((AB53+AB52)+AB54)+AB60)</f>
        <v/>
      </c>
      <c r="AC56" s="15">
        <f>(((AC53+AC52)+AC54)+AC60)</f>
        <v/>
      </c>
      <c r="AD56" s="15">
        <f>(((AD53+AD52)+AD54)+AD60)</f>
        <v/>
      </c>
      <c r="AE56" s="15">
        <f>(((AE53+AE52)+AE54)+AE60)</f>
        <v/>
      </c>
      <c r="AF56" s="15">
        <f>(((AF53+AF52)+AF54)+AF60)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3160.068883</v>
      </c>
      <c r="E57" s="13" t="n">
        <v>1664.223263</v>
      </c>
      <c r="F57" s="13" t="n">
        <v>1332.785498</v>
      </c>
      <c r="G57" s="13" t="n">
        <v>1106.301507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  <c r="P57" s="15">
        <f>(P55-P56)</f>
        <v/>
      </c>
      <c r="Q57" s="15">
        <f>(Q55-Q56)</f>
        <v/>
      </c>
      <c r="R57" s="15">
        <f>(R55-R56)</f>
        <v/>
      </c>
      <c r="S57" s="15">
        <f>(S55-S56)</f>
        <v/>
      </c>
      <c r="T57" s="15">
        <f>(T55-T56)</f>
        <v/>
      </c>
      <c r="U57" s="15">
        <f>(U55-U56)</f>
        <v/>
      </c>
      <c r="V57" s="15">
        <f>(V55-V56)</f>
        <v/>
      </c>
      <c r="W57" s="15">
        <f>(W55-W56)</f>
        <v/>
      </c>
      <c r="X57" s="15">
        <f>(X55-X56)</f>
        <v/>
      </c>
      <c r="Y57" s="15">
        <f>(Y55-Y56)</f>
        <v/>
      </c>
      <c r="Z57" s="15">
        <f>(Z55-Z56)</f>
        <v/>
      </c>
      <c r="AA57" s="15">
        <f>(AA55-AA56)</f>
        <v/>
      </c>
      <c r="AB57" s="15">
        <f>(AB55-AB56)</f>
        <v/>
      </c>
      <c r="AC57" s="15">
        <f>(AC55-AC56)</f>
        <v/>
      </c>
      <c r="AD57" s="15">
        <f>(AD55-AD56)</f>
        <v/>
      </c>
      <c r="AE57" s="15">
        <f>(AE55-AE56)</f>
        <v/>
      </c>
      <c r="AF57" s="15">
        <f>(AF55-AF56)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217.9126969999998</v>
      </c>
      <c r="E58" s="13" t="n">
        <v>57.04916300000014</v>
      </c>
      <c r="F58" s="13" t="n">
        <v>120.0525399999999</v>
      </c>
      <c r="G58" s="13" t="n">
        <v>103.9270029999999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  <c r="P58" s="15">
        <f>(P55*P37)</f>
        <v/>
      </c>
      <c r="Q58" s="15">
        <f>(Q55*Q37)</f>
        <v/>
      </c>
      <c r="R58" s="15">
        <f>(R55*R37)</f>
        <v/>
      </c>
      <c r="S58" s="15">
        <f>(S55*S37)</f>
        <v/>
      </c>
      <c r="T58" s="15">
        <f>(T55*T37)</f>
        <v/>
      </c>
      <c r="U58" s="15">
        <f>(U55*U37)</f>
        <v/>
      </c>
      <c r="V58" s="15">
        <f>(V55*V37)</f>
        <v/>
      </c>
      <c r="W58" s="15">
        <f>(W55*W37)</f>
        <v/>
      </c>
      <c r="X58" s="15">
        <f>(X55*X37)</f>
        <v/>
      </c>
      <c r="Y58" s="15">
        <f>(Y55*Y37)</f>
        <v/>
      </c>
      <c r="Z58" s="15">
        <f>(Z55*Z37)</f>
        <v/>
      </c>
      <c r="AA58" s="15">
        <f>(AA55*AA37)</f>
        <v/>
      </c>
      <c r="AB58" s="15">
        <f>(AB55*AB37)</f>
        <v/>
      </c>
      <c r="AC58" s="15">
        <f>(AC55*AC37)</f>
        <v/>
      </c>
      <c r="AD58" s="15">
        <f>(AD55*AD37)</f>
        <v/>
      </c>
      <c r="AE58" s="15">
        <f>(AE55*AE37)</f>
        <v/>
      </c>
      <c r="AF58" s="15">
        <f>(AF55*AF37)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2942.156186</v>
      </c>
      <c r="E59" s="13" t="n">
        <v>1607.1741</v>
      </c>
      <c r="F59" s="13" t="n">
        <v>1212.732958</v>
      </c>
      <c r="G59" s="13" t="n">
        <v>1002.374504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  <c r="P59" s="15">
        <f>(P57-P58)</f>
        <v/>
      </c>
      <c r="Q59" s="15">
        <f>(Q57-Q58)</f>
        <v/>
      </c>
      <c r="R59" s="15">
        <f>(R57-R58)</f>
        <v/>
      </c>
      <c r="S59" s="15">
        <f>(S57-S58)</f>
        <v/>
      </c>
      <c r="T59" s="15">
        <f>(T57-T58)</f>
        <v/>
      </c>
      <c r="U59" s="15">
        <f>(U57-U58)</f>
        <v/>
      </c>
      <c r="V59" s="15">
        <f>(V57-V58)</f>
        <v/>
      </c>
      <c r="W59" s="15">
        <f>(W57-W58)</f>
        <v/>
      </c>
      <c r="X59" s="15">
        <f>(X57-X58)</f>
        <v/>
      </c>
      <c r="Y59" s="15">
        <f>(Y57-Y58)</f>
        <v/>
      </c>
      <c r="Z59" s="15">
        <f>(Z57-Z58)</f>
        <v/>
      </c>
      <c r="AA59" s="15">
        <f>(AA57-AA58)</f>
        <v/>
      </c>
      <c r="AB59" s="15">
        <f>(AB57-AB58)</f>
        <v/>
      </c>
      <c r="AC59" s="15">
        <f>(AC57-AC58)</f>
        <v/>
      </c>
      <c r="AD59" s="15">
        <f>(AD57-AD58)</f>
        <v/>
      </c>
      <c r="AE59" s="15">
        <f>(AE57-AE58)</f>
        <v/>
      </c>
      <c r="AF59" s="15">
        <f>(AF57-AF58)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1.185346</v>
      </c>
      <c r="E60" s="13" t="n">
        <v>1.641577</v>
      </c>
      <c r="F60" s="13" t="n">
        <v>96.56787199999999</v>
      </c>
      <c r="G60" s="13" t="n">
        <v>111.075368</v>
      </c>
      <c r="H60" s="15">
        <f>((H41*H24)*$C$10)</f>
        <v/>
      </c>
      <c r="I60" s="15">
        <f>((I41*I24)*$C$10)</f>
        <v/>
      </c>
      <c r="J60" s="15">
        <f>((J41*J24)*$C$10)</f>
        <v/>
      </c>
      <c r="K60" s="15">
        <f>((K41*K24)*$C$10)</f>
        <v/>
      </c>
      <c r="L60" s="15">
        <f>((L41*L24)*$C$10)</f>
        <v/>
      </c>
      <c r="M60" s="15">
        <f>((M41*M24)*$C$10)</f>
        <v/>
      </c>
      <c r="N60" s="15">
        <f>((N41*N24)*$C$10)</f>
        <v/>
      </c>
      <c r="O60" s="15">
        <f>((O41*O24)*$C$10)</f>
        <v/>
      </c>
      <c r="P60" s="15">
        <f>((P41*P24)*$C$10)</f>
        <v/>
      </c>
      <c r="Q60" s="15">
        <f>((Q41*Q24)*$C$10)</f>
        <v/>
      </c>
      <c r="R60" s="15">
        <f>((R41*R24)*$C$10)</f>
        <v/>
      </c>
      <c r="S60" s="15">
        <f>((S41*S24)*$C$10)</f>
        <v/>
      </c>
      <c r="T60" s="15">
        <f>((T41*T24)*$C$10)</f>
        <v/>
      </c>
      <c r="U60" s="15">
        <f>((U41*U24)*$C$10)</f>
        <v/>
      </c>
      <c r="V60" s="15">
        <f>((V41*V24)*$C$10)</f>
        <v/>
      </c>
      <c r="W60" s="15">
        <f>((W41*W24)*$C$10)</f>
        <v/>
      </c>
      <c r="X60" s="15">
        <f>((X41*X24)*$C$10)</f>
        <v/>
      </c>
      <c r="Y60" s="15">
        <f>((Y41*Y24)*$C$10)</f>
        <v/>
      </c>
      <c r="Z60" s="15">
        <f>((Z41*Z24)*$C$10)</f>
        <v/>
      </c>
      <c r="AA60" s="15">
        <f>((AA41*AA24)*$C$10)</f>
        <v/>
      </c>
      <c r="AB60" s="15">
        <f>((AB41*AB24)*$C$10)</f>
        <v/>
      </c>
      <c r="AC60" s="15">
        <f>((AC41*AC24)*$C$10)</f>
        <v/>
      </c>
      <c r="AD60" s="15">
        <f>((AD41*AD24)*$C$10)</f>
        <v/>
      </c>
      <c r="AE60" s="15">
        <f>((AE41*AE24)*$C$10)</f>
        <v/>
      </c>
      <c r="AF60" s="15">
        <f>((AF41*AF24)*$C$10)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2943.341532</v>
      </c>
      <c r="E61" s="13" t="n">
        <v>1608.815677</v>
      </c>
      <c r="F61" s="13" t="n">
        <v>1309.30083</v>
      </c>
      <c r="G61" s="13" t="n">
        <v>1113.449872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  <c r="P61" s="15">
        <f>(P59+P60)</f>
        <v/>
      </c>
      <c r="Q61" s="15">
        <f>(Q59+Q60)</f>
        <v/>
      </c>
      <c r="R61" s="15">
        <f>(R59+R60)</f>
        <v/>
      </c>
      <c r="S61" s="15">
        <f>(S59+S60)</f>
        <v/>
      </c>
      <c r="T61" s="15">
        <f>(T59+T60)</f>
        <v/>
      </c>
      <c r="U61" s="15">
        <f>(U59+U60)</f>
        <v/>
      </c>
      <c r="V61" s="15">
        <f>(V59+V60)</f>
        <v/>
      </c>
      <c r="W61" s="15">
        <f>(W59+W60)</f>
        <v/>
      </c>
      <c r="X61" s="15">
        <f>(X59+X60)</f>
        <v/>
      </c>
      <c r="Y61" s="15">
        <f>(Y59+Y60)</f>
        <v/>
      </c>
      <c r="Z61" s="15">
        <f>(Z59+Z60)</f>
        <v/>
      </c>
      <c r="AA61" s="15">
        <f>(AA59+AA60)</f>
        <v/>
      </c>
      <c r="AB61" s="15">
        <f>(AB59+AB60)</f>
        <v/>
      </c>
      <c r="AC61" s="15">
        <f>(AC59+AC60)</f>
        <v/>
      </c>
      <c r="AD61" s="15">
        <f>(AD59+AD60)</f>
        <v/>
      </c>
      <c r="AE61" s="15">
        <f>(AE59+AE60)</f>
        <v/>
      </c>
      <c r="AF61" s="15">
        <f>(AF59+AF60)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0.311888</v>
      </c>
      <c r="E62" s="13" t="n">
        <v>4.266055</v>
      </c>
      <c r="F62" s="13" t="n">
        <v>15.012262</v>
      </c>
      <c r="G62" s="13" t="n">
        <v>4.24644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  <c r="P62" s="15">
        <f>(O82*$C$29)</f>
        <v/>
      </c>
      <c r="Q62" s="15">
        <f>(P82*$C$29)</f>
        <v/>
      </c>
      <c r="R62" s="15">
        <f>(Q82*$C$29)</f>
        <v/>
      </c>
      <c r="S62" s="15">
        <f>(R82*$C$29)</f>
        <v/>
      </c>
      <c r="T62" s="15">
        <f>(S82*$C$29)</f>
        <v/>
      </c>
      <c r="U62" s="15">
        <f>(T82*$C$29)</f>
        <v/>
      </c>
      <c r="V62" s="15">
        <f>(U82*$C$29)</f>
        <v/>
      </c>
      <c r="W62" s="15">
        <f>(V82*$C$29)</f>
        <v/>
      </c>
      <c r="X62" s="15">
        <f>(W82*$C$29)</f>
        <v/>
      </c>
      <c r="Y62" s="15">
        <f>(X82*$C$29)</f>
        <v/>
      </c>
      <c r="Z62" s="15">
        <f>(Y82*$C$29)</f>
        <v/>
      </c>
      <c r="AA62" s="15">
        <f>(Z82*$C$29)</f>
        <v/>
      </c>
      <c r="AB62" s="15">
        <f>(AA82*$C$29)</f>
        <v/>
      </c>
      <c r="AC62" s="15">
        <f>(AB82*$C$29)</f>
        <v/>
      </c>
      <c r="AD62" s="15">
        <f>(AC82*$C$29)</f>
        <v/>
      </c>
      <c r="AE62" s="15">
        <f>(AD82*$C$29)</f>
        <v/>
      </c>
      <c r="AF62" s="15">
        <f>(AE82*$C$29)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14.791554</v>
      </c>
      <c r="E63" s="13" t="n">
        <v>25.388234</v>
      </c>
      <c r="F63" s="13" t="n">
        <v>27.805486</v>
      </c>
      <c r="G63" s="13" t="n">
        <v>27.95309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  <c r="P63" s="15">
        <f>(O81*$C$30)</f>
        <v/>
      </c>
      <c r="Q63" s="15">
        <f>(P81*$C$30)</f>
        <v/>
      </c>
      <c r="R63" s="15">
        <f>(Q81*$C$30)</f>
        <v/>
      </c>
      <c r="S63" s="15">
        <f>(R81*$C$30)</f>
        <v/>
      </c>
      <c r="T63" s="15">
        <f>(S81*$C$30)</f>
        <v/>
      </c>
      <c r="U63" s="15">
        <f>(T81*$C$30)</f>
        <v/>
      </c>
      <c r="V63" s="15">
        <f>(U81*$C$30)</f>
        <v/>
      </c>
      <c r="W63" s="15">
        <f>(V81*$C$30)</f>
        <v/>
      </c>
      <c r="X63" s="15">
        <f>(W81*$C$30)</f>
        <v/>
      </c>
      <c r="Y63" s="15">
        <f>(X81*$C$30)</f>
        <v/>
      </c>
      <c r="Z63" s="15">
        <f>(Y81*$C$30)</f>
        <v/>
      </c>
      <c r="AA63" s="15">
        <f>(Z81*$C$30)</f>
        <v/>
      </c>
      <c r="AB63" s="15">
        <f>(AA81*$C$30)</f>
        <v/>
      </c>
      <c r="AC63" s="15">
        <f>(AB81*$C$30)</f>
        <v/>
      </c>
      <c r="AD63" s="15">
        <f>(AC81*$C$30)</f>
        <v/>
      </c>
      <c r="AE63" s="15">
        <f>(AD81*$C$30)</f>
        <v/>
      </c>
      <c r="AF63" s="15">
        <f>(AE81*$C$30)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-11.32579100000003</v>
      </c>
      <c r="E64" s="13" t="n">
        <v>4.672217000000007</v>
      </c>
      <c r="F64" s="13" t="n">
        <v>-20.00365299999998</v>
      </c>
      <c r="G64" s="13" t="n">
        <v>-14.06189199999998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  <c r="P64" s="15">
        <f>P32</f>
        <v/>
      </c>
      <c r="Q64" s="15">
        <f>Q32</f>
        <v/>
      </c>
      <c r="R64" s="15">
        <f>R32</f>
        <v/>
      </c>
      <c r="S64" s="15">
        <f>S32</f>
        <v/>
      </c>
      <c r="T64" s="15">
        <f>T32</f>
        <v/>
      </c>
      <c r="U64" s="15">
        <f>U32</f>
        <v/>
      </c>
      <c r="V64" s="15">
        <f>V32</f>
        <v/>
      </c>
      <c r="W64" s="15">
        <f>W32</f>
        <v/>
      </c>
      <c r="X64" s="15">
        <f>X32</f>
        <v/>
      </c>
      <c r="Y64" s="15">
        <f>Y32</f>
        <v/>
      </c>
      <c r="Z64" s="15">
        <f>Z32</f>
        <v/>
      </c>
      <c r="AA64" s="15">
        <f>AA32</f>
        <v/>
      </c>
      <c r="AB64" s="15">
        <f>AB32</f>
        <v/>
      </c>
      <c r="AC64" s="15">
        <f>AC32</f>
        <v/>
      </c>
      <c r="AD64" s="15">
        <f>AD32</f>
        <v/>
      </c>
      <c r="AE64" s="15">
        <f>AE32</f>
        <v/>
      </c>
      <c r="AF64" s="15">
        <f>AF32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2945.310061</v>
      </c>
      <c r="E65" s="13" t="n">
        <v>1632.968496</v>
      </c>
      <c r="F65" s="13" t="n">
        <v>1205.522529</v>
      </c>
      <c r="G65" s="13" t="n">
        <v>1012.019262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  <c r="P65" s="15">
        <f>(((P59-P62)+P63)+P64)</f>
        <v/>
      </c>
      <c r="Q65" s="15">
        <f>(((Q59-Q62)+Q63)+Q64)</f>
        <v/>
      </c>
      <c r="R65" s="15">
        <f>(((R59-R62)+R63)+R64)</f>
        <v/>
      </c>
      <c r="S65" s="15">
        <f>(((S59-S62)+S63)+S64)</f>
        <v/>
      </c>
      <c r="T65" s="15">
        <f>(((T59-T62)+T63)+T64)</f>
        <v/>
      </c>
      <c r="U65" s="15">
        <f>(((U59-U62)+U63)+U64)</f>
        <v/>
      </c>
      <c r="V65" s="15">
        <f>(((V59-V62)+V63)+V64)</f>
        <v/>
      </c>
      <c r="W65" s="15">
        <f>(((W59-W62)+W63)+W64)</f>
        <v/>
      </c>
      <c r="X65" s="15">
        <f>(((X59-X62)+X63)+X64)</f>
        <v/>
      </c>
      <c r="Y65" s="15">
        <f>(((Y59-Y62)+Y63)+Y64)</f>
        <v/>
      </c>
      <c r="Z65" s="15">
        <f>(((Z59-Z62)+Z63)+Z64)</f>
        <v/>
      </c>
      <c r="AA65" s="15">
        <f>(((AA59-AA62)+AA63)+AA64)</f>
        <v/>
      </c>
      <c r="AB65" s="15">
        <f>(((AB59-AB62)+AB63)+AB64)</f>
        <v/>
      </c>
      <c r="AC65" s="15">
        <f>(((AC59-AC62)+AC63)+AC64)</f>
        <v/>
      </c>
      <c r="AD65" s="15">
        <f>(((AD59-AD62)+AD63)+AD64)</f>
        <v/>
      </c>
      <c r="AE65" s="15">
        <f>(((AE59-AE62)+AE63)+AE64)</f>
        <v/>
      </c>
      <c r="AF65" s="15">
        <f>(((AF59-AF62)+AF63)+AF64)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643.704514</v>
      </c>
      <c r="E66" s="13" t="n">
        <v>353.387654</v>
      </c>
      <c r="F66" s="13" t="n">
        <v>262.147463</v>
      </c>
      <c r="G66" s="13" t="n">
        <v>227.968076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  <c r="P66" s="15">
        <f>(MAX(P65,0)*P28)</f>
        <v/>
      </c>
      <c r="Q66" s="15">
        <f>(MAX(Q65,0)*Q28)</f>
        <v/>
      </c>
      <c r="R66" s="15">
        <f>(MAX(R65,0)*R28)</f>
        <v/>
      </c>
      <c r="S66" s="15">
        <f>(MAX(S65,0)*S28)</f>
        <v/>
      </c>
      <c r="T66" s="15">
        <f>(MAX(T65,0)*T28)</f>
        <v/>
      </c>
      <c r="U66" s="15">
        <f>(MAX(U65,0)*U28)</f>
        <v/>
      </c>
      <c r="V66" s="15">
        <f>(MAX(V65,0)*V28)</f>
        <v/>
      </c>
      <c r="W66" s="15">
        <f>(MAX(W65,0)*W28)</f>
        <v/>
      </c>
      <c r="X66" s="15">
        <f>(MAX(X65,0)*X28)</f>
        <v/>
      </c>
      <c r="Y66" s="15">
        <f>(MAX(Y65,0)*Y28)</f>
        <v/>
      </c>
      <c r="Z66" s="15">
        <f>(MAX(Z65,0)*Z28)</f>
        <v/>
      </c>
      <c r="AA66" s="15">
        <f>(MAX(AA65,0)*AA28)</f>
        <v/>
      </c>
      <c r="AB66" s="15">
        <f>(MAX(AB65,0)*AB28)</f>
        <v/>
      </c>
      <c r="AC66" s="15">
        <f>(MAX(AC65,0)*AC28)</f>
        <v/>
      </c>
      <c r="AD66" s="15">
        <f>(MAX(AD65,0)*AD28)</f>
        <v/>
      </c>
      <c r="AE66" s="15">
        <f>(MAX(AE65,0)*AE28)</f>
        <v/>
      </c>
      <c r="AF66" s="15">
        <f>(MAX(AF65,0)*AF28)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2301.605547</v>
      </c>
      <c r="E67" s="13" t="n">
        <v>1279.580842</v>
      </c>
      <c r="F67" s="13" t="n">
        <v>943.3750659999999</v>
      </c>
      <c r="G67" s="13" t="n">
        <v>784.051186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  <c r="P67" s="15">
        <f>(P65-P66)</f>
        <v/>
      </c>
      <c r="Q67" s="15">
        <f>(Q65-Q66)</f>
        <v/>
      </c>
      <c r="R67" s="15">
        <f>(R65-R66)</f>
        <v/>
      </c>
      <c r="S67" s="15">
        <f>(S65-S66)</f>
        <v/>
      </c>
      <c r="T67" s="15">
        <f>(T65-T66)</f>
        <v/>
      </c>
      <c r="U67" s="15">
        <f>(U65-U66)</f>
        <v/>
      </c>
      <c r="V67" s="15">
        <f>(V65-V66)</f>
        <v/>
      </c>
      <c r="W67" s="15">
        <f>(W65-W66)</f>
        <v/>
      </c>
      <c r="X67" s="15">
        <f>(X65-X66)</f>
        <v/>
      </c>
      <c r="Y67" s="15">
        <f>(Y65-Y66)</f>
        <v/>
      </c>
      <c r="Z67" s="15">
        <f>(Z65-Z66)</f>
        <v/>
      </c>
      <c r="AA67" s="15">
        <f>(AA65-AA66)</f>
        <v/>
      </c>
      <c r="AB67" s="15">
        <f>(AB65-AB66)</f>
        <v/>
      </c>
      <c r="AC67" s="15">
        <f>(AC65-AC66)</f>
        <v/>
      </c>
      <c r="AD67" s="15">
        <f>(AD65-AD66)</f>
        <v/>
      </c>
      <c r="AE67" s="15">
        <f>(AE65-AE66)</f>
        <v/>
      </c>
      <c r="AF67" s="15">
        <f>(AF65-AF66)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123.1309260000003</v>
      </c>
      <c r="E68" s="13" t="n">
        <v>40.99775599999998</v>
      </c>
      <c r="F68" s="13" t="n">
        <v>20.73219699999993</v>
      </c>
      <c r="G68" s="13" t="n">
        <v>16.135672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  <c r="P68" s="15">
        <f>(P67*P33)</f>
        <v/>
      </c>
      <c r="Q68" s="15">
        <f>(Q67*Q33)</f>
        <v/>
      </c>
      <c r="R68" s="15">
        <f>(R67*R33)</f>
        <v/>
      </c>
      <c r="S68" s="15">
        <f>(S67*S33)</f>
        <v/>
      </c>
      <c r="T68" s="15">
        <f>(T67*T33)</f>
        <v/>
      </c>
      <c r="U68" s="15">
        <f>(U67*U33)</f>
        <v/>
      </c>
      <c r="V68" s="15">
        <f>(V67*V33)</f>
        <v/>
      </c>
      <c r="W68" s="15">
        <f>(W67*W33)</f>
        <v/>
      </c>
      <c r="X68" s="15">
        <f>(X67*X33)</f>
        <v/>
      </c>
      <c r="Y68" s="15">
        <f>(Y67*Y33)</f>
        <v/>
      </c>
      <c r="Z68" s="15">
        <f>(Z67*Z33)</f>
        <v/>
      </c>
      <c r="AA68" s="15">
        <f>(AA67*AA33)</f>
        <v/>
      </c>
      <c r="AB68" s="15">
        <f>(AB67*AB33)</f>
        <v/>
      </c>
      <c r="AC68" s="15">
        <f>(AC67*AC33)</f>
        <v/>
      </c>
      <c r="AD68" s="15">
        <f>(AD67*AD33)</f>
        <v/>
      </c>
      <c r="AE68" s="15">
        <f>(AE67*AE33)</f>
        <v/>
      </c>
      <c r="AF68" s="15">
        <f>(AF67*AF33)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2178.474621</v>
      </c>
      <c r="E69" s="13" t="n">
        <v>1238.583086</v>
      </c>
      <c r="F69" s="13" t="n">
        <v>922.642869</v>
      </c>
      <c r="G69" s="13" t="n">
        <v>767.915514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  <c r="P69" s="15">
        <f>(P67-P68)</f>
        <v/>
      </c>
      <c r="Q69" s="15">
        <f>(Q67-Q68)</f>
        <v/>
      </c>
      <c r="R69" s="15">
        <f>(R67-R68)</f>
        <v/>
      </c>
      <c r="S69" s="15">
        <f>(S67-S68)</f>
        <v/>
      </c>
      <c r="T69" s="15">
        <f>(T67-T68)</f>
        <v/>
      </c>
      <c r="U69" s="15">
        <f>(U67-U68)</f>
        <v/>
      </c>
      <c r="V69" s="15">
        <f>(V67-V68)</f>
        <v/>
      </c>
      <c r="W69" s="15">
        <f>(W67-W68)</f>
        <v/>
      </c>
      <c r="X69" s="15">
        <f>(X67-X68)</f>
        <v/>
      </c>
      <c r="Y69" s="15">
        <f>(Y67-Y68)</f>
        <v/>
      </c>
      <c r="Z69" s="15">
        <f>(Z67-Z68)</f>
        <v/>
      </c>
      <c r="AA69" s="15">
        <f>(AA67-AA68)</f>
        <v/>
      </c>
      <c r="AB69" s="15">
        <f>(AB67-AB68)</f>
        <v/>
      </c>
      <c r="AC69" s="15">
        <f>(AC67-AC68)</f>
        <v/>
      </c>
      <c r="AD69" s="15">
        <f>(AD67-AD68)</f>
        <v/>
      </c>
      <c r="AE69" s="15">
        <f>(AE67-AE68)</f>
        <v/>
      </c>
      <c r="AF69" s="15">
        <f>(AF67-AF68)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33333.335</v>
      </c>
      <c r="E70" s="13" t="n">
        <v>33333.335</v>
      </c>
      <c r="F70" s="13" t="n">
        <v>33333.335</v>
      </c>
      <c r="G70" s="13" t="n">
        <v>33333.335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  <c r="P70" s="15">
        <f>(O70*(1+P35))</f>
        <v/>
      </c>
      <c r="Q70" s="15">
        <f>(P70*(1+Q35))</f>
        <v/>
      </c>
      <c r="R70" s="15">
        <f>(Q70*(1+R35))</f>
        <v/>
      </c>
      <c r="S70" s="15">
        <f>(R70*(1+S35))</f>
        <v/>
      </c>
      <c r="T70" s="15">
        <f>(S70*(1+T35))</f>
        <v/>
      </c>
      <c r="U70" s="15">
        <f>(T70*(1+U35))</f>
        <v/>
      </c>
      <c r="V70" s="15">
        <f>(U70*(1+V35))</f>
        <v/>
      </c>
      <c r="W70" s="15">
        <f>(V70*(1+W35))</f>
        <v/>
      </c>
      <c r="X70" s="15">
        <f>(W70*(1+X35))</f>
        <v/>
      </c>
      <c r="Y70" s="15">
        <f>(X70*(1+Y35))</f>
        <v/>
      </c>
      <c r="Z70" s="15">
        <f>(Y70*(1+Z35))</f>
        <v/>
      </c>
      <c r="AA70" s="15">
        <f>(Z70*(1+AA35))</f>
        <v/>
      </c>
      <c r="AB70" s="15">
        <f>(AA70*(1+AB35))</f>
        <v/>
      </c>
      <c r="AC70" s="15">
        <f>(AB70*(1+AC35))</f>
        <v/>
      </c>
      <c r="AD70" s="15">
        <f>(AC70*(1+AD35))</f>
        <v/>
      </c>
      <c r="AE70" s="15">
        <f>(AD70*(1+AE35))</f>
        <v/>
      </c>
      <c r="AF70" s="15">
        <f>(AE70*(1+AF35))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0.06535423536228822</v>
      </c>
      <c r="E71" s="20" t="n">
        <v>0.03715749072212546</v>
      </c>
      <c r="F71" s="20" t="n">
        <v>0.02767928468603577</v>
      </c>
      <c r="G71" s="20" t="n">
        <v>0.02303746426812679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  <c r="M71" s="21">
        <f>(IF(M70=0,0,M69/M70)*$C$8)</f>
        <v/>
      </c>
      <c r="N71" s="21">
        <f>(IF(N70=0,0,N69/N70)*$C$8)</f>
        <v/>
      </c>
      <c r="O71" s="21">
        <f>(IF(O70=0,0,O69/O70)*$C$8)</f>
        <v/>
      </c>
      <c r="P71" s="21">
        <f>(IF(P70=0,0,P69/P70)*$C$8)</f>
        <v/>
      </c>
      <c r="Q71" s="21">
        <f>(IF(Q70=0,0,Q69/Q70)*$C$8)</f>
        <v/>
      </c>
      <c r="R71" s="21">
        <f>(IF(R70=0,0,R69/R70)*$C$8)</f>
        <v/>
      </c>
      <c r="S71" s="21">
        <f>(IF(S70=0,0,S69/S70)*$C$8)</f>
        <v/>
      </c>
      <c r="T71" s="21">
        <f>(IF(T70=0,0,T69/T70)*$C$8)</f>
        <v/>
      </c>
      <c r="U71" s="21">
        <f>(IF(U70=0,0,U69/U70)*$C$8)</f>
        <v/>
      </c>
      <c r="V71" s="21">
        <f>(IF(V70=0,0,V69/V70)*$C$8)</f>
        <v/>
      </c>
      <c r="W71" s="21">
        <f>(IF(W70=0,0,W69/W70)*$C$8)</f>
        <v/>
      </c>
      <c r="X71" s="21">
        <f>(IF(X70=0,0,X69/X70)*$C$8)</f>
        <v/>
      </c>
      <c r="Y71" s="21">
        <f>(IF(Y70=0,0,Y69/Y70)*$C$8)</f>
        <v/>
      </c>
      <c r="Z71" s="21">
        <f>(IF(Z70=0,0,Z69/Z70)*$C$8)</f>
        <v/>
      </c>
      <c r="AA71" s="21">
        <f>(IF(AA70=0,0,AA69/AA70)*$C$8)</f>
        <v/>
      </c>
      <c r="AB71" s="21">
        <f>(IF(AB70=0,0,AB69/AB70)*$C$8)</f>
        <v/>
      </c>
      <c r="AC71" s="21">
        <f>(IF(AC70=0,0,AC69/AC70)*$C$8)</f>
        <v/>
      </c>
      <c r="AD71" s="21">
        <f>(IF(AD70=0,0,AD69/AD70)*$C$8)</f>
        <v/>
      </c>
      <c r="AE71" s="21">
        <f>(IF(AE70=0,0,AE69/AE70)*$C$8)</f>
        <v/>
      </c>
      <c r="AF71" s="21">
        <f>(IF(AF70=0,0,AF69/AF70)*$C$8)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0.03877389267166063</v>
      </c>
      <c r="E72" s="20" t="n">
        <v>0.0179730569612549</v>
      </c>
      <c r="F72" s="20" t="n">
        <v>0.01186110445939027</v>
      </c>
      <c r="G72" s="20" t="n">
        <v>0.01491129707112971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  <c r="M72" s="21">
        <f>(MAX(M71,0)*M34)</f>
        <v/>
      </c>
      <c r="N72" s="21">
        <f>(MAX(N71,0)*N34)</f>
        <v/>
      </c>
      <c r="O72" s="21">
        <f>(MAX(O71,0)*O34)</f>
        <v/>
      </c>
      <c r="P72" s="21">
        <f>(MAX(P71,0)*P34)</f>
        <v/>
      </c>
      <c r="Q72" s="21">
        <f>(MAX(Q71,0)*Q34)</f>
        <v/>
      </c>
      <c r="R72" s="21">
        <f>(MAX(R71,0)*R34)</f>
        <v/>
      </c>
      <c r="S72" s="21">
        <f>(MAX(S71,0)*S34)</f>
        <v/>
      </c>
      <c r="T72" s="21">
        <f>(MAX(T71,0)*T34)</f>
        <v/>
      </c>
      <c r="U72" s="21">
        <f>(MAX(U71,0)*U34)</f>
        <v/>
      </c>
      <c r="V72" s="21">
        <f>(MAX(V71,0)*V34)</f>
        <v/>
      </c>
      <c r="W72" s="21">
        <f>(MAX(W71,0)*W34)</f>
        <v/>
      </c>
      <c r="X72" s="21">
        <f>(MAX(X71,0)*X34)</f>
        <v/>
      </c>
      <c r="Y72" s="21">
        <f>(MAX(Y71,0)*Y34)</f>
        <v/>
      </c>
      <c r="Z72" s="21">
        <f>(MAX(Z71,0)*Z34)</f>
        <v/>
      </c>
      <c r="AA72" s="21">
        <f>(MAX(AA71,0)*AA34)</f>
        <v/>
      </c>
      <c r="AB72" s="21">
        <f>(MAX(AB71,0)*AB34)</f>
        <v/>
      </c>
      <c r="AC72" s="21">
        <f>(MAX(AC71,0)*AC34)</f>
        <v/>
      </c>
      <c r="AD72" s="21">
        <f>(MAX(AD71,0)*AD34)</f>
        <v/>
      </c>
      <c r="AE72" s="21">
        <f>(MAX(AE71,0)*AE34)</f>
        <v/>
      </c>
      <c r="AF72" s="21">
        <f>(MAX(AF71,0)*AF34)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>
        <v>1000.00005</v>
      </c>
      <c r="E73" s="13" t="n">
        <v>1800.00009</v>
      </c>
      <c r="F73" s="13" t="n">
        <v>800.00004</v>
      </c>
      <c r="G73" s="13" t="n">
        <v>700.000035</v>
      </c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  <c r="P73" s="15">
        <f>IF($C$8=0,0,(O72*O70)/$C$8)</f>
        <v/>
      </c>
      <c r="Q73" s="15">
        <f>IF($C$8=0,0,(P72*P70)/$C$8)</f>
        <v/>
      </c>
      <c r="R73" s="15">
        <f>IF($C$8=0,0,(Q72*Q70)/$C$8)</f>
        <v/>
      </c>
      <c r="S73" s="15">
        <f>IF($C$8=0,0,(R72*R70)/$C$8)</f>
        <v/>
      </c>
      <c r="T73" s="15">
        <f>IF($C$8=0,0,(S72*S70)/$C$8)</f>
        <v/>
      </c>
      <c r="U73" s="15">
        <f>IF($C$8=0,0,(T72*T70)/$C$8)</f>
        <v/>
      </c>
      <c r="V73" s="15">
        <f>IF($C$8=0,0,(U72*U70)/$C$8)</f>
        <v/>
      </c>
      <c r="W73" s="15">
        <f>IF($C$8=0,0,(V72*V70)/$C$8)</f>
        <v/>
      </c>
      <c r="X73" s="15">
        <f>IF($C$8=0,0,(W72*W70)/$C$8)</f>
        <v/>
      </c>
      <c r="Y73" s="15">
        <f>IF($C$8=0,0,(X72*X70)/$C$8)</f>
        <v/>
      </c>
      <c r="Z73" s="15">
        <f>IF($C$8=0,0,(Y72*Y70)/$C$8)</f>
        <v/>
      </c>
      <c r="AA73" s="15">
        <f>IF($C$8=0,0,(Z72*Z70)/$C$8)</f>
        <v/>
      </c>
      <c r="AB73" s="15">
        <f>IF($C$8=0,0,(AA72*AA70)/$C$8)</f>
        <v/>
      </c>
      <c r="AC73" s="15">
        <f>IF($C$8=0,0,(AB72*AB70)/$C$8)</f>
        <v/>
      </c>
      <c r="AD73" s="15">
        <f>IF($C$8=0,0,(AC72*AC70)/$C$8)</f>
        <v/>
      </c>
      <c r="AE73" s="15">
        <f>IF($C$8=0,0,(AD72*AD70)/$C$8)</f>
        <v/>
      </c>
      <c r="AF73" s="15">
        <f>IF($C$8=0,0,(AE72*AE70)/$C$8)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198.000135</v>
      </c>
      <c r="E74" s="13" t="n">
        <v>215.769322</v>
      </c>
      <c r="F74" s="13" t="n">
        <v>179.606254</v>
      </c>
      <c r="G74" s="13" t="n">
        <v>170.933653</v>
      </c>
      <c r="H74" s="15">
        <f>(((H41*H25)*$C$10)+H26)</f>
        <v/>
      </c>
      <c r="I74" s="15">
        <f>(((I41*I25)*$C$10)+I26)</f>
        <v/>
      </c>
      <c r="J74" s="15">
        <f>(((J41*J25)*$C$10)+J26)</f>
        <v/>
      </c>
      <c r="K74" s="15">
        <f>(((K41*K25)*$C$10)+K26)</f>
        <v/>
      </c>
      <c r="L74" s="15">
        <f>(((L41*L25)*$C$10)+L26)</f>
        <v/>
      </c>
      <c r="M74" s="15">
        <f>(((M41*M25)*$C$10)+M26)</f>
        <v/>
      </c>
      <c r="N74" s="15">
        <f>(((N41*N25)*$C$10)+N26)</f>
        <v/>
      </c>
      <c r="O74" s="15">
        <f>(((O41*O25)*$C$10)+O26)</f>
        <v/>
      </c>
      <c r="P74" s="15">
        <f>(((P41*P25)*$C$10)+P26)</f>
        <v/>
      </c>
      <c r="Q74" s="15">
        <f>(((Q41*Q25)*$C$10)+Q26)</f>
        <v/>
      </c>
      <c r="R74" s="15">
        <f>(((R41*R25)*$C$10)+R26)</f>
        <v/>
      </c>
      <c r="S74" s="15">
        <f>(((S41*S25)*$C$10)+S26)</f>
        <v/>
      </c>
      <c r="T74" s="15">
        <f>(((T41*T25)*$C$10)+T26)</f>
        <v/>
      </c>
      <c r="U74" s="15">
        <f>(((U41*U25)*$C$10)+U26)</f>
        <v/>
      </c>
      <c r="V74" s="15">
        <f>(((V41*V25)*$C$10)+V26)</f>
        <v/>
      </c>
      <c r="W74" s="15">
        <f>(((W41*W25)*$C$10)+W26)</f>
        <v/>
      </c>
      <c r="X74" s="15">
        <f>(((X41*X25)*$C$10)+X26)</f>
        <v/>
      </c>
      <c r="Y74" s="15">
        <f>(((Y41*Y25)*$C$10)+Y26)</f>
        <v/>
      </c>
      <c r="Z74" s="15">
        <f>(((Z41*Z25)*$C$10)+Z26)</f>
        <v/>
      </c>
      <c r="AA74" s="15">
        <f>(((AA41*AA25)*$C$10)+AA26)</f>
        <v/>
      </c>
      <c r="AB74" s="15">
        <f>(((AB41*AB25)*$C$10)+AB26)</f>
        <v/>
      </c>
      <c r="AC74" s="15">
        <f>(((AC41*AC25)*$C$10)+AC26)</f>
        <v/>
      </c>
      <c r="AD74" s="15">
        <f>(((AD41*AD25)*$C$10)+AD26)</f>
        <v/>
      </c>
      <c r="AE74" s="15">
        <f>(((AE41*AE25)*$C$10)+AE26)</f>
        <v/>
      </c>
      <c r="AF74" s="15">
        <f>(((AF41*AF25)*$C$10)+AF26)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1300.100664</v>
      </c>
      <c r="F75" s="13" t="n">
        <v>72.52812399999993</v>
      </c>
      <c r="G75" s="13" t="n">
        <v>215.2760490000001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  <c r="P75" s="15">
        <f>(P80-O80)</f>
        <v/>
      </c>
      <c r="Q75" s="15">
        <f>(Q80-P80)</f>
        <v/>
      </c>
      <c r="R75" s="15">
        <f>(R80-Q80)</f>
        <v/>
      </c>
      <c r="S75" s="15">
        <f>(S80-R80)</f>
        <v/>
      </c>
      <c r="T75" s="15">
        <f>(T80-S80)</f>
        <v/>
      </c>
      <c r="U75" s="15">
        <f>(U80-T80)</f>
        <v/>
      </c>
      <c r="V75" s="15">
        <f>(V80-U80)</f>
        <v/>
      </c>
      <c r="W75" s="15">
        <f>(W80-V80)</f>
        <v/>
      </c>
      <c r="X75" s="15">
        <f>(X80-W80)</f>
        <v/>
      </c>
      <c r="Y75" s="15">
        <f>(Y80-X80)</f>
        <v/>
      </c>
      <c r="Z75" s="15">
        <f>(Z80-Y80)</f>
        <v/>
      </c>
      <c r="AA75" s="15">
        <f>(AA80-Z80)</f>
        <v/>
      </c>
      <c r="AB75" s="15">
        <f>(AB80-AA80)</f>
        <v/>
      </c>
      <c r="AC75" s="15">
        <f>(AC80-AB80)</f>
        <v/>
      </c>
      <c r="AD75" s="15">
        <f>(AD80-AC80)</f>
        <v/>
      </c>
      <c r="AE75" s="15">
        <f>(AE80-AD80)</f>
        <v/>
      </c>
      <c r="AF75" s="15">
        <f>(AF80-AE80)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-254.8598460693211</v>
      </c>
      <c r="F76" s="13" t="n">
        <v>793.4510418036423</v>
      </c>
      <c r="G76" s="13" t="n">
        <v>501.4446780676199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  <c r="P76" s="15">
        <f>((((P59*(1-P28))+P60)-P74)-P75)</f>
        <v/>
      </c>
      <c r="Q76" s="15">
        <f>((((Q59*(1-Q28))+Q60)-Q74)-Q75)</f>
        <v/>
      </c>
      <c r="R76" s="15">
        <f>((((R59*(1-R28))+R60)-R74)-R75)</f>
        <v/>
      </c>
      <c r="S76" s="15">
        <f>((((S59*(1-S28))+S60)-S74)-S75)</f>
        <v/>
      </c>
      <c r="T76" s="15">
        <f>((((T59*(1-T28))+T60)-T74)-T75)</f>
        <v/>
      </c>
      <c r="U76" s="15">
        <f>((((U59*(1-U28))+U60)-U74)-U75)</f>
        <v/>
      </c>
      <c r="V76" s="15">
        <f>((((V59*(1-V28))+V60)-V74)-V75)</f>
        <v/>
      </c>
      <c r="W76" s="15">
        <f>((((W59*(1-W28))+W60)-W74)-W75)</f>
        <v/>
      </c>
      <c r="X76" s="15">
        <f>((((X59*(1-X28))+X60)-X74)-X75)</f>
        <v/>
      </c>
      <c r="Y76" s="15">
        <f>((((Y59*(1-Y28))+Y60)-Y74)-Y75)</f>
        <v/>
      </c>
      <c r="Z76" s="15">
        <f>((((Z59*(1-Z28))+Z60)-Z74)-Z75)</f>
        <v/>
      </c>
      <c r="AA76" s="15">
        <f>((((AA59*(1-AA28))+AA60)-AA74)-AA75)</f>
        <v/>
      </c>
      <c r="AB76" s="15">
        <f>((((AB59*(1-AB28))+AB60)-AB74)-AB75)</f>
        <v/>
      </c>
      <c r="AC76" s="15">
        <f>((((AC59*(1-AC28))+AC60)-AC74)-AC75)</f>
        <v/>
      </c>
      <c r="AD76" s="15">
        <f>((((AD59*(1-AD28))+AD60)-AD74)-AD75)</f>
        <v/>
      </c>
      <c r="AE76" s="15">
        <f>((((AE59*(1-AE28))+AE60)-AE74)-AE75)</f>
        <v/>
      </c>
      <c r="AF76" s="15">
        <f>((((AF59*(1-AF28))+AF60)-AF74)-AF75)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396.874323</v>
      </c>
      <c r="F77" s="13" t="n">
        <v>-59.33256599999999</v>
      </c>
      <c r="G77" s="13" t="n">
        <v>-337.541757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  <c r="P77" s="15">
        <f>P31</f>
        <v/>
      </c>
      <c r="Q77" s="15">
        <f>Q31</f>
        <v/>
      </c>
      <c r="R77" s="15">
        <f>R31</f>
        <v/>
      </c>
      <c r="S77" s="15">
        <f>S31</f>
        <v/>
      </c>
      <c r="T77" s="15">
        <f>T31</f>
        <v/>
      </c>
      <c r="U77" s="15">
        <f>U31</f>
        <v/>
      </c>
      <c r="V77" s="15">
        <f>V31</f>
        <v/>
      </c>
      <c r="W77" s="15">
        <f>W31</f>
        <v/>
      </c>
      <c r="X77" s="15">
        <f>X31</f>
        <v/>
      </c>
      <c r="Y77" s="15">
        <f>Y31</f>
        <v/>
      </c>
      <c r="Z77" s="15">
        <f>Z31</f>
        <v/>
      </c>
      <c r="AA77" s="15">
        <f>AA31</f>
        <v/>
      </c>
      <c r="AB77" s="15">
        <f>AB31</f>
        <v/>
      </c>
      <c r="AC77" s="15">
        <f>AC31</f>
        <v/>
      </c>
      <c r="AD77" s="15">
        <f>AD31</f>
        <v/>
      </c>
      <c r="AE77" s="15">
        <f>AE31</f>
        <v/>
      </c>
      <c r="AF77" s="15">
        <f>AF31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  <c r="P78" s="15">
        <f>(MAX(O68,0)*P34)</f>
        <v/>
      </c>
      <c r="Q78" s="15">
        <f>(MAX(P68,0)*Q34)</f>
        <v/>
      </c>
      <c r="R78" s="15">
        <f>(MAX(Q68,0)*R34)</f>
        <v/>
      </c>
      <c r="S78" s="15">
        <f>(MAX(R68,0)*S34)</f>
        <v/>
      </c>
      <c r="T78" s="15">
        <f>(MAX(S68,0)*T34)</f>
        <v/>
      </c>
      <c r="U78" s="15">
        <f>(MAX(T68,0)*U34)</f>
        <v/>
      </c>
      <c r="V78" s="15">
        <f>(MAX(U68,0)*V34)</f>
        <v/>
      </c>
      <c r="W78" s="15">
        <f>(MAX(V68,0)*W34)</f>
        <v/>
      </c>
      <c r="X78" s="15">
        <f>(MAX(W68,0)*X34)</f>
        <v/>
      </c>
      <c r="Y78" s="15">
        <f>(MAX(X68,0)*Y34)</f>
        <v/>
      </c>
      <c r="Z78" s="15">
        <f>(MAX(Y68,0)*Z34)</f>
        <v/>
      </c>
      <c r="AA78" s="15">
        <f>(MAX(Z68,0)*AA34)</f>
        <v/>
      </c>
      <c r="AB78" s="15">
        <f>(MAX(AA68,0)*AB34)</f>
        <v/>
      </c>
      <c r="AC78" s="15">
        <f>(MAX(AB68,0)*AC34)</f>
        <v/>
      </c>
      <c r="AD78" s="15">
        <f>(MAX(AC68,0)*AD34)</f>
        <v/>
      </c>
      <c r="AE78" s="15">
        <f>(MAX(AD68,0)*AE34)</f>
        <v/>
      </c>
      <c r="AF78" s="15">
        <f>(MAX(AE68,0)*AF34)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  <c r="P79" s="15">
        <f>(((((P67+P60)-P74)-P75)+P77)-P78)</f>
        <v/>
      </c>
      <c r="Q79" s="15">
        <f>(((((Q67+Q60)-Q74)-Q75)+Q77)-Q78)</f>
        <v/>
      </c>
      <c r="R79" s="15">
        <f>(((((R67+R60)-R74)-R75)+R77)-R78)</f>
        <v/>
      </c>
      <c r="S79" s="15">
        <f>(((((S67+S60)-S74)-S75)+S77)-S78)</f>
        <v/>
      </c>
      <c r="T79" s="15">
        <f>(((((T67+T60)-T74)-T75)+T77)-T78)</f>
        <v/>
      </c>
      <c r="U79" s="15">
        <f>(((((U67+U60)-U74)-U75)+U77)-U78)</f>
        <v/>
      </c>
      <c r="V79" s="15">
        <f>(((((V67+V60)-V74)-V75)+V77)-V78)</f>
        <v/>
      </c>
      <c r="W79" s="15">
        <f>(((((W67+W60)-W74)-W75)+W77)-W78)</f>
        <v/>
      </c>
      <c r="X79" s="15">
        <f>(((((X67+X60)-X74)-X75)+X77)-X78)</f>
        <v/>
      </c>
      <c r="Y79" s="15">
        <f>(((((Y67+Y60)-Y74)-Y75)+Y77)-Y78)</f>
        <v/>
      </c>
      <c r="Z79" s="15">
        <f>(((((Z67+Z60)-Z74)-Z75)+Z77)-Z78)</f>
        <v/>
      </c>
      <c r="AA79" s="15">
        <f>(((((AA67+AA60)-AA74)-AA75)+AA77)-AA78)</f>
        <v/>
      </c>
      <c r="AB79" s="15">
        <f>(((((AB67+AB60)-AB74)-AB75)+AB77)-AB78)</f>
        <v/>
      </c>
      <c r="AC79" s="15">
        <f>(((((AC67+AC60)-AC74)-AC75)+AC77)-AC78)</f>
        <v/>
      </c>
      <c r="AD79" s="15">
        <f>(((((AD67+AD60)-AD74)-AD75)+AD77)-AD78)</f>
        <v/>
      </c>
      <c r="AE79" s="15">
        <f>(((((AE67+AE60)-AE74)-AE75)+AE77)-AE78)</f>
        <v/>
      </c>
      <c r="AF79" s="15">
        <f>(((((AF67+AF60)-AF74)-AF75)+AF77)-AF78)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-1257.974168</v>
      </c>
      <c r="E80" s="13" t="n">
        <v>42.12649599999997</v>
      </c>
      <c r="F80" s="13" t="n">
        <v>114.6546199999999</v>
      </c>
      <c r="G80" s="13" t="n">
        <v>329.930669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  <c r="P80" s="15">
        <f>(P55*P27)</f>
        <v/>
      </c>
      <c r="Q80" s="15">
        <f>(Q55*Q27)</f>
        <v/>
      </c>
      <c r="R80" s="15">
        <f>(R55*R27)</f>
        <v/>
      </c>
      <c r="S80" s="15">
        <f>(S55*S27)</f>
        <v/>
      </c>
      <c r="T80" s="15">
        <f>(T55*T27)</f>
        <v/>
      </c>
      <c r="U80" s="15">
        <f>(U55*U27)</f>
        <v/>
      </c>
      <c r="V80" s="15">
        <f>(V55*V27)</f>
        <v/>
      </c>
      <c r="W80" s="15">
        <f>(W55*W27)</f>
        <v/>
      </c>
      <c r="X80" s="15">
        <f>(X55*X27)</f>
        <v/>
      </c>
      <c r="Y80" s="15">
        <f>(Y55*Y27)</f>
        <v/>
      </c>
      <c r="Z80" s="15">
        <f>(Z55*Z27)</f>
        <v/>
      </c>
      <c r="AA80" s="15">
        <f>(AA55*AA27)</f>
        <v/>
      </c>
      <c r="AB80" s="15">
        <f>(AB55*AB27)</f>
        <v/>
      </c>
      <c r="AC80" s="15">
        <f>(AC55*AC27)</f>
        <v/>
      </c>
      <c r="AD80" s="15">
        <f>(AD55*AD27)</f>
        <v/>
      </c>
      <c r="AE80" s="15">
        <f>(AE55*AE27)</f>
        <v/>
      </c>
      <c r="AF80" s="15">
        <f>(AF55*AF27)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1826.87678</v>
      </c>
      <c r="E81" s="13" t="n">
        <v>917.343776</v>
      </c>
      <c r="F81" s="13" t="n">
        <v>912.152046</v>
      </c>
      <c r="G81" s="13" t="n">
        <v>574.566067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  <c r="P81" s="15">
        <f>(((((((O81+P67)+P60)-P74)-P75)+P77)-P73)-P78)</f>
        <v/>
      </c>
      <c r="Q81" s="15">
        <f>(((((((P81+Q67)+Q60)-Q74)-Q75)+Q77)-Q73)-Q78)</f>
        <v/>
      </c>
      <c r="R81" s="15">
        <f>(((((((Q81+R67)+R60)-R74)-R75)+R77)-R73)-R78)</f>
        <v/>
      </c>
      <c r="S81" s="15">
        <f>(((((((R81+S67)+S60)-S74)-S75)+S77)-S73)-S78)</f>
        <v/>
      </c>
      <c r="T81" s="15">
        <f>(((((((S81+T67)+T60)-T74)-T75)+T77)-T73)-T78)</f>
        <v/>
      </c>
      <c r="U81" s="15">
        <f>(((((((T81+U67)+U60)-U74)-U75)+U77)-U73)-U78)</f>
        <v/>
      </c>
      <c r="V81" s="15">
        <f>(((((((U81+V67)+V60)-V74)-V75)+V77)-V73)-V78)</f>
        <v/>
      </c>
      <c r="W81" s="15">
        <f>(((((((V81+W67)+W60)-W74)-W75)+W77)-W73)-W78)</f>
        <v/>
      </c>
      <c r="X81" s="15">
        <f>(((((((W81+X67)+X60)-X74)-X75)+X77)-X73)-X78)</f>
        <v/>
      </c>
      <c r="Y81" s="15">
        <f>(((((((X81+Y67)+Y60)-Y74)-Y75)+Y77)-Y73)-Y78)</f>
        <v/>
      </c>
      <c r="Z81" s="15">
        <f>(((((((Y81+Z67)+Z60)-Z74)-Z75)+Z77)-Z73)-Z78)</f>
        <v/>
      </c>
      <c r="AA81" s="15">
        <f>(((((((Z81+AA67)+AA60)-AA74)-AA75)+AA77)-AA73)-AA78)</f>
        <v/>
      </c>
      <c r="AB81" s="15">
        <f>(((((((AA81+AB67)+AB60)-AB74)-AB75)+AB77)-AB73)-AB78)</f>
        <v/>
      </c>
      <c r="AC81" s="15">
        <f>(((((((AB81+AC67)+AC60)-AC74)-AC75)+AC77)-AC73)-AC78)</f>
        <v/>
      </c>
      <c r="AD81" s="15">
        <f>(((((((AC81+AD67)+AD60)-AD74)-AD75)+AD77)-AD73)-AD78)</f>
        <v/>
      </c>
      <c r="AE81" s="15">
        <f>(((((((AD81+AE67)+AE60)-AE74)-AE75)+AE77)-AE73)-AE78)</f>
        <v/>
      </c>
      <c r="AF81" s="15">
        <f>(((((((AE81+AF67)+AF60)-AF74)-AF75)+AF77)-AF73)-AF78)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0</v>
      </c>
      <c r="E82" s="13" t="n">
        <v>396.874323</v>
      </c>
      <c r="F82" s="13" t="n">
        <v>337.541757</v>
      </c>
      <c r="G82" s="13" t="n">
        <v>0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  <c r="P82" s="15">
        <f>(O82+P77)</f>
        <v/>
      </c>
      <c r="Q82" s="15">
        <f>(P82+Q77)</f>
        <v/>
      </c>
      <c r="R82" s="15">
        <f>(Q82+R77)</f>
        <v/>
      </c>
      <c r="S82" s="15">
        <f>(R82+S77)</f>
        <v/>
      </c>
      <c r="T82" s="15">
        <f>(S82+T77)</f>
        <v/>
      </c>
      <c r="U82" s="15">
        <f>(T82+U77)</f>
        <v/>
      </c>
      <c r="V82" s="15">
        <f>(U82+V77)</f>
        <v/>
      </c>
      <c r="W82" s="15">
        <f>(V82+W77)</f>
        <v/>
      </c>
      <c r="X82" s="15">
        <f>(W82+X77)</f>
        <v/>
      </c>
      <c r="Y82" s="15">
        <f>(X82+Y77)</f>
        <v/>
      </c>
      <c r="Z82" s="15">
        <f>(Y82+Z77)</f>
        <v/>
      </c>
      <c r="AA82" s="15">
        <f>(Z82+AA77)</f>
        <v/>
      </c>
      <c r="AB82" s="15">
        <f>(AA82+AB77)</f>
        <v/>
      </c>
      <c r="AC82" s="15">
        <f>(AB82+AC77)</f>
        <v/>
      </c>
      <c r="AD82" s="15">
        <f>(AC82+AD77)</f>
        <v/>
      </c>
      <c r="AE82" s="15">
        <f>(AD82+AE77)</f>
        <v/>
      </c>
      <c r="AF82" s="15">
        <f>(AE82+AF77)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957.789955</v>
      </c>
      <c r="E83" s="13" t="n">
        <v>1118.261154</v>
      </c>
      <c r="F83" s="13" t="n">
        <v>1206.130912</v>
      </c>
      <c r="G83" s="13" t="n">
        <v>1265.184886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  <c r="P83" s="15">
        <f>((O83+P74)-P60)</f>
        <v/>
      </c>
      <c r="Q83" s="15">
        <f>((P83+Q74)-Q60)</f>
        <v/>
      </c>
      <c r="R83" s="15">
        <f>((Q83+R74)-R60)</f>
        <v/>
      </c>
      <c r="S83" s="15">
        <f>((R83+S74)-S60)</f>
        <v/>
      </c>
      <c r="T83" s="15">
        <f>((S83+T74)-T60)</f>
        <v/>
      </c>
      <c r="U83" s="15">
        <f>((T83+U74)-U60)</f>
        <v/>
      </c>
      <c r="V83" s="15">
        <f>((U83+V74)-V60)</f>
        <v/>
      </c>
      <c r="W83" s="15">
        <f>((V83+W74)-W60)</f>
        <v/>
      </c>
      <c r="X83" s="15">
        <f>((W83+X74)-X60)</f>
        <v/>
      </c>
      <c r="Y83" s="15">
        <f>((X83+Y74)-Y60)</f>
        <v/>
      </c>
      <c r="Z83" s="15">
        <f>((Y83+Z74)-Z60)</f>
        <v/>
      </c>
      <c r="AA83" s="15">
        <f>((Z83+AA74)-AA60)</f>
        <v/>
      </c>
      <c r="AB83" s="15">
        <f>((AA83+AB74)-AB60)</f>
        <v/>
      </c>
      <c r="AC83" s="15">
        <f>((AB83+AC74)-AC60)</f>
        <v/>
      </c>
      <c r="AD83" s="15">
        <f>((AC83+AD74)-AD60)</f>
        <v/>
      </c>
      <c r="AE83" s="15">
        <f>((AD83+AE74)-AE60)</f>
        <v/>
      </c>
      <c r="AF83" s="15">
        <f>((AE83+AF74)-AF60)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1894.546941</v>
      </c>
      <c r="E84" s="13" t="n">
        <v>1881.336966</v>
      </c>
      <c r="F84" s="13" t="n">
        <v>2204.125323</v>
      </c>
      <c r="G84" s="13" t="n">
        <v>2571.634289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  <c r="P84" s="15">
        <f>((O84+P69)-P73)</f>
        <v/>
      </c>
      <c r="Q84" s="15">
        <f>((P84+Q69)-Q73)</f>
        <v/>
      </c>
      <c r="R84" s="15">
        <f>((Q84+R69)-R73)</f>
        <v/>
      </c>
      <c r="S84" s="15">
        <f>((R84+S69)-S73)</f>
        <v/>
      </c>
      <c r="T84" s="15">
        <f>((S84+T69)-T73)</f>
        <v/>
      </c>
      <c r="U84" s="15">
        <f>((T84+U69)-U73)</f>
        <v/>
      </c>
      <c r="V84" s="15">
        <f>((U84+V69)-V73)</f>
        <v/>
      </c>
      <c r="W84" s="15">
        <f>((V84+W69)-W73)</f>
        <v/>
      </c>
      <c r="X84" s="15">
        <f>((W84+X69)-X73)</f>
        <v/>
      </c>
      <c r="Y84" s="15">
        <f>((X84+Y69)-Y73)</f>
        <v/>
      </c>
      <c r="Z84" s="15">
        <f>((Y84+Z69)-Z73)</f>
        <v/>
      </c>
      <c r="AA84" s="15">
        <f>((Z84+AA69)-AA73)</f>
        <v/>
      </c>
      <c r="AB84" s="15">
        <f>((AA84+AB69)-AB73)</f>
        <v/>
      </c>
      <c r="AC84" s="15">
        <f>((AB84+AC69)-AC73)</f>
        <v/>
      </c>
      <c r="AD84" s="15">
        <f>((AC84+AD69)-AD73)</f>
        <v/>
      </c>
      <c r="AE84" s="15">
        <f>((AD84+AE69)-AE73)</f>
        <v/>
      </c>
      <c r="AF84" s="15">
        <f>((AE84+AF69)-AF73)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100.743606</v>
      </c>
      <c r="E85" s="13" t="n">
        <v>97.481236</v>
      </c>
      <c r="F85" s="13" t="n">
        <v>109.717088</v>
      </c>
      <c r="G85" s="13" t="n">
        <v>122.949995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  <c r="P85" s="15">
        <f>((O85+P68)-P78)</f>
        <v/>
      </c>
      <c r="Q85" s="15">
        <f>((P85+Q68)-Q78)</f>
        <v/>
      </c>
      <c r="R85" s="15">
        <f>((Q85+R68)-R78)</f>
        <v/>
      </c>
      <c r="S85" s="15">
        <f>((R85+S68)-S78)</f>
        <v/>
      </c>
      <c r="T85" s="15">
        <f>((S85+T68)-T78)</f>
        <v/>
      </c>
      <c r="U85" s="15">
        <f>((T85+U68)-U78)</f>
        <v/>
      </c>
      <c r="V85" s="15">
        <f>((U85+V68)-V78)</f>
        <v/>
      </c>
      <c r="W85" s="15">
        <f>((V85+W68)-W78)</f>
        <v/>
      </c>
      <c r="X85" s="15">
        <f>((W85+X68)-X78)</f>
        <v/>
      </c>
      <c r="Y85" s="15">
        <f>((X85+Y68)-Y78)</f>
        <v/>
      </c>
      <c r="Z85" s="15">
        <f>((Y85+Z68)-Z78)</f>
        <v/>
      </c>
      <c r="AA85" s="15">
        <f>((Z85+AA68)-AA78)</f>
        <v/>
      </c>
      <c r="AB85" s="15">
        <f>((AA85+AB68)-AB78)</f>
        <v/>
      </c>
      <c r="AC85" s="15">
        <f>((AB85+AC68)-AC78)</f>
        <v/>
      </c>
      <c r="AD85" s="15">
        <f>((AC85+AD68)-AD78)</f>
        <v/>
      </c>
      <c r="AE85" s="15">
        <f>((AD85+AE68)-AE78)</f>
        <v/>
      </c>
      <c r="AF85" s="15">
        <f>((AE85+AF68)-AF78)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468.5979800000002</v>
      </c>
      <c r="E86" s="13" t="n">
        <v>297.9610989999999</v>
      </c>
      <c r="F86" s="13" t="n">
        <v>418.44659</v>
      </c>
      <c r="G86" s="13" t="n">
        <v>524.902662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  <c r="P86" s="15">
        <f>O86</f>
        <v/>
      </c>
      <c r="Q86" s="15">
        <f>P86</f>
        <v/>
      </c>
      <c r="R86" s="15">
        <f>Q86</f>
        <v/>
      </c>
      <c r="S86" s="15">
        <f>R86</f>
        <v/>
      </c>
      <c r="T86" s="15">
        <f>S86</f>
        <v/>
      </c>
      <c r="U86" s="15">
        <f>T86</f>
        <v/>
      </c>
      <c r="V86" s="15">
        <f>U86</f>
        <v/>
      </c>
      <c r="W86" s="15">
        <f>V86</f>
        <v/>
      </c>
      <c r="X86" s="15">
        <f>W86</f>
        <v/>
      </c>
      <c r="Y86" s="15">
        <f>X86</f>
        <v/>
      </c>
      <c r="Z86" s="15">
        <f>Y86</f>
        <v/>
      </c>
      <c r="AA86" s="15">
        <f>Z86</f>
        <v/>
      </c>
      <c r="AB86" s="15">
        <f>AA86</f>
        <v/>
      </c>
      <c r="AC86" s="15">
        <f>AB86</f>
        <v/>
      </c>
      <c r="AD86" s="15">
        <f>AC86</f>
        <v/>
      </c>
      <c r="AE86" s="15">
        <f>AD86</f>
        <v/>
      </c>
      <c r="AF86" s="15">
        <f>AE86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  <c r="P87" s="15">
        <f>((((((P81+P80)+P83)+P86)-P82)-P84)-P85)</f>
        <v/>
      </c>
      <c r="Q87" s="15">
        <f>((((((Q81+Q80)+Q83)+Q86)-Q82)-Q84)-Q85)</f>
        <v/>
      </c>
      <c r="R87" s="15">
        <f>((((((R81+R80)+R83)+R86)-R82)-R84)-R85)</f>
        <v/>
      </c>
      <c r="S87" s="15">
        <f>((((((S81+S80)+S83)+S86)-S82)-S84)-S85)</f>
        <v/>
      </c>
      <c r="T87" s="15">
        <f>((((((T81+T80)+T83)+T86)-T82)-T84)-T85)</f>
        <v/>
      </c>
      <c r="U87" s="15">
        <f>((((((U81+U80)+U83)+U86)-U82)-U84)-U85)</f>
        <v/>
      </c>
      <c r="V87" s="15">
        <f>((((((V81+V80)+V83)+V86)-V82)-V84)-V85)</f>
        <v/>
      </c>
      <c r="W87" s="15">
        <f>((((((W81+W80)+W83)+W86)-W82)-W84)-W85)</f>
        <v/>
      </c>
      <c r="X87" s="15">
        <f>((((((X81+X80)+X83)+X86)-X82)-X84)-X85)</f>
        <v/>
      </c>
      <c r="Y87" s="15">
        <f>((((((Y81+Y80)+Y83)+Y86)-Y82)-Y84)-Y85)</f>
        <v/>
      </c>
      <c r="Z87" s="15">
        <f>((((((Z81+Z80)+Z83)+Z86)-Z82)-Z84)-Z85)</f>
        <v/>
      </c>
      <c r="AA87" s="15">
        <f>((((((AA81+AA80)+AA83)+AA86)-AA82)-AA84)-AA85)</f>
        <v/>
      </c>
      <c r="AB87" s="15">
        <f>((((((AB81+AB80)+AB83)+AB86)-AB82)-AB84)-AB85)</f>
        <v/>
      </c>
      <c r="AC87" s="15">
        <f>((((((AC81+AC80)+AC83)+AC86)-AC82)-AC84)-AC85)</f>
        <v/>
      </c>
      <c r="AD87" s="15">
        <f>((((((AD81+AD80)+AD83)+AD86)-AD82)-AD84)-AD85)</f>
        <v/>
      </c>
      <c r="AE87" s="15">
        <f>((((((AE81+AE80)+AE83)+AE86)-AE82)-AE84)-AE85)</f>
        <v/>
      </c>
      <c r="AF87" s="15">
        <f>((((((AF81+AF80)+AF83)+AF86)-AF82)-AF84)-AF85)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-1826.87678</v>
      </c>
      <c r="E88" s="13" t="n">
        <v>-520.469453</v>
      </c>
      <c r="F88" s="13" t="n">
        <v>-574.610289</v>
      </c>
      <c r="G88" s="13" t="n">
        <v>-574.566067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  <c r="P88" s="15">
        <f>(P82-P81)</f>
        <v/>
      </c>
      <c r="Q88" s="15">
        <f>(Q82-Q81)</f>
        <v/>
      </c>
      <c r="R88" s="15">
        <f>(R82-R81)</f>
        <v/>
      </c>
      <c r="S88" s="15">
        <f>(S82-S81)</f>
        <v/>
      </c>
      <c r="T88" s="15">
        <f>(T82-T81)</f>
        <v/>
      </c>
      <c r="U88" s="15">
        <f>(U82-U81)</f>
        <v/>
      </c>
      <c r="V88" s="15">
        <f>(V82-V81)</f>
        <v/>
      </c>
      <c r="W88" s="15">
        <f>(W82-W81)</f>
        <v/>
      </c>
      <c r="X88" s="15">
        <f>(X82-X81)</f>
        <v/>
      </c>
      <c r="Y88" s="15">
        <f>(Y82-Y81)</f>
        <v/>
      </c>
      <c r="Z88" s="15">
        <f>(Z82-Z81)</f>
        <v/>
      </c>
      <c r="AA88" s="15">
        <f>(AA82-AA81)</f>
        <v/>
      </c>
      <c r="AB88" s="15">
        <f>(AB82-AB81)</f>
        <v/>
      </c>
      <c r="AC88" s="15">
        <f>(AC82-AC81)</f>
        <v/>
      </c>
      <c r="AD88" s="15">
        <f>(AD82-AD81)</f>
        <v/>
      </c>
      <c r="AE88" s="15">
        <f>(AE82-AE81)</f>
        <v/>
      </c>
      <c r="AF88" s="15">
        <f>(AF82-AF81)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0.05683640538817973</v>
      </c>
      <c r="E89" s="20" t="n">
        <v>0.0564401061579947</v>
      </c>
      <c r="F89" s="20" t="n">
        <v>0.06612375638381218</v>
      </c>
      <c r="G89" s="20" t="n">
        <v>0.07714902481254876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  <c r="M89" s="21">
        <f>(IF(M70=0,0,M84/M70)*$C$8)</f>
        <v/>
      </c>
      <c r="N89" s="21">
        <f>(IF(N70=0,0,N84/N70)*$C$8)</f>
        <v/>
      </c>
      <c r="O89" s="21">
        <f>(IF(O70=0,0,O84/O70)*$C$8)</f>
        <v/>
      </c>
      <c r="P89" s="21">
        <f>(IF(P70=0,0,P84/P70)*$C$8)</f>
        <v/>
      </c>
      <c r="Q89" s="21">
        <f>(IF(Q70=0,0,Q84/Q70)*$C$8)</f>
        <v/>
      </c>
      <c r="R89" s="21">
        <f>(IF(R70=0,0,R84/R70)*$C$8)</f>
        <v/>
      </c>
      <c r="S89" s="21">
        <f>(IF(S70=0,0,S84/S70)*$C$8)</f>
        <v/>
      </c>
      <c r="T89" s="21">
        <f>(IF(T70=0,0,T84/T70)*$C$8)</f>
        <v/>
      </c>
      <c r="U89" s="21">
        <f>(IF(U70=0,0,U84/U70)*$C$8)</f>
        <v/>
      </c>
      <c r="V89" s="21">
        <f>(IF(V70=0,0,V84/V70)*$C$8)</f>
        <v/>
      </c>
      <c r="W89" s="21">
        <f>(IF(W70=0,0,W84/W70)*$C$8)</f>
        <v/>
      </c>
      <c r="X89" s="21">
        <f>(IF(X70=0,0,X84/X70)*$C$8)</f>
        <v/>
      </c>
      <c r="Y89" s="21">
        <f>(IF(Y70=0,0,Y84/Y70)*$C$8)</f>
        <v/>
      </c>
      <c r="Z89" s="21">
        <f>(IF(Z70=0,0,Z84/Z70)*$C$8)</f>
        <v/>
      </c>
      <c r="AA89" s="21">
        <f>(IF(AA70=0,0,AA84/AA70)*$C$8)</f>
        <v/>
      </c>
      <c r="AB89" s="21">
        <f>(IF(AB70=0,0,AB84/AB70)*$C$8)</f>
        <v/>
      </c>
      <c r="AC89" s="21">
        <f>(IF(AC70=0,0,AC84/AC70)*$C$8)</f>
        <v/>
      </c>
      <c r="AD89" s="21">
        <f>(IF(AD70=0,0,AD84/AD70)*$C$8)</f>
        <v/>
      </c>
      <c r="AE89" s="21">
        <f>(IF(AE70=0,0,AE84/AE70)*$C$8)</f>
        <v/>
      </c>
      <c r="AF89" s="21">
        <f>(IF(AF70=0,0,AF84/AF70)*$C$8)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-0.2385920097179374</v>
      </c>
      <c r="F90" s="4" t="n">
        <v>-0.03773981607367394</v>
      </c>
      <c r="G90" s="4" t="n">
        <v>-0.005408388405478415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  <c r="L90" s="17">
        <f>(IF(K55=0,0,L55/K55)-1)</f>
        <v/>
      </c>
      <c r="M90" s="17">
        <f>(IF(L55=0,0,M55/L55)-1)</f>
        <v/>
      </c>
      <c r="N90" s="17">
        <f>(IF(M55=0,0,N55/M55)-1)</f>
        <v/>
      </c>
      <c r="O90" s="17">
        <f>(IF(N55=0,0,O55/N55)-1)</f>
        <v/>
      </c>
      <c r="P90" s="17">
        <f>(IF(O55=0,0,P55/O55)-1)</f>
        <v/>
      </c>
      <c r="Q90" s="17">
        <f>(IF(P55=0,0,Q55/P55)-1)</f>
        <v/>
      </c>
      <c r="R90" s="17">
        <f>(IF(Q55=0,0,R55/Q55)-1)</f>
        <v/>
      </c>
      <c r="S90" s="17">
        <f>(IF(R55=0,0,S55/R55)-1)</f>
        <v/>
      </c>
      <c r="T90" s="17">
        <f>(IF(S55=0,0,T55/S55)-1)</f>
        <v/>
      </c>
      <c r="U90" s="17">
        <f>(IF(T55=0,0,U55/T55)-1)</f>
        <v/>
      </c>
      <c r="V90" s="17">
        <f>(IF(U55=0,0,V55/U55)-1)</f>
        <v/>
      </c>
      <c r="W90" s="17">
        <f>(IF(V55=0,0,W55/V55)-1)</f>
        <v/>
      </c>
      <c r="X90" s="17">
        <f>(IF(W55=0,0,X55/W55)-1)</f>
        <v/>
      </c>
      <c r="Y90" s="17">
        <f>(IF(X55=0,0,Y55/X55)-1)</f>
        <v/>
      </c>
      <c r="Z90" s="17">
        <f>(IF(Y55=0,0,Z55/Y55)-1)</f>
        <v/>
      </c>
      <c r="AA90" s="17">
        <f>(IF(Z55=0,0,AA55/Z55)-1)</f>
        <v/>
      </c>
      <c r="AB90" s="17">
        <f>(IF(AA55=0,0,AB55/AA55)-1)</f>
        <v/>
      </c>
      <c r="AC90" s="17">
        <f>(IF(AB55=0,0,AC55/AB55)-1)</f>
        <v/>
      </c>
      <c r="AD90" s="17">
        <f>(IF(AC55=0,0,AD55/AC55)-1)</f>
        <v/>
      </c>
      <c r="AE90" s="17">
        <f>(IF(AD55=0,0,AE55/AD55)-1)</f>
        <v/>
      </c>
      <c r="AF90" s="17">
        <f>(IF(AE55=0,0,AF55/AE55)-1)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0.6718373324791365</v>
      </c>
      <c r="E91" s="4" t="n">
        <v>0.4646883042771599</v>
      </c>
      <c r="F91" s="4" t="n">
        <v>0.386738934103064</v>
      </c>
      <c r="G91" s="4" t="n">
        <v>0.3227649366371469</v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  <c r="L91" s="17">
        <f>IF(L55=0,0,L57/L55)</f>
        <v/>
      </c>
      <c r="M91" s="17">
        <f>IF(M55=0,0,M57/M55)</f>
        <v/>
      </c>
      <c r="N91" s="17">
        <f>IF(N55=0,0,N57/N55)</f>
        <v/>
      </c>
      <c r="O91" s="17">
        <f>IF(O55=0,0,O57/O55)</f>
        <v/>
      </c>
      <c r="P91" s="17">
        <f>IF(P55=0,0,P57/P55)</f>
        <v/>
      </c>
      <c r="Q91" s="17">
        <f>IF(Q55=0,0,Q57/Q55)</f>
        <v/>
      </c>
      <c r="R91" s="17">
        <f>IF(R55=0,0,R57/R55)</f>
        <v/>
      </c>
      <c r="S91" s="17">
        <f>IF(S55=0,0,S57/S55)</f>
        <v/>
      </c>
      <c r="T91" s="17">
        <f>IF(T55=0,0,T57/T55)</f>
        <v/>
      </c>
      <c r="U91" s="17">
        <f>IF(U55=0,0,U57/U55)</f>
        <v/>
      </c>
      <c r="V91" s="17">
        <f>IF(V55=0,0,V57/V55)</f>
        <v/>
      </c>
      <c r="W91" s="17">
        <f>IF(W55=0,0,W57/W55)</f>
        <v/>
      </c>
      <c r="X91" s="17">
        <f>IF(X55=0,0,X57/X55)</f>
        <v/>
      </c>
      <c r="Y91" s="17">
        <f>IF(Y55=0,0,Y57/Y55)</f>
        <v/>
      </c>
      <c r="Z91" s="17">
        <f>IF(Z55=0,0,Z57/Z55)</f>
        <v/>
      </c>
      <c r="AA91" s="17">
        <f>IF(AA55=0,0,AA57/AA55)</f>
        <v/>
      </c>
      <c r="AB91" s="17">
        <f>IF(AB55=0,0,AB57/AB55)</f>
        <v/>
      </c>
      <c r="AC91" s="17">
        <f>IF(AC55=0,0,AC57/AC55)</f>
        <v/>
      </c>
      <c r="AD91" s="17">
        <f>IF(AD55=0,0,AD57/AD55)</f>
        <v/>
      </c>
      <c r="AE91" s="17">
        <f>IF(AE55=0,0,AE57/AE55)</f>
        <v/>
      </c>
      <c r="AF91" s="17">
        <f>IF(AF55=0,0,AF57/AF55)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0.625760638975899</v>
      </c>
      <c r="E92" s="4" t="n">
        <v>0.4492172687767801</v>
      </c>
      <c r="F92" s="4" t="n">
        <v>0.3799243075305859</v>
      </c>
      <c r="G92" s="4" t="n">
        <v>0.3248504816370276</v>
      </c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  <c r="L92" s="17">
        <f>IF(L55=0,0,L61/L55)</f>
        <v/>
      </c>
      <c r="M92" s="17">
        <f>IF(M55=0,0,M61/M55)</f>
        <v/>
      </c>
      <c r="N92" s="17">
        <f>IF(N55=0,0,N61/N55)</f>
        <v/>
      </c>
      <c r="O92" s="17">
        <f>IF(O55=0,0,O61/O55)</f>
        <v/>
      </c>
      <c r="P92" s="17">
        <f>IF(P55=0,0,P61/P55)</f>
        <v/>
      </c>
      <c r="Q92" s="17">
        <f>IF(Q55=0,0,Q61/Q55)</f>
        <v/>
      </c>
      <c r="R92" s="17">
        <f>IF(R55=0,0,R61/R55)</f>
        <v/>
      </c>
      <c r="S92" s="17">
        <f>IF(S55=0,0,S61/S55)</f>
        <v/>
      </c>
      <c r="T92" s="17">
        <f>IF(T55=0,0,T61/T55)</f>
        <v/>
      </c>
      <c r="U92" s="17">
        <f>IF(U55=0,0,U61/U55)</f>
        <v/>
      </c>
      <c r="V92" s="17">
        <f>IF(V55=0,0,V61/V55)</f>
        <v/>
      </c>
      <c r="W92" s="17">
        <f>IF(W55=0,0,W61/W55)</f>
        <v/>
      </c>
      <c r="X92" s="17">
        <f>IF(X55=0,0,X61/X55)</f>
        <v/>
      </c>
      <c r="Y92" s="17">
        <f>IF(Y55=0,0,Y61/Y55)</f>
        <v/>
      </c>
      <c r="Z92" s="17">
        <f>IF(Z55=0,0,Z61/Z55)</f>
        <v/>
      </c>
      <c r="AA92" s="17">
        <f>IF(AA55=0,0,AA61/AA55)</f>
        <v/>
      </c>
      <c r="AB92" s="17">
        <f>IF(AB55=0,0,AB61/AB55)</f>
        <v/>
      </c>
      <c r="AC92" s="17">
        <f>IF(AC55=0,0,AC61/AC55)</f>
        <v/>
      </c>
      <c r="AD92" s="17">
        <f>IF(AD55=0,0,AD61/AD55)</f>
        <v/>
      </c>
      <c r="AE92" s="17">
        <f>IF(AE55=0,0,AE61/AE55)</f>
        <v/>
      </c>
      <c r="AF92" s="17">
        <f>IF(AF55=0,0,AF61/AF55)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0.6255086319076388</v>
      </c>
      <c r="E93" s="4" t="n">
        <v>0.4487589038149207</v>
      </c>
      <c r="F93" s="4" t="n">
        <v>0.3519028772689842</v>
      </c>
      <c r="G93" s="4" t="n">
        <v>0.2924440952336619</v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  <c r="L93" s="17">
        <f>IF(L55=0,0,L59/L55)</f>
        <v/>
      </c>
      <c r="M93" s="17">
        <f>IF(M55=0,0,M59/M55)</f>
        <v/>
      </c>
      <c r="N93" s="17">
        <f>IF(N55=0,0,N59/N55)</f>
        <v/>
      </c>
      <c r="O93" s="17">
        <f>IF(O55=0,0,O59/O55)</f>
        <v/>
      </c>
      <c r="P93" s="17">
        <f>IF(P55=0,0,P59/P55)</f>
        <v/>
      </c>
      <c r="Q93" s="17">
        <f>IF(Q55=0,0,Q59/Q55)</f>
        <v/>
      </c>
      <c r="R93" s="17">
        <f>IF(R55=0,0,R59/R55)</f>
        <v/>
      </c>
      <c r="S93" s="17">
        <f>IF(S55=0,0,S59/S55)</f>
        <v/>
      </c>
      <c r="T93" s="17">
        <f>IF(T55=0,0,T59/T55)</f>
        <v/>
      </c>
      <c r="U93" s="17">
        <f>IF(U55=0,0,U59/U55)</f>
        <v/>
      </c>
      <c r="V93" s="17">
        <f>IF(V55=0,0,V59/V55)</f>
        <v/>
      </c>
      <c r="W93" s="17">
        <f>IF(W55=0,0,W59/W55)</f>
        <v/>
      </c>
      <c r="X93" s="17">
        <f>IF(X55=0,0,X59/X55)</f>
        <v/>
      </c>
      <c r="Y93" s="17">
        <f>IF(Y55=0,0,Y59/Y55)</f>
        <v/>
      </c>
      <c r="Z93" s="17">
        <f>IF(Z55=0,0,Z59/Z55)</f>
        <v/>
      </c>
      <c r="AA93" s="17">
        <f>IF(AA55=0,0,AA59/AA55)</f>
        <v/>
      </c>
      <c r="AB93" s="17">
        <f>IF(AB55=0,0,AB59/AB55)</f>
        <v/>
      </c>
      <c r="AC93" s="17">
        <f>IF(AC55=0,0,AC59/AC55)</f>
        <v/>
      </c>
      <c r="AD93" s="17">
        <f>IF(AD55=0,0,AD59/AD55)</f>
        <v/>
      </c>
      <c r="AE93" s="17">
        <f>IF(AE55=0,0,AE59/AE55)</f>
        <v/>
      </c>
      <c r="AF93" s="17">
        <f>IF(AF55=0,0,AF59/AF55)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0.4631483149369494</v>
      </c>
      <c r="E94" s="4" t="n">
        <v>0.3458400604869514</v>
      </c>
      <c r="F94" s="4" t="n">
        <v>0.2677264422897052</v>
      </c>
      <c r="G94" s="4" t="n">
        <v>0.2240403729459009</v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  <c r="L94" s="17">
        <f>IF(L55=0,0,L69/L55)</f>
        <v/>
      </c>
      <c r="M94" s="17">
        <f>IF(M55=0,0,M69/M55)</f>
        <v/>
      </c>
      <c r="N94" s="17">
        <f>IF(N55=0,0,N69/N55)</f>
        <v/>
      </c>
      <c r="O94" s="17">
        <f>IF(O55=0,0,O69/O55)</f>
        <v/>
      </c>
      <c r="P94" s="17">
        <f>IF(P55=0,0,P69/P55)</f>
        <v/>
      </c>
      <c r="Q94" s="17">
        <f>IF(Q55=0,0,Q69/Q55)</f>
        <v/>
      </c>
      <c r="R94" s="17">
        <f>IF(R55=0,0,R69/R55)</f>
        <v/>
      </c>
      <c r="S94" s="17">
        <f>IF(S55=0,0,S69/S55)</f>
        <v/>
      </c>
      <c r="T94" s="17">
        <f>IF(T55=0,0,T69/T55)</f>
        <v/>
      </c>
      <c r="U94" s="17">
        <f>IF(U55=0,0,U69/U55)</f>
        <v/>
      </c>
      <c r="V94" s="17">
        <f>IF(V55=0,0,V69/V55)</f>
        <v/>
      </c>
      <c r="W94" s="17">
        <f>IF(W55=0,0,W69/W55)</f>
        <v/>
      </c>
      <c r="X94" s="17">
        <f>IF(X55=0,0,X69/X55)</f>
        <v/>
      </c>
      <c r="Y94" s="17">
        <f>IF(Y55=0,0,Y69/Y55)</f>
        <v/>
      </c>
      <c r="Z94" s="17">
        <f>IF(Z55=0,0,Z69/Z55)</f>
        <v/>
      </c>
      <c r="AA94" s="17">
        <f>IF(AA55=0,0,AA69/AA55)</f>
        <v/>
      </c>
      <c r="AB94" s="17">
        <f>IF(AB55=0,0,AB69/AB55)</f>
        <v/>
      </c>
      <c r="AC94" s="17">
        <f>IF(AC55=0,0,AC69/AC55)</f>
        <v/>
      </c>
      <c r="AD94" s="17">
        <f>IF(AD55=0,0,AD69/AD55)</f>
        <v/>
      </c>
      <c r="AE94" s="17">
        <f>IF(AE55=0,0,AE69/AE55)</f>
        <v/>
      </c>
      <c r="AF94" s="17">
        <f>IF(AF55=0,0,AF69/AF55)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-0.4314447944170013</v>
      </c>
      <c r="F95" s="4" t="n">
        <v>-0.2550819727567311</v>
      </c>
      <c r="G95" s="4" t="n">
        <v>-0.167700158098767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  <c r="L95" s="17">
        <f>(IF(K71=0,0,L71/K71)-1)</f>
        <v/>
      </c>
      <c r="M95" s="17">
        <f>(IF(L71=0,0,M71/L71)-1)</f>
        <v/>
      </c>
      <c r="N95" s="17">
        <f>(IF(M71=0,0,N71/M71)-1)</f>
        <v/>
      </c>
      <c r="O95" s="17">
        <f>(IF(N71=0,0,O71/N71)-1)</f>
        <v/>
      </c>
      <c r="P95" s="17">
        <f>(IF(O71=0,0,P71/O71)-1)</f>
        <v/>
      </c>
      <c r="Q95" s="17">
        <f>(IF(P71=0,0,Q71/P71)-1)</f>
        <v/>
      </c>
      <c r="R95" s="17">
        <f>(IF(Q71=0,0,R71/Q71)-1)</f>
        <v/>
      </c>
      <c r="S95" s="17">
        <f>(IF(R71=0,0,S71/R71)-1)</f>
        <v/>
      </c>
      <c r="T95" s="17">
        <f>(IF(S71=0,0,T71/S71)-1)</f>
        <v/>
      </c>
      <c r="U95" s="17">
        <f>(IF(T71=0,0,U71/T71)-1)</f>
        <v/>
      </c>
      <c r="V95" s="17">
        <f>(IF(U71=0,0,V71/U71)-1)</f>
        <v/>
      </c>
      <c r="W95" s="17">
        <f>(IF(V71=0,0,W71/V71)-1)</f>
        <v/>
      </c>
      <c r="X95" s="17">
        <f>(IF(W71=0,0,X71/W71)-1)</f>
        <v/>
      </c>
      <c r="Y95" s="17">
        <f>(IF(X71=0,0,Y71/X71)-1)</f>
        <v/>
      </c>
      <c r="Z95" s="17">
        <f>(IF(Y71=0,0,Z71/Y71)-1)</f>
        <v/>
      </c>
      <c r="AA95" s="17">
        <f>(IF(Z71=0,0,AA71/Z71)-1)</f>
        <v/>
      </c>
      <c r="AB95" s="17">
        <f>(IF(AA71=0,0,AB71/AA71)-1)</f>
        <v/>
      </c>
      <c r="AC95" s="17">
        <f>(IF(AB71=0,0,AC71/AB71)-1)</f>
        <v/>
      </c>
      <c r="AD95" s="17">
        <f>(IF(AC71=0,0,AD71/AC71)-1)</f>
        <v/>
      </c>
      <c r="AE95" s="17">
        <f>(IF(AD71=0,0,AE71/AD71)-1)</f>
        <v/>
      </c>
      <c r="AF95" s="17">
        <f>(IF(AE71=0,0,AF71/AE71)-1)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0.6560493471231079</v>
      </c>
      <c r="F96" s="4" t="n">
        <v>0.4516712204071455</v>
      </c>
      <c r="G96" s="4" t="n">
        <v>0.3215888471733238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  <c r="L96" s="17">
        <f>IF(IF(2=0,0,(L84+K84)/2)=0,0,L69/IF(2=0,0,(L84+K84)/2))</f>
        <v/>
      </c>
      <c r="M96" s="17">
        <f>IF(IF(2=0,0,(M84+L84)/2)=0,0,M69/IF(2=0,0,(M84+L84)/2))</f>
        <v/>
      </c>
      <c r="N96" s="17">
        <f>IF(IF(2=0,0,(N84+M84)/2)=0,0,N69/IF(2=0,0,(N84+M84)/2))</f>
        <v/>
      </c>
      <c r="O96" s="17">
        <f>IF(IF(2=0,0,(O84+N84)/2)=0,0,O69/IF(2=0,0,(O84+N84)/2))</f>
        <v/>
      </c>
      <c r="P96" s="17">
        <f>IF(IF(2=0,0,(P84+O84)/2)=0,0,P69/IF(2=0,0,(P84+O84)/2))</f>
        <v/>
      </c>
      <c r="Q96" s="17">
        <f>IF(IF(2=0,0,(Q84+P84)/2)=0,0,Q69/IF(2=0,0,(Q84+P84)/2))</f>
        <v/>
      </c>
      <c r="R96" s="17">
        <f>IF(IF(2=0,0,(R84+Q84)/2)=0,0,R69/IF(2=0,0,(R84+Q84)/2))</f>
        <v/>
      </c>
      <c r="S96" s="17">
        <f>IF(IF(2=0,0,(S84+R84)/2)=0,0,S69/IF(2=0,0,(S84+R84)/2))</f>
        <v/>
      </c>
      <c r="T96" s="17">
        <f>IF(IF(2=0,0,(T84+S84)/2)=0,0,T69/IF(2=0,0,(T84+S84)/2))</f>
        <v/>
      </c>
      <c r="U96" s="17">
        <f>IF(IF(2=0,0,(U84+T84)/2)=0,0,U69/IF(2=0,0,(U84+T84)/2))</f>
        <v/>
      </c>
      <c r="V96" s="17">
        <f>IF(IF(2=0,0,(V84+U84)/2)=0,0,V69/IF(2=0,0,(V84+U84)/2))</f>
        <v/>
      </c>
      <c r="W96" s="17">
        <f>IF(IF(2=0,0,(W84+V84)/2)=0,0,W69/IF(2=0,0,(W84+V84)/2))</f>
        <v/>
      </c>
      <c r="X96" s="17">
        <f>IF(IF(2=0,0,(X84+W84)/2)=0,0,X69/IF(2=0,0,(X84+W84)/2))</f>
        <v/>
      </c>
      <c r="Y96" s="17">
        <f>IF(IF(2=0,0,(Y84+X84)/2)=0,0,Y69/IF(2=0,0,(Y84+X84)/2))</f>
        <v/>
      </c>
      <c r="Z96" s="17">
        <f>IF(IF(2=0,0,(Z84+Y84)/2)=0,0,Z69/IF(2=0,0,(Z84+Y84)/2))</f>
        <v/>
      </c>
      <c r="AA96" s="17">
        <f>IF(IF(2=0,0,(AA84+Z84)/2)=0,0,AA69/IF(2=0,0,(AA84+Z84)/2))</f>
        <v/>
      </c>
      <c r="AB96" s="17">
        <f>IF(IF(2=0,0,(AB84+AA84)/2)=0,0,AB69/IF(2=0,0,(AB84+AA84)/2))</f>
        <v/>
      </c>
      <c r="AC96" s="17">
        <f>IF(IF(2=0,0,(AC84+AB84)/2)=0,0,AC69/IF(2=0,0,(AC84+AB84)/2))</f>
        <v/>
      </c>
      <c r="AD96" s="17">
        <f>IF(IF(2=0,0,(AD84+AC84)/2)=0,0,AD69/IF(2=0,0,(AD84+AC84)/2))</f>
        <v/>
      </c>
      <c r="AE96" s="17">
        <f>IF(IF(2=0,0,(AE84+AD84)/2)=0,0,AE69/IF(2=0,0,(AE84+AD84)/2))</f>
        <v/>
      </c>
      <c r="AF96" s="17">
        <f>IF(IF(2=0,0,(AF84+AE84)/2)=0,0,AF69/IF(2=0,0,(AF84+AE84)/2))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>
        <v>-0.6206812088023769</v>
      </c>
      <c r="E97" s="22" t="n">
        <v>-0.3235109282192804</v>
      </c>
      <c r="F97" s="22" t="n">
        <v>-0.438868039975198</v>
      </c>
      <c r="G97" s="22" t="n">
        <v>-0.5160232907189198</v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  <c r="M97" s="23">
        <f>IF(M61=0,0,M88/M61)</f>
        <v/>
      </c>
      <c r="N97" s="23">
        <f>IF(N61=0,0,N88/N61)</f>
        <v/>
      </c>
      <c r="O97" s="23">
        <f>IF(O61=0,0,O88/O61)</f>
        <v/>
      </c>
      <c r="P97" s="23">
        <f>IF(P61=0,0,P88/P61)</f>
        <v/>
      </c>
      <c r="Q97" s="23">
        <f>IF(Q61=0,0,Q88/Q61)</f>
        <v/>
      </c>
      <c r="R97" s="23">
        <f>IF(R61=0,0,R88/R61)</f>
        <v/>
      </c>
      <c r="S97" s="23">
        <f>IF(S61=0,0,S88/S61)</f>
        <v/>
      </c>
      <c r="T97" s="23">
        <f>IF(T61=0,0,T88/T61)</f>
        <v/>
      </c>
      <c r="U97" s="23">
        <f>IF(U61=0,0,U88/U61)</f>
        <v/>
      </c>
      <c r="V97" s="23">
        <f>IF(V61=0,0,V88/V61)</f>
        <v/>
      </c>
      <c r="W97" s="23">
        <f>IF(W61=0,0,W88/W61)</f>
        <v/>
      </c>
      <c r="X97" s="23">
        <f>IF(X61=0,0,X88/X61)</f>
        <v/>
      </c>
      <c r="Y97" s="23">
        <f>IF(Y61=0,0,Y88/Y61)</f>
        <v/>
      </c>
      <c r="Z97" s="23">
        <f>IF(Z61=0,0,Z88/Z61)</f>
        <v/>
      </c>
      <c r="AA97" s="23">
        <f>IF(AA61=0,0,AA88/AA61)</f>
        <v/>
      </c>
      <c r="AB97" s="23">
        <f>IF(AB61=0,0,AB88/AB61)</f>
        <v/>
      </c>
      <c r="AC97" s="23">
        <f>IF(AC61=0,0,AC88/AC61)</f>
        <v/>
      </c>
      <c r="AD97" s="23">
        <f>IF(AD61=0,0,AD88/AD61)</f>
        <v/>
      </c>
      <c r="AE97" s="23">
        <f>IF(AE61=0,0,AE88/AE61)</f>
        <v/>
      </c>
      <c r="AF97" s="23">
        <f>IF(AF61=0,0,AF88/AF61)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0.5932881389663475</v>
      </c>
      <c r="E98" s="4" t="n">
        <v>0.4836994267363923</v>
      </c>
      <c r="F98" s="4" t="n">
        <v>0.4285191829893716</v>
      </c>
      <c r="G98" s="4" t="n">
        <v>0.6472629494974435</v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  <c r="L98" s="17">
        <f>IF(L71=0,0,L72/L71)</f>
        <v/>
      </c>
      <c r="M98" s="17">
        <f>IF(M71=0,0,M72/M71)</f>
        <v/>
      </c>
      <c r="N98" s="17">
        <f>IF(N71=0,0,N72/N71)</f>
        <v/>
      </c>
      <c r="O98" s="17">
        <f>IF(O71=0,0,O72/O71)</f>
        <v/>
      </c>
      <c r="P98" s="17">
        <f>IF(P71=0,0,P72/P71)</f>
        <v/>
      </c>
      <c r="Q98" s="17">
        <f>IF(Q71=0,0,Q72/Q71)</f>
        <v/>
      </c>
      <c r="R98" s="17">
        <f>IF(R71=0,0,R72/R71)</f>
        <v/>
      </c>
      <c r="S98" s="17">
        <f>IF(S71=0,0,S72/S71)</f>
        <v/>
      </c>
      <c r="T98" s="17">
        <f>IF(T71=0,0,T72/T71)</f>
        <v/>
      </c>
      <c r="U98" s="17">
        <f>IF(U71=0,0,U72/U71)</f>
        <v/>
      </c>
      <c r="V98" s="17">
        <f>IF(V71=0,0,V72/V71)</f>
        <v/>
      </c>
      <c r="W98" s="17">
        <f>IF(W71=0,0,W72/W71)</f>
        <v/>
      </c>
      <c r="X98" s="17">
        <f>IF(X71=0,0,X72/X71)</f>
        <v/>
      </c>
      <c r="Y98" s="17">
        <f>IF(Y71=0,0,Y72/Y71)</f>
        <v/>
      </c>
      <c r="Z98" s="17">
        <f>IF(Z71=0,0,Z72/Z71)</f>
        <v/>
      </c>
      <c r="AA98" s="17">
        <f>IF(AA71=0,0,AA72/AA71)</f>
        <v/>
      </c>
      <c r="AB98" s="17">
        <f>IF(AB71=0,0,AB72/AB71)</f>
        <v/>
      </c>
      <c r="AC98" s="17">
        <f>IF(AC71=0,0,AC72/AC71)</f>
        <v/>
      </c>
      <c r="AD98" s="17">
        <f>IF(AD71=0,0,AD72/AD71)</f>
        <v/>
      </c>
      <c r="AE98" s="17">
        <f>IF(AE71=0,0,AE72/AE71)</f>
        <v/>
      </c>
      <c r="AF98" s="17">
        <f>IF(AF71=0,0,AF72/AF71)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0.04209524774745517</v>
      </c>
      <c r="E99" s="4" t="n">
        <v>0.06024761375734505</v>
      </c>
      <c r="F99" s="4" t="n">
        <v>0.05211696205761401</v>
      </c>
      <c r="G99" s="4" t="n">
        <v>0.04987012069549777</v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  <c r="L99" s="17">
        <f>IF(L55=0,0,L74/L55)</f>
        <v/>
      </c>
      <c r="M99" s="17">
        <f>IF(M55=0,0,M74/M55)</f>
        <v/>
      </c>
      <c r="N99" s="17">
        <f>IF(N55=0,0,N74/N55)</f>
        <v/>
      </c>
      <c r="O99" s="17">
        <f>IF(O55=0,0,O74/O55)</f>
        <v/>
      </c>
      <c r="P99" s="17">
        <f>IF(P55=0,0,P74/P55)</f>
        <v/>
      </c>
      <c r="Q99" s="17">
        <f>IF(Q55=0,0,Q74/Q55)</f>
        <v/>
      </c>
      <c r="R99" s="17">
        <f>IF(R55=0,0,R74/R55)</f>
        <v/>
      </c>
      <c r="S99" s="17">
        <f>IF(S55=0,0,S74/S55)</f>
        <v/>
      </c>
      <c r="T99" s="17">
        <f>IF(T55=0,0,T74/T55)</f>
        <v/>
      </c>
      <c r="U99" s="17">
        <f>IF(U55=0,0,U74/U55)</f>
        <v/>
      </c>
      <c r="V99" s="17">
        <f>IF(V55=0,0,V74/V55)</f>
        <v/>
      </c>
      <c r="W99" s="17">
        <f>IF(W55=0,0,W74/W55)</f>
        <v/>
      </c>
      <c r="X99" s="17">
        <f>IF(X55=0,0,X74/X55)</f>
        <v/>
      </c>
      <c r="Y99" s="17">
        <f>IF(Y55=0,0,Y74/Y55)</f>
        <v/>
      </c>
      <c r="Z99" s="17">
        <f>IF(Z55=0,0,Z74/Z55)</f>
        <v/>
      </c>
      <c r="AA99" s="17">
        <f>IF(AA55=0,0,AA74/AA55)</f>
        <v/>
      </c>
      <c r="AB99" s="17">
        <f>IF(AB55=0,0,AB74/AB55)</f>
        <v/>
      </c>
      <c r="AC99" s="17">
        <f>IF(AC55=0,0,AC74/AC55)</f>
        <v/>
      </c>
      <c r="AD99" s="17">
        <f>IF(AD55=0,0,AD74/AD55)</f>
        <v/>
      </c>
      <c r="AE99" s="17">
        <f>IF(AE55=0,0,AE74/AE55)</f>
        <v/>
      </c>
      <c r="AF99" s="17">
        <f>IF(AF55=0,0,AF74/AF55)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9150</v>
      </c>
    </row>
    <row r="103">
      <c r="A103" t="inlineStr">
        <is>
          <t>Shares outstanding (m)</t>
        </is>
      </c>
      <c r="C103" s="13" t="n">
        <v>33333.335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148.575179</v>
      </c>
    </row>
    <row r="106">
      <c r="A106" t="inlineStr">
        <is>
          <t>Cash at balance-sheet date</t>
        </is>
      </c>
      <c r="C106" s="13" t="n">
        <v>768.986129</v>
      </c>
    </row>
    <row r="107">
      <c r="A107" t="inlineStr">
        <is>
          <t>Minority interest (book)</t>
        </is>
      </c>
      <c r="C107" s="13" t="n">
        <v>105.469242</v>
      </c>
    </row>
    <row r="108">
      <c r="A108" t="inlineStr">
        <is>
          <t>Associates &amp; investments (book)</t>
        </is>
      </c>
      <c r="C108" s="13" t="n">
        <v>166.685187</v>
      </c>
    </row>
    <row r="109">
      <c r="A109" t="inlineStr">
        <is>
          <t>Post-balance-sheet &amp; other items (sourced, probability-weighted)</t>
        </is>
      </c>
      <c r="C109" s="13" t="n">
        <v>0</v>
      </c>
    </row>
    <row r="110">
      <c r="A110" t="inlineStr">
        <is>
          <t>Parent equity at balance-sheet date</t>
        </is>
      </c>
      <c r="C110" s="13" t="n">
        <v>2766.515812</v>
      </c>
    </row>
    <row r="111">
      <c r="A111" t="inlineStr">
        <is>
          <t>Per-share factor</t>
        </is>
      </c>
      <c r="C111" s="24" t="n">
        <v>1</v>
      </c>
    </row>
    <row r="112">
      <c r="A112" t="inlineStr">
        <is>
          <t>Risk-free rate</t>
        </is>
      </c>
      <c r="C112" s="9">
        <f>Drivers!$C$12</f>
        <v/>
      </c>
    </row>
    <row r="113">
      <c r="A113" t="inlineStr">
        <is>
          <t>Less: default spread (IDR only)</t>
        </is>
      </c>
      <c r="C113" s="9" t="n">
        <v>0</v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0.008835594957243204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0.01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  <c r="K126" s="6" t="n">
        <v>0.996578</v>
      </c>
      <c r="L126" s="6" t="n">
        <v>0.996578</v>
      </c>
      <c r="M126" s="6" t="n">
        <v>0.996578</v>
      </c>
      <c r="N126" s="6" t="n">
        <v>0.999316</v>
      </c>
      <c r="O126" s="6" t="n">
        <v>0.996578</v>
      </c>
      <c r="P126" s="6" t="n">
        <v>0.996578</v>
      </c>
      <c r="Q126" s="6" t="n">
        <v>0.996578</v>
      </c>
      <c r="R126" s="6" t="n">
        <v>0.999316</v>
      </c>
      <c r="S126" s="6" t="n">
        <v>0.996578</v>
      </c>
      <c r="T126" s="6" t="n">
        <v>0.996578</v>
      </c>
      <c r="U126" s="6" t="n">
        <v>0.996578</v>
      </c>
      <c r="V126" s="6" t="n">
        <v>0.999316</v>
      </c>
      <c r="W126" s="6" t="n">
        <v>0.996578</v>
      </c>
      <c r="X126" s="6" t="n">
        <v>0.996578</v>
      </c>
      <c r="Y126" s="6" t="n">
        <v>0.996578</v>
      </c>
      <c r="Z126" s="6" t="n">
        <v>0.999316</v>
      </c>
      <c r="AA126" s="6" t="n">
        <v>0.996578</v>
      </c>
      <c r="AB126" s="6" t="n">
        <v>0.996578</v>
      </c>
      <c r="AC126" s="6" t="n">
        <v>0.996578</v>
      </c>
      <c r="AD126" s="6" t="n">
        <v>0.999316</v>
      </c>
      <c r="AE126" s="6" t="n">
        <v>0.996578</v>
      </c>
      <c r="AF126" s="6" t="n">
        <v>0.996578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  <c r="K127" s="6" t="n">
        <v>2.672142</v>
      </c>
      <c r="L127" s="6" t="n">
        <v>3.671458</v>
      </c>
      <c r="M127" s="6" t="n">
        <v>4.670773</v>
      </c>
      <c r="N127" s="6" t="n">
        <v>5.670089</v>
      </c>
      <c r="O127" s="6" t="n">
        <v>6.672142</v>
      </c>
      <c r="P127" s="6" t="n">
        <v>7.671458</v>
      </c>
      <c r="Q127" s="6" t="n">
        <v>8.670773000000001</v>
      </c>
      <c r="R127" s="6" t="n">
        <v>9.670089000000001</v>
      </c>
      <c r="S127" s="6" t="n">
        <v>10.672142</v>
      </c>
      <c r="T127" s="6" t="n">
        <v>11.671458</v>
      </c>
      <c r="U127" s="6" t="n">
        <v>12.670773</v>
      </c>
      <c r="V127" s="6" t="n">
        <v>13.670089</v>
      </c>
      <c r="W127" s="6" t="n">
        <v>14.672142</v>
      </c>
      <c r="X127" s="6" t="n">
        <v>15.671458</v>
      </c>
      <c r="Y127" s="6" t="n">
        <v>16.670773</v>
      </c>
      <c r="Z127" s="6" t="n">
        <v>17.670089</v>
      </c>
      <c r="AA127" s="6" t="n">
        <v>18.672142</v>
      </c>
      <c r="AB127" s="6" t="n">
        <v>19.671458</v>
      </c>
      <c r="AC127" s="6" t="n">
        <v>20.670773</v>
      </c>
      <c r="AD127" s="6" t="n">
        <v>21.670089</v>
      </c>
      <c r="AE127" s="6" t="n">
        <v>22.672142</v>
      </c>
      <c r="AF127" s="6" t="n">
        <v>23.671458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  <c r="P128">
        <f>1/(1+$C$122)^P127</f>
        <v/>
      </c>
      <c r="Q128">
        <f>1/(1+$C$122)^Q127</f>
        <v/>
      </c>
      <c r="R128">
        <f>1/(1+$C$122)^R127</f>
        <v/>
      </c>
      <c r="S128">
        <f>1/(1+$C$122)^S127</f>
        <v/>
      </c>
      <c r="T128">
        <f>1/(1+$C$122)^T127</f>
        <v/>
      </c>
      <c r="U128">
        <f>1/(1+$C$122)^U127</f>
        <v/>
      </c>
      <c r="V128">
        <f>1/(1+$C$122)^V127</f>
        <v/>
      </c>
      <c r="W128">
        <f>1/(1+$C$122)^W127</f>
        <v/>
      </c>
      <c r="X128">
        <f>1/(1+$C$122)^X127</f>
        <v/>
      </c>
      <c r="Y128">
        <f>1/(1+$C$122)^Y127</f>
        <v/>
      </c>
      <c r="Z128">
        <f>1/(1+$C$122)^Z127</f>
        <v/>
      </c>
      <c r="AA128">
        <f>1/(1+$C$122)^AA127</f>
        <v/>
      </c>
      <c r="AB128">
        <f>1/(1+$C$122)^AB127</f>
        <v/>
      </c>
      <c r="AC128">
        <f>1/(1+$C$122)^AC127</f>
        <v/>
      </c>
      <c r="AD128">
        <f>1/(1+$C$122)^AD127</f>
        <v/>
      </c>
      <c r="AE128">
        <f>1/(1+$C$122)^AE127</f>
        <v/>
      </c>
      <c r="AF128">
        <f>1/(1+$C$122)^AF127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  <c r="M129" s="26">
        <f>M76*M126*M128</f>
        <v/>
      </c>
      <c r="N129" s="26">
        <f>N76*N126*N128</f>
        <v/>
      </c>
      <c r="O129" s="26">
        <f>O76*O126*O128</f>
        <v/>
      </c>
      <c r="P129" s="26">
        <f>P76*P126*P128</f>
        <v/>
      </c>
      <c r="Q129" s="26">
        <f>Q76*Q126*Q128</f>
        <v/>
      </c>
      <c r="R129" s="26">
        <f>R76*R126*R128</f>
        <v/>
      </c>
      <c r="S129" s="26">
        <f>S76*S126*S128</f>
        <v/>
      </c>
      <c r="T129" s="26">
        <f>T76*T126*T128</f>
        <v/>
      </c>
      <c r="U129" s="26">
        <f>U76*U126*U128</f>
        <v/>
      </c>
      <c r="V129" s="26">
        <f>V76*V126*V128</f>
        <v/>
      </c>
      <c r="W129" s="26">
        <f>W76*W126*W128</f>
        <v/>
      </c>
      <c r="X129" s="26">
        <f>X76*X126*X128</f>
        <v/>
      </c>
      <c r="Y129" s="26">
        <f>Y76*Y126*Y128</f>
        <v/>
      </c>
      <c r="Z129" s="26">
        <f>Z76*Z126*Z128</f>
        <v/>
      </c>
      <c r="AA129" s="26">
        <f>AA76*AA126*AA128</f>
        <v/>
      </c>
      <c r="AB129" s="26">
        <f>AB76*AB126*AB128</f>
        <v/>
      </c>
      <c r="AC129" s="26">
        <f>AC76*AC126*AC128</f>
        <v/>
      </c>
      <c r="AD129" s="26">
        <f>AD76*AD126*AD128</f>
        <v/>
      </c>
      <c r="AE129" s="26">
        <f>AE76*AE126*AE128</f>
        <v/>
      </c>
      <c r="AF129" s="26">
        <f>AF76*AF126*AF128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  <c r="M130" s="26">
        <f>L130+M129</f>
        <v/>
      </c>
      <c r="N130" s="26">
        <f>M130+N129</f>
        <v/>
      </c>
      <c r="O130" s="26">
        <f>N130+O129</f>
        <v/>
      </c>
      <c r="P130" s="26">
        <f>O130+P129</f>
        <v/>
      </c>
      <c r="Q130" s="26">
        <f>P130+Q129</f>
        <v/>
      </c>
      <c r="R130" s="26">
        <f>Q130+R129</f>
        <v/>
      </c>
      <c r="S130" s="26">
        <f>R130+S129</f>
        <v/>
      </c>
      <c r="T130" s="26">
        <f>S130+T129</f>
        <v/>
      </c>
      <c r="U130" s="26">
        <f>T130+U129</f>
        <v/>
      </c>
      <c r="V130" s="26">
        <f>U130+V129</f>
        <v/>
      </c>
      <c r="W130" s="26">
        <f>V130+W129</f>
        <v/>
      </c>
      <c r="X130" s="26">
        <f>W130+X129</f>
        <v/>
      </c>
      <c r="Y130" s="26">
        <f>X130+Y129</f>
        <v/>
      </c>
      <c r="Z130" s="26">
        <f>Y130+Z129</f>
        <v/>
      </c>
      <c r="AA130" s="26">
        <f>Z130+AA129</f>
        <v/>
      </c>
      <c r="AB130" s="26">
        <f>AA130+AB129</f>
        <v/>
      </c>
      <c r="AC130" s="26">
        <f>AB130+AC129</f>
        <v/>
      </c>
      <c r="AD130" s="26">
        <f>AC130+AD129</f>
        <v/>
      </c>
      <c r="AE130" s="26">
        <f>AD130+AE129</f>
        <v/>
      </c>
      <c r="AF130" s="26">
        <f>AE130+AF129</f>
        <v/>
      </c>
    </row>
    <row r="131">
      <c r="A131" t="inlineStr">
        <is>
          <t>Best cumulative PV (never below zero)</t>
        </is>
      </c>
      <c r="C131" s="26">
        <f>MAX(0,MAX(H130:AF130))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MAX(0,$C$134/$C$103*$C$111*$C$104)</f>
        <v/>
      </c>
    </row>
    <row r="137">
      <c r="A137" s="1" t="inlineStr">
        <is>
          <t>EV/EBITDA</t>
        </is>
      </c>
    </row>
    <row r="138">
      <c r="A138" t="inlineStr">
        <is>
          <t>Target multiple (peer median)</t>
        </is>
      </c>
      <c r="C138" s="22" t="n">
        <v>6.291633</v>
      </c>
    </row>
    <row r="139">
      <c r="A139" t="inlineStr">
        <is>
          <t>Metric (LTM, or next-12m DPS for yield)</t>
        </is>
      </c>
      <c r="C139" s="13" t="n">
        <v>1004.34653</v>
      </c>
    </row>
    <row r="140">
      <c r="A140" t="inlineStr">
        <is>
          <t>Value per share (IDR) — EV/EBITDA</t>
        </is>
      </c>
      <c r="C140" s="27">
        <f>MAX(0,($C$138*$C$139-($C$105-$C$106)-$C$107+$C$108+$C$109)/$C$103*$C$111*$C$104)</f>
        <v/>
      </c>
    </row>
    <row r="142">
      <c r="A142" s="1" t="inlineStr">
        <is>
          <t>Dividend yield</t>
        </is>
      </c>
    </row>
    <row r="143">
      <c r="A143" t="inlineStr">
        <is>
          <t>Target multiple (peer median)</t>
        </is>
      </c>
      <c r="C143" s="4" t="n">
        <v>0.082799</v>
      </c>
    </row>
    <row r="144">
      <c r="A144" t="inlineStr">
        <is>
          <t>Metric (LTM, or next-12m DPS for yield)</t>
        </is>
      </c>
      <c r="C144" s="13" t="n">
        <v>0.021375</v>
      </c>
    </row>
    <row r="145">
      <c r="A145" t="inlineStr">
        <is>
          <t>Value per share (IDR) — Dividend yield</t>
        </is>
      </c>
      <c r="C145" s="27">
        <f>MAX(0,$C$144/$C$143*$C$104)</f>
        <v/>
      </c>
    </row>
    <row r="147">
      <c r="A147" s="1" t="inlineStr">
        <is>
          <t>TARGET</t>
        </is>
      </c>
    </row>
    <row r="148">
      <c r="A148" t="inlineStr">
        <is>
          <t>Weight: DCF to end of life (no terminal value)</t>
        </is>
      </c>
      <c r="C148" s="4" t="n">
        <v>0.6</v>
      </c>
    </row>
    <row r="149">
      <c r="A149" t="inlineStr">
        <is>
          <t>Weight: EV/EBITDA</t>
        </is>
      </c>
      <c r="C149" s="4" t="n">
        <v>0.25</v>
      </c>
    </row>
    <row r="150">
      <c r="A150" t="inlineStr">
        <is>
          <t>Weight: Dividend yield</t>
        </is>
      </c>
      <c r="C150" s="4" t="n">
        <v>0.15</v>
      </c>
    </row>
    <row r="151">
      <c r="A151" t="inlineStr">
        <is>
          <t>Value today (weighted)</t>
        </is>
      </c>
      <c r="C151" s="27">
        <f>$C$135*$C$148+$C$140*$C$149+$C$145*$C$150</f>
        <v/>
      </c>
    </row>
    <row r="152">
      <c r="A152" t="inlineStr">
        <is>
          <t>DPS expected in next 12 months (IDR)</t>
        </is>
      </c>
      <c r="C152" s="20" t="n">
        <v>387.707250634749</v>
      </c>
    </row>
    <row r="153">
      <c r="A153" t="inlineStr">
        <is>
          <t>Base-case 12-month value</t>
        </is>
      </c>
      <c r="C153" s="27">
        <f>MAX(0,$C$151*(1+$C$120)-$C$152)</f>
        <v/>
      </c>
    </row>
    <row r="154">
      <c r="A154" t="inlineStr">
        <is>
          <t>Bear probability</t>
        </is>
      </c>
      <c r="C154" s="4" t="n">
        <v>0.25</v>
      </c>
    </row>
    <row r="155">
      <c r="A155" t="inlineStr">
        <is>
          <t>Bear 12-month value (engine)</t>
        </is>
      </c>
      <c r="C155" s="20" t="n">
        <v>1693.731227733509</v>
      </c>
    </row>
    <row r="156">
      <c r="A156" t="inlineStr">
        <is>
          <t>Base probability</t>
        </is>
      </c>
      <c r="C156" s="4" t="n">
        <v>0.5</v>
      </c>
    </row>
    <row r="157">
      <c r="A157" t="inlineStr">
        <is>
          <t>Bull probability</t>
        </is>
      </c>
      <c r="C157" s="4" t="n">
        <v>0.25</v>
      </c>
    </row>
    <row r="158">
      <c r="A158" t="inlineStr">
        <is>
          <t>Bull 12-month value (engine)</t>
        </is>
      </c>
      <c r="C158" s="20" t="n">
        <v>5817.672985866746</v>
      </c>
    </row>
    <row r="159">
      <c r="A159" t="inlineStr">
        <is>
          <t>Probability-weighted 12-month value</t>
        </is>
      </c>
      <c r="C159" s="27">
        <f>$C$154*$C$155+$C$156*$C$153+$C$157*$C$158</f>
        <v/>
      </c>
    </row>
    <row r="160">
      <c r="A160" t="inlineStr">
        <is>
          <t>Liquidity discount (limits.yaml)</t>
        </is>
      </c>
      <c r="C160" s="4" t="n">
        <v>0</v>
      </c>
    </row>
    <row r="161">
      <c r="A161" t="inlineStr">
        <is>
          <t>Fundamental 12-month value (after liquidity discount)</t>
        </is>
      </c>
      <c r="C161" s="27">
        <f>$C$159*(1-$C$160)</f>
        <v/>
      </c>
    </row>
    <row r="162">
      <c r="A162" t="inlineStr">
        <is>
          <t>Konglo lens: price / fundamental value today (engine)</t>
        </is>
      </c>
      <c r="C162" s="22" t="n">
        <v>2.337185</v>
      </c>
    </row>
    <row r="163">
      <c r="A163" t="inlineStr">
        <is>
          <t>Regime bear: probability (konglo deck)</t>
        </is>
      </c>
      <c r="C163" s="4" t="n">
        <v>0.25</v>
      </c>
    </row>
    <row r="164">
      <c r="A164" t="inlineStr">
        <is>
          <t>Regime bear: share of the log gap closed in 12 months</t>
        </is>
      </c>
      <c r="C164" s="4" t="n">
        <v>0.75</v>
      </c>
    </row>
    <row r="165">
      <c r="A165" t="inlineStr">
        <is>
          <t>Regime base: probability (konglo deck)</t>
        </is>
      </c>
      <c r="C165" s="4" t="n">
        <v>0.5</v>
      </c>
    </row>
    <row r="166">
      <c r="A166" t="inlineStr">
        <is>
          <t>Regime base: share of the log gap closed in 12 months</t>
        </is>
      </c>
      <c r="C166" s="4" t="n">
        <v>0.35</v>
      </c>
    </row>
    <row r="167">
      <c r="A167" t="inlineStr">
        <is>
          <t>Regime bull: probability (konglo deck)</t>
        </is>
      </c>
      <c r="C167" s="4" t="n">
        <v>0.25</v>
      </c>
    </row>
    <row r="168">
      <c r="A168" t="inlineStr">
        <is>
          <t>Regime bull: share of the log gap closed in 12 months</t>
        </is>
      </c>
      <c r="C168" s="4" t="n">
        <v>-0.1</v>
      </c>
    </row>
    <row r="169">
      <c r="A169" t="inlineStr">
        <is>
          <t>Share of today's premium kept (probability-weighted)</t>
        </is>
      </c>
      <c r="C169" s="32">
        <f>$C$163*$C$162^(1-$C$164)+$C$165*$C$162^(1-$C$166)+$C$167*$C$162^(1-$C$168)</f>
        <v/>
      </c>
    </row>
    <row r="170">
      <c r="A170" t="inlineStr">
        <is>
          <t>TARGET PRICE (IDR) — konglo lens</t>
        </is>
      </c>
      <c r="C170" s="28">
        <f>$C$161*$C$169</f>
        <v/>
      </c>
    </row>
    <row r="171">
      <c r="A171" t="inlineStr">
        <is>
          <t>Expected 12-month total return</t>
        </is>
      </c>
      <c r="C171" s="29">
        <f>($C$170+$C$152)/$C$102-1</f>
        <v/>
      </c>
    </row>
    <row r="172">
      <c r="A172" t="inlineStr">
        <is>
          <t>Rating</t>
        </is>
      </c>
      <c r="C172" s="30">
        <f>IF($C$171&gt;=0.25,"BUY",IF($C$171&gt;=0.1,"ADD",IF($C$171&lt;=-0.25,"SELL",IF($C$171&lt;=-0.1,"REDUCE","HOLD"))))</f>
        <v/>
      </c>
    </row>
    <row r="174">
      <c r="A174" s="1" t="inlineStr">
        <is>
          <t>12-month value vs benchmark price and IDR/USD (engine values)</t>
        </is>
      </c>
    </row>
    <row r="175">
      <c r="A175" s="5" t="inlineStr">
        <is>
          <t>rows: IDR per USD (x deck) · columns: Benchmark price (x deck)</t>
        </is>
      </c>
      <c r="D175" s="1" t="n">
        <v>0.8</v>
      </c>
      <c r="E175" s="1" t="n">
        <v>0.9</v>
      </c>
      <c r="F175" s="1" t="n">
        <v>1</v>
      </c>
      <c r="G175" s="1" t="n">
        <v>1.1</v>
      </c>
      <c r="H175" s="1" t="n">
        <v>1.2</v>
      </c>
    </row>
    <row r="176">
      <c r="C176" s="1" t="n">
        <v>0.9</v>
      </c>
      <c r="D176" s="27" t="n">
        <v>1661.591614</v>
      </c>
      <c r="E176" s="27" t="n">
        <v>2291.981015</v>
      </c>
      <c r="F176" s="27" t="n">
        <v>3048.886089</v>
      </c>
      <c r="G176" s="27" t="n">
        <v>3872.870662</v>
      </c>
      <c r="H176" s="27" t="n">
        <v>4733.46638</v>
      </c>
    </row>
    <row r="177">
      <c r="C177" s="1" t="n">
        <v>0.95</v>
      </c>
      <c r="D177" s="27" t="n">
        <v>1753.93708</v>
      </c>
      <c r="E177" s="27" t="n">
        <v>2419.375034</v>
      </c>
      <c r="F177" s="27" t="n">
        <v>3218.369785</v>
      </c>
      <c r="G177" s="27" t="n">
        <v>4088.17964</v>
      </c>
      <c r="H177" s="27" t="n">
        <v>4996.640615</v>
      </c>
    </row>
    <row r="178">
      <c r="C178" s="1" t="n">
        <v>1</v>
      </c>
      <c r="D178" s="27" t="n">
        <v>1846.286209</v>
      </c>
      <c r="E178" s="27" t="n">
        <v>2546.775538</v>
      </c>
      <c r="F178" s="27" t="n">
        <v>3387.864092</v>
      </c>
      <c r="G178" s="27" t="n">
        <v>4303.504293</v>
      </c>
      <c r="H178" s="27" t="n">
        <v>5259.83622</v>
      </c>
    </row>
    <row r="179">
      <c r="C179" s="1" t="n">
        <v>1.05</v>
      </c>
      <c r="D179" s="27" t="n">
        <v>1938.639</v>
      </c>
      <c r="E179" s="27" t="n">
        <v>2674.182524</v>
      </c>
      <c r="F179" s="27" t="n">
        <v>3557.369006</v>
      </c>
      <c r="G179" s="27" t="n">
        <v>4518.844613</v>
      </c>
      <c r="H179" s="27" t="n">
        <v>5523.053183</v>
      </c>
    </row>
    <row r="180">
      <c r="C180" s="1" t="n">
        <v>1.1</v>
      </c>
      <c r="D180" s="27" t="n">
        <v>2030.995454</v>
      </c>
      <c r="E180" s="27" t="n">
        <v>2801.595991</v>
      </c>
      <c r="F180" s="27" t="n">
        <v>3726.88452</v>
      </c>
      <c r="G180" s="27" t="n">
        <v>4734.20059</v>
      </c>
      <c r="H180" s="27" t="n">
        <v>5786.291488</v>
      </c>
    </row>
    <row r="182">
      <c r="A182" s="1" t="inlineStr">
        <is>
          <t>12-month value vs volume and unit cost intensity (engine values)</t>
        </is>
      </c>
    </row>
    <row r="183">
      <c r="A183" s="5" t="inlineStr">
        <is>
          <t>rows: Volume (x plan) · columns: Cost intensity / strip ratio (x)</t>
        </is>
      </c>
      <c r="D183" s="1" t="n">
        <v>0.85</v>
      </c>
      <c r="E183" s="1" t="n">
        <v>0.925</v>
      </c>
      <c r="F183" s="1" t="n">
        <v>1</v>
      </c>
      <c r="G183" s="1" t="n">
        <v>1.075</v>
      </c>
      <c r="H183" s="1" t="n">
        <v>1.15</v>
      </c>
    </row>
    <row r="184">
      <c r="C184" s="1" t="n">
        <v>0.9</v>
      </c>
      <c r="D184" s="27" t="n">
        <v>4595.824527</v>
      </c>
      <c r="E184" s="27" t="n">
        <v>4220.508075</v>
      </c>
      <c r="F184" s="27" t="n">
        <v>3845.191623</v>
      </c>
      <c r="G184" s="27" t="n">
        <v>3469.875171</v>
      </c>
      <c r="H184" s="27" t="n">
        <v>3094.558718</v>
      </c>
    </row>
    <row r="185">
      <c r="C185" s="1" t="n">
        <v>0.95</v>
      </c>
      <c r="D185" s="27" t="n">
        <v>4778.69269</v>
      </c>
      <c r="E185" s="27" t="n">
        <v>4382.525324</v>
      </c>
      <c r="F185" s="27" t="n">
        <v>3986.357957</v>
      </c>
      <c r="G185" s="27" t="n">
        <v>3590.190591</v>
      </c>
      <c r="H185" s="27" t="n">
        <v>3194.023225</v>
      </c>
    </row>
    <row r="186">
      <c r="C186" s="1" t="n">
        <v>1</v>
      </c>
      <c r="D186" s="27" t="n">
        <v>4961.560853</v>
      </c>
      <c r="E186" s="27" t="n">
        <v>4544.542572</v>
      </c>
      <c r="F186" s="27" t="n">
        <v>4127.524292</v>
      </c>
      <c r="G186" s="27" t="n">
        <v>3710.506012</v>
      </c>
      <c r="H186" s="27" t="n">
        <v>3293.487732</v>
      </c>
    </row>
    <row r="187">
      <c r="C187" s="1" t="n">
        <v>1.05</v>
      </c>
      <c r="D187" s="27" t="n">
        <v>5126.527631</v>
      </c>
      <c r="E187" s="27" t="n">
        <v>4691.840327</v>
      </c>
      <c r="F187" s="27" t="n">
        <v>4257.153022</v>
      </c>
      <c r="G187" s="27" t="n">
        <v>3822.465718</v>
      </c>
      <c r="H187" s="27" t="n">
        <v>3387.778414</v>
      </c>
    </row>
    <row r="188">
      <c r="C188" s="1" t="n">
        <v>1.1</v>
      </c>
      <c r="D188" s="27" t="n">
        <v>5267.511432</v>
      </c>
      <c r="E188" s="27" t="n">
        <v>4818.24553</v>
      </c>
      <c r="F188" s="27" t="n">
        <v>4368.979628</v>
      </c>
      <c r="G188" s="27" t="n">
        <v>3919.713726</v>
      </c>
      <c r="H188" s="27" t="n">
        <v>3470.447823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 Golden Energy Mines Tbk (GEMS.JK) — Coal producers</t>
        </is>
      </c>
    </row>
    <row r="2">
      <c r="A2" s="5" t="inlineStr">
        <is>
          <t>Units: USD m; per-share in USD unless marked IDR. Model asof 2026-10-30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  <c r="R4" s="1" t="inlineStr">
        <is>
          <t>FY2036E</t>
        </is>
      </c>
      <c r="S4" s="1" t="inlineStr">
        <is>
          <t>FY2037E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12</v>
      </c>
    </row>
    <row r="8">
      <c r="A8" t="inlineStr">
        <is>
          <t>ps_factor</t>
        </is>
      </c>
      <c r="C8" s="6" t="n">
        <v>1</v>
      </c>
    </row>
    <row r="9">
      <c r="A9" t="inlineStr">
        <is>
          <t>reserves</t>
        </is>
      </c>
      <c r="C9" s="6" t="n">
        <v>844.4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58</v>
      </c>
      <c r="I14" s="13" t="n">
        <v>58</v>
      </c>
      <c r="J14" s="13" t="n">
        <v>58</v>
      </c>
      <c r="K14" s="13" t="n">
        <v>58</v>
      </c>
      <c r="L14" s="13" t="n">
        <v>58</v>
      </c>
      <c r="M14" s="13" t="n">
        <v>58</v>
      </c>
      <c r="N14" s="13" t="n">
        <v>58</v>
      </c>
      <c r="O14" s="13" t="n">
        <v>58</v>
      </c>
      <c r="P14" s="13" t="n">
        <v>58</v>
      </c>
      <c r="Q14" s="13" t="n">
        <v>58</v>
      </c>
      <c r="R14" s="13" t="n">
        <v>58</v>
      </c>
      <c r="S14" s="13" t="n">
        <v>58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0.405</v>
      </c>
      <c r="I15" s="14" t="n">
        <v>0.405</v>
      </c>
      <c r="J15" s="14" t="n">
        <v>0.405</v>
      </c>
      <c r="K15" s="14" t="n">
        <v>0.405</v>
      </c>
      <c r="L15" s="14" t="n">
        <v>0.405</v>
      </c>
      <c r="M15" s="14" t="n">
        <v>0.405</v>
      </c>
      <c r="N15" s="14" t="n">
        <v>0.405</v>
      </c>
      <c r="O15" s="14" t="n">
        <v>0.405</v>
      </c>
      <c r="P15" s="14" t="n">
        <v>0.405</v>
      </c>
      <c r="Q15" s="14" t="n">
        <v>0.405</v>
      </c>
      <c r="R15" s="14" t="n">
        <v>0.405</v>
      </c>
      <c r="S15" s="14" t="n">
        <v>0.405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0.3</v>
      </c>
      <c r="I16" s="4" t="n">
        <v>0.3</v>
      </c>
      <c r="J16" s="4" t="n">
        <v>0.3</v>
      </c>
      <c r="K16" s="4" t="n">
        <v>0.3</v>
      </c>
      <c r="L16" s="4" t="n">
        <v>0.3</v>
      </c>
      <c r="M16" s="4" t="n">
        <v>0.3</v>
      </c>
      <c r="N16" s="4" t="n">
        <v>0.3</v>
      </c>
      <c r="O16" s="4" t="n">
        <v>0.3</v>
      </c>
      <c r="P16" s="4" t="n">
        <v>0.3</v>
      </c>
      <c r="Q16" s="4" t="n">
        <v>0.3</v>
      </c>
      <c r="R16" s="4" t="n">
        <v>0.3</v>
      </c>
      <c r="S16" s="4" t="n">
        <v>0.3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4</v>
      </c>
      <c r="I17" s="14" t="n">
        <v>4</v>
      </c>
      <c r="J17" s="14" t="n">
        <v>4</v>
      </c>
      <c r="K17" s="14" t="n">
        <v>4</v>
      </c>
      <c r="L17" s="14" t="n">
        <v>4</v>
      </c>
      <c r="M17" s="14" t="n">
        <v>4</v>
      </c>
      <c r="N17" s="14" t="n">
        <v>4</v>
      </c>
      <c r="O17" s="14" t="n">
        <v>4</v>
      </c>
      <c r="P17" s="14" t="n">
        <v>4</v>
      </c>
      <c r="Q17" s="14" t="n">
        <v>4</v>
      </c>
      <c r="R17" s="14" t="n">
        <v>4</v>
      </c>
      <c r="S17" s="14" t="n">
        <v>4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  <c r="M18" s="3" t="n">
        <v>3.06</v>
      </c>
      <c r="N18" s="3" t="n">
        <v>3.1212</v>
      </c>
      <c r="O18" s="3" t="n">
        <v>3.183624</v>
      </c>
      <c r="P18" s="3" t="n">
        <v>3.24729648</v>
      </c>
      <c r="Q18" s="3" t="n">
        <v>3.3122424096</v>
      </c>
      <c r="R18" s="3" t="n">
        <v>3.378487257792</v>
      </c>
      <c r="S18" s="3" t="n">
        <v>3.44605700294784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0.3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11.6</v>
      </c>
      <c r="I20" s="3" t="n">
        <v>11.6</v>
      </c>
      <c r="J20" s="3" t="n">
        <v>11.6</v>
      </c>
      <c r="K20" s="3" t="n">
        <v>11.6</v>
      </c>
      <c r="L20" s="3" t="n">
        <v>11.6</v>
      </c>
      <c r="M20" s="3" t="n">
        <v>11.832</v>
      </c>
      <c r="N20" s="3" t="n">
        <v>12.06864</v>
      </c>
      <c r="O20" s="3" t="n">
        <v>12.3100128</v>
      </c>
      <c r="P20" s="3" t="n">
        <v>12.556213056</v>
      </c>
      <c r="Q20" s="3" t="n">
        <v>12.80733731712</v>
      </c>
      <c r="R20" s="3" t="n">
        <v>13.0634840634624</v>
      </c>
      <c r="S20" s="3" t="n">
        <v>13.32475374473165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0.129</v>
      </c>
      <c r="I21" s="4" t="n">
        <v>0.129</v>
      </c>
      <c r="J21" s="4" t="n">
        <v>0.129</v>
      </c>
      <c r="K21" s="4" t="n">
        <v>0.129</v>
      </c>
      <c r="L21" s="4" t="n">
        <v>0.129</v>
      </c>
      <c r="M21" s="4" t="n">
        <v>0.129</v>
      </c>
      <c r="N21" s="4" t="n">
        <v>0.129</v>
      </c>
      <c r="O21" s="4" t="n">
        <v>0.129</v>
      </c>
      <c r="P21" s="4" t="n">
        <v>0.129</v>
      </c>
      <c r="Q21" s="4" t="n">
        <v>0.129</v>
      </c>
      <c r="R21" s="4" t="n">
        <v>0.129</v>
      </c>
      <c r="S21" s="4" t="n">
        <v>0.129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0.1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0.676</v>
      </c>
      <c r="I24" s="3" t="n">
        <v>0.676</v>
      </c>
      <c r="J24" s="3" t="n">
        <v>0.676</v>
      </c>
      <c r="K24" s="3" t="n">
        <v>0.676</v>
      </c>
      <c r="L24" s="3" t="n">
        <v>0.676</v>
      </c>
      <c r="M24" s="3" t="n">
        <v>0.68952</v>
      </c>
      <c r="N24" s="3" t="n">
        <v>0.7033104</v>
      </c>
      <c r="O24" s="3" t="n">
        <v>0.7173766080000001</v>
      </c>
      <c r="P24" s="3" t="n">
        <v>0.73172414016</v>
      </c>
      <c r="Q24" s="3" t="n">
        <v>0.7463586229632001</v>
      </c>
      <c r="R24" s="3" t="n">
        <v>0.7612857954224641</v>
      </c>
      <c r="S24" s="3" t="n">
        <v>0.7765115113309133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0.35</v>
      </c>
      <c r="I25" s="3" t="n">
        <v>0.35</v>
      </c>
      <c r="J25" s="3" t="n">
        <v>0.35</v>
      </c>
      <c r="K25" s="3" t="n">
        <v>0.35</v>
      </c>
      <c r="L25" s="3" t="n">
        <v>0.35</v>
      </c>
      <c r="M25" s="3" t="n">
        <v>0.357</v>
      </c>
      <c r="N25" s="3" t="n">
        <v>0.36414</v>
      </c>
      <c r="O25" s="3" t="n">
        <v>0.3714228000000001</v>
      </c>
      <c r="P25" s="3" t="n">
        <v>0.378851256</v>
      </c>
      <c r="Q25" s="3" t="n">
        <v>0.38642828112</v>
      </c>
      <c r="R25" s="3" t="n">
        <v>0.3941568467424</v>
      </c>
      <c r="S25" s="3" t="n">
        <v>0.402039983677248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0.051938</v>
      </c>
      <c r="I27" s="4" t="n">
        <v>0.051938</v>
      </c>
      <c r="J27" s="4" t="n">
        <v>0.051938</v>
      </c>
      <c r="K27" s="4" t="n">
        <v>0.051938</v>
      </c>
      <c r="L27" s="4" t="n">
        <v>0.051938</v>
      </c>
      <c r="M27" s="4" t="n">
        <v>0.051938</v>
      </c>
      <c r="N27" s="4" t="n">
        <v>0.051938</v>
      </c>
      <c r="O27" s="4" t="n">
        <v>0.051938</v>
      </c>
      <c r="P27" s="4" t="n">
        <v>0.051938</v>
      </c>
      <c r="Q27" s="4" t="n">
        <v>0.051938</v>
      </c>
      <c r="R27" s="4" t="n">
        <v>0.051938</v>
      </c>
      <c r="S27" s="4" t="n">
        <v>0.051938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0.244131</v>
      </c>
      <c r="I28" s="4" t="n">
        <v>0.244131</v>
      </c>
      <c r="J28" s="4" t="n">
        <v>0.244131</v>
      </c>
      <c r="K28" s="4" t="n">
        <v>0.244131</v>
      </c>
      <c r="L28" s="4" t="n">
        <v>0.244131</v>
      </c>
      <c r="M28" s="4" t="n">
        <v>0.244131</v>
      </c>
      <c r="N28" s="4" t="n">
        <v>0.244131</v>
      </c>
      <c r="O28" s="4" t="n">
        <v>0.244131</v>
      </c>
      <c r="P28" s="4" t="n">
        <v>0.244131</v>
      </c>
      <c r="Q28" s="4" t="n">
        <v>0.244131</v>
      </c>
      <c r="R28" s="4" t="n">
        <v>0.244131</v>
      </c>
      <c r="S28" s="4" t="n">
        <v>0.244131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0.032952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0.030261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0.014964</v>
      </c>
      <c r="I33" s="4" t="n">
        <v>0.014964</v>
      </c>
      <c r="J33" s="4" t="n">
        <v>0.014964</v>
      </c>
      <c r="K33" s="4" t="n">
        <v>0.014964</v>
      </c>
      <c r="L33" s="4" t="n">
        <v>0.014964</v>
      </c>
      <c r="M33" s="4" t="n">
        <v>0.014964</v>
      </c>
      <c r="N33" s="4" t="n">
        <v>0.014964</v>
      </c>
      <c r="O33" s="4" t="n">
        <v>0.014964</v>
      </c>
      <c r="P33" s="4" t="n">
        <v>0.014964</v>
      </c>
      <c r="Q33" s="4" t="n">
        <v>0.014964</v>
      </c>
      <c r="R33" s="4" t="n">
        <v>0.014964</v>
      </c>
      <c r="S33" s="4" t="n">
        <v>0.014964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0.453</v>
      </c>
      <c r="I34" s="4" t="n">
        <v>0.8</v>
      </c>
      <c r="J34" s="4" t="n">
        <v>0.8</v>
      </c>
      <c r="K34" s="4" t="n">
        <v>0.8</v>
      </c>
      <c r="L34" s="4" t="n">
        <v>0.8</v>
      </c>
      <c r="M34" s="4" t="n">
        <v>0.8</v>
      </c>
      <c r="N34" s="4" t="n">
        <v>0.8</v>
      </c>
      <c r="O34" s="4" t="n">
        <v>0.8</v>
      </c>
      <c r="P34" s="4" t="n">
        <v>0.8</v>
      </c>
      <c r="Q34" s="4" t="n">
        <v>0.8</v>
      </c>
      <c r="R34" s="4" t="n">
        <v>0.8</v>
      </c>
      <c r="S34" s="4" t="n">
        <v>0.8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0.166</v>
      </c>
      <c r="I37" s="4" t="n">
        <v>0.166</v>
      </c>
      <c r="J37" s="4" t="n">
        <v>0.166</v>
      </c>
      <c r="K37" s="4" t="n">
        <v>0.166</v>
      </c>
      <c r="L37" s="4" t="n">
        <v>0.166</v>
      </c>
      <c r="M37" s="4" t="n">
        <v>0.166</v>
      </c>
      <c r="N37" s="4" t="n">
        <v>0.166</v>
      </c>
      <c r="O37" s="4" t="n">
        <v>0.166</v>
      </c>
      <c r="P37" s="4" t="n">
        <v>0.166</v>
      </c>
      <c r="Q37" s="4" t="n">
        <v>0.166</v>
      </c>
      <c r="R37" s="4" t="n">
        <v>0.166</v>
      </c>
      <c r="S37" s="4" t="n">
        <v>0.166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>
        <v>949.9</v>
      </c>
      <c r="F40" s="13" t="n">
        <v>899.2</v>
      </c>
      <c r="G40" s="13" t="n">
        <v>844.4</v>
      </c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  <c r="P40" s="15">
        <f>MAX((O40-P41),0)</f>
        <v/>
      </c>
      <c r="Q40" s="15">
        <f>MAX((P40-Q41),0)</f>
        <v/>
      </c>
      <c r="R40" s="15">
        <f>MAX((Q40-R41),0)</f>
        <v/>
      </c>
      <c r="S40" s="15">
        <f>MAX((R40-S41),0)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/>
      <c r="F41" s="13" t="n">
        <v>50.7</v>
      </c>
      <c r="G41" s="13" t="n">
        <v>54.9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  <c r="P41" s="15">
        <f>IF(($C$9&gt;0),MIN(P14,MAX(O40,0)),P14)</f>
        <v/>
      </c>
      <c r="Q41" s="15">
        <f>IF(($C$9&gt;0),MIN(Q14,MAX(P40,0)),Q14)</f>
        <v/>
      </c>
      <c r="R41" s="15">
        <f>IF(($C$9&gt;0),MIN(R14,MAX(Q40,0)),R14)</f>
        <v/>
      </c>
      <c r="S41" s="15">
        <f>IF(($C$9&gt;0),MIN(S14,MAX(R40,0)),S14)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  <c r="K42" s="16">
        <f>Drivers!$O$6</f>
        <v/>
      </c>
      <c r="L42" s="16">
        <f>Drivers!$P$6</f>
        <v/>
      </c>
      <c r="M42" s="16">
        <f>Drivers!$Q$6</f>
        <v/>
      </c>
      <c r="N42" s="16">
        <f>Drivers!$R$6</f>
        <v/>
      </c>
      <c r="O42" s="16">
        <f>Drivers!$S$6</f>
        <v/>
      </c>
      <c r="P42" s="16">
        <f>Drivers!$T$6</f>
        <v/>
      </c>
      <c r="Q42" s="16">
        <f>Drivers!$U$6</f>
        <v/>
      </c>
      <c r="R42" s="16">
        <f>Drivers!$V$6</f>
        <v/>
      </c>
      <c r="S42" s="16">
        <f>Drivers!$W$6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/>
      <c r="G43" s="3" t="n"/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  <c r="K43" s="16">
        <f>(((K15*K42)*(1-K16))+(MIN(Drivers!$O$4,(K15*K42))*K16))</f>
        <v/>
      </c>
      <c r="L43" s="16">
        <f>(((L15*L42)*(1-L16))+(MIN(Drivers!$P$4,(L15*L42))*L16))</f>
        <v/>
      </c>
      <c r="M43" s="16">
        <f>(((M15*M42)*(1-M16))+(MIN(Drivers!$Q$4,(M15*M42))*M16))</f>
        <v/>
      </c>
      <c r="N43" s="16">
        <f>(((N15*N42)*(1-N16))+(MIN(Drivers!$R$4,(N15*N42))*N16))</f>
        <v/>
      </c>
      <c r="O43" s="16">
        <f>(((O15*O42)*(1-O16))+(MIN(Drivers!$S$4,(O15*O42))*O16))</f>
        <v/>
      </c>
      <c r="P43" s="16">
        <f>(((P15*P42)*(1-P16))+(MIN(Drivers!$T$4,(P15*P42))*P16))</f>
        <v/>
      </c>
      <c r="Q43" s="16">
        <f>(((Q15*Q42)*(1-Q16))+(MIN(Drivers!$U$4,(Q15*Q42))*Q16))</f>
        <v/>
      </c>
      <c r="R43" s="16">
        <f>(((R15*R42)*(1-R16))+(MIN(Drivers!$V$4,(R15*R42))*R16))</f>
        <v/>
      </c>
      <c r="S43" s="16">
        <f>(((S15*S42)*(1-S16))+(MIN(Drivers!$W$4,(S15*S42))*S16))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  <c r="L44" s="17">
        <f>IF(L42=0,0,L43/L42)</f>
        <v/>
      </c>
      <c r="M44" s="17">
        <f>IF(M42=0,0,M43/M42)</f>
        <v/>
      </c>
      <c r="N44" s="17">
        <f>IF(N42=0,0,N43/N42)</f>
        <v/>
      </c>
      <c r="O44" s="17">
        <f>IF(O42=0,0,O43/O42)</f>
        <v/>
      </c>
      <c r="P44" s="17">
        <f>IF(P42=0,0,P43/P42)</f>
        <v/>
      </c>
      <c r="Q44" s="17">
        <f>IF(Q42=0,0,Q43/Q42)</f>
        <v/>
      </c>
      <c r="R44" s="17">
        <f>IF(R42=0,0,R43/R42)</f>
        <v/>
      </c>
      <c r="S44" s="17">
        <f>IF(S42=0,0,S43/S42)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6">
        <f>(((H17*H18)*(1+($C$19*(IF(Drivers!$J$8=0,0,Drivers!$L$8/Drivers!$J$8)-1))))+H20)</f>
        <v/>
      </c>
      <c r="I45" s="16">
        <f>(((I17*I18)*(1+($C$19*(IF(Drivers!$J$8=0,0,Drivers!$M$8/Drivers!$J$8)-1))))+I20)</f>
        <v/>
      </c>
      <c r="J45" s="16">
        <f>(((J17*J18)*(1+($C$19*(IF(Drivers!$J$8=0,0,Drivers!$N$8/Drivers!$J$8)-1))))+J20)</f>
        <v/>
      </c>
      <c r="K45" s="16">
        <f>(((K17*K18)*(1+($C$19*(IF(Drivers!$J$8=0,0,Drivers!$O$8/Drivers!$J$8)-1))))+K20)</f>
        <v/>
      </c>
      <c r="L45" s="16">
        <f>(((L17*L18)*(1+($C$19*(IF(Drivers!$J$8=0,0,Drivers!$P$8/Drivers!$J$8)-1))))+L20)</f>
        <v/>
      </c>
      <c r="M45" s="16">
        <f>(((M17*M18)*(1+($C$19*(IF(Drivers!$J$8=0,0,Drivers!$Q$8/Drivers!$J$8)-1))))+M20)</f>
        <v/>
      </c>
      <c r="N45" s="16">
        <f>(((N17*N18)*(1+($C$19*(IF(Drivers!$J$8=0,0,Drivers!$R$8/Drivers!$J$8)-1))))+N20)</f>
        <v/>
      </c>
      <c r="O45" s="16">
        <f>(((O17*O18)*(1+($C$19*(IF(Drivers!$J$8=0,0,Drivers!$S$8/Drivers!$J$8)-1))))+O20)</f>
        <v/>
      </c>
      <c r="P45" s="16">
        <f>(((P17*P18)*(1+($C$19*(IF(Drivers!$J$8=0,0,Drivers!$T$8/Drivers!$J$8)-1))))+P20)</f>
        <v/>
      </c>
      <c r="Q45" s="16">
        <f>(((Q17*Q18)*(1+($C$19*(IF(Drivers!$J$8=0,0,Drivers!$U$8/Drivers!$J$8)-1))))+Q20)</f>
        <v/>
      </c>
      <c r="R45" s="16">
        <f>(((R17*R18)*(1+($C$19*(IF(Drivers!$J$8=0,0,Drivers!$V$8/Drivers!$J$8)-1))))+R20)</f>
        <v/>
      </c>
      <c r="S45" s="16">
        <f>(((S17*S18)*(1+($C$19*(IF(Drivers!$J$8=0,0,Drivers!$W$8/Drivers!$J$8)-1))))+S20)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/>
      <c r="H46" s="18">
        <f>H17</f>
        <v/>
      </c>
      <c r="I46" s="18">
        <f>I17</f>
        <v/>
      </c>
      <c r="J46" s="18">
        <f>J17</f>
        <v/>
      </c>
      <c r="K46" s="18">
        <f>K17</f>
        <v/>
      </c>
      <c r="L46" s="18">
        <f>L17</f>
        <v/>
      </c>
      <c r="M46" s="18">
        <f>M17</f>
        <v/>
      </c>
      <c r="N46" s="18">
        <f>N17</f>
        <v/>
      </c>
      <c r="O46" s="18">
        <f>O17</f>
        <v/>
      </c>
      <c r="P46" s="18">
        <f>P17</f>
        <v/>
      </c>
      <c r="Q46" s="18">
        <f>Q17</f>
        <v/>
      </c>
      <c r="R46" s="18">
        <f>R17</f>
        <v/>
      </c>
      <c r="S46" s="18">
        <f>S17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7">
        <f>H21</f>
        <v/>
      </c>
      <c r="I47" s="17">
        <f>I21</f>
        <v/>
      </c>
      <c r="J47" s="17">
        <f>J21</f>
        <v/>
      </c>
      <c r="K47" s="17">
        <f>K21</f>
        <v/>
      </c>
      <c r="L47" s="17">
        <f>L21</f>
        <v/>
      </c>
      <c r="M47" s="17">
        <f>M21</f>
        <v/>
      </c>
      <c r="N47" s="17">
        <f>N21</f>
        <v/>
      </c>
      <c r="O47" s="17">
        <f>O21</f>
        <v/>
      </c>
      <c r="P47" s="17">
        <f>P21</f>
        <v/>
      </c>
      <c r="Q47" s="17">
        <f>Q21</f>
        <v/>
      </c>
      <c r="R47" s="17">
        <f>R21</f>
        <v/>
      </c>
      <c r="S47" s="17">
        <f>S21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/>
      <c r="F48" s="3" t="n">
        <v>12.86367546351085</v>
      </c>
      <c r="G48" s="3" t="n">
        <v>6.902196302367942</v>
      </c>
      <c r="H48" s="19">
        <f>IF((H41*$C$10)=0,0,H61/(H41*$C$10))</f>
        <v/>
      </c>
      <c r="I48" s="19">
        <f>IF((I41*$C$10)=0,0,I61/(I41*$C$10))</f>
        <v/>
      </c>
      <c r="J48" s="19">
        <f>IF((J41*$C$10)=0,0,J61/(J41*$C$10))</f>
        <v/>
      </c>
      <c r="K48" s="19">
        <f>IF((K41*$C$10)=0,0,K61/(K41*$C$10))</f>
        <v/>
      </c>
      <c r="L48" s="19">
        <f>IF((L41*$C$10)=0,0,L61/(L41*$C$10))</f>
        <v/>
      </c>
      <c r="M48" s="19">
        <f>IF((M41*$C$10)=0,0,M61/(M41*$C$10))</f>
        <v/>
      </c>
      <c r="N48" s="19">
        <f>IF((N41*$C$10)=0,0,N61/(N41*$C$10))</f>
        <v/>
      </c>
      <c r="O48" s="19">
        <f>IF((O41*$C$10)=0,0,O61/(O41*$C$10))</f>
        <v/>
      </c>
      <c r="P48" s="19">
        <f>IF((P41*$C$10)=0,0,P61/(P41*$C$10))</f>
        <v/>
      </c>
      <c r="Q48" s="19">
        <f>IF((Q41*$C$10)=0,0,Q61/(Q41*$C$10))</f>
        <v/>
      </c>
      <c r="R48" s="19">
        <f>IF((R41*$C$10)=0,0,R61/(R41*$C$10))</f>
        <v/>
      </c>
      <c r="S48" s="19">
        <f>IF((S41*$C$10)=0,0,S61/(S41*$C$10))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9">
        <f>IF((H41*$C$10)=0,0,(H53+H52)/(H41*$C$10))</f>
        <v/>
      </c>
      <c r="I49" s="19">
        <f>IF((I41*$C$10)=0,0,(I53+I52)/(I41*$C$10))</f>
        <v/>
      </c>
      <c r="J49" s="19">
        <f>IF((J41*$C$10)=0,0,(J53+J52)/(J41*$C$10))</f>
        <v/>
      </c>
      <c r="K49" s="19">
        <f>IF((K41*$C$10)=0,0,(K53+K52)/(K41*$C$10))</f>
        <v/>
      </c>
      <c r="L49" s="19">
        <f>IF((L41*$C$10)=0,0,(L53+L52)/(L41*$C$10))</f>
        <v/>
      </c>
      <c r="M49" s="19">
        <f>IF((M41*$C$10)=0,0,(M53+M52)/(M41*$C$10))</f>
        <v/>
      </c>
      <c r="N49" s="19">
        <f>IF((N41*$C$10)=0,0,(N53+N52)/(N41*$C$10))</f>
        <v/>
      </c>
      <c r="O49" s="19">
        <f>IF((O41*$C$10)=0,0,(O53+O52)/(O41*$C$10))</f>
        <v/>
      </c>
      <c r="P49" s="19">
        <f>IF((P41*$C$10)=0,0,(P53+P52)/(P41*$C$10))</f>
        <v/>
      </c>
      <c r="Q49" s="19">
        <f>IF((Q41*$C$10)=0,0,(Q53+Q52)/(Q41*$C$10))</f>
        <v/>
      </c>
      <c r="R49" s="19">
        <f>IF((R41*$C$10)=0,0,(R53+R52)/(R41*$C$10))</f>
        <v/>
      </c>
      <c r="S49" s="19">
        <f>IF((S41*$C$10)=0,0,(S53+S52)/(S41*$C$10))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15">
        <f>((H41*H43)*$C$10)</f>
        <v/>
      </c>
      <c r="I50" s="15">
        <f>((I41*I43)*$C$10)</f>
        <v/>
      </c>
      <c r="J50" s="15">
        <f>((J41*J43)*$C$10)</f>
        <v/>
      </c>
      <c r="K50" s="15">
        <f>((K41*K43)*$C$10)</f>
        <v/>
      </c>
      <c r="L50" s="15">
        <f>((L41*L43)*$C$10)</f>
        <v/>
      </c>
      <c r="M50" s="15">
        <f>((M41*M43)*$C$10)</f>
        <v/>
      </c>
      <c r="N50" s="15">
        <f>((N41*N43)*$C$10)</f>
        <v/>
      </c>
      <c r="O50" s="15">
        <f>((O41*O43)*$C$10)</f>
        <v/>
      </c>
      <c r="P50" s="15">
        <f>((P41*P43)*$C$10)</f>
        <v/>
      </c>
      <c r="Q50" s="15">
        <f>((Q41*Q43)*$C$10)</f>
        <v/>
      </c>
      <c r="R50" s="15">
        <f>((R41*R43)*$C$10)</f>
        <v/>
      </c>
      <c r="S50" s="15">
        <f>((S41*S43)*$C$10)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  <c r="P51" s="15">
        <f>P22</f>
        <v/>
      </c>
      <c r="Q51" s="15">
        <f>Q22</f>
        <v/>
      </c>
      <c r="R51" s="15">
        <f>R22</f>
        <v/>
      </c>
      <c r="S51" s="15">
        <f>S22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  <c r="P52" s="15">
        <f>(P50*P47)</f>
        <v/>
      </c>
      <c r="Q52" s="15">
        <f>(Q50*Q47)</f>
        <v/>
      </c>
      <c r="R52" s="15">
        <f>(R50*R47)</f>
        <v/>
      </c>
      <c r="S52" s="15">
        <f>(S50*S47)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((H41*H45)*$C$10)</f>
        <v/>
      </c>
      <c r="I53" s="15">
        <f>((I41*I45)*$C$10)</f>
        <v/>
      </c>
      <c r="J53" s="15">
        <f>((J41*J45)*$C$10)</f>
        <v/>
      </c>
      <c r="K53" s="15">
        <f>((K41*K45)*$C$10)</f>
        <v/>
      </c>
      <c r="L53" s="15">
        <f>((L41*L45)*$C$10)</f>
        <v/>
      </c>
      <c r="M53" s="15">
        <f>((M41*M45)*$C$10)</f>
        <v/>
      </c>
      <c r="N53" s="15">
        <f>((N41*N45)*$C$10)</f>
        <v/>
      </c>
      <c r="O53" s="15">
        <f>((O41*O45)*$C$10)</f>
        <v/>
      </c>
      <c r="P53" s="15">
        <f>((P41*P45)*$C$10)</f>
        <v/>
      </c>
      <c r="Q53" s="15">
        <f>((Q41*Q45)*$C$10)</f>
        <v/>
      </c>
      <c r="R53" s="15">
        <f>((R41*R45)*$C$10)</f>
        <v/>
      </c>
      <c r="S53" s="15">
        <f>((S41*S45)*$C$10)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  <c r="P54" s="15">
        <f>(P51*(1-$C$23))</f>
        <v/>
      </c>
      <c r="Q54" s="15">
        <f>(Q51*(1-$C$23))</f>
        <v/>
      </c>
      <c r="R54" s="15">
        <f>(R51*(1-$C$23))</f>
        <v/>
      </c>
      <c r="S54" s="15">
        <f>(S51*(1-$C$23))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2919.964403</v>
      </c>
      <c r="E55" s="13" t="n">
        <v>2901.836296</v>
      </c>
      <c r="F55" s="13" t="n">
        <v>2705.520884</v>
      </c>
      <c r="G55" s="13" t="n">
        <v>2414.053508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  <c r="P55" s="15">
        <f>(P50+P51)</f>
        <v/>
      </c>
      <c r="Q55" s="15">
        <f>(Q50+Q51)</f>
        <v/>
      </c>
      <c r="R55" s="15">
        <f>(R50+R51)</f>
        <v/>
      </c>
      <c r="S55" s="15">
        <f>(S50+S51)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1605.491287</v>
      </c>
      <c r="E56" s="13" t="n">
        <v>1755.785215</v>
      </c>
      <c r="F56" s="13" t="n">
        <v>1600.942516</v>
      </c>
      <c r="G56" s="13" t="n">
        <v>1642.808747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  <c r="P56" s="15">
        <f>(((P53+P52)+P54)+P60)</f>
        <v/>
      </c>
      <c r="Q56" s="15">
        <f>(((Q53+Q52)+Q54)+Q60)</f>
        <v/>
      </c>
      <c r="R56" s="15">
        <f>(((R53+R52)+R54)+R60)</f>
        <v/>
      </c>
      <c r="S56" s="15">
        <f>(((S53+S52)+S54)+S60)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1314.473116</v>
      </c>
      <c r="E57" s="13" t="n">
        <v>1146.051081</v>
      </c>
      <c r="F57" s="13" t="n">
        <v>1104.578368</v>
      </c>
      <c r="G57" s="13" t="n">
        <v>771.244761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  <c r="P57" s="15">
        <f>(P55-P56)</f>
        <v/>
      </c>
      <c r="Q57" s="15">
        <f>(Q55-Q56)</f>
        <v/>
      </c>
      <c r="R57" s="15">
        <f>(R55-R56)</f>
        <v/>
      </c>
      <c r="S57" s="15">
        <f>(S55-S56)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396.9822859999999</v>
      </c>
      <c r="E58" s="13" t="n">
        <v>454.780289</v>
      </c>
      <c r="F58" s="13" t="n">
        <v>465.075248</v>
      </c>
      <c r="G58" s="13" t="n">
        <v>408.847383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  <c r="P58" s="15">
        <f>(P55*P37)</f>
        <v/>
      </c>
      <c r="Q58" s="15">
        <f>(Q55*Q37)</f>
        <v/>
      </c>
      <c r="R58" s="15">
        <f>(R55*R37)</f>
        <v/>
      </c>
      <c r="S58" s="15">
        <f>(S55*S37)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917.49083</v>
      </c>
      <c r="E59" s="13" t="n">
        <v>691.270792</v>
      </c>
      <c r="F59" s="13" t="n">
        <v>639.50312</v>
      </c>
      <c r="G59" s="13" t="n">
        <v>362.397378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  <c r="P59" s="15">
        <f>(P57-P58)</f>
        <v/>
      </c>
      <c r="Q59" s="15">
        <f>(Q57-Q58)</f>
        <v/>
      </c>
      <c r="R59" s="15">
        <f>(R57-R58)</f>
        <v/>
      </c>
      <c r="S59" s="15">
        <f>(S57-S58)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10.090827</v>
      </c>
      <c r="E60" s="13" t="n">
        <v>10.613256</v>
      </c>
      <c r="F60" s="13" t="n">
        <v>12.685226</v>
      </c>
      <c r="G60" s="13" t="n">
        <v>16.533199</v>
      </c>
      <c r="H60" s="15">
        <f>((H41*H24)*$C$10)</f>
        <v/>
      </c>
      <c r="I60" s="15">
        <f>((I41*I24)*$C$10)</f>
        <v/>
      </c>
      <c r="J60" s="15">
        <f>((J41*J24)*$C$10)</f>
        <v/>
      </c>
      <c r="K60" s="15">
        <f>((K41*K24)*$C$10)</f>
        <v/>
      </c>
      <c r="L60" s="15">
        <f>((L41*L24)*$C$10)</f>
        <v/>
      </c>
      <c r="M60" s="15">
        <f>((M41*M24)*$C$10)</f>
        <v/>
      </c>
      <c r="N60" s="15">
        <f>((N41*N24)*$C$10)</f>
        <v/>
      </c>
      <c r="O60" s="15">
        <f>((O41*O24)*$C$10)</f>
        <v/>
      </c>
      <c r="P60" s="15">
        <f>((P41*P24)*$C$10)</f>
        <v/>
      </c>
      <c r="Q60" s="15">
        <f>((Q41*Q24)*$C$10)</f>
        <v/>
      </c>
      <c r="R60" s="15">
        <f>((R41*R24)*$C$10)</f>
        <v/>
      </c>
      <c r="S60" s="15">
        <f>((S41*S24)*$C$10)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927.581657</v>
      </c>
      <c r="E61" s="13" t="n">
        <v>701.884048</v>
      </c>
      <c r="F61" s="13" t="n">
        <v>652.1883459999999</v>
      </c>
      <c r="G61" s="13" t="n">
        <v>378.930577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  <c r="P61" s="15">
        <f>(P59+P60)</f>
        <v/>
      </c>
      <c r="Q61" s="15">
        <f>(Q59+Q60)</f>
        <v/>
      </c>
      <c r="R61" s="15">
        <f>(R59+R60)</f>
        <v/>
      </c>
      <c r="S61" s="15">
        <f>(S59+S60)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8.939762999999999</v>
      </c>
      <c r="E62" s="13" t="n">
        <v>7.208125</v>
      </c>
      <c r="F62" s="13" t="n">
        <v>5.77401</v>
      </c>
      <c r="G62" s="13" t="n">
        <v>6.174043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  <c r="P62" s="15">
        <f>(O82*$C$29)</f>
        <v/>
      </c>
      <c r="Q62" s="15">
        <f>(P82*$C$29)</f>
        <v/>
      </c>
      <c r="R62" s="15">
        <f>(Q82*$C$29)</f>
        <v/>
      </c>
      <c r="S62" s="15">
        <f>(R82*$C$29)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2.397077</v>
      </c>
      <c r="E63" s="13" t="n">
        <v>11.115046</v>
      </c>
      <c r="F63" s="13" t="n">
        <v>10.61268</v>
      </c>
      <c r="G63" s="13" t="n">
        <v>7.760812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  <c r="P63" s="15">
        <f>(O81*$C$30)</f>
        <v/>
      </c>
      <c r="Q63" s="15">
        <f>(P81*$C$30)</f>
        <v/>
      </c>
      <c r="R63" s="15">
        <f>(Q81*$C$30)</f>
        <v/>
      </c>
      <c r="S63" s="15">
        <f>(R81*$C$30)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-12.25543999999991</v>
      </c>
      <c r="E64" s="13" t="n">
        <v>-12.19673800000009</v>
      </c>
      <c r="F64" s="13" t="n">
        <v>-8.581523999999966</v>
      </c>
      <c r="G64" s="13" t="n">
        <v>-9.808301000000025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  <c r="P64" s="15">
        <f>P32</f>
        <v/>
      </c>
      <c r="Q64" s="15">
        <f>Q32</f>
        <v/>
      </c>
      <c r="R64" s="15">
        <f>R32</f>
        <v/>
      </c>
      <c r="S64" s="15">
        <f>S32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898.692704</v>
      </c>
      <c r="E65" s="13" t="n">
        <v>682.9809749999999</v>
      </c>
      <c r="F65" s="13" t="n">
        <v>635.760266</v>
      </c>
      <c r="G65" s="13" t="n">
        <v>354.175846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  <c r="P65" s="15">
        <f>(((P59-P62)+P63)+P64)</f>
        <v/>
      </c>
      <c r="Q65" s="15">
        <f>(((Q59-Q62)+Q63)+Q64)</f>
        <v/>
      </c>
      <c r="R65" s="15">
        <f>(((R59-R62)+R63)+R64)</f>
        <v/>
      </c>
      <c r="S65" s="15">
        <f>(((S59-S62)+S63)+S64)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202.78467</v>
      </c>
      <c r="E66" s="13" t="n">
        <v>154.232563</v>
      </c>
      <c r="F66" s="13" t="n">
        <v>152.628587</v>
      </c>
      <c r="G66" s="13" t="n">
        <v>94.387282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  <c r="P66" s="15">
        <f>(MAX(P65,0)*P28)</f>
        <v/>
      </c>
      <c r="Q66" s="15">
        <f>(MAX(Q65,0)*Q28)</f>
        <v/>
      </c>
      <c r="R66" s="15">
        <f>(MAX(R65,0)*R28)</f>
        <v/>
      </c>
      <c r="S66" s="15">
        <f>(MAX(S65,0)*S28)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695.908034</v>
      </c>
      <c r="E67" s="13" t="n">
        <v>528.748412</v>
      </c>
      <c r="F67" s="13" t="n">
        <v>483.131679</v>
      </c>
      <c r="G67" s="13" t="n">
        <v>259.788564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  <c r="P67" s="15">
        <f>(P65-P66)</f>
        <v/>
      </c>
      <c r="Q67" s="15">
        <f>(Q65-Q66)</f>
        <v/>
      </c>
      <c r="R67" s="15">
        <f>(R65-R66)</f>
        <v/>
      </c>
      <c r="S67" s="15">
        <f>(S65-S66)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15.5362990000001</v>
      </c>
      <c r="E68" s="13" t="n">
        <v>10.36774800000001</v>
      </c>
      <c r="F68" s="13" t="n">
        <v>9.325465000000008</v>
      </c>
      <c r="G68" s="13" t="n">
        <v>1.554056000000003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  <c r="P68" s="15">
        <f>(P67*P33)</f>
        <v/>
      </c>
      <c r="Q68" s="15">
        <f>(Q67*Q33)</f>
        <v/>
      </c>
      <c r="R68" s="15">
        <f>(R67*R33)</f>
        <v/>
      </c>
      <c r="S68" s="15">
        <f>(S67*S33)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680.3717349999999</v>
      </c>
      <c r="E69" s="13" t="n">
        <v>518.380664</v>
      </c>
      <c r="F69" s="13" t="n">
        <v>473.806214</v>
      </c>
      <c r="G69" s="13" t="n">
        <v>258.234508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  <c r="P69" s="15">
        <f>(P67-P68)</f>
        <v/>
      </c>
      <c r="Q69" s="15">
        <f>(Q67-Q68)</f>
        <v/>
      </c>
      <c r="R69" s="15">
        <f>(R67-R68)</f>
        <v/>
      </c>
      <c r="S69" s="15">
        <f>(S67-S68)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5882.353</v>
      </c>
      <c r="E70" s="13" t="n">
        <v>5882.353</v>
      </c>
      <c r="F70" s="13" t="n">
        <v>5882.353</v>
      </c>
      <c r="G70" s="13" t="n">
        <v>5882.353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  <c r="P70" s="15">
        <f>(O70*(1+P35))</f>
        <v/>
      </c>
      <c r="Q70" s="15">
        <f>(P70*(1+Q35))</f>
        <v/>
      </c>
      <c r="R70" s="15">
        <f>(Q70*(1+R35))</f>
        <v/>
      </c>
      <c r="S70" s="15">
        <f>(R70*(1+S35))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0.115663193793368</v>
      </c>
      <c r="E71" s="20" t="n">
        <v>0.08812471199875288</v>
      </c>
      <c r="F71" s="20" t="n">
        <v>0.08054705557452944</v>
      </c>
      <c r="G71" s="20" t="n">
        <v>0.04389986592100134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  <c r="M71" s="21">
        <f>(IF(M70=0,0,M69/M70)*$C$8)</f>
        <v/>
      </c>
      <c r="N71" s="21">
        <f>(IF(N70=0,0,N69/N70)*$C$8)</f>
        <v/>
      </c>
      <c r="O71" s="21">
        <f>(IF(O70=0,0,O69/O70)*$C$8)</f>
        <v/>
      </c>
      <c r="P71" s="21">
        <f>(IF(P70=0,0,P69/P70)*$C$8)</f>
        <v/>
      </c>
      <c r="Q71" s="21">
        <f>(IF(Q70=0,0,Q69/Q70)*$C$8)</f>
        <v/>
      </c>
      <c r="R71" s="21">
        <f>(IF(R70=0,0,R69/R70)*$C$8)</f>
        <v/>
      </c>
      <c r="S71" s="21">
        <f>(IF(S70=0,0,S69/S70)*$C$8)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0.07012612562594295</v>
      </c>
      <c r="E72" s="20" t="n">
        <v>0.08085242728853528</v>
      </c>
      <c r="F72" s="20" t="n">
        <v>0.03596525679055947</v>
      </c>
      <c r="G72" s="20" t="n">
        <v>0.04731246868751564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  <c r="M72" s="21">
        <f>(MAX(M71,0)*M34)</f>
        <v/>
      </c>
      <c r="N72" s="21">
        <f>(MAX(N71,0)*N34)</f>
        <v/>
      </c>
      <c r="O72" s="21">
        <f>(MAX(O71,0)*O34)</f>
        <v/>
      </c>
      <c r="P72" s="21">
        <f>(MAX(P71,0)*P34)</f>
        <v/>
      </c>
      <c r="Q72" s="21">
        <f>(MAX(Q71,0)*Q34)</f>
        <v/>
      </c>
      <c r="R72" s="21">
        <f>(MAX(R71,0)*R34)</f>
        <v/>
      </c>
      <c r="S72" s="21">
        <f>(MAX(S71,0)*S34)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>
        <v>555</v>
      </c>
      <c r="E73" s="13" t="n">
        <v>415</v>
      </c>
      <c r="F73" s="13" t="n">
        <v>475</v>
      </c>
      <c r="G73" s="13" t="n">
        <v>210</v>
      </c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  <c r="P73" s="15">
        <f>IF($C$8=0,0,(O72*O70)/$C$8)</f>
        <v/>
      </c>
      <c r="Q73" s="15">
        <f>IF($C$8=0,0,(P72*P70)/$C$8)</f>
        <v/>
      </c>
      <c r="R73" s="15">
        <f>IF($C$8=0,0,(Q72*Q70)/$C$8)</f>
        <v/>
      </c>
      <c r="S73" s="15">
        <f>IF($C$8=0,0,(R72*R70)/$C$8)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10.636641</v>
      </c>
      <c r="E74" s="13" t="n">
        <v>89.939849</v>
      </c>
      <c r="F74" s="13" t="n">
        <v>106.008485</v>
      </c>
      <c r="G74" s="13" t="n">
        <v>19.215259</v>
      </c>
      <c r="H74" s="15">
        <f>(((H41*H25)*$C$10)+H26)</f>
        <v/>
      </c>
      <c r="I74" s="15">
        <f>(((I41*I25)*$C$10)+I26)</f>
        <v/>
      </c>
      <c r="J74" s="15">
        <f>(((J41*J25)*$C$10)+J26)</f>
        <v/>
      </c>
      <c r="K74" s="15">
        <f>(((K41*K25)*$C$10)+K26)</f>
        <v/>
      </c>
      <c r="L74" s="15">
        <f>(((L41*L25)*$C$10)+L26)</f>
        <v/>
      </c>
      <c r="M74" s="15">
        <f>(((M41*M25)*$C$10)+M26)</f>
        <v/>
      </c>
      <c r="N74" s="15">
        <f>(((N41*N25)*$C$10)+N26)</f>
        <v/>
      </c>
      <c r="O74" s="15">
        <f>(((O41*O25)*$C$10)+O26)</f>
        <v/>
      </c>
      <c r="P74" s="15">
        <f>(((P41*P25)*$C$10)+P26)</f>
        <v/>
      </c>
      <c r="Q74" s="15">
        <f>(((Q41*Q25)*$C$10)+Q26)</f>
        <v/>
      </c>
      <c r="R74" s="15">
        <f>(((R41*R25)*$C$10)+R26)</f>
        <v/>
      </c>
      <c r="S74" s="15">
        <f>(((S41*S25)*$C$10)+S26)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172.193318</v>
      </c>
      <c r="F75" s="13" t="n">
        <v>-50.94672700000001</v>
      </c>
      <c r="G75" s="13" t="n">
        <v>34.51212200000003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  <c r="P75" s="15">
        <f>(P80-O80)</f>
        <v/>
      </c>
      <c r="Q75" s="15">
        <f>(Q80-P80)</f>
        <v/>
      </c>
      <c r="R75" s="15">
        <f>(R80-Q80)</f>
        <v/>
      </c>
      <c r="S75" s="15">
        <f>(S80-R80)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283.6462896866038</v>
      </c>
      <c r="F76" s="13" t="n">
        <v>443.5994445032854</v>
      </c>
      <c r="G76" s="13" t="n">
        <v>228.6248892078801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  <c r="P76" s="15">
        <f>((((P59*(1-P28))+P60)-P74)-P75)</f>
        <v/>
      </c>
      <c r="Q76" s="15">
        <f>((((Q59*(1-Q28))+Q60)-Q74)-Q75)</f>
        <v/>
      </c>
      <c r="R76" s="15">
        <f>((((R59*(1-R28))+R60)-R74)-R75)</f>
        <v/>
      </c>
      <c r="S76" s="15">
        <f>((((S59*(1-S28))+S60)-S74)-S75)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120.127426</v>
      </c>
      <c r="F77" s="13" t="n">
        <v>29.50420600000001</v>
      </c>
      <c r="G77" s="13" t="n">
        <v>-148.182553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  <c r="P77" s="15">
        <f>P31</f>
        <v/>
      </c>
      <c r="Q77" s="15">
        <f>Q31</f>
        <v/>
      </c>
      <c r="R77" s="15">
        <f>R31</f>
        <v/>
      </c>
      <c r="S77" s="15">
        <f>S31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  <c r="P78" s="15">
        <f>(MAX(O68,0)*P34)</f>
        <v/>
      </c>
      <c r="Q78" s="15">
        <f>(MAX(P68,0)*Q34)</f>
        <v/>
      </c>
      <c r="R78" s="15">
        <f>(MAX(Q68,0)*R34)</f>
        <v/>
      </c>
      <c r="S78" s="15">
        <f>(MAX(R68,0)*S34)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  <c r="P79" s="15">
        <f>(((((P67+P60)-P74)-P75)+P77)-P78)</f>
        <v/>
      </c>
      <c r="Q79" s="15">
        <f>(((((Q67+Q60)-Q74)-Q75)+Q77)-Q78)</f>
        <v/>
      </c>
      <c r="R79" s="15">
        <f>(((((R67+R60)-R74)-R75)+R77)-R78)</f>
        <v/>
      </c>
      <c r="S79" s="15">
        <f>(((((S67+S60)-S74)-S75)+S77)-S78)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-11.39815000000004</v>
      </c>
      <c r="E80" s="13" t="n">
        <v>160.795168</v>
      </c>
      <c r="F80" s="13" t="n">
        <v>109.848441</v>
      </c>
      <c r="G80" s="13" t="n">
        <v>144.360563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  <c r="P80" s="15">
        <f>(P55*P27)</f>
        <v/>
      </c>
      <c r="Q80" s="15">
        <f>(Q55*Q27)</f>
        <v/>
      </c>
      <c r="R80" s="15">
        <f>(R55*R27)</f>
        <v/>
      </c>
      <c r="S80" s="15">
        <f>(S55*S27)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329.599981</v>
      </c>
      <c r="E81" s="13" t="n">
        <v>318.495046</v>
      </c>
      <c r="F81" s="13" t="n">
        <v>326.929041</v>
      </c>
      <c r="G81" s="13" t="n">
        <v>112.133494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  <c r="P81" s="15">
        <f>(((((((O81+P67)+P60)-P74)-P75)+P77)-P73)-P78)</f>
        <v/>
      </c>
      <c r="Q81" s="15">
        <f>(((((((P81+Q67)+Q60)-Q74)-Q75)+Q77)-Q73)-Q78)</f>
        <v/>
      </c>
      <c r="R81" s="15">
        <f>(((((((Q81+R67)+R60)-R74)-R75)+R77)-R73)-R78)</f>
        <v/>
      </c>
      <c r="S81" s="15">
        <f>(((((((R81+S67)+S60)-S74)-S75)+S77)-S73)-S78)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132.995394</v>
      </c>
      <c r="E82" s="13" t="n">
        <v>253.12282</v>
      </c>
      <c r="F82" s="13" t="n">
        <v>282.627026</v>
      </c>
      <c r="G82" s="13" t="n">
        <v>134.444473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  <c r="P82" s="15">
        <f>(O82+P77)</f>
        <v/>
      </c>
      <c r="Q82" s="15">
        <f>(P82+Q77)</f>
        <v/>
      </c>
      <c r="R82" s="15">
        <f>(Q82+R77)</f>
        <v/>
      </c>
      <c r="S82" s="15">
        <f>(R82+S77)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345.340304</v>
      </c>
      <c r="E83" s="13" t="n">
        <v>392.193819</v>
      </c>
      <c r="F83" s="13" t="n">
        <v>448.095032</v>
      </c>
      <c r="G83" s="13" t="n">
        <v>431.338717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  <c r="P83" s="15">
        <f>((O83+P74)-P60)</f>
        <v/>
      </c>
      <c r="Q83" s="15">
        <f>((P83+Q74)-Q60)</f>
        <v/>
      </c>
      <c r="R83" s="15">
        <f>((Q83+R74)-R60)</f>
        <v/>
      </c>
      <c r="S83" s="15">
        <f>((R83+S74)-S60)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551.605369</v>
      </c>
      <c r="E84" s="13" t="n">
        <v>653.750413</v>
      </c>
      <c r="F84" s="13" t="n">
        <v>652.159014</v>
      </c>
      <c r="G84" s="13" t="n">
        <v>702.535003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  <c r="P84" s="15">
        <f>((O84+P69)-P73)</f>
        <v/>
      </c>
      <c r="Q84" s="15">
        <f>((P84+Q69)-Q73)</f>
        <v/>
      </c>
      <c r="R84" s="15">
        <f>((Q84+R69)-R73)</f>
        <v/>
      </c>
      <c r="S84" s="15">
        <f>((R84+S69)-S73)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6.63927</v>
      </c>
      <c r="E85" s="13" t="n">
        <v>9.361674000000001</v>
      </c>
      <c r="F85" s="13" t="n">
        <v>8.968875000000001</v>
      </c>
      <c r="G85" s="13" t="n">
        <v>6.051727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  <c r="P85" s="15">
        <f>((O85+P68)-P78)</f>
        <v/>
      </c>
      <c r="Q85" s="15">
        <f>((P85+Q68)-Q78)</f>
        <v/>
      </c>
      <c r="R85" s="15">
        <f>((Q85+R68)-R78)</f>
        <v/>
      </c>
      <c r="S85" s="15">
        <f>((R85+S68)-S78)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27.69789800000007</v>
      </c>
      <c r="E86" s="13" t="n">
        <v>44.75087400000001</v>
      </c>
      <c r="F86" s="13" t="n">
        <v>58.88240100000002</v>
      </c>
      <c r="G86" s="13" t="n">
        <v>155.1984289999999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  <c r="P86" s="15">
        <f>O86</f>
        <v/>
      </c>
      <c r="Q86" s="15">
        <f>P86</f>
        <v/>
      </c>
      <c r="R86" s="15">
        <f>Q86</f>
        <v/>
      </c>
      <c r="S86" s="15">
        <f>R86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  <c r="P87" s="15">
        <f>((((((P81+P80)+P83)+P86)-P82)-P84)-P85)</f>
        <v/>
      </c>
      <c r="Q87" s="15">
        <f>((((((Q81+Q80)+Q83)+Q86)-Q82)-Q84)-Q85)</f>
        <v/>
      </c>
      <c r="R87" s="15">
        <f>((((((R81+R80)+R83)+R86)-R82)-R84)-R85)</f>
        <v/>
      </c>
      <c r="S87" s="15">
        <f>((((((S81+S80)+S83)+S86)-S82)-S84)-S85)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-196.604587</v>
      </c>
      <c r="E88" s="13" t="n">
        <v>-65.37222600000001</v>
      </c>
      <c r="F88" s="13" t="n">
        <v>-44.30201499999998</v>
      </c>
      <c r="G88" s="13" t="n">
        <v>22.31097899999999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  <c r="P88" s="15">
        <f>(P82-P81)</f>
        <v/>
      </c>
      <c r="Q88" s="15">
        <f>(Q82-Q81)</f>
        <v/>
      </c>
      <c r="R88" s="15">
        <f>(R82-R81)</f>
        <v/>
      </c>
      <c r="S88" s="15">
        <f>(S82-S81)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0.09377291179227087</v>
      </c>
      <c r="E89" s="20" t="n">
        <v>0.1111375690986243</v>
      </c>
      <c r="F89" s="20" t="n">
        <v>0.1108670312713297</v>
      </c>
      <c r="G89" s="20" t="n">
        <v>0.1194309493156905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  <c r="M89" s="21">
        <f>(IF(M70=0,0,M84/M70)*$C$8)</f>
        <v/>
      </c>
      <c r="N89" s="21">
        <f>(IF(N70=0,0,N84/N70)*$C$8)</f>
        <v/>
      </c>
      <c r="O89" s="21">
        <f>(IF(O70=0,0,O84/O70)*$C$8)</f>
        <v/>
      </c>
      <c r="P89" s="21">
        <f>(IF(P70=0,0,P84/P70)*$C$8)</f>
        <v/>
      </c>
      <c r="Q89" s="21">
        <f>(IF(Q70=0,0,Q84/Q70)*$C$8)</f>
        <v/>
      </c>
      <c r="R89" s="21">
        <f>(IF(R70=0,0,R84/R70)*$C$8)</f>
        <v/>
      </c>
      <c r="S89" s="21">
        <f>(IF(S70=0,0,S84/S70)*$C$8)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-0.006208331506156406</v>
      </c>
      <c r="F90" s="4" t="n">
        <v>-0.06765213195196729</v>
      </c>
      <c r="G90" s="4" t="n">
        <v>-0.1077305955107165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  <c r="L90" s="17">
        <f>(IF(K55=0,0,L55/K55)-1)</f>
        <v/>
      </c>
      <c r="M90" s="17">
        <f>(IF(L55=0,0,M55/L55)-1)</f>
        <v/>
      </c>
      <c r="N90" s="17">
        <f>(IF(M55=0,0,N55/M55)-1)</f>
        <v/>
      </c>
      <c r="O90" s="17">
        <f>(IF(N55=0,0,O55/N55)-1)</f>
        <v/>
      </c>
      <c r="P90" s="17">
        <f>(IF(O55=0,0,P55/O55)-1)</f>
        <v/>
      </c>
      <c r="Q90" s="17">
        <f>(IF(P55=0,0,Q55/P55)-1)</f>
        <v/>
      </c>
      <c r="R90" s="17">
        <f>(IF(Q55=0,0,R55/Q55)-1)</f>
        <v/>
      </c>
      <c r="S90" s="17">
        <f>(IF(R55=0,0,S55/R55)-1)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0.4501675139085591</v>
      </c>
      <c r="E91" s="4" t="n">
        <v>0.3949399497758574</v>
      </c>
      <c r="F91" s="4" t="n">
        <v>0.4082682837646135</v>
      </c>
      <c r="G91" s="4" t="n">
        <v>0.3194812204634861</v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  <c r="L91" s="17">
        <f>IF(L55=0,0,L57/L55)</f>
        <v/>
      </c>
      <c r="M91" s="17">
        <f>IF(M55=0,0,M57/M55)</f>
        <v/>
      </c>
      <c r="N91" s="17">
        <f>IF(N55=0,0,N57/N55)</f>
        <v/>
      </c>
      <c r="O91" s="17">
        <f>IF(O55=0,0,O57/O55)</f>
        <v/>
      </c>
      <c r="P91" s="17">
        <f>IF(P55=0,0,P57/P55)</f>
        <v/>
      </c>
      <c r="Q91" s="17">
        <f>IF(Q55=0,0,Q57/Q55)</f>
        <v/>
      </c>
      <c r="R91" s="17">
        <f>IF(R55=0,0,R57/R55)</f>
        <v/>
      </c>
      <c r="S91" s="17">
        <f>IF(S55=0,0,S57/S55)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0.3176688236496971</v>
      </c>
      <c r="E92" s="4" t="n">
        <v>0.2418758249621122</v>
      </c>
      <c r="F92" s="4" t="n">
        <v>0.2410583299714791</v>
      </c>
      <c r="G92" s="4" t="n">
        <v>0.1569685906895814</v>
      </c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  <c r="L92" s="17">
        <f>IF(L55=0,0,L61/L55)</f>
        <v/>
      </c>
      <c r="M92" s="17">
        <f>IF(M55=0,0,M61/M55)</f>
        <v/>
      </c>
      <c r="N92" s="17">
        <f>IF(N55=0,0,N61/N55)</f>
        <v/>
      </c>
      <c r="O92" s="17">
        <f>IF(O55=0,0,O61/O55)</f>
        <v/>
      </c>
      <c r="P92" s="17">
        <f>IF(P55=0,0,P61/P55)</f>
        <v/>
      </c>
      <c r="Q92" s="17">
        <f>IF(Q55=0,0,Q61/Q55)</f>
        <v/>
      </c>
      <c r="R92" s="17">
        <f>IF(R55=0,0,R61/R55)</f>
        <v/>
      </c>
      <c r="S92" s="17">
        <f>IF(S55=0,0,S61/S55)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0.3142130188496</v>
      </c>
      <c r="E93" s="4" t="n">
        <v>0.2382183974171367</v>
      </c>
      <c r="F93" s="4" t="n">
        <v>0.2363696853282172</v>
      </c>
      <c r="G93" s="4" t="n">
        <v>0.1501198613862705</v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  <c r="L93" s="17">
        <f>IF(L55=0,0,L59/L55)</f>
        <v/>
      </c>
      <c r="M93" s="17">
        <f>IF(M55=0,0,M59/M55)</f>
        <v/>
      </c>
      <c r="N93" s="17">
        <f>IF(N55=0,0,N59/N55)</f>
        <v/>
      </c>
      <c r="O93" s="17">
        <f>IF(O55=0,0,O59/O55)</f>
        <v/>
      </c>
      <c r="P93" s="17">
        <f>IF(P55=0,0,P59/P55)</f>
        <v/>
      </c>
      <c r="Q93" s="17">
        <f>IF(Q55=0,0,Q59/Q55)</f>
        <v/>
      </c>
      <c r="R93" s="17">
        <f>IF(R55=0,0,R59/R55)</f>
        <v/>
      </c>
      <c r="S93" s="17">
        <f>IF(S55=0,0,S59/S55)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0.2330068593647852</v>
      </c>
      <c r="E94" s="4" t="n">
        <v>0.1786388380056295</v>
      </c>
      <c r="F94" s="4" t="n">
        <v>0.175125690879716</v>
      </c>
      <c r="G94" s="4" t="n">
        <v>0.1069713273314901</v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  <c r="L94" s="17">
        <f>IF(L55=0,0,L69/L55)</f>
        <v/>
      </c>
      <c r="M94" s="17">
        <f>IF(M55=0,0,M69/M55)</f>
        <v/>
      </c>
      <c r="N94" s="17">
        <f>IF(N55=0,0,N69/N55)</f>
        <v/>
      </c>
      <c r="O94" s="17">
        <f>IF(O55=0,0,O69/O55)</f>
        <v/>
      </c>
      <c r="P94" s="17">
        <f>IF(P55=0,0,P69/P55)</f>
        <v/>
      </c>
      <c r="Q94" s="17">
        <f>IF(Q55=0,0,Q69/Q55)</f>
        <v/>
      </c>
      <c r="R94" s="17">
        <f>IF(R55=0,0,R69/R55)</f>
        <v/>
      </c>
      <c r="S94" s="17">
        <f>IF(S55=0,0,S69/S55)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-0.2380920056886254</v>
      </c>
      <c r="F95" s="4" t="n">
        <v>-0.08598787164638533</v>
      </c>
      <c r="G95" s="4" t="n">
        <v>-0.4549786381653492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  <c r="L95" s="17">
        <f>(IF(K71=0,0,L71/K71)-1)</f>
        <v/>
      </c>
      <c r="M95" s="17">
        <f>(IF(L71=0,0,M71/L71)-1)</f>
        <v/>
      </c>
      <c r="N95" s="17">
        <f>(IF(M71=0,0,N71/M71)-1)</f>
        <v/>
      </c>
      <c r="O95" s="17">
        <f>(IF(N71=0,0,O71/N71)-1)</f>
        <v/>
      </c>
      <c r="P95" s="17">
        <f>(IF(O71=0,0,P71/O71)-1)</f>
        <v/>
      </c>
      <c r="Q95" s="17">
        <f>(IF(P71=0,0,Q71/P71)-1)</f>
        <v/>
      </c>
      <c r="R95" s="17">
        <f>(IF(Q71=0,0,R71/Q71)-1)</f>
        <v/>
      </c>
      <c r="S95" s="17">
        <f>(IF(R71=0,0,S71/R71)-1)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0.8601288876548484</v>
      </c>
      <c r="F96" s="4" t="n">
        <v>0.7256341124490557</v>
      </c>
      <c r="G96" s="4" t="n">
        <v>0.3812440370436803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  <c r="L96" s="17">
        <f>IF(IF(2=0,0,(L84+K84)/2)=0,0,L69/IF(2=0,0,(L84+K84)/2))</f>
        <v/>
      </c>
      <c r="M96" s="17">
        <f>IF(IF(2=0,0,(M84+L84)/2)=0,0,M69/IF(2=0,0,(M84+L84)/2))</f>
        <v/>
      </c>
      <c r="N96" s="17">
        <f>IF(IF(2=0,0,(N84+M84)/2)=0,0,N69/IF(2=0,0,(N84+M84)/2))</f>
        <v/>
      </c>
      <c r="O96" s="17">
        <f>IF(IF(2=0,0,(O84+N84)/2)=0,0,O69/IF(2=0,0,(O84+N84)/2))</f>
        <v/>
      </c>
      <c r="P96" s="17">
        <f>IF(IF(2=0,0,(P84+O84)/2)=0,0,P69/IF(2=0,0,(P84+O84)/2))</f>
        <v/>
      </c>
      <c r="Q96" s="17">
        <f>IF(IF(2=0,0,(Q84+P84)/2)=0,0,Q69/IF(2=0,0,(Q84+P84)/2))</f>
        <v/>
      </c>
      <c r="R96" s="17">
        <f>IF(IF(2=0,0,(R84+Q84)/2)=0,0,R69/IF(2=0,0,(R84+Q84)/2))</f>
        <v/>
      </c>
      <c r="S96" s="17">
        <f>IF(IF(2=0,0,(S84+R84)/2)=0,0,S69/IF(2=0,0,(S84+R84)/2))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>
        <v>-0.2119539401370461</v>
      </c>
      <c r="E97" s="22" t="n">
        <v>-0.09313821305139565</v>
      </c>
      <c r="F97" s="22" t="n">
        <v>-0.06792825304486504</v>
      </c>
      <c r="G97" s="22" t="n">
        <v>0.0588788035440064</v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  <c r="M97" s="23">
        <f>IF(M61=0,0,M88/M61)</f>
        <v/>
      </c>
      <c r="N97" s="23">
        <f>IF(N61=0,0,N88/N61)</f>
        <v/>
      </c>
      <c r="O97" s="23">
        <f>IF(O61=0,0,O88/O61)</f>
        <v/>
      </c>
      <c r="P97" s="23">
        <f>IF(P61=0,0,P88/P61)</f>
        <v/>
      </c>
      <c r="Q97" s="23">
        <f>IF(Q61=0,0,Q88/Q61)</f>
        <v/>
      </c>
      <c r="R97" s="23">
        <f>IF(R61=0,0,R88/R61)</f>
        <v/>
      </c>
      <c r="S97" s="23">
        <f>IF(S61=0,0,S88/S61)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0.6062959471033029</v>
      </c>
      <c r="E98" s="4" t="n">
        <v>0.9174773506173783</v>
      </c>
      <c r="F98" s="4" t="n">
        <v>0.4465123713588903</v>
      </c>
      <c r="G98" s="4" t="n">
        <v>1.077736063537309</v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  <c r="L98" s="17">
        <f>IF(L71=0,0,L72/L71)</f>
        <v/>
      </c>
      <c r="M98" s="17">
        <f>IF(M71=0,0,M72/M71)</f>
        <v/>
      </c>
      <c r="N98" s="17">
        <f>IF(N71=0,0,N72/N71)</f>
        <v/>
      </c>
      <c r="O98" s="17">
        <f>IF(O71=0,0,O72/O71)</f>
        <v/>
      </c>
      <c r="P98" s="17">
        <f>IF(P71=0,0,P72/P71)</f>
        <v/>
      </c>
      <c r="Q98" s="17">
        <f>IF(Q71=0,0,Q72/Q71)</f>
        <v/>
      </c>
      <c r="R98" s="17">
        <f>IF(R71=0,0,R72/R71)</f>
        <v/>
      </c>
      <c r="S98" s="17">
        <f>IF(S71=0,0,S72/S71)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0.003642729681591943</v>
      </c>
      <c r="E99" s="4" t="n">
        <v>0.03099411538961604</v>
      </c>
      <c r="F99" s="4" t="n">
        <v>0.03918228302243628</v>
      </c>
      <c r="G99" s="4" t="n">
        <v>0.007959748587312588</v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  <c r="L99" s="17">
        <f>IF(L55=0,0,L74/L55)</f>
        <v/>
      </c>
      <c r="M99" s="17">
        <f>IF(M55=0,0,M74/M55)</f>
        <v/>
      </c>
      <c r="N99" s="17">
        <f>IF(N55=0,0,N74/N55)</f>
        <v/>
      </c>
      <c r="O99" s="17">
        <f>IF(O55=0,0,O74/O55)</f>
        <v/>
      </c>
      <c r="P99" s="17">
        <f>IF(P55=0,0,P74/P55)</f>
        <v/>
      </c>
      <c r="Q99" s="17">
        <f>IF(Q55=0,0,Q74/Q55)</f>
        <v/>
      </c>
      <c r="R99" s="17">
        <f>IF(R55=0,0,R74/R55)</f>
        <v/>
      </c>
      <c r="S99" s="17">
        <f>IF(S55=0,0,S74/S55)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7375</v>
      </c>
    </row>
    <row r="103">
      <c r="A103" t="inlineStr">
        <is>
          <t>Shares outstanding (m)</t>
        </is>
      </c>
      <c r="C103" s="13" t="n">
        <v>5882.353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134.068214</v>
      </c>
    </row>
    <row r="106">
      <c r="A106" t="inlineStr">
        <is>
          <t>Cash at balance-sheet date</t>
        </is>
      </c>
      <c r="C106" s="13" t="n">
        <v>278.395474</v>
      </c>
    </row>
    <row r="107">
      <c r="A107" t="inlineStr">
        <is>
          <t>Minority interest (book)</t>
        </is>
      </c>
      <c r="C107" s="13" t="n">
        <v>9.111867</v>
      </c>
    </row>
    <row r="108">
      <c r="A108" t="inlineStr">
        <is>
          <t>Associates &amp; investments (book)</t>
        </is>
      </c>
      <c r="C108" s="13" t="n">
        <v>0</v>
      </c>
    </row>
    <row r="109">
      <c r="A109" t="inlineStr">
        <is>
          <t>Post-balance-sheet &amp; other items (sourced, probability-weighted)</t>
        </is>
      </c>
      <c r="C109" s="13" t="n">
        <v>-150.91149</v>
      </c>
    </row>
    <row r="110">
      <c r="A110" t="inlineStr">
        <is>
          <t>Parent equity at balance-sheet date</t>
        </is>
      </c>
      <c r="C110" s="13" t="n">
        <v>843.593715</v>
      </c>
    </row>
    <row r="111">
      <c r="A111" t="inlineStr">
        <is>
          <t>Per-share factor</t>
        </is>
      </c>
      <c r="C111" s="24" t="n">
        <v>1</v>
      </c>
    </row>
    <row r="112">
      <c r="A112" t="inlineStr">
        <is>
          <t>Risk-free rate</t>
        </is>
      </c>
      <c r="C112" s="9">
        <f>Drivers!$C$12</f>
        <v/>
      </c>
    </row>
    <row r="113">
      <c r="A113" t="inlineStr">
        <is>
          <t>Less: default spread (IDR only)</t>
        </is>
      </c>
      <c r="C113" s="9" t="n">
        <v>0</v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0.05605341979749157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  <c r="K126" s="6" t="n">
        <v>0.996578</v>
      </c>
      <c r="L126" s="6" t="n">
        <v>0.996578</v>
      </c>
      <c r="M126" s="6" t="n">
        <v>0.996578</v>
      </c>
      <c r="N126" s="6" t="n">
        <v>0.999316</v>
      </c>
      <c r="O126" s="6" t="n">
        <v>0.996578</v>
      </c>
      <c r="P126" s="6" t="n">
        <v>0.996578</v>
      </c>
      <c r="Q126" s="6" t="n">
        <v>0.996578</v>
      </c>
      <c r="R126" s="6" t="n">
        <v>0.999316</v>
      </c>
      <c r="S126" s="6" t="n">
        <v>0.996578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  <c r="K127" s="6" t="n">
        <v>2.672142</v>
      </c>
      <c r="L127" s="6" t="n">
        <v>3.671458</v>
      </c>
      <c r="M127" s="6" t="n">
        <v>4.670773</v>
      </c>
      <c r="N127" s="6" t="n">
        <v>5.670089</v>
      </c>
      <c r="O127" s="6" t="n">
        <v>6.672142</v>
      </c>
      <c r="P127" s="6" t="n">
        <v>7.671458</v>
      </c>
      <c r="Q127" s="6" t="n">
        <v>8.670773000000001</v>
      </c>
      <c r="R127" s="6" t="n">
        <v>9.670089000000001</v>
      </c>
      <c r="S127" s="6" t="n">
        <v>10.672142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  <c r="P128">
        <f>1/(1+$C$122)^P127</f>
        <v/>
      </c>
      <c r="Q128">
        <f>1/(1+$C$122)^Q127</f>
        <v/>
      </c>
      <c r="R128">
        <f>1/(1+$C$122)^R127</f>
        <v/>
      </c>
      <c r="S128">
        <f>1/(1+$C$122)^S127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  <c r="M129" s="26">
        <f>M76*M126*M128</f>
        <v/>
      </c>
      <c r="N129" s="26">
        <f>N76*N126*N128</f>
        <v/>
      </c>
      <c r="O129" s="26">
        <f>O76*O126*O128</f>
        <v/>
      </c>
      <c r="P129" s="26">
        <f>P76*P126*P128</f>
        <v/>
      </c>
      <c r="Q129" s="26">
        <f>Q76*Q126*Q128</f>
        <v/>
      </c>
      <c r="R129" s="26">
        <f>R76*R126*R128</f>
        <v/>
      </c>
      <c r="S129" s="26">
        <f>S76*S126*S128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  <c r="M130" s="26">
        <f>L130+M129</f>
        <v/>
      </c>
      <c r="N130" s="26">
        <f>M130+N129</f>
        <v/>
      </c>
      <c r="O130" s="26">
        <f>N130+O129</f>
        <v/>
      </c>
      <c r="P130" s="26">
        <f>O130+P129</f>
        <v/>
      </c>
      <c r="Q130" s="26">
        <f>P130+Q129</f>
        <v/>
      </c>
      <c r="R130" s="26">
        <f>Q130+R129</f>
        <v/>
      </c>
      <c r="S130" s="26">
        <f>R130+S129</f>
        <v/>
      </c>
    </row>
    <row r="131">
      <c r="A131" t="inlineStr">
        <is>
          <t>Best cumulative PV (never below zero)</t>
        </is>
      </c>
      <c r="C131" s="26">
        <f>MAX(0,MAX(H130:S130))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MAX(0,$C$134/$C$103*$C$111*$C$104)</f>
        <v/>
      </c>
    </row>
    <row r="137">
      <c r="A137" s="1" t="inlineStr">
        <is>
          <t>EV/EBITDA</t>
        </is>
      </c>
    </row>
    <row r="138">
      <c r="A138" t="inlineStr">
        <is>
          <t>Target multiple (average of peer median and own five-year average)</t>
        </is>
      </c>
      <c r="C138" s="22" t="n">
        <v>5.611134</v>
      </c>
    </row>
    <row r="139">
      <c r="A139" t="inlineStr">
        <is>
          <t>Metric (LTM, or next-12m DPS for yield)</t>
        </is>
      </c>
      <c r="C139" s="13" t="n">
        <v>378.930577</v>
      </c>
    </row>
    <row r="140">
      <c r="A140" t="inlineStr">
        <is>
          <t>Value per share (IDR) — EV/EBITDA</t>
        </is>
      </c>
      <c r="C140" s="27">
        <f>MAX(0,($C$138*$C$139-($C$105-$C$106)-$C$107+$C$108+$C$109)/$C$103*$C$111*$C$104)</f>
        <v/>
      </c>
    </row>
    <row r="142">
      <c r="A142" s="1" t="inlineStr">
        <is>
          <t>TARGET</t>
        </is>
      </c>
    </row>
    <row r="143">
      <c r="A143" t="inlineStr">
        <is>
          <t>Weight: DCF to end of life (no terminal value)</t>
        </is>
      </c>
      <c r="C143" s="4" t="n">
        <v>0.705882</v>
      </c>
    </row>
    <row r="144">
      <c r="A144" t="inlineStr">
        <is>
          <t>Weight: EV/EBITDA</t>
        </is>
      </c>
      <c r="C144" s="4" t="n">
        <v>0.294118</v>
      </c>
    </row>
    <row r="145">
      <c r="A145" t="inlineStr">
        <is>
          <t>Value today (weighted)</t>
        </is>
      </c>
      <c r="C145" s="27">
        <f>$C$135*$C$143+$C$140*$C$144</f>
        <v/>
      </c>
    </row>
    <row r="146">
      <c r="A146" t="inlineStr">
        <is>
          <t>DPS expected in next 12 months (IDR)</t>
        </is>
      </c>
      <c r="C146" s="20" t="n">
        <v>805.170925333014</v>
      </c>
    </row>
    <row r="147">
      <c r="A147" t="inlineStr">
        <is>
          <t>Base-case 12-month value</t>
        </is>
      </c>
      <c r="C147" s="27">
        <f>MAX(0,$C$145*(1+$C$120)-$C$146)</f>
        <v/>
      </c>
    </row>
    <row r="148">
      <c r="A148" t="inlineStr">
        <is>
          <t>Bear probability</t>
        </is>
      </c>
      <c r="C148" s="4" t="n">
        <v>0.25</v>
      </c>
    </row>
    <row r="149">
      <c r="A149" t="inlineStr">
        <is>
          <t>Bear 12-month value (engine)</t>
        </is>
      </c>
      <c r="C149" s="20" t="n">
        <v>2303.837325836879</v>
      </c>
    </row>
    <row r="150">
      <c r="A150" t="inlineStr">
        <is>
          <t>Base probability</t>
        </is>
      </c>
      <c r="C150" s="4" t="n">
        <v>0.5</v>
      </c>
    </row>
    <row r="151">
      <c r="A151" t="inlineStr">
        <is>
          <t>Bull probability</t>
        </is>
      </c>
      <c r="C151" s="4" t="n">
        <v>0.25</v>
      </c>
    </row>
    <row r="152">
      <c r="A152" t="inlineStr">
        <is>
          <t>Bull 12-month value (engine)</t>
        </is>
      </c>
      <c r="C152" s="20" t="n">
        <v>11411.53314808021</v>
      </c>
    </row>
    <row r="153">
      <c r="A153" t="inlineStr">
        <is>
          <t>Probability-weighted 12-month value</t>
        </is>
      </c>
      <c r="C153" s="27">
        <f>$C$148*$C$149+$C$150*$C$147+$C$151*$C$152</f>
        <v/>
      </c>
    </row>
    <row r="154">
      <c r="A154" t="inlineStr">
        <is>
          <t>Liquidity discount (limits.yaml)</t>
        </is>
      </c>
      <c r="C154" s="4" t="n">
        <v>0.1</v>
      </c>
    </row>
    <row r="155">
      <c r="A155" t="inlineStr">
        <is>
          <t>Fundamental 12-month value (after liquidity discount)</t>
        </is>
      </c>
      <c r="C155" s="27">
        <f>$C$153*(1-$C$154)</f>
        <v/>
      </c>
    </row>
    <row r="156">
      <c r="A156" t="inlineStr">
        <is>
          <t>Konglo lens: price / fundamental value today (engine)</t>
        </is>
      </c>
      <c r="C156" s="22" t="n">
        <v>1.172006</v>
      </c>
    </row>
    <row r="157">
      <c r="A157" t="inlineStr">
        <is>
          <t>Regime bear: probability (konglo deck)</t>
        </is>
      </c>
      <c r="C157" s="4" t="n">
        <v>0.25</v>
      </c>
    </row>
    <row r="158">
      <c r="A158" t="inlineStr">
        <is>
          <t>Regime bear: share of the log gap closed in 12 months</t>
        </is>
      </c>
      <c r="C158" s="4" t="n">
        <v>0.8</v>
      </c>
    </row>
    <row r="159">
      <c r="A159" t="inlineStr">
        <is>
          <t>Regime base: probability (konglo deck)</t>
        </is>
      </c>
      <c r="C159" s="4" t="n">
        <v>0.5</v>
      </c>
    </row>
    <row r="160">
      <c r="A160" t="inlineStr">
        <is>
          <t>Regime base: share of the log gap closed in 12 months</t>
        </is>
      </c>
      <c r="C160" s="4" t="n">
        <v>0.4</v>
      </c>
    </row>
    <row r="161">
      <c r="A161" t="inlineStr">
        <is>
          <t>Regime bull: probability (konglo deck)</t>
        </is>
      </c>
      <c r="C161" s="4" t="n">
        <v>0.25</v>
      </c>
    </row>
    <row r="162">
      <c r="A162" t="inlineStr">
        <is>
          <t>Regime bull: share of the log gap closed in 12 months</t>
        </is>
      </c>
      <c r="C162" s="4" t="n">
        <v>-0.05</v>
      </c>
    </row>
    <row r="163">
      <c r="A163" t="inlineStr">
        <is>
          <t>Share of today's premium kept (probability-weighted)</t>
        </is>
      </c>
      <c r="C163" s="32">
        <f>$C$157*$C$156^(1-$C$158)+$C$159*$C$156^(1-$C$160)+$C$161*$C$156^(1-$C$162)</f>
        <v/>
      </c>
    </row>
    <row r="164">
      <c r="A164" t="inlineStr">
        <is>
          <t>TARGET PRICE (IDR) — konglo lens</t>
        </is>
      </c>
      <c r="C164" s="28">
        <f>$C$155*$C$163</f>
        <v/>
      </c>
    </row>
    <row r="165">
      <c r="A165" t="inlineStr">
        <is>
          <t>Expected 12-month total return</t>
        </is>
      </c>
      <c r="C165" s="29">
        <f>($C$164+$C$146)/$C$102-1</f>
        <v/>
      </c>
    </row>
    <row r="166">
      <c r="A166" t="inlineStr">
        <is>
          <t>Rating</t>
        </is>
      </c>
      <c r="C166" s="30">
        <f>IF($C$165&gt;=0.25,"BUY",IF($C$165&gt;=0.1,"ADD",IF($C$165&lt;=-0.25,"SELL",IF($C$165&lt;=-0.1,"REDUCE","HOLD"))))</f>
        <v/>
      </c>
    </row>
    <row r="168">
      <c r="A168" s="1" t="inlineStr">
        <is>
          <t>12-month value vs benchmark price and IDR/USD (engine values)</t>
        </is>
      </c>
    </row>
    <row r="169">
      <c r="A169" s="5" t="inlineStr">
        <is>
          <t>rows: IDR per USD (x deck) · columns: Benchmark price (x deck)</t>
        </is>
      </c>
      <c r="D169" s="1" t="n">
        <v>0.8</v>
      </c>
      <c r="E169" s="1" t="n">
        <v>0.9</v>
      </c>
      <c r="F169" s="1" t="n">
        <v>1</v>
      </c>
      <c r="G169" s="1" t="n">
        <v>1.1</v>
      </c>
      <c r="H169" s="1" t="n">
        <v>1.2</v>
      </c>
    </row>
    <row r="170">
      <c r="C170" s="1" t="n">
        <v>0.9</v>
      </c>
      <c r="D170" s="27" t="n">
        <v>2173.260167</v>
      </c>
      <c r="E170" s="27" t="n">
        <v>3491.057532</v>
      </c>
      <c r="F170" s="27" t="n">
        <v>5349.011722</v>
      </c>
      <c r="G170" s="27" t="n">
        <v>7257.35845</v>
      </c>
      <c r="H170" s="27" t="n">
        <v>9165.705179</v>
      </c>
    </row>
    <row r="171">
      <c r="C171" s="1" t="n">
        <v>0.95</v>
      </c>
      <c r="D171" s="27" t="n">
        <v>2294.278107</v>
      </c>
      <c r="E171" s="27" t="n">
        <v>3685.530238</v>
      </c>
      <c r="F171" s="27" t="n">
        <v>5647.083506</v>
      </c>
      <c r="G171" s="27" t="n">
        <v>7661.843612</v>
      </c>
      <c r="H171" s="27" t="n">
        <v>9676.603718</v>
      </c>
    </row>
    <row r="172">
      <c r="C172" s="1" t="n">
        <v>1</v>
      </c>
      <c r="D172" s="27" t="n">
        <v>2415.325628</v>
      </c>
      <c r="E172" s="27" t="n">
        <v>3880.057807</v>
      </c>
      <c r="F172" s="27" t="n">
        <v>5945.249315</v>
      </c>
      <c r="G172" s="27" t="n">
        <v>8066.463462</v>
      </c>
      <c r="H172" s="27" t="n">
        <v>10187.67761</v>
      </c>
    </row>
    <row r="173">
      <c r="C173" s="1" t="n">
        <v>1.05</v>
      </c>
      <c r="D173" s="27" t="n">
        <v>2536.402728</v>
      </c>
      <c r="E173" s="27" t="n">
        <v>4074.640179</v>
      </c>
      <c r="F173" s="27" t="n">
        <v>6243.50898</v>
      </c>
      <c r="G173" s="27" t="n">
        <v>8471.217717</v>
      </c>
      <c r="H173" s="27" t="n">
        <v>10698.926453</v>
      </c>
    </row>
    <row r="174">
      <c r="C174" s="1" t="n">
        <v>1.1</v>
      </c>
      <c r="D174" s="27" t="n">
        <v>2657.509402</v>
      </c>
      <c r="E174" s="27" t="n">
        <v>4269.277298</v>
      </c>
      <c r="F174" s="27" t="n">
        <v>6541.862336</v>
      </c>
      <c r="G174" s="27" t="n">
        <v>8876.106094000001</v>
      </c>
      <c r="H174" s="27" t="n">
        <v>11210.349852</v>
      </c>
    </row>
    <row r="176">
      <c r="A176" s="1" t="inlineStr">
        <is>
          <t>12-month value vs volume and unit cost intensity (engine values)</t>
        </is>
      </c>
    </row>
    <row r="177">
      <c r="A177" s="5" t="inlineStr">
        <is>
          <t>rows: Volume (x plan) · columns: Cost intensity / strip ratio (x)</t>
        </is>
      </c>
      <c r="D177" s="1" t="n">
        <v>0.85</v>
      </c>
      <c r="E177" s="1" t="n">
        <v>0.925</v>
      </c>
      <c r="F177" s="1" t="n">
        <v>1</v>
      </c>
      <c r="G177" s="1" t="n">
        <v>1.075</v>
      </c>
      <c r="H177" s="1" t="n">
        <v>1.15</v>
      </c>
    </row>
    <row r="178">
      <c r="C178" s="1" t="n">
        <v>0.9</v>
      </c>
      <c r="D178" s="27" t="n">
        <v>7510.994389</v>
      </c>
      <c r="E178" s="27" t="n">
        <v>6898.46784</v>
      </c>
      <c r="F178" s="27" t="n">
        <v>6285.94129</v>
      </c>
      <c r="G178" s="27" t="n">
        <v>5673.414741</v>
      </c>
      <c r="H178" s="27" t="n">
        <v>5060.888192</v>
      </c>
    </row>
    <row r="179">
      <c r="C179" s="1" t="n">
        <v>0.95</v>
      </c>
      <c r="D179" s="27" t="n">
        <v>7802.999855</v>
      </c>
      <c r="E179" s="27" t="n">
        <v>7156.444053</v>
      </c>
      <c r="F179" s="27" t="n">
        <v>6509.888251</v>
      </c>
      <c r="G179" s="27" t="n">
        <v>5863.332449</v>
      </c>
      <c r="H179" s="27" t="n">
        <v>5216.776647</v>
      </c>
    </row>
    <row r="180">
      <c r="C180" s="1" t="n">
        <v>1</v>
      </c>
      <c r="D180" s="27" t="n">
        <v>8095.005321</v>
      </c>
      <c r="E180" s="27" t="n">
        <v>7414.420266</v>
      </c>
      <c r="F180" s="27" t="n">
        <v>6733.835212</v>
      </c>
      <c r="G180" s="27" t="n">
        <v>6053.250157</v>
      </c>
      <c r="H180" s="27" t="n">
        <v>5372.665102</v>
      </c>
    </row>
    <row r="181">
      <c r="C181" s="1" t="n">
        <v>1.05</v>
      </c>
      <c r="D181" s="27" t="n">
        <v>8387.010786999999</v>
      </c>
      <c r="E181" s="27" t="n">
        <v>7672.39648</v>
      </c>
      <c r="F181" s="27" t="n">
        <v>6957.782172</v>
      </c>
      <c r="G181" s="27" t="n">
        <v>6243.167865</v>
      </c>
      <c r="H181" s="27" t="n">
        <v>5528.553557</v>
      </c>
    </row>
    <row r="182">
      <c r="C182" s="1" t="n">
        <v>1.1</v>
      </c>
      <c r="D182" s="27" t="n">
        <v>8679.016253</v>
      </c>
      <c r="E182" s="27" t="n">
        <v>7930.372693</v>
      </c>
      <c r="F182" s="27" t="n">
        <v>7181.729133</v>
      </c>
      <c r="G182" s="27" t="n">
        <v>6433.085572</v>
      </c>
      <c r="H182" s="27" t="n">
        <v>5684.442012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 Garda Tujuh Buana Tbk (GTBO.JK) — Coal producers</t>
        </is>
      </c>
    </row>
    <row r="2">
      <c r="A2" s="5" t="inlineStr">
        <is>
          <t>Units: USD m; per-share in USD unless marked IDR. Model asof 2026-10-30 · data 2026-10-26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  <c r="R4" s="1" t="inlineStr">
        <is>
          <t>FY2036E</t>
        </is>
      </c>
      <c r="S4" s="1" t="inlineStr">
        <is>
          <t>FY2037E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12</v>
      </c>
    </row>
    <row r="8">
      <c r="A8" t="inlineStr">
        <is>
          <t>ps_factor</t>
        </is>
      </c>
      <c r="C8" s="6" t="n">
        <v>1</v>
      </c>
    </row>
    <row r="9">
      <c r="A9" t="inlineStr">
        <is>
          <t>reserves</t>
        </is>
      </c>
      <c r="C9" s="6" t="n">
        <v>0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0.45</v>
      </c>
      <c r="I14" s="13" t="n">
        <v>0.82</v>
      </c>
      <c r="J14" s="13" t="n">
        <v>0.82</v>
      </c>
      <c r="K14" s="13" t="n">
        <v>0.82</v>
      </c>
      <c r="L14" s="13" t="n">
        <v>0.82</v>
      </c>
      <c r="M14" s="13" t="n">
        <v>0.82</v>
      </c>
      <c r="N14" s="13" t="n">
        <v>0.82</v>
      </c>
      <c r="O14" s="13" t="n">
        <v>0.82</v>
      </c>
      <c r="P14" s="13" t="n">
        <v>0.82</v>
      </c>
      <c r="Q14" s="13" t="n">
        <v>0.82</v>
      </c>
      <c r="R14" s="13" t="n">
        <v>0.82</v>
      </c>
      <c r="S14" s="13" t="n">
        <v>0.82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0.3</v>
      </c>
      <c r="I15" s="14" t="n">
        <v>0.3</v>
      </c>
      <c r="J15" s="14" t="n">
        <v>0.3</v>
      </c>
      <c r="K15" s="14" t="n">
        <v>0.3</v>
      </c>
      <c r="L15" s="14" t="n">
        <v>0.3</v>
      </c>
      <c r="M15" s="14" t="n">
        <v>0.3</v>
      </c>
      <c r="N15" s="14" t="n">
        <v>0.3</v>
      </c>
      <c r="O15" s="14" t="n">
        <v>0.3</v>
      </c>
      <c r="P15" s="14" t="n">
        <v>0.3</v>
      </c>
      <c r="Q15" s="14" t="n">
        <v>0.3</v>
      </c>
      <c r="R15" s="14" t="n">
        <v>0.3</v>
      </c>
      <c r="S15" s="14" t="n">
        <v>0.3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1</v>
      </c>
      <c r="I17" s="14" t="n">
        <v>1</v>
      </c>
      <c r="J17" s="14" t="n">
        <v>1</v>
      </c>
      <c r="K17" s="14" t="n">
        <v>1</v>
      </c>
      <c r="L17" s="14" t="n">
        <v>1</v>
      </c>
      <c r="M17" s="14" t="n">
        <v>1</v>
      </c>
      <c r="N17" s="14" t="n">
        <v>1</v>
      </c>
      <c r="O17" s="14" t="n">
        <v>1</v>
      </c>
      <c r="P17" s="14" t="n">
        <v>1</v>
      </c>
      <c r="Q17" s="14" t="n">
        <v>1</v>
      </c>
      <c r="R17" s="14" t="n">
        <v>1</v>
      </c>
      <c r="S17" s="14" t="n">
        <v>1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13</v>
      </c>
      <c r="I18" s="3" t="n">
        <v>13</v>
      </c>
      <c r="J18" s="3" t="n">
        <v>13</v>
      </c>
      <c r="K18" s="3" t="n">
        <v>13</v>
      </c>
      <c r="L18" s="3" t="n">
        <v>13</v>
      </c>
      <c r="M18" s="3" t="n">
        <v>13.26</v>
      </c>
      <c r="N18" s="3" t="n">
        <v>13.5252</v>
      </c>
      <c r="O18" s="3" t="n">
        <v>13.795704</v>
      </c>
      <c r="P18" s="3" t="n">
        <v>14.07161808</v>
      </c>
      <c r="Q18" s="3" t="n">
        <v>14.3530504416</v>
      </c>
      <c r="R18" s="3" t="n">
        <v>14.640111450432</v>
      </c>
      <c r="S18" s="3" t="n">
        <v>14.93291367944064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6</v>
      </c>
      <c r="I20" s="3" t="n">
        <v>6</v>
      </c>
      <c r="J20" s="3" t="n">
        <v>6</v>
      </c>
      <c r="K20" s="3" t="n">
        <v>6</v>
      </c>
      <c r="L20" s="3" t="n">
        <v>6</v>
      </c>
      <c r="M20" s="3" t="n">
        <v>6.12</v>
      </c>
      <c r="N20" s="3" t="n">
        <v>6.2424</v>
      </c>
      <c r="O20" s="3" t="n">
        <v>6.367248000000001</v>
      </c>
      <c r="P20" s="3" t="n">
        <v>6.49459296</v>
      </c>
      <c r="Q20" s="3" t="n">
        <v>6.6244848192</v>
      </c>
      <c r="R20" s="3" t="n">
        <v>6.756974515584</v>
      </c>
      <c r="S20" s="3" t="n">
        <v>6.89211400589568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0.05</v>
      </c>
      <c r="I21" s="4" t="n">
        <v>0.05</v>
      </c>
      <c r="J21" s="4" t="n">
        <v>0.05</v>
      </c>
      <c r="K21" s="4" t="n">
        <v>0.05</v>
      </c>
      <c r="L21" s="4" t="n">
        <v>0.05</v>
      </c>
      <c r="M21" s="4" t="n">
        <v>0.05</v>
      </c>
      <c r="N21" s="4" t="n">
        <v>0.05</v>
      </c>
      <c r="O21" s="4" t="n">
        <v>0.05</v>
      </c>
      <c r="P21" s="4" t="n">
        <v>0.05</v>
      </c>
      <c r="Q21" s="4" t="n">
        <v>0.05</v>
      </c>
      <c r="R21" s="4" t="n">
        <v>0.05</v>
      </c>
      <c r="S21" s="4" t="n">
        <v>0.05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0.1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0.4</v>
      </c>
      <c r="I24" s="3" t="n">
        <v>0.4</v>
      </c>
      <c r="J24" s="3" t="n">
        <v>0.4</v>
      </c>
      <c r="K24" s="3" t="n">
        <v>0.4</v>
      </c>
      <c r="L24" s="3" t="n">
        <v>0.4</v>
      </c>
      <c r="M24" s="3" t="n">
        <v>0.408</v>
      </c>
      <c r="N24" s="3" t="n">
        <v>0.41616</v>
      </c>
      <c r="O24" s="3" t="n">
        <v>0.4244832000000001</v>
      </c>
      <c r="P24" s="3" t="n">
        <v>0.432972864</v>
      </c>
      <c r="Q24" s="3" t="n">
        <v>0.44163232128</v>
      </c>
      <c r="R24" s="3" t="n">
        <v>0.4504649677056001</v>
      </c>
      <c r="S24" s="3" t="n">
        <v>0.4594742670597121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0.25</v>
      </c>
      <c r="I25" s="3" t="n">
        <v>0.25</v>
      </c>
      <c r="J25" s="3" t="n">
        <v>0.25</v>
      </c>
      <c r="K25" s="3" t="n">
        <v>0.25</v>
      </c>
      <c r="L25" s="3" t="n">
        <v>0.25</v>
      </c>
      <c r="M25" s="3" t="n">
        <v>0.255</v>
      </c>
      <c r="N25" s="3" t="n">
        <v>0.2601</v>
      </c>
      <c r="O25" s="3" t="n">
        <v>0.265302</v>
      </c>
      <c r="P25" s="3" t="n">
        <v>0.27060804</v>
      </c>
      <c r="Q25" s="3" t="n">
        <v>0.2760202008</v>
      </c>
      <c r="R25" s="3" t="n">
        <v>0.281540604816</v>
      </c>
      <c r="S25" s="3" t="n">
        <v>0.28717141691232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0.1</v>
      </c>
      <c r="I27" s="4" t="n">
        <v>0.1</v>
      </c>
      <c r="J27" s="4" t="n">
        <v>0.1</v>
      </c>
      <c r="K27" s="4" t="n">
        <v>0.1</v>
      </c>
      <c r="L27" s="4" t="n">
        <v>0.1</v>
      </c>
      <c r="M27" s="4" t="n">
        <v>0.1</v>
      </c>
      <c r="N27" s="4" t="n">
        <v>0.1</v>
      </c>
      <c r="O27" s="4" t="n">
        <v>0.1</v>
      </c>
      <c r="P27" s="4" t="n">
        <v>0.1</v>
      </c>
      <c r="Q27" s="4" t="n">
        <v>0.1</v>
      </c>
      <c r="R27" s="4" t="n">
        <v>0.1</v>
      </c>
      <c r="S27" s="4" t="n">
        <v>0.1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0.22</v>
      </c>
      <c r="I28" s="4" t="n">
        <v>0.22</v>
      </c>
      <c r="J28" s="4" t="n">
        <v>0.22</v>
      </c>
      <c r="K28" s="4" t="n">
        <v>0.22</v>
      </c>
      <c r="L28" s="4" t="n">
        <v>0.22</v>
      </c>
      <c r="M28" s="4" t="n">
        <v>0.22</v>
      </c>
      <c r="N28" s="4" t="n">
        <v>0.22</v>
      </c>
      <c r="O28" s="4" t="n">
        <v>0.22</v>
      </c>
      <c r="P28" s="4" t="n">
        <v>0.22</v>
      </c>
      <c r="Q28" s="4" t="n">
        <v>0.22</v>
      </c>
      <c r="R28" s="4" t="n">
        <v>0.22</v>
      </c>
      <c r="S28" s="4" t="n">
        <v>0.22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0.092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-4.56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0.02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0.33</v>
      </c>
      <c r="I37" s="4" t="n">
        <v>0.33</v>
      </c>
      <c r="J37" s="4" t="n">
        <v>0.33</v>
      </c>
      <c r="K37" s="4" t="n">
        <v>0.33</v>
      </c>
      <c r="L37" s="4" t="n">
        <v>0.33</v>
      </c>
      <c r="M37" s="4" t="n">
        <v>0.33</v>
      </c>
      <c r="N37" s="4" t="n">
        <v>0.33</v>
      </c>
      <c r="O37" s="4" t="n">
        <v>0.33</v>
      </c>
      <c r="P37" s="4" t="n">
        <v>0.33</v>
      </c>
      <c r="Q37" s="4" t="n">
        <v>0.33</v>
      </c>
      <c r="R37" s="4" t="n">
        <v>0.33</v>
      </c>
      <c r="S37" s="4" t="n">
        <v>0.33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/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  <c r="P40" s="15">
        <f>MAX((O40-P41),0)</f>
        <v/>
      </c>
      <c r="Q40" s="15">
        <f>MAX((P40-Q41),0)</f>
        <v/>
      </c>
      <c r="R40" s="15">
        <f>MAX((Q40-R41),0)</f>
        <v/>
      </c>
      <c r="S40" s="15">
        <f>MAX((R40-S41),0)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/>
      <c r="F41" s="13" t="n"/>
      <c r="G41" s="13" t="n"/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  <c r="P41" s="15">
        <f>IF(($C$9&gt;0),MIN(P14,MAX(O40,0)),P14)</f>
        <v/>
      </c>
      <c r="Q41" s="15">
        <f>IF(($C$9&gt;0),MIN(Q14,MAX(P40,0)),Q14)</f>
        <v/>
      </c>
      <c r="R41" s="15">
        <f>IF(($C$9&gt;0),MIN(R14,MAX(Q40,0)),R14)</f>
        <v/>
      </c>
      <c r="S41" s="15">
        <f>IF(($C$9&gt;0),MIN(S14,MAX(R40,0)),S14)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  <c r="K42" s="16">
        <f>Drivers!$O$6</f>
        <v/>
      </c>
      <c r="L42" s="16">
        <f>Drivers!$P$6</f>
        <v/>
      </c>
      <c r="M42" s="16">
        <f>Drivers!$Q$6</f>
        <v/>
      </c>
      <c r="N42" s="16">
        <f>Drivers!$R$6</f>
        <v/>
      </c>
      <c r="O42" s="16">
        <f>Drivers!$S$6</f>
        <v/>
      </c>
      <c r="P42" s="16">
        <f>Drivers!$T$6</f>
        <v/>
      </c>
      <c r="Q42" s="16">
        <f>Drivers!$U$6</f>
        <v/>
      </c>
      <c r="R42" s="16">
        <f>Drivers!$V$6</f>
        <v/>
      </c>
      <c r="S42" s="16">
        <f>Drivers!$W$6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/>
      <c r="G43" s="3" t="n"/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  <c r="K43" s="16">
        <f>(((K15*K42)*(1-K16))+(MIN(Drivers!$O$4,(K15*K42))*K16))</f>
        <v/>
      </c>
      <c r="L43" s="16">
        <f>(((L15*L42)*(1-L16))+(MIN(Drivers!$P$4,(L15*L42))*L16))</f>
        <v/>
      </c>
      <c r="M43" s="16">
        <f>(((M15*M42)*(1-M16))+(MIN(Drivers!$Q$4,(M15*M42))*M16))</f>
        <v/>
      </c>
      <c r="N43" s="16">
        <f>(((N15*N42)*(1-N16))+(MIN(Drivers!$R$4,(N15*N42))*N16))</f>
        <v/>
      </c>
      <c r="O43" s="16">
        <f>(((O15*O42)*(1-O16))+(MIN(Drivers!$S$4,(O15*O42))*O16))</f>
        <v/>
      </c>
      <c r="P43" s="16">
        <f>(((P15*P42)*(1-P16))+(MIN(Drivers!$T$4,(P15*P42))*P16))</f>
        <v/>
      </c>
      <c r="Q43" s="16">
        <f>(((Q15*Q42)*(1-Q16))+(MIN(Drivers!$U$4,(Q15*Q42))*Q16))</f>
        <v/>
      </c>
      <c r="R43" s="16">
        <f>(((R15*R42)*(1-R16))+(MIN(Drivers!$V$4,(R15*R42))*R16))</f>
        <v/>
      </c>
      <c r="S43" s="16">
        <f>(((S15*S42)*(1-S16))+(MIN(Drivers!$W$4,(S15*S42))*S16))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  <c r="L44" s="17">
        <f>IF(L42=0,0,L43/L42)</f>
        <v/>
      </c>
      <c r="M44" s="17">
        <f>IF(M42=0,0,M43/M42)</f>
        <v/>
      </c>
      <c r="N44" s="17">
        <f>IF(N42=0,0,N43/N42)</f>
        <v/>
      </c>
      <c r="O44" s="17">
        <f>IF(O42=0,0,O43/O42)</f>
        <v/>
      </c>
      <c r="P44" s="17">
        <f>IF(P42=0,0,P43/P42)</f>
        <v/>
      </c>
      <c r="Q44" s="17">
        <f>IF(Q42=0,0,Q43/Q42)</f>
        <v/>
      </c>
      <c r="R44" s="17">
        <f>IF(R42=0,0,R43/R42)</f>
        <v/>
      </c>
      <c r="S44" s="17">
        <f>IF(S42=0,0,S43/S42)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6">
        <f>(((H17*H18)*(1+($C$19*(IF(Drivers!$J$8=0,0,Drivers!$L$8/Drivers!$J$8)-1))))+H20)</f>
        <v/>
      </c>
      <c r="I45" s="16">
        <f>(((I17*I18)*(1+($C$19*(IF(Drivers!$J$8=0,0,Drivers!$M$8/Drivers!$J$8)-1))))+I20)</f>
        <v/>
      </c>
      <c r="J45" s="16">
        <f>(((J17*J18)*(1+($C$19*(IF(Drivers!$J$8=0,0,Drivers!$N$8/Drivers!$J$8)-1))))+J20)</f>
        <v/>
      </c>
      <c r="K45" s="16">
        <f>(((K17*K18)*(1+($C$19*(IF(Drivers!$J$8=0,0,Drivers!$O$8/Drivers!$J$8)-1))))+K20)</f>
        <v/>
      </c>
      <c r="L45" s="16">
        <f>(((L17*L18)*(1+($C$19*(IF(Drivers!$J$8=0,0,Drivers!$P$8/Drivers!$J$8)-1))))+L20)</f>
        <v/>
      </c>
      <c r="M45" s="16">
        <f>(((M17*M18)*(1+($C$19*(IF(Drivers!$J$8=0,0,Drivers!$Q$8/Drivers!$J$8)-1))))+M20)</f>
        <v/>
      </c>
      <c r="N45" s="16">
        <f>(((N17*N18)*(1+($C$19*(IF(Drivers!$J$8=0,0,Drivers!$R$8/Drivers!$J$8)-1))))+N20)</f>
        <v/>
      </c>
      <c r="O45" s="16">
        <f>(((O17*O18)*(1+($C$19*(IF(Drivers!$J$8=0,0,Drivers!$S$8/Drivers!$J$8)-1))))+O20)</f>
        <v/>
      </c>
      <c r="P45" s="16">
        <f>(((P17*P18)*(1+($C$19*(IF(Drivers!$J$8=0,0,Drivers!$T$8/Drivers!$J$8)-1))))+P20)</f>
        <v/>
      </c>
      <c r="Q45" s="16">
        <f>(((Q17*Q18)*(1+($C$19*(IF(Drivers!$J$8=0,0,Drivers!$U$8/Drivers!$J$8)-1))))+Q20)</f>
        <v/>
      </c>
      <c r="R45" s="16">
        <f>(((R17*R18)*(1+($C$19*(IF(Drivers!$J$8=0,0,Drivers!$V$8/Drivers!$J$8)-1))))+R20)</f>
        <v/>
      </c>
      <c r="S45" s="16">
        <f>(((S17*S18)*(1+($C$19*(IF(Drivers!$J$8=0,0,Drivers!$W$8/Drivers!$J$8)-1))))+S20)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/>
      <c r="H46" s="18">
        <f>H17</f>
        <v/>
      </c>
      <c r="I46" s="18">
        <f>I17</f>
        <v/>
      </c>
      <c r="J46" s="18">
        <f>J17</f>
        <v/>
      </c>
      <c r="K46" s="18">
        <f>K17</f>
        <v/>
      </c>
      <c r="L46" s="18">
        <f>L17</f>
        <v/>
      </c>
      <c r="M46" s="18">
        <f>M17</f>
        <v/>
      </c>
      <c r="N46" s="18">
        <f>N17</f>
        <v/>
      </c>
      <c r="O46" s="18">
        <f>O17</f>
        <v/>
      </c>
      <c r="P46" s="18">
        <f>P17</f>
        <v/>
      </c>
      <c r="Q46" s="18">
        <f>Q17</f>
        <v/>
      </c>
      <c r="R46" s="18">
        <f>R17</f>
        <v/>
      </c>
      <c r="S46" s="18">
        <f>S17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7">
        <f>H21</f>
        <v/>
      </c>
      <c r="I47" s="17">
        <f>I21</f>
        <v/>
      </c>
      <c r="J47" s="17">
        <f>J21</f>
        <v/>
      </c>
      <c r="K47" s="17">
        <f>K21</f>
        <v/>
      </c>
      <c r="L47" s="17">
        <f>L21</f>
        <v/>
      </c>
      <c r="M47" s="17">
        <f>M21</f>
        <v/>
      </c>
      <c r="N47" s="17">
        <f>N21</f>
        <v/>
      </c>
      <c r="O47" s="17">
        <f>O21</f>
        <v/>
      </c>
      <c r="P47" s="17">
        <f>P21</f>
        <v/>
      </c>
      <c r="Q47" s="17">
        <f>Q21</f>
        <v/>
      </c>
      <c r="R47" s="17">
        <f>R21</f>
        <v/>
      </c>
      <c r="S47" s="17">
        <f>S21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/>
      <c r="F48" s="3" t="n"/>
      <c r="G48" s="3" t="n"/>
      <c r="H48" s="19">
        <f>IF((H41*$C$10)=0,0,H61/(H41*$C$10))</f>
        <v/>
      </c>
      <c r="I48" s="19">
        <f>IF((I41*$C$10)=0,0,I61/(I41*$C$10))</f>
        <v/>
      </c>
      <c r="J48" s="19">
        <f>IF((J41*$C$10)=0,0,J61/(J41*$C$10))</f>
        <v/>
      </c>
      <c r="K48" s="19">
        <f>IF((K41*$C$10)=0,0,K61/(K41*$C$10))</f>
        <v/>
      </c>
      <c r="L48" s="19">
        <f>IF((L41*$C$10)=0,0,L61/(L41*$C$10))</f>
        <v/>
      </c>
      <c r="M48" s="19">
        <f>IF((M41*$C$10)=0,0,M61/(M41*$C$10))</f>
        <v/>
      </c>
      <c r="N48" s="19">
        <f>IF((N41*$C$10)=0,0,N61/(N41*$C$10))</f>
        <v/>
      </c>
      <c r="O48" s="19">
        <f>IF((O41*$C$10)=0,0,O61/(O41*$C$10))</f>
        <v/>
      </c>
      <c r="P48" s="19">
        <f>IF((P41*$C$10)=0,0,P61/(P41*$C$10))</f>
        <v/>
      </c>
      <c r="Q48" s="19">
        <f>IF((Q41*$C$10)=0,0,Q61/(Q41*$C$10))</f>
        <v/>
      </c>
      <c r="R48" s="19">
        <f>IF((R41*$C$10)=0,0,R61/(R41*$C$10))</f>
        <v/>
      </c>
      <c r="S48" s="19">
        <f>IF((S41*$C$10)=0,0,S61/(S41*$C$10))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9">
        <f>IF((H41*$C$10)=0,0,(H53+H52)/(H41*$C$10))</f>
        <v/>
      </c>
      <c r="I49" s="19">
        <f>IF((I41*$C$10)=0,0,(I53+I52)/(I41*$C$10))</f>
        <v/>
      </c>
      <c r="J49" s="19">
        <f>IF((J41*$C$10)=0,0,(J53+J52)/(J41*$C$10))</f>
        <v/>
      </c>
      <c r="K49" s="19">
        <f>IF((K41*$C$10)=0,0,(K53+K52)/(K41*$C$10))</f>
        <v/>
      </c>
      <c r="L49" s="19">
        <f>IF((L41*$C$10)=0,0,(L53+L52)/(L41*$C$10))</f>
        <v/>
      </c>
      <c r="M49" s="19">
        <f>IF((M41*$C$10)=0,0,(M53+M52)/(M41*$C$10))</f>
        <v/>
      </c>
      <c r="N49" s="19">
        <f>IF((N41*$C$10)=0,0,(N53+N52)/(N41*$C$10))</f>
        <v/>
      </c>
      <c r="O49" s="19">
        <f>IF((O41*$C$10)=0,0,(O53+O52)/(O41*$C$10))</f>
        <v/>
      </c>
      <c r="P49" s="19">
        <f>IF((P41*$C$10)=0,0,(P53+P52)/(P41*$C$10))</f>
        <v/>
      </c>
      <c r="Q49" s="19">
        <f>IF((Q41*$C$10)=0,0,(Q53+Q52)/(Q41*$C$10))</f>
        <v/>
      </c>
      <c r="R49" s="19">
        <f>IF((R41*$C$10)=0,0,(R53+R52)/(R41*$C$10))</f>
        <v/>
      </c>
      <c r="S49" s="19">
        <f>IF((S41*$C$10)=0,0,(S53+S52)/(S41*$C$10))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15">
        <f>((H41*H43)*$C$10)</f>
        <v/>
      </c>
      <c r="I50" s="15">
        <f>((I41*I43)*$C$10)</f>
        <v/>
      </c>
      <c r="J50" s="15">
        <f>((J41*J43)*$C$10)</f>
        <v/>
      </c>
      <c r="K50" s="15">
        <f>((K41*K43)*$C$10)</f>
        <v/>
      </c>
      <c r="L50" s="15">
        <f>((L41*L43)*$C$10)</f>
        <v/>
      </c>
      <c r="M50" s="15">
        <f>((M41*M43)*$C$10)</f>
        <v/>
      </c>
      <c r="N50" s="15">
        <f>((N41*N43)*$C$10)</f>
        <v/>
      </c>
      <c r="O50" s="15">
        <f>((O41*O43)*$C$10)</f>
        <v/>
      </c>
      <c r="P50" s="15">
        <f>((P41*P43)*$C$10)</f>
        <v/>
      </c>
      <c r="Q50" s="15">
        <f>((Q41*Q43)*$C$10)</f>
        <v/>
      </c>
      <c r="R50" s="15">
        <f>((R41*R43)*$C$10)</f>
        <v/>
      </c>
      <c r="S50" s="15">
        <f>((S41*S43)*$C$10)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  <c r="P51" s="15">
        <f>P22</f>
        <v/>
      </c>
      <c r="Q51" s="15">
        <f>Q22</f>
        <v/>
      </c>
      <c r="R51" s="15">
        <f>R22</f>
        <v/>
      </c>
      <c r="S51" s="15">
        <f>S22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  <c r="P52" s="15">
        <f>(P50*P47)</f>
        <v/>
      </c>
      <c r="Q52" s="15">
        <f>(Q50*Q47)</f>
        <v/>
      </c>
      <c r="R52" s="15">
        <f>(R50*R47)</f>
        <v/>
      </c>
      <c r="S52" s="15">
        <f>(S50*S47)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((H41*H45)*$C$10)</f>
        <v/>
      </c>
      <c r="I53" s="15">
        <f>((I41*I45)*$C$10)</f>
        <v/>
      </c>
      <c r="J53" s="15">
        <f>((J41*J45)*$C$10)</f>
        <v/>
      </c>
      <c r="K53" s="15">
        <f>((K41*K45)*$C$10)</f>
        <v/>
      </c>
      <c r="L53" s="15">
        <f>((L41*L45)*$C$10)</f>
        <v/>
      </c>
      <c r="M53" s="15">
        <f>((M41*M45)*$C$10)</f>
        <v/>
      </c>
      <c r="N53" s="15">
        <f>((N41*N45)*$C$10)</f>
        <v/>
      </c>
      <c r="O53" s="15">
        <f>((O41*O45)*$C$10)</f>
        <v/>
      </c>
      <c r="P53" s="15">
        <f>((P41*P45)*$C$10)</f>
        <v/>
      </c>
      <c r="Q53" s="15">
        <f>((Q41*Q45)*$C$10)</f>
        <v/>
      </c>
      <c r="R53" s="15">
        <f>((R41*R45)*$C$10)</f>
        <v/>
      </c>
      <c r="S53" s="15">
        <f>((S41*S45)*$C$10)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  <c r="P54" s="15">
        <f>(P51*(1-$C$23))</f>
        <v/>
      </c>
      <c r="Q54" s="15">
        <f>(Q51*(1-$C$23))</f>
        <v/>
      </c>
      <c r="R54" s="15">
        <f>(R51*(1-$C$23))</f>
        <v/>
      </c>
      <c r="S54" s="15">
        <f>(S51*(1-$C$23))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49.267169</v>
      </c>
      <c r="E55" s="13" t="n">
        <v>58.797005</v>
      </c>
      <c r="F55" s="13" t="n">
        <v>27.251542</v>
      </c>
      <c r="G55" s="13" t="n">
        <v>10.011092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  <c r="P55" s="15">
        <f>(P50+P51)</f>
        <v/>
      </c>
      <c r="Q55" s="15">
        <f>(Q50+Q51)</f>
        <v/>
      </c>
      <c r="R55" s="15">
        <f>(R50+R51)</f>
        <v/>
      </c>
      <c r="S55" s="15">
        <f>(S50+S51)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22.058313</v>
      </c>
      <c r="E56" s="13" t="n">
        <v>33.40405</v>
      </c>
      <c r="F56" s="13" t="n">
        <v>20.505601</v>
      </c>
      <c r="G56" s="13" t="n">
        <v>15.22053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  <c r="P56" s="15">
        <f>(((P53+P52)+P54)+P60)</f>
        <v/>
      </c>
      <c r="Q56" s="15">
        <f>(((Q53+Q52)+Q54)+Q60)</f>
        <v/>
      </c>
      <c r="R56" s="15">
        <f>(((R53+R52)+R54)+R60)</f>
        <v/>
      </c>
      <c r="S56" s="15">
        <f>(((S53+S52)+S54)+S60)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27.208856</v>
      </c>
      <c r="E57" s="13" t="n">
        <v>25.392955</v>
      </c>
      <c r="F57" s="13" t="n">
        <v>6.745941</v>
      </c>
      <c r="G57" s="13" t="n">
        <v>-5.209438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  <c r="P57" s="15">
        <f>(P55-P56)</f>
        <v/>
      </c>
      <c r="Q57" s="15">
        <f>(Q55-Q56)</f>
        <v/>
      </c>
      <c r="R57" s="15">
        <f>(R55-R56)</f>
        <v/>
      </c>
      <c r="S57" s="15">
        <f>(S55-S56)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16.396878</v>
      </c>
      <c r="E58" s="13" t="n">
        <v>19.373945</v>
      </c>
      <c r="F58" s="13" t="n">
        <v>9.806524</v>
      </c>
      <c r="G58" s="13" t="n">
        <v>1.508584000000001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  <c r="P58" s="15">
        <f>(P55*P37)</f>
        <v/>
      </c>
      <c r="Q58" s="15">
        <f>(Q55*Q37)</f>
        <v/>
      </c>
      <c r="R58" s="15">
        <f>(R55*R37)</f>
        <v/>
      </c>
      <c r="S58" s="15">
        <f>(S55*S37)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10.811978</v>
      </c>
      <c r="E59" s="13" t="n">
        <v>6.01901</v>
      </c>
      <c r="F59" s="13" t="n">
        <v>-3.060583</v>
      </c>
      <c r="G59" s="13" t="n">
        <v>-6.718022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  <c r="P59" s="15">
        <f>(P57-P58)</f>
        <v/>
      </c>
      <c r="Q59" s="15">
        <f>(Q57-Q58)</f>
        <v/>
      </c>
      <c r="R59" s="15">
        <f>(R57-R58)</f>
        <v/>
      </c>
      <c r="S59" s="15">
        <f>(S57-S58)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/>
      <c r="E60" s="13" t="n"/>
      <c r="F60" s="13" t="n"/>
      <c r="G60" s="13" t="n"/>
      <c r="H60" s="15">
        <f>((H41*H24)*$C$10)</f>
        <v/>
      </c>
      <c r="I60" s="15">
        <f>((I41*I24)*$C$10)</f>
        <v/>
      </c>
      <c r="J60" s="15">
        <f>((J41*J24)*$C$10)</f>
        <v/>
      </c>
      <c r="K60" s="15">
        <f>((K41*K24)*$C$10)</f>
        <v/>
      </c>
      <c r="L60" s="15">
        <f>((L41*L24)*$C$10)</f>
        <v/>
      </c>
      <c r="M60" s="15">
        <f>((M41*M24)*$C$10)</f>
        <v/>
      </c>
      <c r="N60" s="15">
        <f>((N41*N24)*$C$10)</f>
        <v/>
      </c>
      <c r="O60" s="15">
        <f>((O41*O24)*$C$10)</f>
        <v/>
      </c>
      <c r="P60" s="15">
        <f>((P41*P24)*$C$10)</f>
        <v/>
      </c>
      <c r="Q60" s="15">
        <f>((Q41*Q24)*$C$10)</f>
        <v/>
      </c>
      <c r="R60" s="15">
        <f>((R41*R24)*$C$10)</f>
        <v/>
      </c>
      <c r="S60" s="15">
        <f>((S41*S24)*$C$10)</f>
        <v/>
      </c>
    </row>
    <row r="61">
      <c r="A61" t="inlineStr">
        <is>
          <t>EBITDA</t>
        </is>
      </c>
      <c r="B61" t="inlineStr">
        <is>
          <t>ebitda</t>
        </is>
      </c>
      <c r="D61" s="13" t="n"/>
      <c r="E61" s="13" t="n"/>
      <c r="F61" s="13" t="n"/>
      <c r="G61" s="13" t="n"/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  <c r="P61" s="15">
        <f>(P59+P60)</f>
        <v/>
      </c>
      <c r="Q61" s="15">
        <f>(Q59+Q60)</f>
        <v/>
      </c>
      <c r="R61" s="15">
        <f>(R59+R60)</f>
        <v/>
      </c>
      <c r="S61" s="15">
        <f>(S59+S60)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1.319642</v>
      </c>
      <c r="E62" s="13" t="n">
        <v>0.227114</v>
      </c>
      <c r="F62" s="13" t="n">
        <v>0</v>
      </c>
      <c r="G62" s="13" t="n"/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  <c r="P62" s="15">
        <f>(O82*$C$29)</f>
        <v/>
      </c>
      <c r="Q62" s="15">
        <f>(P82*$C$29)</f>
        <v/>
      </c>
      <c r="R62" s="15">
        <f>(Q82*$C$29)</f>
        <v/>
      </c>
      <c r="S62" s="15">
        <f>(R82*$C$29)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/>
      <c r="E63" s="13" t="n"/>
      <c r="F63" s="13" t="n"/>
      <c r="G63" s="13" t="n"/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  <c r="P63" s="15">
        <f>(O81*$C$30)</f>
        <v/>
      </c>
      <c r="Q63" s="15">
        <f>(P81*$C$30)</f>
        <v/>
      </c>
      <c r="R63" s="15">
        <f>(Q81*$C$30)</f>
        <v/>
      </c>
      <c r="S63" s="15">
        <f>(R81*$C$30)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/>
      <c r="E64" s="13" t="n"/>
      <c r="F64" s="13" t="n"/>
      <c r="G64" s="13" t="n"/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  <c r="P64" s="15">
        <f>P32</f>
        <v/>
      </c>
      <c r="Q64" s="15">
        <f>Q32</f>
        <v/>
      </c>
      <c r="R64" s="15">
        <f>R32</f>
        <v/>
      </c>
      <c r="S64" s="15">
        <f>S32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7.647865</v>
      </c>
      <c r="E65" s="13" t="n">
        <v>5.485607</v>
      </c>
      <c r="F65" s="13" t="n">
        <v>-3.213678</v>
      </c>
      <c r="G65" s="13" t="n">
        <v>-7.840751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  <c r="P65" s="15">
        <f>(((P59-P62)+P63)+P64)</f>
        <v/>
      </c>
      <c r="Q65" s="15">
        <f>(((Q59-Q62)+Q63)+Q64)</f>
        <v/>
      </c>
      <c r="R65" s="15">
        <f>(((R59-R62)+R63)+R64)</f>
        <v/>
      </c>
      <c r="S65" s="15">
        <f>(((S59-S62)+S63)+S64)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0.148697</v>
      </c>
      <c r="E66" s="13" t="n">
        <v>1.333356</v>
      </c>
      <c r="F66" s="13" t="n">
        <v>0</v>
      </c>
      <c r="G66" s="13" t="n">
        <v>0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  <c r="P66" s="15">
        <f>(MAX(P65,0)*P28)</f>
        <v/>
      </c>
      <c r="Q66" s="15">
        <f>(MAX(Q65,0)*Q28)</f>
        <v/>
      </c>
      <c r="R66" s="15">
        <f>(MAX(R65,0)*R28)</f>
        <v/>
      </c>
      <c r="S66" s="15">
        <f>(MAX(S65,0)*S28)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7.499168</v>
      </c>
      <c r="E67" s="13" t="n">
        <v>4.152251</v>
      </c>
      <c r="F67" s="13" t="n">
        <v>-3.213678</v>
      </c>
      <c r="G67" s="13" t="n">
        <v>-7.840751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  <c r="P67" s="15">
        <f>(P65-P66)</f>
        <v/>
      </c>
      <c r="Q67" s="15">
        <f>(Q65-Q66)</f>
        <v/>
      </c>
      <c r="R67" s="15">
        <f>(R65-R66)</f>
        <v/>
      </c>
      <c r="S67" s="15">
        <f>(S65-S66)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0</v>
      </c>
      <c r="E68" s="13" t="n">
        <v>0</v>
      </c>
      <c r="F68" s="13" t="n">
        <v>0</v>
      </c>
      <c r="G68" s="13" t="n">
        <v>0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  <c r="P68" s="15">
        <f>(P67*P33)</f>
        <v/>
      </c>
      <c r="Q68" s="15">
        <f>(Q67*Q33)</f>
        <v/>
      </c>
      <c r="R68" s="15">
        <f>(R67*R33)</f>
        <v/>
      </c>
      <c r="S68" s="15">
        <f>(S67*S33)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7.499168</v>
      </c>
      <c r="E69" s="13" t="n">
        <v>4.152251</v>
      </c>
      <c r="F69" s="13" t="n">
        <v>-3.213678</v>
      </c>
      <c r="G69" s="13" t="n">
        <v>-7.840751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  <c r="P69" s="15">
        <f>(P67-P68)</f>
        <v/>
      </c>
      <c r="Q69" s="15">
        <f>(Q67-Q68)</f>
        <v/>
      </c>
      <c r="R69" s="15">
        <f>(R67-R68)</f>
        <v/>
      </c>
      <c r="S69" s="15">
        <f>(S67-S68)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2500</v>
      </c>
      <c r="E70" s="13" t="n">
        <v>2500</v>
      </c>
      <c r="F70" s="13" t="n">
        <v>2500</v>
      </c>
      <c r="G70" s="13" t="n">
        <v>2500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  <c r="P70" s="15">
        <f>(O70*(1+P35))</f>
        <v/>
      </c>
      <c r="Q70" s="15">
        <f>(P70*(1+Q35))</f>
        <v/>
      </c>
      <c r="R70" s="15">
        <f>(Q70*(1+R35))</f>
        <v/>
      </c>
      <c r="S70" s="15">
        <f>(R70*(1+S35))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0.0029996672</v>
      </c>
      <c r="E71" s="20" t="n">
        <v>0.0016609004</v>
      </c>
      <c r="F71" s="20" t="n">
        <v>-0.0012854712</v>
      </c>
      <c r="G71" s="20" t="n">
        <v>-0.0031363004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  <c r="M71" s="21">
        <f>(IF(M70=0,0,M69/M70)*$C$8)</f>
        <v/>
      </c>
      <c r="N71" s="21">
        <f>(IF(N70=0,0,N69/N70)*$C$8)</f>
        <v/>
      </c>
      <c r="O71" s="21">
        <f>(IF(O70=0,0,O69/O70)*$C$8)</f>
        <v/>
      </c>
      <c r="P71" s="21">
        <f>(IF(P70=0,0,P69/P70)*$C$8)</f>
        <v/>
      </c>
      <c r="Q71" s="21">
        <f>(IF(Q70=0,0,Q69/Q70)*$C$8)</f>
        <v/>
      </c>
      <c r="R71" s="21">
        <f>(IF(R70=0,0,R69/R70)*$C$8)</f>
        <v/>
      </c>
      <c r="S71" s="21">
        <f>(IF(S70=0,0,S69/S70)*$C$8)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0.0004065095440084836</v>
      </c>
      <c r="E72" s="20" t="n">
        <v>0</v>
      </c>
      <c r="F72" s="20" t="n">
        <v>0</v>
      </c>
      <c r="G72" s="20" t="n">
        <v>0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  <c r="M72" s="21">
        <f>(MAX(M71,0)*M34)</f>
        <v/>
      </c>
      <c r="N72" s="21">
        <f>(MAX(N71,0)*N34)</f>
        <v/>
      </c>
      <c r="O72" s="21">
        <f>(MAX(O71,0)*O34)</f>
        <v/>
      </c>
      <c r="P72" s="21">
        <f>(MAX(P71,0)*P34)</f>
        <v/>
      </c>
      <c r="Q72" s="21">
        <f>(MAX(Q71,0)*Q34)</f>
        <v/>
      </c>
      <c r="R72" s="21">
        <f>(MAX(R71,0)*R34)</f>
        <v/>
      </c>
      <c r="S72" s="21">
        <f>(MAX(S71,0)*S34)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>
        <v>3.185182</v>
      </c>
      <c r="E73" s="13" t="n">
        <v>1.019164</v>
      </c>
      <c r="F73" s="13" t="n">
        <v>0</v>
      </c>
      <c r="G73" s="13" t="n">
        <v>0</v>
      </c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  <c r="P73" s="15">
        <f>IF($C$8=0,0,(O72*O70)/$C$8)</f>
        <v/>
      </c>
      <c r="Q73" s="15">
        <f>IF($C$8=0,0,(P72*P70)/$C$8)</f>
        <v/>
      </c>
      <c r="R73" s="15">
        <f>IF($C$8=0,0,(Q72*Q70)/$C$8)</f>
        <v/>
      </c>
      <c r="S73" s="15">
        <f>IF($C$8=0,0,(R72*R70)/$C$8)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0.514699</v>
      </c>
      <c r="E74" s="13" t="n">
        <v>0.001167</v>
      </c>
      <c r="F74" s="13" t="n">
        <v>0.00457</v>
      </c>
      <c r="G74" s="13" t="n">
        <v>0.018481</v>
      </c>
      <c r="H74" s="15">
        <f>(((H41*H25)*$C$10)+H26)</f>
        <v/>
      </c>
      <c r="I74" s="15">
        <f>(((I41*I25)*$C$10)+I26)</f>
        <v/>
      </c>
      <c r="J74" s="15">
        <f>(((J41*J25)*$C$10)+J26)</f>
        <v/>
      </c>
      <c r="K74" s="15">
        <f>(((K41*K25)*$C$10)+K26)</f>
        <v/>
      </c>
      <c r="L74" s="15">
        <f>(((L41*L25)*$C$10)+L26)</f>
        <v/>
      </c>
      <c r="M74" s="15">
        <f>(((M41*M25)*$C$10)+M26)</f>
        <v/>
      </c>
      <c r="N74" s="15">
        <f>(((N41*N25)*$C$10)+N26)</f>
        <v/>
      </c>
      <c r="O74" s="15">
        <f>(((O41*O25)*$C$10)+O26)</f>
        <v/>
      </c>
      <c r="P74" s="15">
        <f>(((P41*P25)*$C$10)+P26)</f>
        <v/>
      </c>
      <c r="Q74" s="15">
        <f>(((Q41*Q25)*$C$10)+Q26)</f>
        <v/>
      </c>
      <c r="R74" s="15">
        <f>(((R41*R25)*$C$10)+R26)</f>
        <v/>
      </c>
      <c r="S74" s="15">
        <f>(((S41*S25)*$C$10)+S26)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-5.942722000000002</v>
      </c>
      <c r="F75" s="13" t="n">
        <v>2.808843000000001</v>
      </c>
      <c r="G75" s="13" t="n">
        <v>2.488152999999999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  <c r="P75" s="15">
        <f>(P80-O80)</f>
        <v/>
      </c>
      <c r="Q75" s="15">
        <f>(Q80-P80)</f>
        <v/>
      </c>
      <c r="R75" s="15">
        <f>(R80-Q80)</f>
        <v/>
      </c>
      <c r="S75" s="15">
        <f>(S80-R80)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/>
      <c r="F76" s="13" t="n"/>
      <c r="G76" s="13" t="n"/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  <c r="P76" s="15">
        <f>((((P59*(1-P28))+P60)-P74)-P75)</f>
        <v/>
      </c>
      <c r="Q76" s="15">
        <f>((((Q59*(1-Q28))+Q60)-Q74)-Q75)</f>
        <v/>
      </c>
      <c r="R76" s="15">
        <f>((((R59*(1-R28))+R60)-R74)-R75)</f>
        <v/>
      </c>
      <c r="S76" s="15">
        <f>((((S59*(1-S28))+S60)-S74)-S75)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0.01850099999999988</v>
      </c>
      <c r="F77" s="13" t="n">
        <v>-0.71515</v>
      </c>
      <c r="G77" s="13" t="n">
        <v>-0.05964699999999995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  <c r="P77" s="15">
        <f>P31</f>
        <v/>
      </c>
      <c r="Q77" s="15">
        <f>Q31</f>
        <v/>
      </c>
      <c r="R77" s="15">
        <f>R31</f>
        <v/>
      </c>
      <c r="S77" s="15">
        <f>S31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  <c r="P78" s="15">
        <f>(MAX(O68,0)*P34)</f>
        <v/>
      </c>
      <c r="Q78" s="15">
        <f>(MAX(P68,0)*Q34)</f>
        <v/>
      </c>
      <c r="R78" s="15">
        <f>(MAX(Q68,0)*R34)</f>
        <v/>
      </c>
      <c r="S78" s="15">
        <f>(MAX(R68,0)*S34)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  <c r="P79" s="15">
        <f>(((((P67+P60)-P74)-P75)+P77)-P78)</f>
        <v/>
      </c>
      <c r="Q79" s="15">
        <f>(((((Q67+Q60)-Q74)-Q75)+Q77)-Q78)</f>
        <v/>
      </c>
      <c r="R79" s="15">
        <f>(((((R67+R60)-R74)-R75)+R77)-R78)</f>
        <v/>
      </c>
      <c r="S79" s="15">
        <f>(((((S67+S60)-S74)-S75)+S77)-S78)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4.879371000000001</v>
      </c>
      <c r="E80" s="13" t="n">
        <v>-1.063351000000001</v>
      </c>
      <c r="F80" s="13" t="n">
        <v>1.745492</v>
      </c>
      <c r="G80" s="13" t="n">
        <v>4.233644999999999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  <c r="P80" s="15">
        <f>(P55*P27)</f>
        <v/>
      </c>
      <c r="Q80" s="15">
        <f>(Q55*Q27)</f>
        <v/>
      </c>
      <c r="R80" s="15">
        <f>(R55*R27)</f>
        <v/>
      </c>
      <c r="S80" s="15">
        <f>(S55*S27)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0.093428</v>
      </c>
      <c r="E81" s="13" t="n">
        <v>8.052683</v>
      </c>
      <c r="F81" s="13" t="n">
        <v>0.949872</v>
      </c>
      <c r="G81" s="13" t="n">
        <v>0.006932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  <c r="P81" s="15">
        <f>(((((((O81+P67)+P60)-P74)-P75)+P77)-P73)-P78)</f>
        <v/>
      </c>
      <c r="Q81" s="15">
        <f>(((((((P81+Q67)+Q60)-Q74)-Q75)+Q77)-Q73)-Q78)</f>
        <v/>
      </c>
      <c r="R81" s="15">
        <f>(((((((Q81+R67)+R60)-R74)-R75)+R77)-R73)-R78)</f>
        <v/>
      </c>
      <c r="S81" s="15">
        <f>(((((((R81+S67)+S60)-S74)-S75)+S77)-S73)-S78)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1.234442</v>
      </c>
      <c r="E82" s="13" t="n">
        <v>1.252943</v>
      </c>
      <c r="F82" s="13" t="n">
        <v>0.537793</v>
      </c>
      <c r="G82" s="13" t="n">
        <v>0.478146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  <c r="P82" s="15">
        <f>(O82+P77)</f>
        <v/>
      </c>
      <c r="Q82" s="15">
        <f>(P82+Q77)</f>
        <v/>
      </c>
      <c r="R82" s="15">
        <f>(Q82+R77)</f>
        <v/>
      </c>
      <c r="S82" s="15">
        <f>(R82+S77)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6.042139</v>
      </c>
      <c r="E83" s="13" t="n">
        <v>0.431169</v>
      </c>
      <c r="F83" s="13" t="n">
        <v>0.31326</v>
      </c>
      <c r="G83" s="13" t="n">
        <v>0.20668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  <c r="P83" s="15">
        <f>((O83+P74)-P60)</f>
        <v/>
      </c>
      <c r="Q83" s="15">
        <f>((P83+Q74)-Q60)</f>
        <v/>
      </c>
      <c r="R83" s="15">
        <f>((Q83+R74)-R60)</f>
        <v/>
      </c>
      <c r="S83" s="15">
        <f>((R83+S74)-S60)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46.919036</v>
      </c>
      <c r="E84" s="13" t="n">
        <v>49.701014</v>
      </c>
      <c r="F84" s="13" t="n">
        <v>45.792938</v>
      </c>
      <c r="G84" s="13" t="n">
        <v>41.83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  <c r="P84" s="15">
        <f>((O84+P69)-P73)</f>
        <v/>
      </c>
      <c r="Q84" s="15">
        <f>((P84+Q69)-Q73)</f>
        <v/>
      </c>
      <c r="R84" s="15">
        <f>((Q84+R69)-R73)</f>
        <v/>
      </c>
      <c r="S84" s="15">
        <f>((R84+S69)-S73)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0</v>
      </c>
      <c r="E85" s="13" t="n">
        <v>0</v>
      </c>
      <c r="F85" s="13" t="n">
        <v>0</v>
      </c>
      <c r="G85" s="13" t="n">
        <v>0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  <c r="P85" s="15">
        <f>((O85+P68)-P78)</f>
        <v/>
      </c>
      <c r="Q85" s="15">
        <f>((P85+Q68)-Q78)</f>
        <v/>
      </c>
      <c r="R85" s="15">
        <f>((Q85+R68)-R78)</f>
        <v/>
      </c>
      <c r="S85" s="15">
        <f>((R85+S68)-S78)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37.13854</v>
      </c>
      <c r="E86" s="13" t="n">
        <v>43.533456</v>
      </c>
      <c r="F86" s="13" t="n">
        <v>43.322107</v>
      </c>
      <c r="G86" s="13" t="n">
        <v>37.86088900000001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  <c r="P86" s="15">
        <f>O86</f>
        <v/>
      </c>
      <c r="Q86" s="15">
        <f>P86</f>
        <v/>
      </c>
      <c r="R86" s="15">
        <f>Q86</f>
        <v/>
      </c>
      <c r="S86" s="15">
        <f>R86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  <c r="P87" s="15">
        <f>((((((P81+P80)+P83)+P86)-P82)-P84)-P85)</f>
        <v/>
      </c>
      <c r="Q87" s="15">
        <f>((((((Q81+Q80)+Q83)+Q86)-Q82)-Q84)-Q85)</f>
        <v/>
      </c>
      <c r="R87" s="15">
        <f>((((((R81+R80)+R83)+R86)-R82)-R84)-R85)</f>
        <v/>
      </c>
      <c r="S87" s="15">
        <f>((((((S81+S80)+S83)+S86)-S82)-S84)-S85)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1.141014</v>
      </c>
      <c r="E88" s="13" t="n">
        <v>-6.79974</v>
      </c>
      <c r="F88" s="13" t="n">
        <v>-0.4120790000000001</v>
      </c>
      <c r="G88" s="13" t="n">
        <v>0.471214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  <c r="P88" s="15">
        <f>(P82-P81)</f>
        <v/>
      </c>
      <c r="Q88" s="15">
        <f>(Q82-Q81)</f>
        <v/>
      </c>
      <c r="R88" s="15">
        <f>(R82-R81)</f>
        <v/>
      </c>
      <c r="S88" s="15">
        <f>(S82-S81)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0.0187676144</v>
      </c>
      <c r="E89" s="20" t="n">
        <v>0.0198804056</v>
      </c>
      <c r="F89" s="20" t="n">
        <v>0.0183171752</v>
      </c>
      <c r="G89" s="20" t="n">
        <v>0.016732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  <c r="M89" s="21">
        <f>(IF(M70=0,0,M84/M70)*$C$8)</f>
        <v/>
      </c>
      <c r="N89" s="21">
        <f>(IF(N70=0,0,N84/N70)*$C$8)</f>
        <v/>
      </c>
      <c r="O89" s="21">
        <f>(IF(O70=0,0,O84/O70)*$C$8)</f>
        <v/>
      </c>
      <c r="P89" s="21">
        <f>(IF(P70=0,0,P84/P70)*$C$8)</f>
        <v/>
      </c>
      <c r="Q89" s="21">
        <f>(IF(Q70=0,0,Q84/Q70)*$C$8)</f>
        <v/>
      </c>
      <c r="R89" s="21">
        <f>(IF(R70=0,0,R84/R70)*$C$8)</f>
        <v/>
      </c>
      <c r="S89" s="21">
        <f>(IF(S70=0,0,S84/S70)*$C$8)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0.1934317760373039</v>
      </c>
      <c r="F90" s="4" t="n">
        <v>-0.5365147935681418</v>
      </c>
      <c r="G90" s="4" t="n">
        <v>-0.6326412648502606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  <c r="L90" s="17">
        <f>(IF(K55=0,0,L55/K55)-1)</f>
        <v/>
      </c>
      <c r="M90" s="17">
        <f>(IF(L55=0,0,M55/L55)-1)</f>
        <v/>
      </c>
      <c r="N90" s="17">
        <f>(IF(M55=0,0,N55/M55)-1)</f>
        <v/>
      </c>
      <c r="O90" s="17">
        <f>(IF(N55=0,0,O55/N55)-1)</f>
        <v/>
      </c>
      <c r="P90" s="17">
        <f>(IF(O55=0,0,P55/O55)-1)</f>
        <v/>
      </c>
      <c r="Q90" s="17">
        <f>(IF(P55=0,0,Q55/P55)-1)</f>
        <v/>
      </c>
      <c r="R90" s="17">
        <f>(IF(Q55=0,0,R55/Q55)-1)</f>
        <v/>
      </c>
      <c r="S90" s="17">
        <f>(IF(R55=0,0,S55/R55)-1)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0.5522715543083062</v>
      </c>
      <c r="E91" s="4" t="n">
        <v>0.4318749739038579</v>
      </c>
      <c r="F91" s="4" t="n">
        <v>0.2475434601095234</v>
      </c>
      <c r="G91" s="4" t="n">
        <v>-0.5203666093569013</v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  <c r="L91" s="17">
        <f>IF(L55=0,0,L57/L55)</f>
        <v/>
      </c>
      <c r="M91" s="17">
        <f>IF(M55=0,0,M57/M55)</f>
        <v/>
      </c>
      <c r="N91" s="17">
        <f>IF(N55=0,0,N57/N55)</f>
        <v/>
      </c>
      <c r="O91" s="17">
        <f>IF(O55=0,0,O57/O55)</f>
        <v/>
      </c>
      <c r="P91" s="17">
        <f>IF(P55=0,0,P57/P55)</f>
        <v/>
      </c>
      <c r="Q91" s="17">
        <f>IF(Q55=0,0,Q57/Q55)</f>
        <v/>
      </c>
      <c r="R91" s="17">
        <f>IF(R55=0,0,R57/R55)</f>
        <v/>
      </c>
      <c r="S91" s="17">
        <f>IF(S55=0,0,S57/S55)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/>
      <c r="E92" s="4" t="n"/>
      <c r="F92" s="4" t="n"/>
      <c r="G92" s="4" t="n"/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  <c r="L92" s="17">
        <f>IF(L55=0,0,L61/L55)</f>
        <v/>
      </c>
      <c r="M92" s="17">
        <f>IF(M55=0,0,M61/M55)</f>
        <v/>
      </c>
      <c r="N92" s="17">
        <f>IF(N55=0,0,N61/N55)</f>
        <v/>
      </c>
      <c r="O92" s="17">
        <f>IF(O55=0,0,O61/O55)</f>
        <v/>
      </c>
      <c r="P92" s="17">
        <f>IF(P55=0,0,P61/P55)</f>
        <v/>
      </c>
      <c r="Q92" s="17">
        <f>IF(Q55=0,0,Q61/Q55)</f>
        <v/>
      </c>
      <c r="R92" s="17">
        <f>IF(R55=0,0,R61/R55)</f>
        <v/>
      </c>
      <c r="S92" s="17">
        <f>IF(S55=0,0,S61/S55)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0.219456043841285</v>
      </c>
      <c r="E93" s="4" t="n">
        <v>0.1023693298663767</v>
      </c>
      <c r="F93" s="4" t="n">
        <v>-0.1123086172518238</v>
      </c>
      <c r="G93" s="4" t="n">
        <v>-0.6710578626187833</v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  <c r="L93" s="17">
        <f>IF(L55=0,0,L59/L55)</f>
        <v/>
      </c>
      <c r="M93" s="17">
        <f>IF(M55=0,0,M59/M55)</f>
        <v/>
      </c>
      <c r="N93" s="17">
        <f>IF(N55=0,0,N59/N55)</f>
        <v/>
      </c>
      <c r="O93" s="17">
        <f>IF(O55=0,0,O59/O55)</f>
        <v/>
      </c>
      <c r="P93" s="17">
        <f>IF(P55=0,0,P59/P55)</f>
        <v/>
      </c>
      <c r="Q93" s="17">
        <f>IF(Q55=0,0,Q59/Q55)</f>
        <v/>
      </c>
      <c r="R93" s="17">
        <f>IF(R55=0,0,R59/R55)</f>
        <v/>
      </c>
      <c r="S93" s="17">
        <f>IF(S55=0,0,S59/S55)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0.1522143072600741</v>
      </c>
      <c r="E94" s="4" t="n">
        <v>0.0706201106672015</v>
      </c>
      <c r="F94" s="4" t="n">
        <v>-0.1179264644914405</v>
      </c>
      <c r="G94" s="4" t="n">
        <v>-0.7832063674971722</v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  <c r="L94" s="17">
        <f>IF(L55=0,0,L69/L55)</f>
        <v/>
      </c>
      <c r="M94" s="17">
        <f>IF(M55=0,0,M69/M55)</f>
        <v/>
      </c>
      <c r="N94" s="17">
        <f>IF(N55=0,0,N69/N55)</f>
        <v/>
      </c>
      <c r="O94" s="17">
        <f>IF(O55=0,0,O69/O55)</f>
        <v/>
      </c>
      <c r="P94" s="17">
        <f>IF(P55=0,0,P69/P55)</f>
        <v/>
      </c>
      <c r="Q94" s="17">
        <f>IF(Q55=0,0,Q69/Q55)</f>
        <v/>
      </c>
      <c r="R94" s="17">
        <f>IF(R55=0,0,R69/R55)</f>
        <v/>
      </c>
      <c r="S94" s="17">
        <f>IF(S55=0,0,S69/S55)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-0.4463051101135487</v>
      </c>
      <c r="F95" s="4" t="n">
        <v>-1.77396043736277</v>
      </c>
      <c r="G95" s="4" t="n">
        <v>1.439806041551145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  <c r="L95" s="17">
        <f>(IF(K71=0,0,L71/K71)-1)</f>
        <v/>
      </c>
      <c r="M95" s="17">
        <f>(IF(L71=0,0,M71/L71)-1)</f>
        <v/>
      </c>
      <c r="N95" s="17">
        <f>(IF(M71=0,0,N71/M71)-1)</f>
        <v/>
      </c>
      <c r="O95" s="17">
        <f>(IF(N71=0,0,O71/N71)-1)</f>
        <v/>
      </c>
      <c r="P95" s="17">
        <f>(IF(O71=0,0,P71/O71)-1)</f>
        <v/>
      </c>
      <c r="Q95" s="17">
        <f>(IF(P71=0,0,Q71/P71)-1)</f>
        <v/>
      </c>
      <c r="R95" s="17">
        <f>(IF(Q71=0,0,R71/Q71)-1)</f>
        <v/>
      </c>
      <c r="S95" s="17">
        <f>(IF(R71=0,0,S71/R71)-1)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0.08595009006929721</v>
      </c>
      <c r="F96" s="4" t="n">
        <v>-0.06730641957304269</v>
      </c>
      <c r="G96" s="4" t="n">
        <v>-0.1789657178580339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  <c r="L96" s="17">
        <f>IF(IF(2=0,0,(L84+K84)/2)=0,0,L69/IF(2=0,0,(L84+K84)/2))</f>
        <v/>
      </c>
      <c r="M96" s="17">
        <f>IF(IF(2=0,0,(M84+L84)/2)=0,0,M69/IF(2=0,0,(M84+L84)/2))</f>
        <v/>
      </c>
      <c r="N96" s="17">
        <f>IF(IF(2=0,0,(N84+M84)/2)=0,0,N69/IF(2=0,0,(N84+M84)/2))</f>
        <v/>
      </c>
      <c r="O96" s="17">
        <f>IF(IF(2=0,0,(O84+N84)/2)=0,0,O69/IF(2=0,0,(O84+N84)/2))</f>
        <v/>
      </c>
      <c r="P96" s="17">
        <f>IF(IF(2=0,0,(P84+O84)/2)=0,0,P69/IF(2=0,0,(P84+O84)/2))</f>
        <v/>
      </c>
      <c r="Q96" s="17">
        <f>IF(IF(2=0,0,(Q84+P84)/2)=0,0,Q69/IF(2=0,0,(Q84+P84)/2))</f>
        <v/>
      </c>
      <c r="R96" s="17">
        <f>IF(IF(2=0,0,(R84+Q84)/2)=0,0,R69/IF(2=0,0,(R84+Q84)/2))</f>
        <v/>
      </c>
      <c r="S96" s="17">
        <f>IF(IF(2=0,0,(S84+R84)/2)=0,0,S69/IF(2=0,0,(S84+R84)/2))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/>
      <c r="E97" s="22" t="n"/>
      <c r="F97" s="22" t="n"/>
      <c r="G97" s="22" t="n"/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  <c r="M97" s="23">
        <f>IF(M61=0,0,M88/M61)</f>
        <v/>
      </c>
      <c r="N97" s="23">
        <f>IF(N61=0,0,N88/N61)</f>
        <v/>
      </c>
      <c r="O97" s="23">
        <f>IF(O61=0,0,O88/O61)</f>
        <v/>
      </c>
      <c r="P97" s="23">
        <f>IF(P61=0,0,P88/P61)</f>
        <v/>
      </c>
      <c r="Q97" s="23">
        <f>IF(Q61=0,0,Q88/Q61)</f>
        <v/>
      </c>
      <c r="R97" s="23">
        <f>IF(R61=0,0,R88/R61)</f>
        <v/>
      </c>
      <c r="S97" s="23">
        <f>IF(S61=0,0,S88/S61)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0.1355182148234589</v>
      </c>
      <c r="E98" s="4" t="n">
        <v>0</v>
      </c>
      <c r="F98" s="4" t="n">
        <v>-0</v>
      </c>
      <c r="G98" s="4" t="n">
        <v>-0</v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  <c r="L98" s="17">
        <f>IF(L71=0,0,L72/L71)</f>
        <v/>
      </c>
      <c r="M98" s="17">
        <f>IF(M71=0,0,M72/M71)</f>
        <v/>
      </c>
      <c r="N98" s="17">
        <f>IF(N71=0,0,N72/N71)</f>
        <v/>
      </c>
      <c r="O98" s="17">
        <f>IF(O71=0,0,O72/O71)</f>
        <v/>
      </c>
      <c r="P98" s="17">
        <f>IF(P71=0,0,P72/P71)</f>
        <v/>
      </c>
      <c r="Q98" s="17">
        <f>IF(Q71=0,0,Q72/Q71)</f>
        <v/>
      </c>
      <c r="R98" s="17">
        <f>IF(R71=0,0,R72/R71)</f>
        <v/>
      </c>
      <c r="S98" s="17">
        <f>IF(S71=0,0,S72/S71)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0.01044709916252748</v>
      </c>
      <c r="E99" s="4" t="n">
        <v>1.984794973825623e-05</v>
      </c>
      <c r="F99" s="4" t="n">
        <v>0.0001676969325258732</v>
      </c>
      <c r="G99" s="4" t="n">
        <v>0.001846052358723704</v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  <c r="L99" s="17">
        <f>IF(L55=0,0,L74/L55)</f>
        <v/>
      </c>
      <c r="M99" s="17">
        <f>IF(M55=0,0,M74/M55)</f>
        <v/>
      </c>
      <c r="N99" s="17">
        <f>IF(N55=0,0,N74/N55)</f>
        <v/>
      </c>
      <c r="O99" s="17">
        <f>IF(O55=0,0,O74/O55)</f>
        <v/>
      </c>
      <c r="P99" s="17">
        <f>IF(P55=0,0,P74/P55)</f>
        <v/>
      </c>
      <c r="Q99" s="17">
        <f>IF(Q55=0,0,Q74/Q55)</f>
        <v/>
      </c>
      <c r="R99" s="17">
        <f>IF(R55=0,0,R74/R55)</f>
        <v/>
      </c>
      <c r="S99" s="17">
        <f>IF(S55=0,0,S74/S55)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170</v>
      </c>
    </row>
    <row r="103">
      <c r="A103" t="inlineStr">
        <is>
          <t>Shares outstanding (m)</t>
        </is>
      </c>
      <c r="C103" s="13" t="n">
        <v>2500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0.481733</v>
      </c>
    </row>
    <row r="106">
      <c r="A106" t="inlineStr">
        <is>
          <t>Cash at balance-sheet date</t>
        </is>
      </c>
      <c r="C106" s="13" t="n">
        <v>0.039354</v>
      </c>
    </row>
    <row r="107">
      <c r="A107" t="inlineStr">
        <is>
          <t>Minority interest (book)</t>
        </is>
      </c>
      <c r="C107" s="13" t="n">
        <v>0</v>
      </c>
    </row>
    <row r="108">
      <c r="A108" t="inlineStr">
        <is>
          <t>Associates &amp; investments (book)</t>
        </is>
      </c>
      <c r="C108" s="13" t="n">
        <v>0</v>
      </c>
    </row>
    <row r="109">
      <c r="A109" t="inlineStr">
        <is>
          <t>Post-balance-sheet &amp; other items (sourced, probability-weighted)</t>
        </is>
      </c>
      <c r="C109" s="13" t="n">
        <v>-16.5</v>
      </c>
    </row>
    <row r="110">
      <c r="A110" t="inlineStr">
        <is>
          <t>Parent equity at balance-sheet date</t>
        </is>
      </c>
      <c r="C110" s="13" t="n">
        <v>22.952616</v>
      </c>
    </row>
    <row r="111">
      <c r="A111" t="inlineStr">
        <is>
          <t>Per-share factor</t>
        </is>
      </c>
      <c r="C111" s="24" t="n">
        <v>1</v>
      </c>
    </row>
    <row r="112">
      <c r="A112" t="inlineStr">
        <is>
          <t>Risk-free rate</t>
        </is>
      </c>
      <c r="C112" s="9">
        <f>Drivers!$C$12</f>
        <v/>
      </c>
    </row>
    <row r="113">
      <c r="A113" t="inlineStr">
        <is>
          <t>Less: default spread (IDR only)</t>
        </is>
      </c>
      <c r="C113" s="9" t="n">
        <v>0</v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0.02055923095058823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0.02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  <c r="K126" s="6" t="n">
        <v>0.996578</v>
      </c>
      <c r="L126" s="6" t="n">
        <v>0.996578</v>
      </c>
      <c r="M126" s="6" t="n">
        <v>0.996578</v>
      </c>
      <c r="N126" s="6" t="n">
        <v>0.999316</v>
      </c>
      <c r="O126" s="6" t="n">
        <v>0.996578</v>
      </c>
      <c r="P126" s="6" t="n">
        <v>0.996578</v>
      </c>
      <c r="Q126" s="6" t="n">
        <v>0.996578</v>
      </c>
      <c r="R126" s="6" t="n">
        <v>0.999316</v>
      </c>
      <c r="S126" s="6" t="n">
        <v>0.996578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  <c r="K127" s="6" t="n">
        <v>2.672142</v>
      </c>
      <c r="L127" s="6" t="n">
        <v>3.671458</v>
      </c>
      <c r="M127" s="6" t="n">
        <v>4.670773</v>
      </c>
      <c r="N127" s="6" t="n">
        <v>5.670089</v>
      </c>
      <c r="O127" s="6" t="n">
        <v>6.672142</v>
      </c>
      <c r="P127" s="6" t="n">
        <v>7.671458</v>
      </c>
      <c r="Q127" s="6" t="n">
        <v>8.670773000000001</v>
      </c>
      <c r="R127" s="6" t="n">
        <v>9.670089000000001</v>
      </c>
      <c r="S127" s="6" t="n">
        <v>10.672142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  <c r="P128">
        <f>1/(1+$C$122)^P127</f>
        <v/>
      </c>
      <c r="Q128">
        <f>1/(1+$C$122)^Q127</f>
        <v/>
      </c>
      <c r="R128">
        <f>1/(1+$C$122)^R127</f>
        <v/>
      </c>
      <c r="S128">
        <f>1/(1+$C$122)^S127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  <c r="M129" s="26">
        <f>M76*M126*M128</f>
        <v/>
      </c>
      <c r="N129" s="26">
        <f>N76*N126*N128</f>
        <v/>
      </c>
      <c r="O129" s="26">
        <f>O76*O126*O128</f>
        <v/>
      </c>
      <c r="P129" s="26">
        <f>P76*P126*P128</f>
        <v/>
      </c>
      <c r="Q129" s="26">
        <f>Q76*Q126*Q128</f>
        <v/>
      </c>
      <c r="R129" s="26">
        <f>R76*R126*R128</f>
        <v/>
      </c>
      <c r="S129" s="26">
        <f>S76*S126*S128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  <c r="M130" s="26">
        <f>L130+M129</f>
        <v/>
      </c>
      <c r="N130" s="26">
        <f>M130+N129</f>
        <v/>
      </c>
      <c r="O130" s="26">
        <f>N130+O129</f>
        <v/>
      </c>
      <c r="P130" s="26">
        <f>O130+P129</f>
        <v/>
      </c>
      <c r="Q130" s="26">
        <f>P130+Q129</f>
        <v/>
      </c>
      <c r="R130" s="26">
        <f>Q130+R129</f>
        <v/>
      </c>
      <c r="S130" s="26">
        <f>R130+S129</f>
        <v/>
      </c>
    </row>
    <row r="131">
      <c r="A131" t="inlineStr">
        <is>
          <t>Best cumulative PV (never below zero)</t>
        </is>
      </c>
      <c r="C131" s="26">
        <f>MAX(0,MAX(H130:S130))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MAX(0,$C$134/$C$103*$C$111*$C$104)</f>
        <v/>
      </c>
    </row>
    <row r="137">
      <c r="A137" s="1" t="inlineStr">
        <is>
          <t>TARGET</t>
        </is>
      </c>
    </row>
    <row r="138">
      <c r="A138" t="inlineStr">
        <is>
          <t>Weight: DCF to end of life (no terminal value)</t>
        </is>
      </c>
      <c r="C138" s="4" t="n">
        <v>1</v>
      </c>
    </row>
    <row r="139">
      <c r="A139" t="inlineStr">
        <is>
          <t>Value today (weighted)</t>
        </is>
      </c>
      <c r="C139" s="27">
        <f>$C$135*$C$138</f>
        <v/>
      </c>
    </row>
    <row r="140">
      <c r="A140" t="inlineStr">
        <is>
          <t>DPS expected in next 12 months (IDR)</t>
        </is>
      </c>
      <c r="C140" s="20" t="n">
        <v>0</v>
      </c>
    </row>
    <row r="141">
      <c r="A141" t="inlineStr">
        <is>
          <t>Base-case 12-month value</t>
        </is>
      </c>
      <c r="C141" s="27">
        <f>MAX(0,$C$139*(1+$C$120)-$C$140)</f>
        <v/>
      </c>
    </row>
    <row r="142">
      <c r="A142" t="inlineStr">
        <is>
          <t>Bear probability</t>
        </is>
      </c>
      <c r="C142" s="4" t="n">
        <v>0.3</v>
      </c>
    </row>
    <row r="143">
      <c r="A143" t="inlineStr">
        <is>
          <t>Bear 12-month value (engine)</t>
        </is>
      </c>
      <c r="C143" s="20" t="n">
        <v>0</v>
      </c>
    </row>
    <row r="144">
      <c r="A144" t="inlineStr">
        <is>
          <t>Base probability</t>
        </is>
      </c>
      <c r="C144" s="4" t="n">
        <v>0.5</v>
      </c>
    </row>
    <row r="145">
      <c r="A145" t="inlineStr">
        <is>
          <t>Bull probability</t>
        </is>
      </c>
      <c r="C145" s="4" t="n">
        <v>0.2</v>
      </c>
    </row>
    <row r="146">
      <c r="A146" t="inlineStr">
        <is>
          <t>Bull 12-month value (engine)</t>
        </is>
      </c>
      <c r="C146" s="20" t="n">
        <v>381.7250744240725</v>
      </c>
    </row>
    <row r="147">
      <c r="A147" t="inlineStr">
        <is>
          <t>Probability-weighted 12-month value</t>
        </is>
      </c>
      <c r="C147" s="27">
        <f>$C$142*$C$143+$C$144*$C$141+$C$145*$C$146</f>
        <v/>
      </c>
    </row>
    <row r="148">
      <c r="A148" t="inlineStr">
        <is>
          <t>Liquidity discount (limits.yaml)</t>
        </is>
      </c>
      <c r="C148" s="4" t="n">
        <v>0.3</v>
      </c>
    </row>
    <row r="149">
      <c r="A149" t="inlineStr">
        <is>
          <t>TARGET PRICE (IDR)</t>
        </is>
      </c>
      <c r="C149" s="28">
        <f>$C$147*(1-$C$148)</f>
        <v/>
      </c>
    </row>
    <row r="150">
      <c r="A150" t="inlineStr">
        <is>
          <t>Expected 12-month total return</t>
        </is>
      </c>
      <c r="C150" s="29">
        <f>($C$149+$C$140)/$C$102-1</f>
        <v/>
      </c>
    </row>
    <row r="151">
      <c r="A151" t="inlineStr">
        <is>
          <t>Rating</t>
        </is>
      </c>
      <c r="C151" s="30">
        <f>IF($C$150&gt;=0.25,"BUY",IF($C$150&gt;=0.1,"ADD",IF($C$150&lt;=-0.25,"SELL",IF($C$150&lt;=-0.1,"REDUCE","HOLD"))))</f>
        <v/>
      </c>
    </row>
    <row r="153">
      <c r="A153" s="1" t="inlineStr">
        <is>
          <t>12-month value vs benchmark price and IDR/USD (engine values)</t>
        </is>
      </c>
    </row>
    <row r="154">
      <c r="A154" s="5" t="inlineStr">
        <is>
          <t>rows: IDR per USD (x deck) · columns: Benchmark price (x deck)</t>
        </is>
      </c>
      <c r="D154" s="1" t="n">
        <v>0.8</v>
      </c>
      <c r="E154" s="1" t="n">
        <v>0.9</v>
      </c>
      <c r="F154" s="1" t="n">
        <v>1</v>
      </c>
      <c r="G154" s="1" t="n">
        <v>1.1</v>
      </c>
      <c r="H154" s="1" t="n">
        <v>1.2</v>
      </c>
    </row>
    <row r="155">
      <c r="C155" s="1" t="n">
        <v>0.9</v>
      </c>
      <c r="D155" s="27" t="n">
        <v>0</v>
      </c>
      <c r="E155" s="27" t="n">
        <v>0</v>
      </c>
      <c r="F155" s="27" t="n">
        <v>0</v>
      </c>
      <c r="G155" s="27" t="n">
        <v>0</v>
      </c>
      <c r="H155" s="27" t="n">
        <v>24.957107</v>
      </c>
    </row>
    <row r="156">
      <c r="C156" s="1" t="n">
        <v>0.95</v>
      </c>
      <c r="D156" s="27" t="n">
        <v>0</v>
      </c>
      <c r="E156" s="27" t="n">
        <v>0</v>
      </c>
      <c r="F156" s="27" t="n">
        <v>0</v>
      </c>
      <c r="G156" s="27" t="n">
        <v>0</v>
      </c>
      <c r="H156" s="27" t="n">
        <v>26.347961</v>
      </c>
    </row>
    <row r="157">
      <c r="C157" s="1" t="n">
        <v>1</v>
      </c>
      <c r="D157" s="27" t="n">
        <v>0</v>
      </c>
      <c r="E157" s="27" t="n">
        <v>0</v>
      </c>
      <c r="F157" s="27" t="n">
        <v>0</v>
      </c>
      <c r="G157" s="27" t="n">
        <v>0</v>
      </c>
      <c r="H157" s="27" t="n">
        <v>27.739265</v>
      </c>
    </row>
    <row r="158">
      <c r="C158" s="1" t="n">
        <v>1.05</v>
      </c>
      <c r="D158" s="27" t="n">
        <v>0</v>
      </c>
      <c r="E158" s="27" t="n">
        <v>0</v>
      </c>
      <c r="F158" s="27" t="n">
        <v>0</v>
      </c>
      <c r="G158" s="27" t="n">
        <v>0</v>
      </c>
      <c r="H158" s="27" t="n">
        <v>29.131019</v>
      </c>
    </row>
    <row r="159">
      <c r="C159" s="1" t="n">
        <v>1.1</v>
      </c>
      <c r="D159" s="27" t="n">
        <v>0</v>
      </c>
      <c r="E159" s="27" t="n">
        <v>0</v>
      </c>
      <c r="F159" s="27" t="n">
        <v>0</v>
      </c>
      <c r="G159" s="27" t="n">
        <v>0</v>
      </c>
      <c r="H159" s="27" t="n">
        <v>30.523223</v>
      </c>
    </row>
    <row r="161">
      <c r="A161" s="1" t="inlineStr">
        <is>
          <t>12-month value vs volume and unit cost intensity (engine values)</t>
        </is>
      </c>
    </row>
    <row r="162">
      <c r="A162" s="5" t="inlineStr">
        <is>
          <t>rows: Volume (x plan) · columns: Cost intensity / strip ratio (x)</t>
        </is>
      </c>
      <c r="D162" s="1" t="n">
        <v>0.85</v>
      </c>
      <c r="E162" s="1" t="n">
        <v>0.925</v>
      </c>
      <c r="F162" s="1" t="n">
        <v>1</v>
      </c>
      <c r="G162" s="1" t="n">
        <v>1.075</v>
      </c>
      <c r="H162" s="1" t="n">
        <v>1.15</v>
      </c>
    </row>
    <row r="163">
      <c r="C163" s="1" t="n">
        <v>0.9</v>
      </c>
      <c r="D163" s="27" t="n">
        <v>0</v>
      </c>
      <c r="E163" s="27" t="n">
        <v>0</v>
      </c>
      <c r="F163" s="27" t="n">
        <v>0</v>
      </c>
      <c r="G163" s="27" t="n">
        <v>0</v>
      </c>
      <c r="H163" s="27" t="n">
        <v>0</v>
      </c>
    </row>
    <row r="164">
      <c r="C164" s="1" t="n">
        <v>0.95</v>
      </c>
      <c r="D164" s="27" t="n">
        <v>0</v>
      </c>
      <c r="E164" s="27" t="n">
        <v>0</v>
      </c>
      <c r="F164" s="27" t="n">
        <v>0</v>
      </c>
      <c r="G164" s="27" t="n">
        <v>0</v>
      </c>
      <c r="H164" s="27" t="n">
        <v>0</v>
      </c>
    </row>
    <row r="165">
      <c r="C165" s="1" t="n">
        <v>1</v>
      </c>
      <c r="D165" s="27" t="n">
        <v>0</v>
      </c>
      <c r="E165" s="27" t="n">
        <v>0</v>
      </c>
      <c r="F165" s="27" t="n">
        <v>0</v>
      </c>
      <c r="G165" s="27" t="n">
        <v>0</v>
      </c>
      <c r="H165" s="27" t="n">
        <v>0</v>
      </c>
    </row>
    <row r="166">
      <c r="C166" s="1" t="n">
        <v>1.05</v>
      </c>
      <c r="D166" s="27" t="n">
        <v>0</v>
      </c>
      <c r="E166" s="27" t="n">
        <v>0</v>
      </c>
      <c r="F166" s="27" t="n">
        <v>0</v>
      </c>
      <c r="G166" s="27" t="n">
        <v>0</v>
      </c>
      <c r="H166" s="27" t="n">
        <v>0</v>
      </c>
    </row>
    <row r="167">
      <c r="C167" s="1" t="n">
        <v>1.1</v>
      </c>
      <c r="D167" s="27" t="n">
        <v>0</v>
      </c>
      <c r="E167" s="27" t="n">
        <v>0</v>
      </c>
      <c r="F167" s="27" t="n">
        <v>0</v>
      </c>
      <c r="G167" s="27" t="n">
        <v>0</v>
      </c>
      <c r="H167" s="2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1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 MNC Energy Investments Tbk (IATA.JK) — Coal producers</t>
        </is>
      </c>
    </row>
    <row r="2">
      <c r="A2" s="5" t="inlineStr">
        <is>
          <t>Units: USD m; per-share in USD unless marked IDR. Model asof 2026-10-30 · data 2026-10-26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  <c r="R4" s="1" t="inlineStr">
        <is>
          <t>FY2036E</t>
        </is>
      </c>
      <c r="S4" s="1" t="inlineStr">
        <is>
          <t>FY2037E</t>
        </is>
      </c>
      <c r="T4" s="1" t="inlineStr">
        <is>
          <t>FY2038E</t>
        </is>
      </c>
      <c r="U4" s="1" t="inlineStr">
        <is>
          <t>FY2039E</t>
        </is>
      </c>
      <c r="V4" s="1" t="inlineStr">
        <is>
          <t>FY2040E</t>
        </is>
      </c>
      <c r="W4" s="1" t="inlineStr">
        <is>
          <t>FY2041E</t>
        </is>
      </c>
      <c r="X4" s="1" t="inlineStr">
        <is>
          <t>FY2042E</t>
        </is>
      </c>
      <c r="Y4" s="1" t="inlineStr">
        <is>
          <t>FY2043E</t>
        </is>
      </c>
      <c r="Z4" s="1" t="inlineStr">
        <is>
          <t>FY2044E</t>
        </is>
      </c>
      <c r="AA4" s="1" t="inlineStr">
        <is>
          <t>FY2045E</t>
        </is>
      </c>
      <c r="AB4" s="1" t="inlineStr">
        <is>
          <t>FY2046E</t>
        </is>
      </c>
      <c r="AC4" s="1" t="inlineStr">
        <is>
          <t>FY2047E</t>
        </is>
      </c>
      <c r="AD4" s="1" t="inlineStr">
        <is>
          <t>FY2048E</t>
        </is>
      </c>
      <c r="AE4" s="1" t="inlineStr">
        <is>
          <t>FY2049E</t>
        </is>
      </c>
      <c r="AF4" s="1" t="inlineStr">
        <is>
          <t>FY2050E</t>
        </is>
      </c>
      <c r="AG4" s="1" t="inlineStr">
        <is>
          <t>FY2051E</t>
        </is>
      </c>
      <c r="AH4" s="1" t="inlineStr">
        <is>
          <t>FY2052E</t>
        </is>
      </c>
      <c r="AI4" s="1" t="inlineStr">
        <is>
          <t>FY2053E</t>
        </is>
      </c>
      <c r="AJ4" s="1" t="inlineStr">
        <is>
          <t>FY2054E</t>
        </is>
      </c>
      <c r="AK4" s="1" t="inlineStr">
        <is>
          <t>FY2055E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30</v>
      </c>
    </row>
    <row r="8">
      <c r="A8" t="inlineStr">
        <is>
          <t>ps_factor</t>
        </is>
      </c>
      <c r="C8" s="6" t="n">
        <v>1</v>
      </c>
    </row>
    <row r="9">
      <c r="A9" t="inlineStr">
        <is>
          <t>reserves</t>
        </is>
      </c>
      <c r="C9" s="6" t="n">
        <v>298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3.2</v>
      </c>
      <c r="I14" s="13" t="n">
        <v>6.5</v>
      </c>
      <c r="J14" s="13" t="n">
        <v>7</v>
      </c>
      <c r="K14" s="13" t="n">
        <v>7</v>
      </c>
      <c r="L14" s="13" t="n">
        <v>7</v>
      </c>
      <c r="M14" s="13" t="n">
        <v>7</v>
      </c>
      <c r="N14" s="13" t="n">
        <v>7</v>
      </c>
      <c r="O14" s="13" t="n">
        <v>7</v>
      </c>
      <c r="P14" s="13" t="n">
        <v>7</v>
      </c>
      <c r="Q14" s="13" t="n">
        <v>7</v>
      </c>
      <c r="R14" s="13" t="n">
        <v>7</v>
      </c>
      <c r="S14" s="13" t="n">
        <v>7</v>
      </c>
      <c r="T14" s="13" t="n">
        <v>7</v>
      </c>
      <c r="U14" s="13" t="n">
        <v>7</v>
      </c>
      <c r="V14" s="13" t="n">
        <v>7</v>
      </c>
      <c r="W14" s="13" t="n">
        <v>7</v>
      </c>
      <c r="X14" s="13" t="n">
        <v>7</v>
      </c>
      <c r="Y14" s="13" t="n">
        <v>7</v>
      </c>
      <c r="Z14" s="13" t="n">
        <v>7</v>
      </c>
      <c r="AA14" s="13" t="n">
        <v>7</v>
      </c>
      <c r="AB14" s="13" t="n">
        <v>7</v>
      </c>
      <c r="AC14" s="13" t="n">
        <v>7</v>
      </c>
      <c r="AD14" s="13" t="n">
        <v>7</v>
      </c>
      <c r="AE14" s="13" t="n">
        <v>7</v>
      </c>
      <c r="AF14" s="13" t="n">
        <v>7</v>
      </c>
      <c r="AG14" s="13" t="n">
        <v>7</v>
      </c>
      <c r="AH14" s="13" t="n">
        <v>7</v>
      </c>
      <c r="AI14" s="13" t="n">
        <v>7</v>
      </c>
      <c r="AJ14" s="13" t="n">
        <v>7</v>
      </c>
      <c r="AK14" s="13" t="n">
        <v>7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0.152</v>
      </c>
      <c r="I15" s="14" t="n">
        <v>0.18</v>
      </c>
      <c r="J15" s="14" t="n">
        <v>0.195</v>
      </c>
      <c r="K15" s="14" t="n">
        <v>0.21</v>
      </c>
      <c r="L15" s="14" t="n">
        <v>0.21</v>
      </c>
      <c r="M15" s="14" t="n">
        <v>0.21</v>
      </c>
      <c r="N15" s="14" t="n">
        <v>0.21</v>
      </c>
      <c r="O15" s="14" t="n">
        <v>0.21</v>
      </c>
      <c r="P15" s="14" t="n">
        <v>0.21</v>
      </c>
      <c r="Q15" s="14" t="n">
        <v>0.21</v>
      </c>
      <c r="R15" s="14" t="n">
        <v>0.21</v>
      </c>
      <c r="S15" s="14" t="n">
        <v>0.21</v>
      </c>
      <c r="T15" s="14" t="n">
        <v>0.21</v>
      </c>
      <c r="U15" s="14" t="n">
        <v>0.21</v>
      </c>
      <c r="V15" s="14" t="n">
        <v>0.21</v>
      </c>
      <c r="W15" s="14" t="n">
        <v>0.21</v>
      </c>
      <c r="X15" s="14" t="n">
        <v>0.21</v>
      </c>
      <c r="Y15" s="14" t="n">
        <v>0.21</v>
      </c>
      <c r="Z15" s="14" t="n">
        <v>0.21</v>
      </c>
      <c r="AA15" s="14" t="n">
        <v>0.21</v>
      </c>
      <c r="AB15" s="14" t="n">
        <v>0.21</v>
      </c>
      <c r="AC15" s="14" t="n">
        <v>0.21</v>
      </c>
      <c r="AD15" s="14" t="n">
        <v>0.21</v>
      </c>
      <c r="AE15" s="14" t="n">
        <v>0.21</v>
      </c>
      <c r="AF15" s="14" t="n">
        <v>0.21</v>
      </c>
      <c r="AG15" s="14" t="n">
        <v>0.21</v>
      </c>
      <c r="AH15" s="14" t="n">
        <v>0.21</v>
      </c>
      <c r="AI15" s="14" t="n">
        <v>0.21</v>
      </c>
      <c r="AJ15" s="14" t="n">
        <v>0.21</v>
      </c>
      <c r="AK15" s="14" t="n">
        <v>0.21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1</v>
      </c>
      <c r="I17" s="14" t="n">
        <v>1</v>
      </c>
      <c r="J17" s="14" t="n">
        <v>1</v>
      </c>
      <c r="K17" s="14" t="n">
        <v>1</v>
      </c>
      <c r="L17" s="14" t="n">
        <v>1</v>
      </c>
      <c r="M17" s="14" t="n">
        <v>1</v>
      </c>
      <c r="N17" s="14" t="n">
        <v>1</v>
      </c>
      <c r="O17" s="14" t="n">
        <v>1</v>
      </c>
      <c r="P17" s="14" t="n">
        <v>1</v>
      </c>
      <c r="Q17" s="14" t="n">
        <v>1</v>
      </c>
      <c r="R17" s="14" t="n">
        <v>1</v>
      </c>
      <c r="S17" s="14" t="n">
        <v>1</v>
      </c>
      <c r="T17" s="14" t="n">
        <v>1</v>
      </c>
      <c r="U17" s="14" t="n">
        <v>1</v>
      </c>
      <c r="V17" s="14" t="n">
        <v>1</v>
      </c>
      <c r="W17" s="14" t="n">
        <v>1</v>
      </c>
      <c r="X17" s="14" t="n">
        <v>1</v>
      </c>
      <c r="Y17" s="14" t="n">
        <v>1</v>
      </c>
      <c r="Z17" s="14" t="n">
        <v>1</v>
      </c>
      <c r="AA17" s="14" t="n">
        <v>1</v>
      </c>
      <c r="AB17" s="14" t="n">
        <v>1</v>
      </c>
      <c r="AC17" s="14" t="n">
        <v>1</v>
      </c>
      <c r="AD17" s="14" t="n">
        <v>1</v>
      </c>
      <c r="AE17" s="14" t="n">
        <v>1</v>
      </c>
      <c r="AF17" s="14" t="n">
        <v>1</v>
      </c>
      <c r="AG17" s="14" t="n">
        <v>1</v>
      </c>
      <c r="AH17" s="14" t="n">
        <v>1</v>
      </c>
      <c r="AI17" s="14" t="n">
        <v>1</v>
      </c>
      <c r="AJ17" s="14" t="n">
        <v>1</v>
      </c>
      <c r="AK17" s="14" t="n">
        <v>1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7.767</v>
      </c>
      <c r="I18" s="3" t="n">
        <v>7.767</v>
      </c>
      <c r="J18" s="3" t="n">
        <v>7.767</v>
      </c>
      <c r="K18" s="3" t="n">
        <v>7.767</v>
      </c>
      <c r="L18" s="3" t="n">
        <v>7.767</v>
      </c>
      <c r="M18" s="3" t="n">
        <v>7.92234</v>
      </c>
      <c r="N18" s="3" t="n">
        <v>8.0807868</v>
      </c>
      <c r="O18" s="3" t="n">
        <v>8.242402536000002</v>
      </c>
      <c r="P18" s="3" t="n">
        <v>8.40725058672</v>
      </c>
      <c r="Q18" s="3" t="n">
        <v>8.575395598454401</v>
      </c>
      <c r="R18" s="3" t="n">
        <v>8.74690351042349</v>
      </c>
      <c r="S18" s="3" t="n">
        <v>8.921841580631959</v>
      </c>
      <c r="T18" s="3" t="n">
        <v>9.100278412244599</v>
      </c>
      <c r="U18" s="3" t="n">
        <v>9.28228398048949</v>
      </c>
      <c r="V18" s="3" t="n">
        <v>9.46792966009928</v>
      </c>
      <c r="W18" s="3" t="n">
        <v>9.657288253301266</v>
      </c>
      <c r="X18" s="3" t="n">
        <v>9.850434018367292</v>
      </c>
      <c r="Y18" s="3" t="n">
        <v>10.04744269873464</v>
      </c>
      <c r="Z18" s="3" t="n">
        <v>10.24839155270933</v>
      </c>
      <c r="AA18" s="3" t="n">
        <v>10.45335938376352</v>
      </c>
      <c r="AB18" s="3" t="n">
        <v>10.66242657143879</v>
      </c>
      <c r="AC18" s="3" t="n">
        <v>10.87567510286756</v>
      </c>
      <c r="AD18" s="3" t="n">
        <v>11.09318860492492</v>
      </c>
      <c r="AE18" s="3" t="n">
        <v>11.31505237702341</v>
      </c>
      <c r="AF18" s="3" t="n">
        <v>11.54135342456388</v>
      </c>
      <c r="AG18" s="3" t="n">
        <v>11.77218049305516</v>
      </c>
      <c r="AH18" s="3" t="n">
        <v>12.00762410291626</v>
      </c>
      <c r="AI18" s="3" t="n">
        <v>12.24777658497459</v>
      </c>
      <c r="AJ18" s="3" t="n">
        <v>12.49273211667408</v>
      </c>
      <c r="AK18" s="3" t="n">
        <v>12.74258675900756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0.21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0.07149999999999999</v>
      </c>
      <c r="I21" s="4" t="n">
        <v>0.07149999999999999</v>
      </c>
      <c r="J21" s="4" t="n">
        <v>0.07149999999999999</v>
      </c>
      <c r="K21" s="4" t="n">
        <v>0.07149999999999999</v>
      </c>
      <c r="L21" s="4" t="n">
        <v>0.07149999999999999</v>
      </c>
      <c r="M21" s="4" t="n">
        <v>0.07149999999999999</v>
      </c>
      <c r="N21" s="4" t="n">
        <v>0.07149999999999999</v>
      </c>
      <c r="O21" s="4" t="n">
        <v>0.07149999999999999</v>
      </c>
      <c r="P21" s="4" t="n">
        <v>0.07149999999999999</v>
      </c>
      <c r="Q21" s="4" t="n">
        <v>0.07149999999999999</v>
      </c>
      <c r="R21" s="4" t="n">
        <v>0.07149999999999999</v>
      </c>
      <c r="S21" s="4" t="n">
        <v>0.07149999999999999</v>
      </c>
      <c r="T21" s="4" t="n">
        <v>0.07149999999999999</v>
      </c>
      <c r="U21" s="4" t="n">
        <v>0.07149999999999999</v>
      </c>
      <c r="V21" s="4" t="n">
        <v>0.07149999999999999</v>
      </c>
      <c r="W21" s="4" t="n">
        <v>0.07149999999999999</v>
      </c>
      <c r="X21" s="4" t="n">
        <v>0.07149999999999999</v>
      </c>
      <c r="Y21" s="4" t="n">
        <v>0.07149999999999999</v>
      </c>
      <c r="Z21" s="4" t="n">
        <v>0.07149999999999999</v>
      </c>
      <c r="AA21" s="4" t="n">
        <v>0.07149999999999999</v>
      </c>
      <c r="AB21" s="4" t="n">
        <v>0.07149999999999999</v>
      </c>
      <c r="AC21" s="4" t="n">
        <v>0.07149999999999999</v>
      </c>
      <c r="AD21" s="4" t="n">
        <v>0.07149999999999999</v>
      </c>
      <c r="AE21" s="4" t="n">
        <v>0.07149999999999999</v>
      </c>
      <c r="AF21" s="4" t="n">
        <v>0.07149999999999999</v>
      </c>
      <c r="AG21" s="4" t="n">
        <v>0.07149999999999999</v>
      </c>
      <c r="AH21" s="4" t="n">
        <v>0.07149999999999999</v>
      </c>
      <c r="AI21" s="4" t="n">
        <v>0.07149999999999999</v>
      </c>
      <c r="AJ21" s="4" t="n">
        <v>0.07149999999999999</v>
      </c>
      <c r="AK21" s="4" t="n">
        <v>0.07149999999999999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1.4</v>
      </c>
      <c r="I22" s="13" t="n">
        <v>1.4</v>
      </c>
      <c r="J22" s="13" t="n">
        <v>1.4</v>
      </c>
      <c r="K22" s="13" t="n">
        <v>1.4</v>
      </c>
      <c r="L22" s="13" t="n">
        <v>1.4</v>
      </c>
      <c r="M22" s="13" t="n">
        <v>1.428</v>
      </c>
      <c r="N22" s="13" t="n">
        <v>1.45656</v>
      </c>
      <c r="O22" s="13" t="n">
        <v>1.4856912</v>
      </c>
      <c r="P22" s="13" t="n">
        <v>1.515405024</v>
      </c>
      <c r="Q22" s="13" t="n">
        <v>1.54571312448</v>
      </c>
      <c r="R22" s="13" t="n">
        <v>1.5766273869696</v>
      </c>
      <c r="S22" s="13" t="n">
        <v>1.608159934708992</v>
      </c>
      <c r="T22" s="13" t="n">
        <v>1.640323133403172</v>
      </c>
      <c r="U22" s="13" t="n">
        <v>1.673129596071235</v>
      </c>
      <c r="V22" s="13" t="n">
        <v>1.70659218799266</v>
      </c>
      <c r="W22" s="13" t="n">
        <v>1.740724031752513</v>
      </c>
      <c r="X22" s="13" t="n">
        <v>1.775538512387564</v>
      </c>
      <c r="Y22" s="13" t="n">
        <v>1.811049282635315</v>
      </c>
      <c r="Z22" s="13" t="n">
        <v>1.847270268288021</v>
      </c>
      <c r="AA22" s="13" t="n">
        <v>1.884215673653782</v>
      </c>
      <c r="AB22" s="13" t="n">
        <v>1.921899987126857</v>
      </c>
      <c r="AC22" s="13" t="n">
        <v>1.960337986869395</v>
      </c>
      <c r="AD22" s="13" t="n">
        <v>1.999544746606783</v>
      </c>
      <c r="AE22" s="13" t="n">
        <v>2.039535641538918</v>
      </c>
      <c r="AF22" s="13" t="n">
        <v>2.080326354369697</v>
      </c>
      <c r="AG22" s="13" t="n">
        <v>2.121932881457091</v>
      </c>
      <c r="AH22" s="13" t="n">
        <v>2.164371539086233</v>
      </c>
      <c r="AI22" s="13" t="n">
        <v>2.207658969867957</v>
      </c>
      <c r="AJ22" s="13" t="n">
        <v>2.251812149265316</v>
      </c>
      <c r="AK22" s="13" t="n">
        <v>2.296848392250623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0.3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0.67</v>
      </c>
      <c r="I24" s="3" t="n">
        <v>0.67</v>
      </c>
      <c r="J24" s="3" t="n">
        <v>0.67</v>
      </c>
      <c r="K24" s="3" t="n">
        <v>0.67</v>
      </c>
      <c r="L24" s="3" t="n">
        <v>0.67</v>
      </c>
      <c r="M24" s="3" t="n">
        <v>0.6834</v>
      </c>
      <c r="N24" s="3" t="n">
        <v>0.697068</v>
      </c>
      <c r="O24" s="3" t="n">
        <v>0.7110093600000001</v>
      </c>
      <c r="P24" s="3" t="n">
        <v>0.7252295472</v>
      </c>
      <c r="Q24" s="3" t="n">
        <v>0.739734138144</v>
      </c>
      <c r="R24" s="3" t="n">
        <v>0.7545288209068801</v>
      </c>
      <c r="S24" s="3" t="n">
        <v>0.7696193973250177</v>
      </c>
      <c r="T24" s="3" t="n">
        <v>0.785011785271518</v>
      </c>
      <c r="U24" s="3" t="n">
        <v>0.8007120209769485</v>
      </c>
      <c r="V24" s="3" t="n">
        <v>0.8167262613964874</v>
      </c>
      <c r="W24" s="3" t="n">
        <v>0.8330607866244172</v>
      </c>
      <c r="X24" s="3" t="n">
        <v>0.8497220023569055</v>
      </c>
      <c r="Y24" s="3" t="n">
        <v>0.8667164424040438</v>
      </c>
      <c r="Z24" s="3" t="n">
        <v>0.8840507712521245</v>
      </c>
      <c r="AA24" s="3" t="n">
        <v>0.901731786677167</v>
      </c>
      <c r="AB24" s="3" t="n">
        <v>0.9197664224107104</v>
      </c>
      <c r="AC24" s="3" t="n">
        <v>0.9381617508589247</v>
      </c>
      <c r="AD24" s="3" t="n">
        <v>0.9569249858761032</v>
      </c>
      <c r="AE24" s="3" t="n">
        <v>0.9760634855936252</v>
      </c>
      <c r="AF24" s="3" t="n">
        <v>0.9955847553054978</v>
      </c>
      <c r="AG24" s="3" t="n">
        <v>1.015496450411608</v>
      </c>
      <c r="AH24" s="3" t="n">
        <v>1.03580637941984</v>
      </c>
      <c r="AI24" s="3" t="n">
        <v>1.056522507008237</v>
      </c>
      <c r="AJ24" s="3" t="n">
        <v>1.077652957148401</v>
      </c>
      <c r="AK24" s="3" t="n">
        <v>1.09920601629137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1.16</v>
      </c>
      <c r="I25" s="3" t="n">
        <v>1.16</v>
      </c>
      <c r="J25" s="3" t="n">
        <v>1.16</v>
      </c>
      <c r="K25" s="3" t="n">
        <v>1.16</v>
      </c>
      <c r="L25" s="3" t="n">
        <v>1.16</v>
      </c>
      <c r="M25" s="3" t="n">
        <v>1.1832</v>
      </c>
      <c r="N25" s="3" t="n">
        <v>1.206864</v>
      </c>
      <c r="O25" s="3" t="n">
        <v>1.23100128</v>
      </c>
      <c r="P25" s="3" t="n">
        <v>1.2556213056</v>
      </c>
      <c r="Q25" s="3" t="n">
        <v>1.280733731712</v>
      </c>
      <c r="R25" s="3" t="n">
        <v>1.30634840634624</v>
      </c>
      <c r="S25" s="3" t="n">
        <v>1.332475374473165</v>
      </c>
      <c r="T25" s="3" t="n">
        <v>1.359124881962628</v>
      </c>
      <c r="U25" s="3" t="n">
        <v>1.386307379601881</v>
      </c>
      <c r="V25" s="3" t="n">
        <v>1.414033527193918</v>
      </c>
      <c r="W25" s="3" t="n">
        <v>1.442314197737797</v>
      </c>
      <c r="X25" s="3" t="n">
        <v>1.471160481692553</v>
      </c>
      <c r="Y25" s="3" t="n">
        <v>1.500583691326404</v>
      </c>
      <c r="Z25" s="3" t="n">
        <v>1.530595365152932</v>
      </c>
      <c r="AA25" s="3" t="n">
        <v>1.561207272455991</v>
      </c>
      <c r="AB25" s="3" t="n">
        <v>1.59243141790511</v>
      </c>
      <c r="AC25" s="3" t="n">
        <v>1.624280046263213</v>
      </c>
      <c r="AD25" s="3" t="n">
        <v>1.656765647188477</v>
      </c>
      <c r="AE25" s="3" t="n">
        <v>1.689900960132247</v>
      </c>
      <c r="AF25" s="3" t="n">
        <v>1.723698979334892</v>
      </c>
      <c r="AG25" s="3" t="n">
        <v>1.758172958921589</v>
      </c>
      <c r="AH25" s="3" t="n">
        <v>1.793336418100021</v>
      </c>
      <c r="AI25" s="3" t="n">
        <v>1.829203146462022</v>
      </c>
      <c r="AJ25" s="3" t="n">
        <v>1.865787209391262</v>
      </c>
      <c r="AK25" s="3" t="n">
        <v>1.903102953579087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12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0</v>
      </c>
      <c r="AD26" s="13" t="n">
        <v>0</v>
      </c>
      <c r="AE26" s="13" t="n">
        <v>0</v>
      </c>
      <c r="AF26" s="13" t="n">
        <v>0</v>
      </c>
      <c r="AG26" s="13" t="n">
        <v>0</v>
      </c>
      <c r="AH26" s="13" t="n">
        <v>0</v>
      </c>
      <c r="AI26" s="13" t="n">
        <v>0</v>
      </c>
      <c r="AJ26" s="13" t="n">
        <v>0</v>
      </c>
      <c r="AK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0.08</v>
      </c>
      <c r="I27" s="4" t="n">
        <v>0.08</v>
      </c>
      <c r="J27" s="4" t="n">
        <v>0.08</v>
      </c>
      <c r="K27" s="4" t="n">
        <v>0.08</v>
      </c>
      <c r="L27" s="4" t="n">
        <v>0.08</v>
      </c>
      <c r="M27" s="4" t="n">
        <v>0.08</v>
      </c>
      <c r="N27" s="4" t="n">
        <v>0.08</v>
      </c>
      <c r="O27" s="4" t="n">
        <v>0.08</v>
      </c>
      <c r="P27" s="4" t="n">
        <v>0.08</v>
      </c>
      <c r="Q27" s="4" t="n">
        <v>0.08</v>
      </c>
      <c r="R27" s="4" t="n">
        <v>0.08</v>
      </c>
      <c r="S27" s="4" t="n">
        <v>0.08</v>
      </c>
      <c r="T27" s="4" t="n">
        <v>0.08</v>
      </c>
      <c r="U27" s="4" t="n">
        <v>0.08</v>
      </c>
      <c r="V27" s="4" t="n">
        <v>0.08</v>
      </c>
      <c r="W27" s="4" t="n">
        <v>0.08</v>
      </c>
      <c r="X27" s="4" t="n">
        <v>0.08</v>
      </c>
      <c r="Y27" s="4" t="n">
        <v>0.08</v>
      </c>
      <c r="Z27" s="4" t="n">
        <v>0.08</v>
      </c>
      <c r="AA27" s="4" t="n">
        <v>0.08</v>
      </c>
      <c r="AB27" s="4" t="n">
        <v>0.08</v>
      </c>
      <c r="AC27" s="4" t="n">
        <v>0.08</v>
      </c>
      <c r="AD27" s="4" t="n">
        <v>0.08</v>
      </c>
      <c r="AE27" s="4" t="n">
        <v>0.08</v>
      </c>
      <c r="AF27" s="4" t="n">
        <v>0.08</v>
      </c>
      <c r="AG27" s="4" t="n">
        <v>0.08</v>
      </c>
      <c r="AH27" s="4" t="n">
        <v>0.08</v>
      </c>
      <c r="AI27" s="4" t="n">
        <v>0.08</v>
      </c>
      <c r="AJ27" s="4" t="n">
        <v>0.08</v>
      </c>
      <c r="AK27" s="4" t="n">
        <v>0.08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0.15</v>
      </c>
      <c r="I28" s="4" t="n">
        <v>0.15</v>
      </c>
      <c r="J28" s="4" t="n">
        <v>0.15</v>
      </c>
      <c r="K28" s="4" t="n">
        <v>0.15</v>
      </c>
      <c r="L28" s="4" t="n">
        <v>0.15</v>
      </c>
      <c r="M28" s="4" t="n">
        <v>0.22</v>
      </c>
      <c r="N28" s="4" t="n">
        <v>0.22</v>
      </c>
      <c r="O28" s="4" t="n">
        <v>0.22</v>
      </c>
      <c r="P28" s="4" t="n">
        <v>0.22</v>
      </c>
      <c r="Q28" s="4" t="n">
        <v>0.22</v>
      </c>
      <c r="R28" s="4" t="n">
        <v>0.22</v>
      </c>
      <c r="S28" s="4" t="n">
        <v>0.22</v>
      </c>
      <c r="T28" s="4" t="n">
        <v>0.22</v>
      </c>
      <c r="U28" s="4" t="n">
        <v>0.22</v>
      </c>
      <c r="V28" s="4" t="n">
        <v>0.22</v>
      </c>
      <c r="W28" s="4" t="n">
        <v>0.22</v>
      </c>
      <c r="X28" s="4" t="n">
        <v>0.22</v>
      </c>
      <c r="Y28" s="4" t="n">
        <v>0.22</v>
      </c>
      <c r="Z28" s="4" t="n">
        <v>0.22</v>
      </c>
      <c r="AA28" s="4" t="n">
        <v>0.22</v>
      </c>
      <c r="AB28" s="4" t="n">
        <v>0.22</v>
      </c>
      <c r="AC28" s="4" t="n">
        <v>0.22</v>
      </c>
      <c r="AD28" s="4" t="n">
        <v>0.22</v>
      </c>
      <c r="AE28" s="4" t="n">
        <v>0.22</v>
      </c>
      <c r="AF28" s="4" t="n">
        <v>0.22</v>
      </c>
      <c r="AG28" s="4" t="n">
        <v>0.22</v>
      </c>
      <c r="AH28" s="4" t="n">
        <v>0.22</v>
      </c>
      <c r="AI28" s="4" t="n">
        <v>0.22</v>
      </c>
      <c r="AJ28" s="4" t="n">
        <v>0.22</v>
      </c>
      <c r="AK28" s="4" t="n">
        <v>0.22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0.1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0.07000000000000001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  <c r="AG31" s="13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0.08</v>
      </c>
      <c r="I33" s="4" t="n">
        <v>0.08</v>
      </c>
      <c r="J33" s="4" t="n">
        <v>0.08</v>
      </c>
      <c r="K33" s="4" t="n">
        <v>0.08</v>
      </c>
      <c r="L33" s="4" t="n">
        <v>0.08</v>
      </c>
      <c r="M33" s="4" t="n">
        <v>0.08</v>
      </c>
      <c r="N33" s="4" t="n">
        <v>0.08</v>
      </c>
      <c r="O33" s="4" t="n">
        <v>0.08</v>
      </c>
      <c r="P33" s="4" t="n">
        <v>0.08</v>
      </c>
      <c r="Q33" s="4" t="n">
        <v>0.08</v>
      </c>
      <c r="R33" s="4" t="n">
        <v>0.08</v>
      </c>
      <c r="S33" s="4" t="n">
        <v>0.08</v>
      </c>
      <c r="T33" s="4" t="n">
        <v>0.08</v>
      </c>
      <c r="U33" s="4" t="n">
        <v>0.08</v>
      </c>
      <c r="V33" s="4" t="n">
        <v>0.08</v>
      </c>
      <c r="W33" s="4" t="n">
        <v>0.08</v>
      </c>
      <c r="X33" s="4" t="n">
        <v>0.08</v>
      </c>
      <c r="Y33" s="4" t="n">
        <v>0.08</v>
      </c>
      <c r="Z33" s="4" t="n">
        <v>0.08</v>
      </c>
      <c r="AA33" s="4" t="n">
        <v>0.08</v>
      </c>
      <c r="AB33" s="4" t="n">
        <v>0.08</v>
      </c>
      <c r="AC33" s="4" t="n">
        <v>0.08</v>
      </c>
      <c r="AD33" s="4" t="n">
        <v>0.08</v>
      </c>
      <c r="AE33" s="4" t="n">
        <v>0.08</v>
      </c>
      <c r="AF33" s="4" t="n">
        <v>0.08</v>
      </c>
      <c r="AG33" s="4" t="n">
        <v>0.08</v>
      </c>
      <c r="AH33" s="4" t="n">
        <v>0.08</v>
      </c>
      <c r="AI33" s="4" t="n">
        <v>0.08</v>
      </c>
      <c r="AJ33" s="4" t="n">
        <v>0.08</v>
      </c>
      <c r="AK33" s="4" t="n">
        <v>0.08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0.02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0.357</v>
      </c>
      <c r="I37" s="4" t="n">
        <v>0.357</v>
      </c>
      <c r="J37" s="4" t="n">
        <v>0.357</v>
      </c>
      <c r="K37" s="4" t="n">
        <v>0.357</v>
      </c>
      <c r="L37" s="4" t="n">
        <v>0.357</v>
      </c>
      <c r="M37" s="4" t="n">
        <v>0.357</v>
      </c>
      <c r="N37" s="4" t="n">
        <v>0.357</v>
      </c>
      <c r="O37" s="4" t="n">
        <v>0.357</v>
      </c>
      <c r="P37" s="4" t="n">
        <v>0.357</v>
      </c>
      <c r="Q37" s="4" t="n">
        <v>0.357</v>
      </c>
      <c r="R37" s="4" t="n">
        <v>0.357</v>
      </c>
      <c r="S37" s="4" t="n">
        <v>0.357</v>
      </c>
      <c r="T37" s="4" t="n">
        <v>0.357</v>
      </c>
      <c r="U37" s="4" t="n">
        <v>0.357</v>
      </c>
      <c r="V37" s="4" t="n">
        <v>0.357</v>
      </c>
      <c r="W37" s="4" t="n">
        <v>0.357</v>
      </c>
      <c r="X37" s="4" t="n">
        <v>0.357</v>
      </c>
      <c r="Y37" s="4" t="n">
        <v>0.357</v>
      </c>
      <c r="Z37" s="4" t="n">
        <v>0.357</v>
      </c>
      <c r="AA37" s="4" t="n">
        <v>0.357</v>
      </c>
      <c r="AB37" s="4" t="n">
        <v>0.357</v>
      </c>
      <c r="AC37" s="4" t="n">
        <v>0.357</v>
      </c>
      <c r="AD37" s="4" t="n">
        <v>0.357</v>
      </c>
      <c r="AE37" s="4" t="n">
        <v>0.357</v>
      </c>
      <c r="AF37" s="4" t="n">
        <v>0.357</v>
      </c>
      <c r="AG37" s="4" t="n">
        <v>0.357</v>
      </c>
      <c r="AH37" s="4" t="n">
        <v>0.357</v>
      </c>
      <c r="AI37" s="4" t="n">
        <v>0.357</v>
      </c>
      <c r="AJ37" s="4" t="n">
        <v>0.357</v>
      </c>
      <c r="AK37" s="4" t="n">
        <v>0.357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>
        <v>298</v>
      </c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  <c r="P40" s="15">
        <f>MAX((O40-P41),0)</f>
        <v/>
      </c>
      <c r="Q40" s="15">
        <f>MAX((P40-Q41),0)</f>
        <v/>
      </c>
      <c r="R40" s="15">
        <f>MAX((Q40-R41),0)</f>
        <v/>
      </c>
      <c r="S40" s="15">
        <f>MAX((R40-S41),0)</f>
        <v/>
      </c>
      <c r="T40" s="15">
        <f>MAX((S40-T41),0)</f>
        <v/>
      </c>
      <c r="U40" s="15">
        <f>MAX((T40-U41),0)</f>
        <v/>
      </c>
      <c r="V40" s="15">
        <f>MAX((U40-V41),0)</f>
        <v/>
      </c>
      <c r="W40" s="15">
        <f>MAX((V40-W41),0)</f>
        <v/>
      </c>
      <c r="X40" s="15">
        <f>MAX((W40-X41),0)</f>
        <v/>
      </c>
      <c r="Y40" s="15">
        <f>MAX((X40-Y41),0)</f>
        <v/>
      </c>
      <c r="Z40" s="15">
        <f>MAX((Y40-Z41),0)</f>
        <v/>
      </c>
      <c r="AA40" s="15">
        <f>MAX((Z40-AA41),0)</f>
        <v/>
      </c>
      <c r="AB40" s="15">
        <f>MAX((AA40-AB41),0)</f>
        <v/>
      </c>
      <c r="AC40" s="15">
        <f>MAX((AB40-AC41),0)</f>
        <v/>
      </c>
      <c r="AD40" s="15">
        <f>MAX((AC40-AD41),0)</f>
        <v/>
      </c>
      <c r="AE40" s="15">
        <f>MAX((AD40-AE41),0)</f>
        <v/>
      </c>
      <c r="AF40" s="15">
        <f>MAX((AE40-AF41),0)</f>
        <v/>
      </c>
      <c r="AG40" s="15">
        <f>MAX((AF40-AG41),0)</f>
        <v/>
      </c>
      <c r="AH40" s="15">
        <f>MAX((AG40-AH41),0)</f>
        <v/>
      </c>
      <c r="AI40" s="15">
        <f>MAX((AH40-AI41),0)</f>
        <v/>
      </c>
      <c r="AJ40" s="15">
        <f>MAX((AI40-AJ41),0)</f>
        <v/>
      </c>
      <c r="AK40" s="15">
        <f>MAX((AJ40-AK41),0)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/>
      <c r="F41" s="13" t="n">
        <v>3.663566</v>
      </c>
      <c r="G41" s="13" t="n">
        <v>3.51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  <c r="P41" s="15">
        <f>IF(($C$9&gt;0),MIN(P14,MAX(O40,0)),P14)</f>
        <v/>
      </c>
      <c r="Q41" s="15">
        <f>IF(($C$9&gt;0),MIN(Q14,MAX(P40,0)),Q14)</f>
        <v/>
      </c>
      <c r="R41" s="15">
        <f>IF(($C$9&gt;0),MIN(R14,MAX(Q40,0)),R14)</f>
        <v/>
      </c>
      <c r="S41" s="15">
        <f>IF(($C$9&gt;0),MIN(S14,MAX(R40,0)),S14)</f>
        <v/>
      </c>
      <c r="T41" s="15">
        <f>IF(($C$9&gt;0),MIN(T14,MAX(S40,0)),T14)</f>
        <v/>
      </c>
      <c r="U41" s="15">
        <f>IF(($C$9&gt;0),MIN(U14,MAX(T40,0)),U14)</f>
        <v/>
      </c>
      <c r="V41" s="15">
        <f>IF(($C$9&gt;0),MIN(V14,MAX(U40,0)),V14)</f>
        <v/>
      </c>
      <c r="W41" s="15">
        <f>IF(($C$9&gt;0),MIN(W14,MAX(V40,0)),W14)</f>
        <v/>
      </c>
      <c r="X41" s="15">
        <f>IF(($C$9&gt;0),MIN(X14,MAX(W40,0)),X14)</f>
        <v/>
      </c>
      <c r="Y41" s="15">
        <f>IF(($C$9&gt;0),MIN(Y14,MAX(X40,0)),Y14)</f>
        <v/>
      </c>
      <c r="Z41" s="15">
        <f>IF(($C$9&gt;0),MIN(Z14,MAX(Y40,0)),Z14)</f>
        <v/>
      </c>
      <c r="AA41" s="15">
        <f>IF(($C$9&gt;0),MIN(AA14,MAX(Z40,0)),AA14)</f>
        <v/>
      </c>
      <c r="AB41" s="15">
        <f>IF(($C$9&gt;0),MIN(AB14,MAX(AA40,0)),AB14)</f>
        <v/>
      </c>
      <c r="AC41" s="15">
        <f>IF(($C$9&gt;0),MIN(AC14,MAX(AB40,0)),AC14)</f>
        <v/>
      </c>
      <c r="AD41" s="15">
        <f>IF(($C$9&gt;0),MIN(AD14,MAX(AC40,0)),AD14)</f>
        <v/>
      </c>
      <c r="AE41" s="15">
        <f>IF(($C$9&gt;0),MIN(AE14,MAX(AD40,0)),AE14)</f>
        <v/>
      </c>
      <c r="AF41" s="15">
        <f>IF(($C$9&gt;0),MIN(AF14,MAX(AE40,0)),AF14)</f>
        <v/>
      </c>
      <c r="AG41" s="15">
        <f>IF(($C$9&gt;0),MIN(AG14,MAX(AF40,0)),AG14)</f>
        <v/>
      </c>
      <c r="AH41" s="15">
        <f>IF(($C$9&gt;0),MIN(AH14,MAX(AG40,0)),AH14)</f>
        <v/>
      </c>
      <c r="AI41" s="15">
        <f>IF(($C$9&gt;0),MIN(AI14,MAX(AH40,0)),AI14)</f>
        <v/>
      </c>
      <c r="AJ41" s="15">
        <f>IF(($C$9&gt;0),MIN(AJ14,MAX(AI40,0)),AJ14)</f>
        <v/>
      </c>
      <c r="AK41" s="15">
        <f>IF(($C$9&gt;0),MIN(AK14,MAX(AJ40,0)),AK14)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  <c r="K42" s="16">
        <f>Drivers!$O$6</f>
        <v/>
      </c>
      <c r="L42" s="16">
        <f>Drivers!$P$6</f>
        <v/>
      </c>
      <c r="M42" s="16">
        <f>Drivers!$Q$6</f>
        <v/>
      </c>
      <c r="N42" s="16">
        <f>Drivers!$R$6</f>
        <v/>
      </c>
      <c r="O42" s="16">
        <f>Drivers!$S$6</f>
        <v/>
      </c>
      <c r="P42" s="16">
        <f>Drivers!$T$6</f>
        <v/>
      </c>
      <c r="Q42" s="16">
        <f>Drivers!$U$6</f>
        <v/>
      </c>
      <c r="R42" s="16">
        <f>Drivers!$V$6</f>
        <v/>
      </c>
      <c r="S42" s="16">
        <f>Drivers!$W$6</f>
        <v/>
      </c>
      <c r="T42" s="16">
        <f>Drivers!$X$6</f>
        <v/>
      </c>
      <c r="U42" s="16">
        <f>Drivers!$Y$6</f>
        <v/>
      </c>
      <c r="V42" s="16">
        <f>Drivers!$Z$6</f>
        <v/>
      </c>
      <c r="W42" s="16">
        <f>Drivers!$AA$6</f>
        <v/>
      </c>
      <c r="X42" s="16">
        <f>Drivers!$AB$6</f>
        <v/>
      </c>
      <c r="Y42" s="16">
        <f>Drivers!$AC$6</f>
        <v/>
      </c>
      <c r="Z42" s="16">
        <f>Drivers!$AD$6</f>
        <v/>
      </c>
      <c r="AA42" s="16">
        <f>Drivers!$AE$6</f>
        <v/>
      </c>
      <c r="AB42" s="16">
        <f>Drivers!$AF$6</f>
        <v/>
      </c>
      <c r="AC42" s="16">
        <f>Drivers!$AG$6</f>
        <v/>
      </c>
      <c r="AD42" s="16">
        <f>Drivers!$AH$6</f>
        <v/>
      </c>
      <c r="AE42" s="16">
        <f>Drivers!$AI$6</f>
        <v/>
      </c>
      <c r="AF42" s="16">
        <f>Drivers!$AJ$6</f>
        <v/>
      </c>
      <c r="AG42" s="16">
        <f>Drivers!$AK$6</f>
        <v/>
      </c>
      <c r="AH42" s="16">
        <f>Drivers!$AL$6</f>
        <v/>
      </c>
      <c r="AI42" s="16">
        <f>Drivers!$AM$6</f>
        <v/>
      </c>
      <c r="AJ42" s="16">
        <f>Drivers!$AN$6</f>
        <v/>
      </c>
      <c r="AK42" s="16">
        <f>Drivers!$AO$6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/>
      <c r="G43" s="3" t="n"/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  <c r="K43" s="16">
        <f>(((K15*K42)*(1-K16))+(MIN(Drivers!$O$4,(K15*K42))*K16))</f>
        <v/>
      </c>
      <c r="L43" s="16">
        <f>(((L15*L42)*(1-L16))+(MIN(Drivers!$P$4,(L15*L42))*L16))</f>
        <v/>
      </c>
      <c r="M43" s="16">
        <f>(((M15*M42)*(1-M16))+(MIN(Drivers!$Q$4,(M15*M42))*M16))</f>
        <v/>
      </c>
      <c r="N43" s="16">
        <f>(((N15*N42)*(1-N16))+(MIN(Drivers!$R$4,(N15*N42))*N16))</f>
        <v/>
      </c>
      <c r="O43" s="16">
        <f>(((O15*O42)*(1-O16))+(MIN(Drivers!$S$4,(O15*O42))*O16))</f>
        <v/>
      </c>
      <c r="P43" s="16">
        <f>(((P15*P42)*(1-P16))+(MIN(Drivers!$T$4,(P15*P42))*P16))</f>
        <v/>
      </c>
      <c r="Q43" s="16">
        <f>(((Q15*Q42)*(1-Q16))+(MIN(Drivers!$U$4,(Q15*Q42))*Q16))</f>
        <v/>
      </c>
      <c r="R43" s="16">
        <f>(((R15*R42)*(1-R16))+(MIN(Drivers!$V$4,(R15*R42))*R16))</f>
        <v/>
      </c>
      <c r="S43" s="16">
        <f>(((S15*S42)*(1-S16))+(MIN(Drivers!$W$4,(S15*S42))*S16))</f>
        <v/>
      </c>
      <c r="T43" s="16">
        <f>(((T15*T42)*(1-T16))+(MIN(Drivers!$X$4,(T15*T42))*T16))</f>
        <v/>
      </c>
      <c r="U43" s="16">
        <f>(((U15*U42)*(1-U16))+(MIN(Drivers!$Y$4,(U15*U42))*U16))</f>
        <v/>
      </c>
      <c r="V43" s="16">
        <f>(((V15*V42)*(1-V16))+(MIN(Drivers!$Z$4,(V15*V42))*V16))</f>
        <v/>
      </c>
      <c r="W43" s="16">
        <f>(((W15*W42)*(1-W16))+(MIN(Drivers!$AA$4,(W15*W42))*W16))</f>
        <v/>
      </c>
      <c r="X43" s="16">
        <f>(((X15*X42)*(1-X16))+(MIN(Drivers!$AB$4,(X15*X42))*X16))</f>
        <v/>
      </c>
      <c r="Y43" s="16">
        <f>(((Y15*Y42)*(1-Y16))+(MIN(Drivers!$AC$4,(Y15*Y42))*Y16))</f>
        <v/>
      </c>
      <c r="Z43" s="16">
        <f>(((Z15*Z42)*(1-Z16))+(MIN(Drivers!$AD$4,(Z15*Z42))*Z16))</f>
        <v/>
      </c>
      <c r="AA43" s="16">
        <f>(((AA15*AA42)*(1-AA16))+(MIN(Drivers!$AE$4,(AA15*AA42))*AA16))</f>
        <v/>
      </c>
      <c r="AB43" s="16">
        <f>(((AB15*AB42)*(1-AB16))+(MIN(Drivers!$AF$4,(AB15*AB42))*AB16))</f>
        <v/>
      </c>
      <c r="AC43" s="16">
        <f>(((AC15*AC42)*(1-AC16))+(MIN(Drivers!$AG$4,(AC15*AC42))*AC16))</f>
        <v/>
      </c>
      <c r="AD43" s="16">
        <f>(((AD15*AD42)*(1-AD16))+(MIN(Drivers!$AH$4,(AD15*AD42))*AD16))</f>
        <v/>
      </c>
      <c r="AE43" s="16">
        <f>(((AE15*AE42)*(1-AE16))+(MIN(Drivers!$AI$4,(AE15*AE42))*AE16))</f>
        <v/>
      </c>
      <c r="AF43" s="16">
        <f>(((AF15*AF42)*(1-AF16))+(MIN(Drivers!$AJ$4,(AF15*AF42))*AF16))</f>
        <v/>
      </c>
      <c r="AG43" s="16">
        <f>(((AG15*AG42)*(1-AG16))+(MIN(Drivers!$AK$4,(AG15*AG42))*AG16))</f>
        <v/>
      </c>
      <c r="AH43" s="16">
        <f>(((AH15*AH42)*(1-AH16))+(MIN(Drivers!$AL$4,(AH15*AH42))*AH16))</f>
        <v/>
      </c>
      <c r="AI43" s="16">
        <f>(((AI15*AI42)*(1-AI16))+(MIN(Drivers!$AM$4,(AI15*AI42))*AI16))</f>
        <v/>
      </c>
      <c r="AJ43" s="16">
        <f>(((AJ15*AJ42)*(1-AJ16))+(MIN(Drivers!$AN$4,(AJ15*AJ42))*AJ16))</f>
        <v/>
      </c>
      <c r="AK43" s="16">
        <f>(((AK15*AK42)*(1-AK16))+(MIN(Drivers!$AO$4,(AK15*AK42))*AK16))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  <c r="L44" s="17">
        <f>IF(L42=0,0,L43/L42)</f>
        <v/>
      </c>
      <c r="M44" s="17">
        <f>IF(M42=0,0,M43/M42)</f>
        <v/>
      </c>
      <c r="N44" s="17">
        <f>IF(N42=0,0,N43/N42)</f>
        <v/>
      </c>
      <c r="O44" s="17">
        <f>IF(O42=0,0,O43/O42)</f>
        <v/>
      </c>
      <c r="P44" s="17">
        <f>IF(P42=0,0,P43/P42)</f>
        <v/>
      </c>
      <c r="Q44" s="17">
        <f>IF(Q42=0,0,Q43/Q42)</f>
        <v/>
      </c>
      <c r="R44" s="17">
        <f>IF(R42=0,0,R43/R42)</f>
        <v/>
      </c>
      <c r="S44" s="17">
        <f>IF(S42=0,0,S43/S42)</f>
        <v/>
      </c>
      <c r="T44" s="17">
        <f>IF(T42=0,0,T43/T42)</f>
        <v/>
      </c>
      <c r="U44" s="17">
        <f>IF(U42=0,0,U43/U42)</f>
        <v/>
      </c>
      <c r="V44" s="17">
        <f>IF(V42=0,0,V43/V42)</f>
        <v/>
      </c>
      <c r="W44" s="17">
        <f>IF(W42=0,0,W43/W42)</f>
        <v/>
      </c>
      <c r="X44" s="17">
        <f>IF(X42=0,0,X43/X42)</f>
        <v/>
      </c>
      <c r="Y44" s="17">
        <f>IF(Y42=0,0,Y43/Y42)</f>
        <v/>
      </c>
      <c r="Z44" s="17">
        <f>IF(Z42=0,0,Z43/Z42)</f>
        <v/>
      </c>
      <c r="AA44" s="17">
        <f>IF(AA42=0,0,AA43/AA42)</f>
        <v/>
      </c>
      <c r="AB44" s="17">
        <f>IF(AB42=0,0,AB43/AB42)</f>
        <v/>
      </c>
      <c r="AC44" s="17">
        <f>IF(AC42=0,0,AC43/AC42)</f>
        <v/>
      </c>
      <c r="AD44" s="17">
        <f>IF(AD42=0,0,AD43/AD42)</f>
        <v/>
      </c>
      <c r="AE44" s="17">
        <f>IF(AE42=0,0,AE43/AE42)</f>
        <v/>
      </c>
      <c r="AF44" s="17">
        <f>IF(AF42=0,0,AF43/AF42)</f>
        <v/>
      </c>
      <c r="AG44" s="17">
        <f>IF(AG42=0,0,AG43/AG42)</f>
        <v/>
      </c>
      <c r="AH44" s="17">
        <f>IF(AH42=0,0,AH43/AH42)</f>
        <v/>
      </c>
      <c r="AI44" s="17">
        <f>IF(AI42=0,0,AI43/AI42)</f>
        <v/>
      </c>
      <c r="AJ44" s="17">
        <f>IF(AJ42=0,0,AJ43/AJ42)</f>
        <v/>
      </c>
      <c r="AK44" s="17">
        <f>IF(AK42=0,0,AK43/AK42)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6">
        <f>(((H17*H18)*(1+($C$19*(IF(Drivers!$J$8=0,0,Drivers!$L$8/Drivers!$J$8)-1))))+H20)</f>
        <v/>
      </c>
      <c r="I45" s="16">
        <f>(((I17*I18)*(1+($C$19*(IF(Drivers!$J$8=0,0,Drivers!$M$8/Drivers!$J$8)-1))))+I20)</f>
        <v/>
      </c>
      <c r="J45" s="16">
        <f>(((J17*J18)*(1+($C$19*(IF(Drivers!$J$8=0,0,Drivers!$N$8/Drivers!$J$8)-1))))+J20)</f>
        <v/>
      </c>
      <c r="K45" s="16">
        <f>(((K17*K18)*(1+($C$19*(IF(Drivers!$J$8=0,0,Drivers!$O$8/Drivers!$J$8)-1))))+K20)</f>
        <v/>
      </c>
      <c r="L45" s="16">
        <f>(((L17*L18)*(1+($C$19*(IF(Drivers!$J$8=0,0,Drivers!$P$8/Drivers!$J$8)-1))))+L20)</f>
        <v/>
      </c>
      <c r="M45" s="16">
        <f>(((M17*M18)*(1+($C$19*(IF(Drivers!$J$8=0,0,Drivers!$Q$8/Drivers!$J$8)-1))))+M20)</f>
        <v/>
      </c>
      <c r="N45" s="16">
        <f>(((N17*N18)*(1+($C$19*(IF(Drivers!$J$8=0,0,Drivers!$R$8/Drivers!$J$8)-1))))+N20)</f>
        <v/>
      </c>
      <c r="O45" s="16">
        <f>(((O17*O18)*(1+($C$19*(IF(Drivers!$J$8=0,0,Drivers!$S$8/Drivers!$J$8)-1))))+O20)</f>
        <v/>
      </c>
      <c r="P45" s="16">
        <f>(((P17*P18)*(1+($C$19*(IF(Drivers!$J$8=0,0,Drivers!$T$8/Drivers!$J$8)-1))))+P20)</f>
        <v/>
      </c>
      <c r="Q45" s="16">
        <f>(((Q17*Q18)*(1+($C$19*(IF(Drivers!$J$8=0,0,Drivers!$U$8/Drivers!$J$8)-1))))+Q20)</f>
        <v/>
      </c>
      <c r="R45" s="16">
        <f>(((R17*R18)*(1+($C$19*(IF(Drivers!$J$8=0,0,Drivers!$V$8/Drivers!$J$8)-1))))+R20)</f>
        <v/>
      </c>
      <c r="S45" s="16">
        <f>(((S17*S18)*(1+($C$19*(IF(Drivers!$J$8=0,0,Drivers!$W$8/Drivers!$J$8)-1))))+S20)</f>
        <v/>
      </c>
      <c r="T45" s="16">
        <f>(((T17*T18)*(1+($C$19*(IF(Drivers!$J$8=0,0,Drivers!$X$8/Drivers!$J$8)-1))))+T20)</f>
        <v/>
      </c>
      <c r="U45" s="16">
        <f>(((U17*U18)*(1+($C$19*(IF(Drivers!$J$8=0,0,Drivers!$Y$8/Drivers!$J$8)-1))))+U20)</f>
        <v/>
      </c>
      <c r="V45" s="16">
        <f>(((V17*V18)*(1+($C$19*(IF(Drivers!$J$8=0,0,Drivers!$Z$8/Drivers!$J$8)-1))))+V20)</f>
        <v/>
      </c>
      <c r="W45" s="16">
        <f>(((W17*W18)*(1+($C$19*(IF(Drivers!$J$8=0,0,Drivers!$AA$8/Drivers!$J$8)-1))))+W20)</f>
        <v/>
      </c>
      <c r="X45" s="16">
        <f>(((X17*X18)*(1+($C$19*(IF(Drivers!$J$8=0,0,Drivers!$AB$8/Drivers!$J$8)-1))))+X20)</f>
        <v/>
      </c>
      <c r="Y45" s="16">
        <f>(((Y17*Y18)*(1+($C$19*(IF(Drivers!$J$8=0,0,Drivers!$AC$8/Drivers!$J$8)-1))))+Y20)</f>
        <v/>
      </c>
      <c r="Z45" s="16">
        <f>(((Z17*Z18)*(1+($C$19*(IF(Drivers!$J$8=0,0,Drivers!$AD$8/Drivers!$J$8)-1))))+Z20)</f>
        <v/>
      </c>
      <c r="AA45" s="16">
        <f>(((AA17*AA18)*(1+($C$19*(IF(Drivers!$J$8=0,0,Drivers!$AE$8/Drivers!$J$8)-1))))+AA20)</f>
        <v/>
      </c>
      <c r="AB45" s="16">
        <f>(((AB17*AB18)*(1+($C$19*(IF(Drivers!$J$8=0,0,Drivers!$AF$8/Drivers!$J$8)-1))))+AB20)</f>
        <v/>
      </c>
      <c r="AC45" s="16">
        <f>(((AC17*AC18)*(1+($C$19*(IF(Drivers!$J$8=0,0,Drivers!$AG$8/Drivers!$J$8)-1))))+AC20)</f>
        <v/>
      </c>
      <c r="AD45" s="16">
        <f>(((AD17*AD18)*(1+($C$19*(IF(Drivers!$J$8=0,0,Drivers!$AH$8/Drivers!$J$8)-1))))+AD20)</f>
        <v/>
      </c>
      <c r="AE45" s="16">
        <f>(((AE17*AE18)*(1+($C$19*(IF(Drivers!$J$8=0,0,Drivers!$AI$8/Drivers!$J$8)-1))))+AE20)</f>
        <v/>
      </c>
      <c r="AF45" s="16">
        <f>(((AF17*AF18)*(1+($C$19*(IF(Drivers!$J$8=0,0,Drivers!$AJ$8/Drivers!$J$8)-1))))+AF20)</f>
        <v/>
      </c>
      <c r="AG45" s="16">
        <f>(((AG17*AG18)*(1+($C$19*(IF(Drivers!$J$8=0,0,Drivers!$AK$8/Drivers!$J$8)-1))))+AG20)</f>
        <v/>
      </c>
      <c r="AH45" s="16">
        <f>(((AH17*AH18)*(1+($C$19*(IF(Drivers!$J$8=0,0,Drivers!$AL$8/Drivers!$J$8)-1))))+AH20)</f>
        <v/>
      </c>
      <c r="AI45" s="16">
        <f>(((AI17*AI18)*(1+($C$19*(IF(Drivers!$J$8=0,0,Drivers!$AM$8/Drivers!$J$8)-1))))+AI20)</f>
        <v/>
      </c>
      <c r="AJ45" s="16">
        <f>(((AJ17*AJ18)*(1+($C$19*(IF(Drivers!$J$8=0,0,Drivers!$AN$8/Drivers!$J$8)-1))))+AJ20)</f>
        <v/>
      </c>
      <c r="AK45" s="16">
        <f>(((AK17*AK18)*(1+($C$19*(IF(Drivers!$J$8=0,0,Drivers!$AO$8/Drivers!$J$8)-1))))+AK20)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/>
      <c r="H46" s="18">
        <f>H17</f>
        <v/>
      </c>
      <c r="I46" s="18">
        <f>I17</f>
        <v/>
      </c>
      <c r="J46" s="18">
        <f>J17</f>
        <v/>
      </c>
      <c r="K46" s="18">
        <f>K17</f>
        <v/>
      </c>
      <c r="L46" s="18">
        <f>L17</f>
        <v/>
      </c>
      <c r="M46" s="18">
        <f>M17</f>
        <v/>
      </c>
      <c r="N46" s="18">
        <f>N17</f>
        <v/>
      </c>
      <c r="O46" s="18">
        <f>O17</f>
        <v/>
      </c>
      <c r="P46" s="18">
        <f>P17</f>
        <v/>
      </c>
      <c r="Q46" s="18">
        <f>Q17</f>
        <v/>
      </c>
      <c r="R46" s="18">
        <f>R17</f>
        <v/>
      </c>
      <c r="S46" s="18">
        <f>S17</f>
        <v/>
      </c>
      <c r="T46" s="18">
        <f>T17</f>
        <v/>
      </c>
      <c r="U46" s="18">
        <f>U17</f>
        <v/>
      </c>
      <c r="V46" s="18">
        <f>V17</f>
        <v/>
      </c>
      <c r="W46" s="18">
        <f>W17</f>
        <v/>
      </c>
      <c r="X46" s="18">
        <f>X17</f>
        <v/>
      </c>
      <c r="Y46" s="18">
        <f>Y17</f>
        <v/>
      </c>
      <c r="Z46" s="18">
        <f>Z17</f>
        <v/>
      </c>
      <c r="AA46" s="18">
        <f>AA17</f>
        <v/>
      </c>
      <c r="AB46" s="18">
        <f>AB17</f>
        <v/>
      </c>
      <c r="AC46" s="18">
        <f>AC17</f>
        <v/>
      </c>
      <c r="AD46" s="18">
        <f>AD17</f>
        <v/>
      </c>
      <c r="AE46" s="18">
        <f>AE17</f>
        <v/>
      </c>
      <c r="AF46" s="18">
        <f>AF17</f>
        <v/>
      </c>
      <c r="AG46" s="18">
        <f>AG17</f>
        <v/>
      </c>
      <c r="AH46" s="18">
        <f>AH17</f>
        <v/>
      </c>
      <c r="AI46" s="18">
        <f>AI17</f>
        <v/>
      </c>
      <c r="AJ46" s="18">
        <f>AJ17</f>
        <v/>
      </c>
      <c r="AK46" s="18">
        <f>AK17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7">
        <f>H21</f>
        <v/>
      </c>
      <c r="I47" s="17">
        <f>I21</f>
        <v/>
      </c>
      <c r="J47" s="17">
        <f>J21</f>
        <v/>
      </c>
      <c r="K47" s="17">
        <f>K21</f>
        <v/>
      </c>
      <c r="L47" s="17">
        <f>L21</f>
        <v/>
      </c>
      <c r="M47" s="17">
        <f>M21</f>
        <v/>
      </c>
      <c r="N47" s="17">
        <f>N21</f>
        <v/>
      </c>
      <c r="O47" s="17">
        <f>O21</f>
        <v/>
      </c>
      <c r="P47" s="17">
        <f>P21</f>
        <v/>
      </c>
      <c r="Q47" s="17">
        <f>Q21</f>
        <v/>
      </c>
      <c r="R47" s="17">
        <f>R21</f>
        <v/>
      </c>
      <c r="S47" s="17">
        <f>S21</f>
        <v/>
      </c>
      <c r="T47" s="17">
        <f>T21</f>
        <v/>
      </c>
      <c r="U47" s="17">
        <f>U21</f>
        <v/>
      </c>
      <c r="V47" s="17">
        <f>V21</f>
        <v/>
      </c>
      <c r="W47" s="17">
        <f>W21</f>
        <v/>
      </c>
      <c r="X47" s="17">
        <f>X21</f>
        <v/>
      </c>
      <c r="Y47" s="17">
        <f>Y21</f>
        <v/>
      </c>
      <c r="Z47" s="17">
        <f>Z21</f>
        <v/>
      </c>
      <c r="AA47" s="17">
        <f>AA21</f>
        <v/>
      </c>
      <c r="AB47" s="17">
        <f>AB21</f>
        <v/>
      </c>
      <c r="AC47" s="17">
        <f>AC21</f>
        <v/>
      </c>
      <c r="AD47" s="17">
        <f>AD21</f>
        <v/>
      </c>
      <c r="AE47" s="17">
        <f>AE21</f>
        <v/>
      </c>
      <c r="AF47" s="17">
        <f>AF21</f>
        <v/>
      </c>
      <c r="AG47" s="17">
        <f>AG21</f>
        <v/>
      </c>
      <c r="AH47" s="17">
        <f>AH21</f>
        <v/>
      </c>
      <c r="AI47" s="17">
        <f>AI21</f>
        <v/>
      </c>
      <c r="AJ47" s="17">
        <f>AJ21</f>
        <v/>
      </c>
      <c r="AK47" s="17">
        <f>AK21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/>
      <c r="F48" s="3" t="n">
        <v>5.935945469523409</v>
      </c>
      <c r="G48" s="3" t="n">
        <v>5.142239601139602</v>
      </c>
      <c r="H48" s="19">
        <f>IF((H41*$C$10)=0,0,H61/(H41*$C$10))</f>
        <v/>
      </c>
      <c r="I48" s="19">
        <f>IF((I41*$C$10)=0,0,I61/(I41*$C$10))</f>
        <v/>
      </c>
      <c r="J48" s="19">
        <f>IF((J41*$C$10)=0,0,J61/(J41*$C$10))</f>
        <v/>
      </c>
      <c r="K48" s="19">
        <f>IF((K41*$C$10)=0,0,K61/(K41*$C$10))</f>
        <v/>
      </c>
      <c r="L48" s="19">
        <f>IF((L41*$C$10)=0,0,L61/(L41*$C$10))</f>
        <v/>
      </c>
      <c r="M48" s="19">
        <f>IF((M41*$C$10)=0,0,M61/(M41*$C$10))</f>
        <v/>
      </c>
      <c r="N48" s="19">
        <f>IF((N41*$C$10)=0,0,N61/(N41*$C$10))</f>
        <v/>
      </c>
      <c r="O48" s="19">
        <f>IF((O41*$C$10)=0,0,O61/(O41*$C$10))</f>
        <v/>
      </c>
      <c r="P48" s="19">
        <f>IF((P41*$C$10)=0,0,P61/(P41*$C$10))</f>
        <v/>
      </c>
      <c r="Q48" s="19">
        <f>IF((Q41*$C$10)=0,0,Q61/(Q41*$C$10))</f>
        <v/>
      </c>
      <c r="R48" s="19">
        <f>IF((R41*$C$10)=0,0,R61/(R41*$C$10))</f>
        <v/>
      </c>
      <c r="S48" s="19">
        <f>IF((S41*$C$10)=0,0,S61/(S41*$C$10))</f>
        <v/>
      </c>
      <c r="T48" s="19">
        <f>IF((T41*$C$10)=0,0,T61/(T41*$C$10))</f>
        <v/>
      </c>
      <c r="U48" s="19">
        <f>IF((U41*$C$10)=0,0,U61/(U41*$C$10))</f>
        <v/>
      </c>
      <c r="V48" s="19">
        <f>IF((V41*$C$10)=0,0,V61/(V41*$C$10))</f>
        <v/>
      </c>
      <c r="W48" s="19">
        <f>IF((W41*$C$10)=0,0,W61/(W41*$C$10))</f>
        <v/>
      </c>
      <c r="X48" s="19">
        <f>IF((X41*$C$10)=0,0,X61/(X41*$C$10))</f>
        <v/>
      </c>
      <c r="Y48" s="19">
        <f>IF((Y41*$C$10)=0,0,Y61/(Y41*$C$10))</f>
        <v/>
      </c>
      <c r="Z48" s="19">
        <f>IF((Z41*$C$10)=0,0,Z61/(Z41*$C$10))</f>
        <v/>
      </c>
      <c r="AA48" s="19">
        <f>IF((AA41*$C$10)=0,0,AA61/(AA41*$C$10))</f>
        <v/>
      </c>
      <c r="AB48" s="19">
        <f>IF((AB41*$C$10)=0,0,AB61/(AB41*$C$10))</f>
        <v/>
      </c>
      <c r="AC48" s="19">
        <f>IF((AC41*$C$10)=0,0,AC61/(AC41*$C$10))</f>
        <v/>
      </c>
      <c r="AD48" s="19">
        <f>IF((AD41*$C$10)=0,0,AD61/(AD41*$C$10))</f>
        <v/>
      </c>
      <c r="AE48" s="19">
        <f>IF((AE41*$C$10)=0,0,AE61/(AE41*$C$10))</f>
        <v/>
      </c>
      <c r="AF48" s="19">
        <f>IF((AF41*$C$10)=0,0,AF61/(AF41*$C$10))</f>
        <v/>
      </c>
      <c r="AG48" s="19">
        <f>IF((AG41*$C$10)=0,0,AG61/(AG41*$C$10))</f>
        <v/>
      </c>
      <c r="AH48" s="19">
        <f>IF((AH41*$C$10)=0,0,AH61/(AH41*$C$10))</f>
        <v/>
      </c>
      <c r="AI48" s="19">
        <f>IF((AI41*$C$10)=0,0,AI61/(AI41*$C$10))</f>
        <v/>
      </c>
      <c r="AJ48" s="19">
        <f>IF((AJ41*$C$10)=0,0,AJ61/(AJ41*$C$10))</f>
        <v/>
      </c>
      <c r="AK48" s="19">
        <f>IF((AK41*$C$10)=0,0,AK61/(AK41*$C$10))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9">
        <f>IF((H41*$C$10)=0,0,(H53+H52)/(H41*$C$10))</f>
        <v/>
      </c>
      <c r="I49" s="19">
        <f>IF((I41*$C$10)=0,0,(I53+I52)/(I41*$C$10))</f>
        <v/>
      </c>
      <c r="J49" s="19">
        <f>IF((J41*$C$10)=0,0,(J53+J52)/(J41*$C$10))</f>
        <v/>
      </c>
      <c r="K49" s="19">
        <f>IF((K41*$C$10)=0,0,(K53+K52)/(K41*$C$10))</f>
        <v/>
      </c>
      <c r="L49" s="19">
        <f>IF((L41*$C$10)=0,0,(L53+L52)/(L41*$C$10))</f>
        <v/>
      </c>
      <c r="M49" s="19">
        <f>IF((M41*$C$10)=0,0,(M53+M52)/(M41*$C$10))</f>
        <v/>
      </c>
      <c r="N49" s="19">
        <f>IF((N41*$C$10)=0,0,(N53+N52)/(N41*$C$10))</f>
        <v/>
      </c>
      <c r="O49" s="19">
        <f>IF((O41*$C$10)=0,0,(O53+O52)/(O41*$C$10))</f>
        <v/>
      </c>
      <c r="P49" s="19">
        <f>IF((P41*$C$10)=0,0,(P53+P52)/(P41*$C$10))</f>
        <v/>
      </c>
      <c r="Q49" s="19">
        <f>IF((Q41*$C$10)=0,0,(Q53+Q52)/(Q41*$C$10))</f>
        <v/>
      </c>
      <c r="R49" s="19">
        <f>IF((R41*$C$10)=0,0,(R53+R52)/(R41*$C$10))</f>
        <v/>
      </c>
      <c r="S49" s="19">
        <f>IF((S41*$C$10)=0,0,(S53+S52)/(S41*$C$10))</f>
        <v/>
      </c>
      <c r="T49" s="19">
        <f>IF((T41*$C$10)=0,0,(T53+T52)/(T41*$C$10))</f>
        <v/>
      </c>
      <c r="U49" s="19">
        <f>IF((U41*$C$10)=0,0,(U53+U52)/(U41*$C$10))</f>
        <v/>
      </c>
      <c r="V49" s="19">
        <f>IF((V41*$C$10)=0,0,(V53+V52)/(V41*$C$10))</f>
        <v/>
      </c>
      <c r="W49" s="19">
        <f>IF((W41*$C$10)=0,0,(W53+W52)/(W41*$C$10))</f>
        <v/>
      </c>
      <c r="X49" s="19">
        <f>IF((X41*$C$10)=0,0,(X53+X52)/(X41*$C$10))</f>
        <v/>
      </c>
      <c r="Y49" s="19">
        <f>IF((Y41*$C$10)=0,0,(Y53+Y52)/(Y41*$C$10))</f>
        <v/>
      </c>
      <c r="Z49" s="19">
        <f>IF((Z41*$C$10)=0,0,(Z53+Z52)/(Z41*$C$10))</f>
        <v/>
      </c>
      <c r="AA49" s="19">
        <f>IF((AA41*$C$10)=0,0,(AA53+AA52)/(AA41*$C$10))</f>
        <v/>
      </c>
      <c r="AB49" s="19">
        <f>IF((AB41*$C$10)=0,0,(AB53+AB52)/(AB41*$C$10))</f>
        <v/>
      </c>
      <c r="AC49" s="19">
        <f>IF((AC41*$C$10)=0,0,(AC53+AC52)/(AC41*$C$10))</f>
        <v/>
      </c>
      <c r="AD49" s="19">
        <f>IF((AD41*$C$10)=0,0,(AD53+AD52)/(AD41*$C$10))</f>
        <v/>
      </c>
      <c r="AE49" s="19">
        <f>IF((AE41*$C$10)=0,0,(AE53+AE52)/(AE41*$C$10))</f>
        <v/>
      </c>
      <c r="AF49" s="19">
        <f>IF((AF41*$C$10)=0,0,(AF53+AF52)/(AF41*$C$10))</f>
        <v/>
      </c>
      <c r="AG49" s="19">
        <f>IF((AG41*$C$10)=0,0,(AG53+AG52)/(AG41*$C$10))</f>
        <v/>
      </c>
      <c r="AH49" s="19">
        <f>IF((AH41*$C$10)=0,0,(AH53+AH52)/(AH41*$C$10))</f>
        <v/>
      </c>
      <c r="AI49" s="19">
        <f>IF((AI41*$C$10)=0,0,(AI53+AI52)/(AI41*$C$10))</f>
        <v/>
      </c>
      <c r="AJ49" s="19">
        <f>IF((AJ41*$C$10)=0,0,(AJ53+AJ52)/(AJ41*$C$10))</f>
        <v/>
      </c>
      <c r="AK49" s="19">
        <f>IF((AK41*$C$10)=0,0,(AK53+AK52)/(AK41*$C$10))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15">
        <f>((H41*H43)*$C$10)</f>
        <v/>
      </c>
      <c r="I50" s="15">
        <f>((I41*I43)*$C$10)</f>
        <v/>
      </c>
      <c r="J50" s="15">
        <f>((J41*J43)*$C$10)</f>
        <v/>
      </c>
      <c r="K50" s="15">
        <f>((K41*K43)*$C$10)</f>
        <v/>
      </c>
      <c r="L50" s="15">
        <f>((L41*L43)*$C$10)</f>
        <v/>
      </c>
      <c r="M50" s="15">
        <f>((M41*M43)*$C$10)</f>
        <v/>
      </c>
      <c r="N50" s="15">
        <f>((N41*N43)*$C$10)</f>
        <v/>
      </c>
      <c r="O50" s="15">
        <f>((O41*O43)*$C$10)</f>
        <v/>
      </c>
      <c r="P50" s="15">
        <f>((P41*P43)*$C$10)</f>
        <v/>
      </c>
      <c r="Q50" s="15">
        <f>((Q41*Q43)*$C$10)</f>
        <v/>
      </c>
      <c r="R50" s="15">
        <f>((R41*R43)*$C$10)</f>
        <v/>
      </c>
      <c r="S50" s="15">
        <f>((S41*S43)*$C$10)</f>
        <v/>
      </c>
      <c r="T50" s="15">
        <f>((T41*T43)*$C$10)</f>
        <v/>
      </c>
      <c r="U50" s="15">
        <f>((U41*U43)*$C$10)</f>
        <v/>
      </c>
      <c r="V50" s="15">
        <f>((V41*V43)*$C$10)</f>
        <v/>
      </c>
      <c r="W50" s="15">
        <f>((W41*W43)*$C$10)</f>
        <v/>
      </c>
      <c r="X50" s="15">
        <f>((X41*X43)*$C$10)</f>
        <v/>
      </c>
      <c r="Y50" s="15">
        <f>((Y41*Y43)*$C$10)</f>
        <v/>
      </c>
      <c r="Z50" s="15">
        <f>((Z41*Z43)*$C$10)</f>
        <v/>
      </c>
      <c r="AA50" s="15">
        <f>((AA41*AA43)*$C$10)</f>
        <v/>
      </c>
      <c r="AB50" s="15">
        <f>((AB41*AB43)*$C$10)</f>
        <v/>
      </c>
      <c r="AC50" s="15">
        <f>((AC41*AC43)*$C$10)</f>
        <v/>
      </c>
      <c r="AD50" s="15">
        <f>((AD41*AD43)*$C$10)</f>
        <v/>
      </c>
      <c r="AE50" s="15">
        <f>((AE41*AE43)*$C$10)</f>
        <v/>
      </c>
      <c r="AF50" s="15">
        <f>((AF41*AF43)*$C$10)</f>
        <v/>
      </c>
      <c r="AG50" s="15">
        <f>((AG41*AG43)*$C$10)</f>
        <v/>
      </c>
      <c r="AH50" s="15">
        <f>((AH41*AH43)*$C$10)</f>
        <v/>
      </c>
      <c r="AI50" s="15">
        <f>((AI41*AI43)*$C$10)</f>
        <v/>
      </c>
      <c r="AJ50" s="15">
        <f>((AJ41*AJ43)*$C$10)</f>
        <v/>
      </c>
      <c r="AK50" s="15">
        <f>((AK41*AK43)*$C$10)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  <c r="P51" s="15">
        <f>P22</f>
        <v/>
      </c>
      <c r="Q51" s="15">
        <f>Q22</f>
        <v/>
      </c>
      <c r="R51" s="15">
        <f>R22</f>
        <v/>
      </c>
      <c r="S51" s="15">
        <f>S22</f>
        <v/>
      </c>
      <c r="T51" s="15">
        <f>T22</f>
        <v/>
      </c>
      <c r="U51" s="15">
        <f>U22</f>
        <v/>
      </c>
      <c r="V51" s="15">
        <f>V22</f>
        <v/>
      </c>
      <c r="W51" s="15">
        <f>W22</f>
        <v/>
      </c>
      <c r="X51" s="15">
        <f>X22</f>
        <v/>
      </c>
      <c r="Y51" s="15">
        <f>Y22</f>
        <v/>
      </c>
      <c r="Z51" s="15">
        <f>Z22</f>
        <v/>
      </c>
      <c r="AA51" s="15">
        <f>AA22</f>
        <v/>
      </c>
      <c r="AB51" s="15">
        <f>AB22</f>
        <v/>
      </c>
      <c r="AC51" s="15">
        <f>AC22</f>
        <v/>
      </c>
      <c r="AD51" s="15">
        <f>AD22</f>
        <v/>
      </c>
      <c r="AE51" s="15">
        <f>AE22</f>
        <v/>
      </c>
      <c r="AF51" s="15">
        <f>AF22</f>
        <v/>
      </c>
      <c r="AG51" s="15">
        <f>AG22</f>
        <v/>
      </c>
      <c r="AH51" s="15">
        <f>AH22</f>
        <v/>
      </c>
      <c r="AI51" s="15">
        <f>AI22</f>
        <v/>
      </c>
      <c r="AJ51" s="15">
        <f>AJ22</f>
        <v/>
      </c>
      <c r="AK51" s="15">
        <f>AK22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  <c r="P52" s="15">
        <f>(P50*P47)</f>
        <v/>
      </c>
      <c r="Q52" s="15">
        <f>(Q50*Q47)</f>
        <v/>
      </c>
      <c r="R52" s="15">
        <f>(R50*R47)</f>
        <v/>
      </c>
      <c r="S52" s="15">
        <f>(S50*S47)</f>
        <v/>
      </c>
      <c r="T52" s="15">
        <f>(T50*T47)</f>
        <v/>
      </c>
      <c r="U52" s="15">
        <f>(U50*U47)</f>
        <v/>
      </c>
      <c r="V52" s="15">
        <f>(V50*V47)</f>
        <v/>
      </c>
      <c r="W52" s="15">
        <f>(W50*W47)</f>
        <v/>
      </c>
      <c r="X52" s="15">
        <f>(X50*X47)</f>
        <v/>
      </c>
      <c r="Y52" s="15">
        <f>(Y50*Y47)</f>
        <v/>
      </c>
      <c r="Z52" s="15">
        <f>(Z50*Z47)</f>
        <v/>
      </c>
      <c r="AA52" s="15">
        <f>(AA50*AA47)</f>
        <v/>
      </c>
      <c r="AB52" s="15">
        <f>(AB50*AB47)</f>
        <v/>
      </c>
      <c r="AC52" s="15">
        <f>(AC50*AC47)</f>
        <v/>
      </c>
      <c r="AD52" s="15">
        <f>(AD50*AD47)</f>
        <v/>
      </c>
      <c r="AE52" s="15">
        <f>(AE50*AE47)</f>
        <v/>
      </c>
      <c r="AF52" s="15">
        <f>(AF50*AF47)</f>
        <v/>
      </c>
      <c r="AG52" s="15">
        <f>(AG50*AG47)</f>
        <v/>
      </c>
      <c r="AH52" s="15">
        <f>(AH50*AH47)</f>
        <v/>
      </c>
      <c r="AI52" s="15">
        <f>(AI50*AI47)</f>
        <v/>
      </c>
      <c r="AJ52" s="15">
        <f>(AJ50*AJ47)</f>
        <v/>
      </c>
      <c r="AK52" s="15">
        <f>(AK50*AK47)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((H41*H45)*$C$10)</f>
        <v/>
      </c>
      <c r="I53" s="15">
        <f>((I41*I45)*$C$10)</f>
        <v/>
      </c>
      <c r="J53" s="15">
        <f>((J41*J45)*$C$10)</f>
        <v/>
      </c>
      <c r="K53" s="15">
        <f>((K41*K45)*$C$10)</f>
        <v/>
      </c>
      <c r="L53" s="15">
        <f>((L41*L45)*$C$10)</f>
        <v/>
      </c>
      <c r="M53" s="15">
        <f>((M41*M45)*$C$10)</f>
        <v/>
      </c>
      <c r="N53" s="15">
        <f>((N41*N45)*$C$10)</f>
        <v/>
      </c>
      <c r="O53" s="15">
        <f>((O41*O45)*$C$10)</f>
        <v/>
      </c>
      <c r="P53" s="15">
        <f>((P41*P45)*$C$10)</f>
        <v/>
      </c>
      <c r="Q53" s="15">
        <f>((Q41*Q45)*$C$10)</f>
        <v/>
      </c>
      <c r="R53" s="15">
        <f>((R41*R45)*$C$10)</f>
        <v/>
      </c>
      <c r="S53" s="15">
        <f>((S41*S45)*$C$10)</f>
        <v/>
      </c>
      <c r="T53" s="15">
        <f>((T41*T45)*$C$10)</f>
        <v/>
      </c>
      <c r="U53" s="15">
        <f>((U41*U45)*$C$10)</f>
        <v/>
      </c>
      <c r="V53" s="15">
        <f>((V41*V45)*$C$10)</f>
        <v/>
      </c>
      <c r="W53" s="15">
        <f>((W41*W45)*$C$10)</f>
        <v/>
      </c>
      <c r="X53" s="15">
        <f>((X41*X45)*$C$10)</f>
        <v/>
      </c>
      <c r="Y53" s="15">
        <f>((Y41*Y45)*$C$10)</f>
        <v/>
      </c>
      <c r="Z53" s="15">
        <f>((Z41*Z45)*$C$10)</f>
        <v/>
      </c>
      <c r="AA53" s="15">
        <f>((AA41*AA45)*$C$10)</f>
        <v/>
      </c>
      <c r="AB53" s="15">
        <f>((AB41*AB45)*$C$10)</f>
        <v/>
      </c>
      <c r="AC53" s="15">
        <f>((AC41*AC45)*$C$10)</f>
        <v/>
      </c>
      <c r="AD53" s="15">
        <f>((AD41*AD45)*$C$10)</f>
        <v/>
      </c>
      <c r="AE53" s="15">
        <f>((AE41*AE45)*$C$10)</f>
        <v/>
      </c>
      <c r="AF53" s="15">
        <f>((AF41*AF45)*$C$10)</f>
        <v/>
      </c>
      <c r="AG53" s="15">
        <f>((AG41*AG45)*$C$10)</f>
        <v/>
      </c>
      <c r="AH53" s="15">
        <f>((AH41*AH45)*$C$10)</f>
        <v/>
      </c>
      <c r="AI53" s="15">
        <f>((AI41*AI45)*$C$10)</f>
        <v/>
      </c>
      <c r="AJ53" s="15">
        <f>((AJ41*AJ45)*$C$10)</f>
        <v/>
      </c>
      <c r="AK53" s="15">
        <f>((AK41*AK45)*$C$10)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  <c r="P54" s="15">
        <f>(P51*(1-$C$23))</f>
        <v/>
      </c>
      <c r="Q54" s="15">
        <f>(Q51*(1-$C$23))</f>
        <v/>
      </c>
      <c r="R54" s="15">
        <f>(R51*(1-$C$23))</f>
        <v/>
      </c>
      <c r="S54" s="15">
        <f>(S51*(1-$C$23))</f>
        <v/>
      </c>
      <c r="T54" s="15">
        <f>(T51*(1-$C$23))</f>
        <v/>
      </c>
      <c r="U54" s="15">
        <f>(U51*(1-$C$23))</f>
        <v/>
      </c>
      <c r="V54" s="15">
        <f>(V51*(1-$C$23))</f>
        <v/>
      </c>
      <c r="W54" s="15">
        <f>(W51*(1-$C$23))</f>
        <v/>
      </c>
      <c r="X54" s="15">
        <f>(X51*(1-$C$23))</f>
        <v/>
      </c>
      <c r="Y54" s="15">
        <f>(Y51*(1-$C$23))</f>
        <v/>
      </c>
      <c r="Z54" s="15">
        <f>(Z51*(1-$C$23))</f>
        <v/>
      </c>
      <c r="AA54" s="15">
        <f>(AA51*(1-$C$23))</f>
        <v/>
      </c>
      <c r="AB54" s="15">
        <f>(AB51*(1-$C$23))</f>
        <v/>
      </c>
      <c r="AC54" s="15">
        <f>(AC51*(1-$C$23))</f>
        <v/>
      </c>
      <c r="AD54" s="15">
        <f>(AD51*(1-$C$23))</f>
        <v/>
      </c>
      <c r="AE54" s="15">
        <f>(AE51*(1-$C$23))</f>
        <v/>
      </c>
      <c r="AF54" s="15">
        <f>(AF51*(1-$C$23))</f>
        <v/>
      </c>
      <c r="AG54" s="15">
        <f>(AG51*(1-$C$23))</f>
        <v/>
      </c>
      <c r="AH54" s="15">
        <f>(AH51*(1-$C$23))</f>
        <v/>
      </c>
      <c r="AI54" s="15">
        <f>(AI51*(1-$C$23))</f>
        <v/>
      </c>
      <c r="AJ54" s="15">
        <f>(AJ51*(1-$C$23))</f>
        <v/>
      </c>
      <c r="AK54" s="15">
        <f>(AK51*(1-$C$23))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192.06447</v>
      </c>
      <c r="E55" s="13" t="n">
        <v>170.071936</v>
      </c>
      <c r="F55" s="13" t="n">
        <v>117.889631</v>
      </c>
      <c r="G55" s="13" t="n">
        <v>79.636971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  <c r="P55" s="15">
        <f>(P50+P51)</f>
        <v/>
      </c>
      <c r="Q55" s="15">
        <f>(Q50+Q51)</f>
        <v/>
      </c>
      <c r="R55" s="15">
        <f>(R50+R51)</f>
        <v/>
      </c>
      <c r="S55" s="15">
        <f>(S50+S51)</f>
        <v/>
      </c>
      <c r="T55" s="15">
        <f>(T50+T51)</f>
        <v/>
      </c>
      <c r="U55" s="15">
        <f>(U50+U51)</f>
        <v/>
      </c>
      <c r="V55" s="15">
        <f>(V50+V51)</f>
        <v/>
      </c>
      <c r="W55" s="15">
        <f>(W50+W51)</f>
        <v/>
      </c>
      <c r="X55" s="15">
        <f>(X50+X51)</f>
        <v/>
      </c>
      <c r="Y55" s="15">
        <f>(Y50+Y51)</f>
        <v/>
      </c>
      <c r="Z55" s="15">
        <f>(Z50+Z51)</f>
        <v/>
      </c>
      <c r="AA55" s="15">
        <f>(AA50+AA51)</f>
        <v/>
      </c>
      <c r="AB55" s="15">
        <f>(AB50+AB51)</f>
        <v/>
      </c>
      <c r="AC55" s="15">
        <f>(AC50+AC51)</f>
        <v/>
      </c>
      <c r="AD55" s="15">
        <f>(AD50+AD51)</f>
        <v/>
      </c>
      <c r="AE55" s="15">
        <f>(AE50+AE51)</f>
        <v/>
      </c>
      <c r="AF55" s="15">
        <f>(AF50+AF51)</f>
        <v/>
      </c>
      <c r="AG55" s="15">
        <f>(AG50+AG51)</f>
        <v/>
      </c>
      <c r="AH55" s="15">
        <f>(AH50+AH51)</f>
        <v/>
      </c>
      <c r="AI55" s="15">
        <f>(AI50+AI51)</f>
        <v/>
      </c>
      <c r="AJ55" s="15">
        <f>(AJ50+AJ51)</f>
        <v/>
      </c>
      <c r="AK55" s="15">
        <f>(AK50+AK51)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68.718907</v>
      </c>
      <c r="E56" s="13" t="n">
        <v>78.845583</v>
      </c>
      <c r="F56" s="13" t="n">
        <v>63.693959</v>
      </c>
      <c r="G56" s="13" t="n">
        <v>35.086398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  <c r="P56" s="15">
        <f>(((P53+P52)+P54)+P60)</f>
        <v/>
      </c>
      <c r="Q56" s="15">
        <f>(((Q53+Q52)+Q54)+Q60)</f>
        <v/>
      </c>
      <c r="R56" s="15">
        <f>(((R53+R52)+R54)+R60)</f>
        <v/>
      </c>
      <c r="S56" s="15">
        <f>(((S53+S52)+S54)+S60)</f>
        <v/>
      </c>
      <c r="T56" s="15">
        <f>(((T53+T52)+T54)+T60)</f>
        <v/>
      </c>
      <c r="U56" s="15">
        <f>(((U53+U52)+U54)+U60)</f>
        <v/>
      </c>
      <c r="V56" s="15">
        <f>(((V53+V52)+V54)+V60)</f>
        <v/>
      </c>
      <c r="W56" s="15">
        <f>(((W53+W52)+W54)+W60)</f>
        <v/>
      </c>
      <c r="X56" s="15">
        <f>(((X53+X52)+X54)+X60)</f>
        <v/>
      </c>
      <c r="Y56" s="15">
        <f>(((Y53+Y52)+Y54)+Y60)</f>
        <v/>
      </c>
      <c r="Z56" s="15">
        <f>(((Z53+Z52)+Z54)+Z60)</f>
        <v/>
      </c>
      <c r="AA56" s="15">
        <f>(((AA53+AA52)+AA54)+AA60)</f>
        <v/>
      </c>
      <c r="AB56" s="15">
        <f>(((AB53+AB52)+AB54)+AB60)</f>
        <v/>
      </c>
      <c r="AC56" s="15">
        <f>(((AC53+AC52)+AC54)+AC60)</f>
        <v/>
      </c>
      <c r="AD56" s="15">
        <f>(((AD53+AD52)+AD54)+AD60)</f>
        <v/>
      </c>
      <c r="AE56" s="15">
        <f>(((AE53+AE52)+AE54)+AE60)</f>
        <v/>
      </c>
      <c r="AF56" s="15">
        <f>(((AF53+AF52)+AF54)+AF60)</f>
        <v/>
      </c>
      <c r="AG56" s="15">
        <f>(((AG53+AG52)+AG54)+AG60)</f>
        <v/>
      </c>
      <c r="AH56" s="15">
        <f>(((AH53+AH52)+AH54)+AH60)</f>
        <v/>
      </c>
      <c r="AI56" s="15">
        <f>(((AI53+AI52)+AI54)+AI60)</f>
        <v/>
      </c>
      <c r="AJ56" s="15">
        <f>(((AJ53+AJ52)+AJ54)+AJ60)</f>
        <v/>
      </c>
      <c r="AK56" s="15">
        <f>(((AK53+AK52)+AK54)+AK60)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123.345563</v>
      </c>
      <c r="E57" s="13" t="n">
        <v>91.226353</v>
      </c>
      <c r="F57" s="13" t="n">
        <v>54.195672</v>
      </c>
      <c r="G57" s="13" t="n">
        <v>44.550573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  <c r="P57" s="15">
        <f>(P55-P56)</f>
        <v/>
      </c>
      <c r="Q57" s="15">
        <f>(Q55-Q56)</f>
        <v/>
      </c>
      <c r="R57" s="15">
        <f>(R55-R56)</f>
        <v/>
      </c>
      <c r="S57" s="15">
        <f>(S55-S56)</f>
        <v/>
      </c>
      <c r="T57" s="15">
        <f>(T55-T56)</f>
        <v/>
      </c>
      <c r="U57" s="15">
        <f>(U55-U56)</f>
        <v/>
      </c>
      <c r="V57" s="15">
        <f>(V55-V56)</f>
        <v/>
      </c>
      <c r="W57" s="15">
        <f>(W55-W56)</f>
        <v/>
      </c>
      <c r="X57" s="15">
        <f>(X55-X56)</f>
        <v/>
      </c>
      <c r="Y57" s="15">
        <f>(Y55-Y56)</f>
        <v/>
      </c>
      <c r="Z57" s="15">
        <f>(Z55-Z56)</f>
        <v/>
      </c>
      <c r="AA57" s="15">
        <f>(AA55-AA56)</f>
        <v/>
      </c>
      <c r="AB57" s="15">
        <f>(AB55-AB56)</f>
        <v/>
      </c>
      <c r="AC57" s="15">
        <f>(AC55-AC56)</f>
        <v/>
      </c>
      <c r="AD57" s="15">
        <f>(AD55-AD56)</f>
        <v/>
      </c>
      <c r="AE57" s="15">
        <f>(AE55-AE56)</f>
        <v/>
      </c>
      <c r="AF57" s="15">
        <f>(AF55-AF56)</f>
        <v/>
      </c>
      <c r="AG57" s="15">
        <f>(AG55-AG56)</f>
        <v/>
      </c>
      <c r="AH57" s="15">
        <f>(AH55-AH56)</f>
        <v/>
      </c>
      <c r="AI57" s="15">
        <f>(AI55-AI56)</f>
        <v/>
      </c>
      <c r="AJ57" s="15">
        <f>(AJ55-AJ56)</f>
        <v/>
      </c>
      <c r="AK57" s="15">
        <f>(AK55-AK56)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54.92477</v>
      </c>
      <c r="E58" s="13" t="n">
        <v>54.54174800000001</v>
      </c>
      <c r="F58" s="13" t="n">
        <v>34.688879</v>
      </c>
      <c r="G58" s="13" t="n">
        <v>28.855052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  <c r="P58" s="15">
        <f>(P55*P37)</f>
        <v/>
      </c>
      <c r="Q58" s="15">
        <f>(Q55*Q37)</f>
        <v/>
      </c>
      <c r="R58" s="15">
        <f>(R55*R37)</f>
        <v/>
      </c>
      <c r="S58" s="15">
        <f>(S55*S37)</f>
        <v/>
      </c>
      <c r="T58" s="15">
        <f>(T55*T37)</f>
        <v/>
      </c>
      <c r="U58" s="15">
        <f>(U55*U37)</f>
        <v/>
      </c>
      <c r="V58" s="15">
        <f>(V55*V37)</f>
        <v/>
      </c>
      <c r="W58" s="15">
        <f>(W55*W37)</f>
        <v/>
      </c>
      <c r="X58" s="15">
        <f>(X55*X37)</f>
        <v/>
      </c>
      <c r="Y58" s="15">
        <f>(Y55*Y37)</f>
        <v/>
      </c>
      <c r="Z58" s="15">
        <f>(Z55*Z37)</f>
        <v/>
      </c>
      <c r="AA58" s="15">
        <f>(AA55*AA37)</f>
        <v/>
      </c>
      <c r="AB58" s="15">
        <f>(AB55*AB37)</f>
        <v/>
      </c>
      <c r="AC58" s="15">
        <f>(AC55*AC37)</f>
        <v/>
      </c>
      <c r="AD58" s="15">
        <f>(AD55*AD37)</f>
        <v/>
      </c>
      <c r="AE58" s="15">
        <f>(AE55*AE37)</f>
        <v/>
      </c>
      <c r="AF58" s="15">
        <f>(AF55*AF37)</f>
        <v/>
      </c>
      <c r="AG58" s="15">
        <f>(AG55*AG37)</f>
        <v/>
      </c>
      <c r="AH58" s="15">
        <f>(AH55*AH37)</f>
        <v/>
      </c>
      <c r="AI58" s="15">
        <f>(AI55*AI37)</f>
        <v/>
      </c>
      <c r="AJ58" s="15">
        <f>(AJ55*AJ37)</f>
        <v/>
      </c>
      <c r="AK58" s="15">
        <f>(AK55*AK37)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68.420793</v>
      </c>
      <c r="E59" s="13" t="n">
        <v>36.684605</v>
      </c>
      <c r="F59" s="13" t="n">
        <v>19.506793</v>
      </c>
      <c r="G59" s="13" t="n">
        <v>15.695521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  <c r="P59" s="15">
        <f>(P57-P58)</f>
        <v/>
      </c>
      <c r="Q59" s="15">
        <f>(Q57-Q58)</f>
        <v/>
      </c>
      <c r="R59" s="15">
        <f>(R57-R58)</f>
        <v/>
      </c>
      <c r="S59" s="15">
        <f>(S57-S58)</f>
        <v/>
      </c>
      <c r="T59" s="15">
        <f>(T57-T58)</f>
        <v/>
      </c>
      <c r="U59" s="15">
        <f>(U57-U58)</f>
        <v/>
      </c>
      <c r="V59" s="15">
        <f>(V57-V58)</f>
        <v/>
      </c>
      <c r="W59" s="15">
        <f>(W57-W58)</f>
        <v/>
      </c>
      <c r="X59" s="15">
        <f>(X57-X58)</f>
        <v/>
      </c>
      <c r="Y59" s="15">
        <f>(Y57-Y58)</f>
        <v/>
      </c>
      <c r="Z59" s="15">
        <f>(Z57-Z58)</f>
        <v/>
      </c>
      <c r="AA59" s="15">
        <f>(AA57-AA58)</f>
        <v/>
      </c>
      <c r="AB59" s="15">
        <f>(AB57-AB58)</f>
        <v/>
      </c>
      <c r="AC59" s="15">
        <f>(AC57-AC58)</f>
        <v/>
      </c>
      <c r="AD59" s="15">
        <f>(AD57-AD58)</f>
        <v/>
      </c>
      <c r="AE59" s="15">
        <f>(AE57-AE58)</f>
        <v/>
      </c>
      <c r="AF59" s="15">
        <f>(AF57-AF58)</f>
        <v/>
      </c>
      <c r="AG59" s="15">
        <f>(AG57-AG58)</f>
        <v/>
      </c>
      <c r="AH59" s="15">
        <f>(AH57-AH58)</f>
        <v/>
      </c>
      <c r="AI59" s="15">
        <f>(AI57-AI58)</f>
        <v/>
      </c>
      <c r="AJ59" s="15">
        <f>(AJ57-AJ58)</f>
        <v/>
      </c>
      <c r="AK59" s="15">
        <f>(AK57-AK58)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0.269936</v>
      </c>
      <c r="E60" s="13" t="n">
        <v>0.283618</v>
      </c>
      <c r="F60" s="13" t="n">
        <v>2.239935</v>
      </c>
      <c r="G60" s="13" t="n">
        <v>2.35374</v>
      </c>
      <c r="H60" s="15">
        <f>((H41*H24)*$C$10)</f>
        <v/>
      </c>
      <c r="I60" s="15">
        <f>((I41*I24)*$C$10)</f>
        <v/>
      </c>
      <c r="J60" s="15">
        <f>((J41*J24)*$C$10)</f>
        <v/>
      </c>
      <c r="K60" s="15">
        <f>((K41*K24)*$C$10)</f>
        <v/>
      </c>
      <c r="L60" s="15">
        <f>((L41*L24)*$C$10)</f>
        <v/>
      </c>
      <c r="M60" s="15">
        <f>((M41*M24)*$C$10)</f>
        <v/>
      </c>
      <c r="N60" s="15">
        <f>((N41*N24)*$C$10)</f>
        <v/>
      </c>
      <c r="O60" s="15">
        <f>((O41*O24)*$C$10)</f>
        <v/>
      </c>
      <c r="P60" s="15">
        <f>((P41*P24)*$C$10)</f>
        <v/>
      </c>
      <c r="Q60" s="15">
        <f>((Q41*Q24)*$C$10)</f>
        <v/>
      </c>
      <c r="R60" s="15">
        <f>((R41*R24)*$C$10)</f>
        <v/>
      </c>
      <c r="S60" s="15">
        <f>((S41*S24)*$C$10)</f>
        <v/>
      </c>
      <c r="T60" s="15">
        <f>((T41*T24)*$C$10)</f>
        <v/>
      </c>
      <c r="U60" s="15">
        <f>((U41*U24)*$C$10)</f>
        <v/>
      </c>
      <c r="V60" s="15">
        <f>((V41*V24)*$C$10)</f>
        <v/>
      </c>
      <c r="W60" s="15">
        <f>((W41*W24)*$C$10)</f>
        <v/>
      </c>
      <c r="X60" s="15">
        <f>((X41*X24)*$C$10)</f>
        <v/>
      </c>
      <c r="Y60" s="15">
        <f>((Y41*Y24)*$C$10)</f>
        <v/>
      </c>
      <c r="Z60" s="15">
        <f>((Z41*Z24)*$C$10)</f>
        <v/>
      </c>
      <c r="AA60" s="15">
        <f>((AA41*AA24)*$C$10)</f>
        <v/>
      </c>
      <c r="AB60" s="15">
        <f>((AB41*AB24)*$C$10)</f>
        <v/>
      </c>
      <c r="AC60" s="15">
        <f>((AC41*AC24)*$C$10)</f>
        <v/>
      </c>
      <c r="AD60" s="15">
        <f>((AD41*AD24)*$C$10)</f>
        <v/>
      </c>
      <c r="AE60" s="15">
        <f>((AE41*AE24)*$C$10)</f>
        <v/>
      </c>
      <c r="AF60" s="15">
        <f>((AF41*AF24)*$C$10)</f>
        <v/>
      </c>
      <c r="AG60" s="15">
        <f>((AG41*AG24)*$C$10)</f>
        <v/>
      </c>
      <c r="AH60" s="15">
        <f>((AH41*AH24)*$C$10)</f>
        <v/>
      </c>
      <c r="AI60" s="15">
        <f>((AI41*AI24)*$C$10)</f>
        <v/>
      </c>
      <c r="AJ60" s="15">
        <f>((AJ41*AJ24)*$C$10)</f>
        <v/>
      </c>
      <c r="AK60" s="15">
        <f>((AK41*AK24)*$C$10)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68.690729</v>
      </c>
      <c r="E61" s="13" t="n">
        <v>36.96822299999999</v>
      </c>
      <c r="F61" s="13" t="n">
        <v>21.746728</v>
      </c>
      <c r="G61" s="13" t="n">
        <v>18.049261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  <c r="P61" s="15">
        <f>(P59+P60)</f>
        <v/>
      </c>
      <c r="Q61" s="15">
        <f>(Q59+Q60)</f>
        <v/>
      </c>
      <c r="R61" s="15">
        <f>(R59+R60)</f>
        <v/>
      </c>
      <c r="S61" s="15">
        <f>(S59+S60)</f>
        <v/>
      </c>
      <c r="T61" s="15">
        <f>(T59+T60)</f>
        <v/>
      </c>
      <c r="U61" s="15">
        <f>(U59+U60)</f>
        <v/>
      </c>
      <c r="V61" s="15">
        <f>(V59+V60)</f>
        <v/>
      </c>
      <c r="W61" s="15">
        <f>(W59+W60)</f>
        <v/>
      </c>
      <c r="X61" s="15">
        <f>(X59+X60)</f>
        <v/>
      </c>
      <c r="Y61" s="15">
        <f>(Y59+Y60)</f>
        <v/>
      </c>
      <c r="Z61" s="15">
        <f>(Z59+Z60)</f>
        <v/>
      </c>
      <c r="AA61" s="15">
        <f>(AA59+AA60)</f>
        <v/>
      </c>
      <c r="AB61" s="15">
        <f>(AB59+AB60)</f>
        <v/>
      </c>
      <c r="AC61" s="15">
        <f>(AC59+AC60)</f>
        <v/>
      </c>
      <c r="AD61" s="15">
        <f>(AD59+AD60)</f>
        <v/>
      </c>
      <c r="AE61" s="15">
        <f>(AE59+AE60)</f>
        <v/>
      </c>
      <c r="AF61" s="15">
        <f>(AF59+AF60)</f>
        <v/>
      </c>
      <c r="AG61" s="15">
        <f>(AG59+AG60)</f>
        <v/>
      </c>
      <c r="AH61" s="15">
        <f>(AH59+AH60)</f>
        <v/>
      </c>
      <c r="AI61" s="15">
        <f>(AI59+AI60)</f>
        <v/>
      </c>
      <c r="AJ61" s="15">
        <f>(AJ59+AJ60)</f>
        <v/>
      </c>
      <c r="AK61" s="15">
        <f>(AK59+AK60)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1.549015</v>
      </c>
      <c r="E62" s="13" t="n">
        <v>2.96622</v>
      </c>
      <c r="F62" s="13" t="n">
        <v>6.075159</v>
      </c>
      <c r="G62" s="13" t="n">
        <v>5.048467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  <c r="P62" s="15">
        <f>(O82*$C$29)</f>
        <v/>
      </c>
      <c r="Q62" s="15">
        <f>(P82*$C$29)</f>
        <v/>
      </c>
      <c r="R62" s="15">
        <f>(Q82*$C$29)</f>
        <v/>
      </c>
      <c r="S62" s="15">
        <f>(R82*$C$29)</f>
        <v/>
      </c>
      <c r="T62" s="15">
        <f>(S82*$C$29)</f>
        <v/>
      </c>
      <c r="U62" s="15">
        <f>(T82*$C$29)</f>
        <v/>
      </c>
      <c r="V62" s="15">
        <f>(U82*$C$29)</f>
        <v/>
      </c>
      <c r="W62" s="15">
        <f>(V82*$C$29)</f>
        <v/>
      </c>
      <c r="X62" s="15">
        <f>(W82*$C$29)</f>
        <v/>
      </c>
      <c r="Y62" s="15">
        <f>(X82*$C$29)</f>
        <v/>
      </c>
      <c r="Z62" s="15">
        <f>(Y82*$C$29)</f>
        <v/>
      </c>
      <c r="AA62" s="15">
        <f>(Z82*$C$29)</f>
        <v/>
      </c>
      <c r="AB62" s="15">
        <f>(AA82*$C$29)</f>
        <v/>
      </c>
      <c r="AC62" s="15">
        <f>(AB82*$C$29)</f>
        <v/>
      </c>
      <c r="AD62" s="15">
        <f>(AC82*$C$29)</f>
        <v/>
      </c>
      <c r="AE62" s="15">
        <f>(AD82*$C$29)</f>
        <v/>
      </c>
      <c r="AF62" s="15">
        <f>(AE82*$C$29)</f>
        <v/>
      </c>
      <c r="AG62" s="15">
        <f>(AF82*$C$29)</f>
        <v/>
      </c>
      <c r="AH62" s="15">
        <f>(AG82*$C$29)</f>
        <v/>
      </c>
      <c r="AI62" s="15">
        <f>(AH82*$C$29)</f>
        <v/>
      </c>
      <c r="AJ62" s="15">
        <f>(AI82*$C$29)</f>
        <v/>
      </c>
      <c r="AK62" s="15">
        <f>(AJ82*$C$29)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0.058869</v>
      </c>
      <c r="E63" s="13" t="n">
        <v>0.046451</v>
      </c>
      <c r="F63" s="13" t="n">
        <v>0.108807</v>
      </c>
      <c r="G63" s="13" t="n">
        <v>0.227037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  <c r="P63" s="15">
        <f>(O81*$C$30)</f>
        <v/>
      </c>
      <c r="Q63" s="15">
        <f>(P81*$C$30)</f>
        <v/>
      </c>
      <c r="R63" s="15">
        <f>(Q81*$C$30)</f>
        <v/>
      </c>
      <c r="S63" s="15">
        <f>(R81*$C$30)</f>
        <v/>
      </c>
      <c r="T63" s="15">
        <f>(S81*$C$30)</f>
        <v/>
      </c>
      <c r="U63" s="15">
        <f>(T81*$C$30)</f>
        <v/>
      </c>
      <c r="V63" s="15">
        <f>(U81*$C$30)</f>
        <v/>
      </c>
      <c r="W63" s="15">
        <f>(V81*$C$30)</f>
        <v/>
      </c>
      <c r="X63" s="15">
        <f>(W81*$C$30)</f>
        <v/>
      </c>
      <c r="Y63" s="15">
        <f>(X81*$C$30)</f>
        <v/>
      </c>
      <c r="Z63" s="15">
        <f>(Y81*$C$30)</f>
        <v/>
      </c>
      <c r="AA63" s="15">
        <f>(Z81*$C$30)</f>
        <v/>
      </c>
      <c r="AB63" s="15">
        <f>(AA81*$C$30)</f>
        <v/>
      </c>
      <c r="AC63" s="15">
        <f>(AB81*$C$30)</f>
        <v/>
      </c>
      <c r="AD63" s="15">
        <f>(AC81*$C$30)</f>
        <v/>
      </c>
      <c r="AE63" s="15">
        <f>(AD81*$C$30)</f>
        <v/>
      </c>
      <c r="AF63" s="15">
        <f>(AE81*$C$30)</f>
        <v/>
      </c>
      <c r="AG63" s="15">
        <f>(AF81*$C$30)</f>
        <v/>
      </c>
      <c r="AH63" s="15">
        <f>(AG81*$C$30)</f>
        <v/>
      </c>
      <c r="AI63" s="15">
        <f>(AH81*$C$30)</f>
        <v/>
      </c>
      <c r="AJ63" s="15">
        <f>(AI81*$C$30)</f>
        <v/>
      </c>
      <c r="AK63" s="15">
        <f>(AJ81*$C$30)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-13.08033000000001</v>
      </c>
      <c r="E64" s="13" t="n">
        <v>-1.840779999999998</v>
      </c>
      <c r="F64" s="13" t="n">
        <v>-1.404633999999998</v>
      </c>
      <c r="G64" s="13" t="n">
        <v>-1.141866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  <c r="P64" s="15">
        <f>P32</f>
        <v/>
      </c>
      <c r="Q64" s="15">
        <f>Q32</f>
        <v/>
      </c>
      <c r="R64" s="15">
        <f>R32</f>
        <v/>
      </c>
      <c r="S64" s="15">
        <f>S32</f>
        <v/>
      </c>
      <c r="T64" s="15">
        <f>T32</f>
        <v/>
      </c>
      <c r="U64" s="15">
        <f>U32</f>
        <v/>
      </c>
      <c r="V64" s="15">
        <f>V32</f>
        <v/>
      </c>
      <c r="W64" s="15">
        <f>W32</f>
        <v/>
      </c>
      <c r="X64" s="15">
        <f>X32</f>
        <v/>
      </c>
      <c r="Y64" s="15">
        <f>Y32</f>
        <v/>
      </c>
      <c r="Z64" s="15">
        <f>Z32</f>
        <v/>
      </c>
      <c r="AA64" s="15">
        <f>AA32</f>
        <v/>
      </c>
      <c r="AB64" s="15">
        <f>AB32</f>
        <v/>
      </c>
      <c r="AC64" s="15">
        <f>AC32</f>
        <v/>
      </c>
      <c r="AD64" s="15">
        <f>AD32</f>
        <v/>
      </c>
      <c r="AE64" s="15">
        <f>AE32</f>
        <v/>
      </c>
      <c r="AF64" s="15">
        <f>AF32</f>
        <v/>
      </c>
      <c r="AG64" s="15">
        <f>AG32</f>
        <v/>
      </c>
      <c r="AH64" s="15">
        <f>AH32</f>
        <v/>
      </c>
      <c r="AI64" s="15">
        <f>AI32</f>
        <v/>
      </c>
      <c r="AJ64" s="15">
        <f>AJ32</f>
        <v/>
      </c>
      <c r="AK64" s="15">
        <f>AK32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53.850317</v>
      </c>
      <c r="E65" s="13" t="n">
        <v>31.924056</v>
      </c>
      <c r="F65" s="13" t="n">
        <v>12.135807</v>
      </c>
      <c r="G65" s="13" t="n">
        <v>9.732225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  <c r="P65" s="15">
        <f>(((P59-P62)+P63)+P64)</f>
        <v/>
      </c>
      <c r="Q65" s="15">
        <f>(((Q59-Q62)+Q63)+Q64)</f>
        <v/>
      </c>
      <c r="R65" s="15">
        <f>(((R59-R62)+R63)+R64)</f>
        <v/>
      </c>
      <c r="S65" s="15">
        <f>(((S59-S62)+S63)+S64)</f>
        <v/>
      </c>
      <c r="T65" s="15">
        <f>(((T59-T62)+T63)+T64)</f>
        <v/>
      </c>
      <c r="U65" s="15">
        <f>(((U59-U62)+U63)+U64)</f>
        <v/>
      </c>
      <c r="V65" s="15">
        <f>(((V59-V62)+V63)+V64)</f>
        <v/>
      </c>
      <c r="W65" s="15">
        <f>(((W59-W62)+W63)+W64)</f>
        <v/>
      </c>
      <c r="X65" s="15">
        <f>(((X59-X62)+X63)+X64)</f>
        <v/>
      </c>
      <c r="Y65" s="15">
        <f>(((Y59-Y62)+Y63)+Y64)</f>
        <v/>
      </c>
      <c r="Z65" s="15">
        <f>(((Z59-Z62)+Z63)+Z64)</f>
        <v/>
      </c>
      <c r="AA65" s="15">
        <f>(((AA59-AA62)+AA63)+AA64)</f>
        <v/>
      </c>
      <c r="AB65" s="15">
        <f>(((AB59-AB62)+AB63)+AB64)</f>
        <v/>
      </c>
      <c r="AC65" s="15">
        <f>(((AC59-AC62)+AC63)+AC64)</f>
        <v/>
      </c>
      <c r="AD65" s="15">
        <f>(((AD59-AD62)+AD63)+AD64)</f>
        <v/>
      </c>
      <c r="AE65" s="15">
        <f>(((AE59-AE62)+AE63)+AE64)</f>
        <v/>
      </c>
      <c r="AF65" s="15">
        <f>(((AF59-AF62)+AF63)+AF64)</f>
        <v/>
      </c>
      <c r="AG65" s="15">
        <f>(((AG59-AG62)+AG63)+AG64)</f>
        <v/>
      </c>
      <c r="AH65" s="15">
        <f>(((AH59-AH62)+AH63)+AH64)</f>
        <v/>
      </c>
      <c r="AI65" s="15">
        <f>(((AI59-AI62)+AI63)+AI64)</f>
        <v/>
      </c>
      <c r="AJ65" s="15">
        <f>(((AJ59-AJ62)+AJ63)+AJ64)</f>
        <v/>
      </c>
      <c r="AK65" s="15">
        <f>(((AK59-AK62)+AK63)+AK64)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14.888931</v>
      </c>
      <c r="E66" s="13" t="n">
        <v>5.531064</v>
      </c>
      <c r="F66" s="13" t="n">
        <v>4.459503</v>
      </c>
      <c r="G66" s="13" t="n">
        <v>1.4628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  <c r="P66" s="15">
        <f>(MAX(P65,0)*P28)</f>
        <v/>
      </c>
      <c r="Q66" s="15">
        <f>(MAX(Q65,0)*Q28)</f>
        <v/>
      </c>
      <c r="R66" s="15">
        <f>(MAX(R65,0)*R28)</f>
        <v/>
      </c>
      <c r="S66" s="15">
        <f>(MAX(S65,0)*S28)</f>
        <v/>
      </c>
      <c r="T66" s="15">
        <f>(MAX(T65,0)*T28)</f>
        <v/>
      </c>
      <c r="U66" s="15">
        <f>(MAX(U65,0)*U28)</f>
        <v/>
      </c>
      <c r="V66" s="15">
        <f>(MAX(V65,0)*V28)</f>
        <v/>
      </c>
      <c r="W66" s="15">
        <f>(MAX(W65,0)*W28)</f>
        <v/>
      </c>
      <c r="X66" s="15">
        <f>(MAX(X65,0)*X28)</f>
        <v/>
      </c>
      <c r="Y66" s="15">
        <f>(MAX(Y65,0)*Y28)</f>
        <v/>
      </c>
      <c r="Z66" s="15">
        <f>(MAX(Z65,0)*Z28)</f>
        <v/>
      </c>
      <c r="AA66" s="15">
        <f>(MAX(AA65,0)*AA28)</f>
        <v/>
      </c>
      <c r="AB66" s="15">
        <f>(MAX(AB65,0)*AB28)</f>
        <v/>
      </c>
      <c r="AC66" s="15">
        <f>(MAX(AC65,0)*AC28)</f>
        <v/>
      </c>
      <c r="AD66" s="15">
        <f>(MAX(AD65,0)*AD28)</f>
        <v/>
      </c>
      <c r="AE66" s="15">
        <f>(MAX(AE65,0)*AE28)</f>
        <v/>
      </c>
      <c r="AF66" s="15">
        <f>(MAX(AF65,0)*AF28)</f>
        <v/>
      </c>
      <c r="AG66" s="15">
        <f>(MAX(AG65,0)*AG28)</f>
        <v/>
      </c>
      <c r="AH66" s="15">
        <f>(MAX(AH65,0)*AH28)</f>
        <v/>
      </c>
      <c r="AI66" s="15">
        <f>(MAX(AI65,0)*AI28)</f>
        <v/>
      </c>
      <c r="AJ66" s="15">
        <f>(MAX(AJ65,0)*AJ28)</f>
        <v/>
      </c>
      <c r="AK66" s="15">
        <f>(MAX(AK65,0)*AK28)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33.742139</v>
      </c>
      <c r="E67" s="13" t="n">
        <v>26.392992</v>
      </c>
      <c r="F67" s="13" t="n">
        <v>7.676304</v>
      </c>
      <c r="G67" s="13" t="n">
        <v>8.269425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  <c r="P67" s="15">
        <f>(P65-P66)</f>
        <v/>
      </c>
      <c r="Q67" s="15">
        <f>(Q65-Q66)</f>
        <v/>
      </c>
      <c r="R67" s="15">
        <f>(R65-R66)</f>
        <v/>
      </c>
      <c r="S67" s="15">
        <f>(S65-S66)</f>
        <v/>
      </c>
      <c r="T67" s="15">
        <f>(T65-T66)</f>
        <v/>
      </c>
      <c r="U67" s="15">
        <f>(U65-U66)</f>
        <v/>
      </c>
      <c r="V67" s="15">
        <f>(V65-V66)</f>
        <v/>
      </c>
      <c r="W67" s="15">
        <f>(W65-W66)</f>
        <v/>
      </c>
      <c r="X67" s="15">
        <f>(X65-X66)</f>
        <v/>
      </c>
      <c r="Y67" s="15">
        <f>(Y65-Y66)</f>
        <v/>
      </c>
      <c r="Z67" s="15">
        <f>(Z65-Z66)</f>
        <v/>
      </c>
      <c r="AA67" s="15">
        <f>(AA65-AA66)</f>
        <v/>
      </c>
      <c r="AB67" s="15">
        <f>(AB65-AB66)</f>
        <v/>
      </c>
      <c r="AC67" s="15">
        <f>(AC65-AC66)</f>
        <v/>
      </c>
      <c r="AD67" s="15">
        <f>(AD65-AD66)</f>
        <v/>
      </c>
      <c r="AE67" s="15">
        <f>(AE65-AE66)</f>
        <v/>
      </c>
      <c r="AF67" s="15">
        <f>(AF65-AF66)</f>
        <v/>
      </c>
      <c r="AG67" s="15">
        <f>(AG65-AG66)</f>
        <v/>
      </c>
      <c r="AH67" s="15">
        <f>(AH65-AH66)</f>
        <v/>
      </c>
      <c r="AI67" s="15">
        <f>(AI65-AI66)</f>
        <v/>
      </c>
      <c r="AJ67" s="15">
        <f>(AJ65-AJ66)</f>
        <v/>
      </c>
      <c r="AK67" s="15">
        <f>(AK65-AK66)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0.00518300000000238</v>
      </c>
      <c r="E68" s="13" t="n">
        <v>0.01422099999999915</v>
      </c>
      <c r="F68" s="13" t="n">
        <v>-0.0008220000000003225</v>
      </c>
      <c r="G68" s="13" t="n">
        <v>0.6587579999999997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  <c r="P68" s="15">
        <f>(P67*P33)</f>
        <v/>
      </c>
      <c r="Q68" s="15">
        <f>(Q67*Q33)</f>
        <v/>
      </c>
      <c r="R68" s="15">
        <f>(R67*R33)</f>
        <v/>
      </c>
      <c r="S68" s="15">
        <f>(S67*S33)</f>
        <v/>
      </c>
      <c r="T68" s="15">
        <f>(T67*T33)</f>
        <v/>
      </c>
      <c r="U68" s="15">
        <f>(U67*U33)</f>
        <v/>
      </c>
      <c r="V68" s="15">
        <f>(V67*V33)</f>
        <v/>
      </c>
      <c r="W68" s="15">
        <f>(W67*W33)</f>
        <v/>
      </c>
      <c r="X68" s="15">
        <f>(X67*X33)</f>
        <v/>
      </c>
      <c r="Y68" s="15">
        <f>(Y67*Y33)</f>
        <v/>
      </c>
      <c r="Z68" s="15">
        <f>(Z67*Z33)</f>
        <v/>
      </c>
      <c r="AA68" s="15">
        <f>(AA67*AA33)</f>
        <v/>
      </c>
      <c r="AB68" s="15">
        <f>(AB67*AB33)</f>
        <v/>
      </c>
      <c r="AC68" s="15">
        <f>(AC67*AC33)</f>
        <v/>
      </c>
      <c r="AD68" s="15">
        <f>(AD67*AD33)</f>
        <v/>
      </c>
      <c r="AE68" s="15">
        <f>(AE67*AE33)</f>
        <v/>
      </c>
      <c r="AF68" s="15">
        <f>(AF67*AF33)</f>
        <v/>
      </c>
      <c r="AG68" s="15">
        <f>(AG67*AG33)</f>
        <v/>
      </c>
      <c r="AH68" s="15">
        <f>(AH67*AH33)</f>
        <v/>
      </c>
      <c r="AI68" s="15">
        <f>(AI67*AI33)</f>
        <v/>
      </c>
      <c r="AJ68" s="15">
        <f>(AJ67*AJ33)</f>
        <v/>
      </c>
      <c r="AK68" s="15">
        <f>(AK67*AK33)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33.736956</v>
      </c>
      <c r="E69" s="13" t="n">
        <v>26.378771</v>
      </c>
      <c r="F69" s="13" t="n">
        <v>7.677126</v>
      </c>
      <c r="G69" s="13" t="n">
        <v>7.610667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  <c r="P69" s="15">
        <f>(P67-P68)</f>
        <v/>
      </c>
      <c r="Q69" s="15">
        <f>(Q67-Q68)</f>
        <v/>
      </c>
      <c r="R69" s="15">
        <f>(R67-R68)</f>
        <v/>
      </c>
      <c r="S69" s="15">
        <f>(S67-S68)</f>
        <v/>
      </c>
      <c r="T69" s="15">
        <f>(T67-T68)</f>
        <v/>
      </c>
      <c r="U69" s="15">
        <f>(U67-U68)</f>
        <v/>
      </c>
      <c r="V69" s="15">
        <f>(V67-V68)</f>
        <v/>
      </c>
      <c r="W69" s="15">
        <f>(W67-W68)</f>
        <v/>
      </c>
      <c r="X69" s="15">
        <f>(X67-X68)</f>
        <v/>
      </c>
      <c r="Y69" s="15">
        <f>(Y67-Y68)</f>
        <v/>
      </c>
      <c r="Z69" s="15">
        <f>(Z67-Z68)</f>
        <v/>
      </c>
      <c r="AA69" s="15">
        <f>(AA67-AA68)</f>
        <v/>
      </c>
      <c r="AB69" s="15">
        <f>(AB67-AB68)</f>
        <v/>
      </c>
      <c r="AC69" s="15">
        <f>(AC67-AC68)</f>
        <v/>
      </c>
      <c r="AD69" s="15">
        <f>(AD67-AD68)</f>
        <v/>
      </c>
      <c r="AE69" s="15">
        <f>(AE67-AE68)</f>
        <v/>
      </c>
      <c r="AF69" s="15">
        <f>(AF67-AF68)</f>
        <v/>
      </c>
      <c r="AG69" s="15">
        <f>(AG67-AG68)</f>
        <v/>
      </c>
      <c r="AH69" s="15">
        <f>(AH67-AH68)</f>
        <v/>
      </c>
      <c r="AI69" s="15">
        <f>(AI67-AI68)</f>
        <v/>
      </c>
      <c r="AJ69" s="15">
        <f>(AJ67-AJ68)</f>
        <v/>
      </c>
      <c r="AK69" s="15">
        <f>(AK67-AK68)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25238.221508</v>
      </c>
      <c r="E70" s="13" t="n">
        <v>25238.221508</v>
      </c>
      <c r="F70" s="13" t="n">
        <v>25238.245486</v>
      </c>
      <c r="G70" s="13" t="n">
        <v>31275.829981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  <c r="P70" s="15">
        <f>(O70*(1+P35))</f>
        <v/>
      </c>
      <c r="Q70" s="15">
        <f>(P70*(1+Q35))</f>
        <v/>
      </c>
      <c r="R70" s="15">
        <f>(Q70*(1+R35))</f>
        <v/>
      </c>
      <c r="S70" s="15">
        <f>(R70*(1+S35))</f>
        <v/>
      </c>
      <c r="T70" s="15">
        <f>(S70*(1+T35))</f>
        <v/>
      </c>
      <c r="U70" s="15">
        <f>(T70*(1+U35))</f>
        <v/>
      </c>
      <c r="V70" s="15">
        <f>(U70*(1+V35))</f>
        <v/>
      </c>
      <c r="W70" s="15">
        <f>(V70*(1+W35))</f>
        <v/>
      </c>
      <c r="X70" s="15">
        <f>(W70*(1+X35))</f>
        <v/>
      </c>
      <c r="Y70" s="15">
        <f>(X70*(1+Y35))</f>
        <v/>
      </c>
      <c r="Z70" s="15">
        <f>(Y70*(1+Z35))</f>
        <v/>
      </c>
      <c r="AA70" s="15">
        <f>(Z70*(1+AA35))</f>
        <v/>
      </c>
      <c r="AB70" s="15">
        <f>(AA70*(1+AB35))</f>
        <v/>
      </c>
      <c r="AC70" s="15">
        <f>(AB70*(1+AC35))</f>
        <v/>
      </c>
      <c r="AD70" s="15">
        <f>(AC70*(1+AD35))</f>
        <v/>
      </c>
      <c r="AE70" s="15">
        <f>(AD70*(1+AE35))</f>
        <v/>
      </c>
      <c r="AF70" s="15">
        <f>(AE70*(1+AF35))</f>
        <v/>
      </c>
      <c r="AG70" s="15">
        <f>(AF70*(1+AG35))</f>
        <v/>
      </c>
      <c r="AH70" s="15">
        <f>(AG70*(1+AH35))</f>
        <v/>
      </c>
      <c r="AI70" s="15">
        <f>(AH70*(1+AI35))</f>
        <v/>
      </c>
      <c r="AJ70" s="15">
        <f>(AI70*(1+AJ35))</f>
        <v/>
      </c>
      <c r="AK70" s="15">
        <f>(AJ70*(1+AK35))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0.001336740625297471</v>
      </c>
      <c r="E71" s="20" t="n">
        <v>0.001045191357546271</v>
      </c>
      <c r="F71" s="20" t="n">
        <v>0.0003041862004337269</v>
      </c>
      <c r="G71" s="20" t="n">
        <v>0.0002433402088649115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  <c r="M71" s="21">
        <f>(IF(M70=0,0,M69/M70)*$C$8)</f>
        <v/>
      </c>
      <c r="N71" s="21">
        <f>(IF(N70=0,0,N69/N70)*$C$8)</f>
        <v/>
      </c>
      <c r="O71" s="21">
        <f>(IF(O70=0,0,O69/O70)*$C$8)</f>
        <v/>
      </c>
      <c r="P71" s="21">
        <f>(IF(P70=0,0,P69/P70)*$C$8)</f>
        <v/>
      </c>
      <c r="Q71" s="21">
        <f>(IF(Q70=0,0,Q69/Q70)*$C$8)</f>
        <v/>
      </c>
      <c r="R71" s="21">
        <f>(IF(R70=0,0,R69/R70)*$C$8)</f>
        <v/>
      </c>
      <c r="S71" s="21">
        <f>(IF(S70=0,0,S69/S70)*$C$8)</f>
        <v/>
      </c>
      <c r="T71" s="21">
        <f>(IF(T70=0,0,T69/T70)*$C$8)</f>
        <v/>
      </c>
      <c r="U71" s="21">
        <f>(IF(U70=0,0,U69/U70)*$C$8)</f>
        <v/>
      </c>
      <c r="V71" s="21">
        <f>(IF(V70=0,0,V69/V70)*$C$8)</f>
        <v/>
      </c>
      <c r="W71" s="21">
        <f>(IF(W70=0,0,W69/W70)*$C$8)</f>
        <v/>
      </c>
      <c r="X71" s="21">
        <f>(IF(X70=0,0,X69/X70)*$C$8)</f>
        <v/>
      </c>
      <c r="Y71" s="21">
        <f>(IF(Y70=0,0,Y69/Y70)*$C$8)</f>
        <v/>
      </c>
      <c r="Z71" s="21">
        <f>(IF(Z70=0,0,Z69/Z70)*$C$8)</f>
        <v/>
      </c>
      <c r="AA71" s="21">
        <f>(IF(AA70=0,0,AA69/AA70)*$C$8)</f>
        <v/>
      </c>
      <c r="AB71" s="21">
        <f>(IF(AB70=0,0,AB69/AB70)*$C$8)</f>
        <v/>
      </c>
      <c r="AC71" s="21">
        <f>(IF(AC70=0,0,AC69/AC70)*$C$8)</f>
        <v/>
      </c>
      <c r="AD71" s="21">
        <f>(IF(AD70=0,0,AD69/AD70)*$C$8)</f>
        <v/>
      </c>
      <c r="AE71" s="21">
        <f>(IF(AE70=0,0,AE69/AE70)*$C$8)</f>
        <v/>
      </c>
      <c r="AF71" s="21">
        <f>(IF(AF70=0,0,AF69/AF70)*$C$8)</f>
        <v/>
      </c>
      <c r="AG71" s="21">
        <f>(IF(AG70=0,0,AG69/AG70)*$C$8)</f>
        <v/>
      </c>
      <c r="AH71" s="21">
        <f>(IF(AH70=0,0,AH69/AH70)*$C$8)</f>
        <v/>
      </c>
      <c r="AI71" s="21">
        <f>(IF(AI70=0,0,AI69/AI70)*$C$8)</f>
        <v/>
      </c>
      <c r="AJ71" s="21">
        <f>(IF(AJ70=0,0,AJ69/AJ70)*$C$8)</f>
        <v/>
      </c>
      <c r="AK71" s="21">
        <f>(IF(AK70=0,0,AK69/AK70)*$C$8)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</v>
      </c>
      <c r="E72" s="20" t="n">
        <v>0</v>
      </c>
      <c r="F72" s="20" t="n">
        <v>0</v>
      </c>
      <c r="G72" s="20" t="n">
        <v>0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  <c r="M72" s="21">
        <f>(MAX(M71,0)*M34)</f>
        <v/>
      </c>
      <c r="N72" s="21">
        <f>(MAX(N71,0)*N34)</f>
        <v/>
      </c>
      <c r="O72" s="21">
        <f>(MAX(O71,0)*O34)</f>
        <v/>
      </c>
      <c r="P72" s="21">
        <f>(MAX(P71,0)*P34)</f>
        <v/>
      </c>
      <c r="Q72" s="21">
        <f>(MAX(Q71,0)*Q34)</f>
        <v/>
      </c>
      <c r="R72" s="21">
        <f>(MAX(R71,0)*R34)</f>
        <v/>
      </c>
      <c r="S72" s="21">
        <f>(MAX(S71,0)*S34)</f>
        <v/>
      </c>
      <c r="T72" s="21">
        <f>(MAX(T71,0)*T34)</f>
        <v/>
      </c>
      <c r="U72" s="21">
        <f>(MAX(U71,0)*U34)</f>
        <v/>
      </c>
      <c r="V72" s="21">
        <f>(MAX(V71,0)*V34)</f>
        <v/>
      </c>
      <c r="W72" s="21">
        <f>(MAX(W71,0)*W34)</f>
        <v/>
      </c>
      <c r="X72" s="21">
        <f>(MAX(X71,0)*X34)</f>
        <v/>
      </c>
      <c r="Y72" s="21">
        <f>(MAX(Y71,0)*Y34)</f>
        <v/>
      </c>
      <c r="Z72" s="21">
        <f>(MAX(Z71,0)*Z34)</f>
        <v/>
      </c>
      <c r="AA72" s="21">
        <f>(MAX(AA71,0)*AA34)</f>
        <v/>
      </c>
      <c r="AB72" s="21">
        <f>(MAX(AB71,0)*AB34)</f>
        <v/>
      </c>
      <c r="AC72" s="21">
        <f>(MAX(AC71,0)*AC34)</f>
        <v/>
      </c>
      <c r="AD72" s="21">
        <f>(MAX(AD71,0)*AD34)</f>
        <v/>
      </c>
      <c r="AE72" s="21">
        <f>(MAX(AE71,0)*AE34)</f>
        <v/>
      </c>
      <c r="AF72" s="21">
        <f>(MAX(AF71,0)*AF34)</f>
        <v/>
      </c>
      <c r="AG72" s="21">
        <f>(MAX(AG71,0)*AG34)</f>
        <v/>
      </c>
      <c r="AH72" s="21">
        <f>(MAX(AH71,0)*AH34)</f>
        <v/>
      </c>
      <c r="AI72" s="21">
        <f>(MAX(AI71,0)*AI34)</f>
        <v/>
      </c>
      <c r="AJ72" s="21">
        <f>(MAX(AJ71,0)*AJ34)</f>
        <v/>
      </c>
      <c r="AK72" s="21">
        <f>(MAX(AK71,0)*AK34)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/>
      <c r="E73" s="13" t="n"/>
      <c r="F73" s="13" t="n"/>
      <c r="G73" s="13" t="n"/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  <c r="P73" s="15">
        <f>IF($C$8=0,0,(O72*O70)/$C$8)</f>
        <v/>
      </c>
      <c r="Q73" s="15">
        <f>IF($C$8=0,0,(P72*P70)/$C$8)</f>
        <v/>
      </c>
      <c r="R73" s="15">
        <f>IF($C$8=0,0,(Q72*Q70)/$C$8)</f>
        <v/>
      </c>
      <c r="S73" s="15">
        <f>IF($C$8=0,0,(R72*R70)/$C$8)</f>
        <v/>
      </c>
      <c r="T73" s="15">
        <f>IF($C$8=0,0,(S72*S70)/$C$8)</f>
        <v/>
      </c>
      <c r="U73" s="15">
        <f>IF($C$8=0,0,(T72*T70)/$C$8)</f>
        <v/>
      </c>
      <c r="V73" s="15">
        <f>IF($C$8=0,0,(U72*U70)/$C$8)</f>
        <v/>
      </c>
      <c r="W73" s="15">
        <f>IF($C$8=0,0,(V72*V70)/$C$8)</f>
        <v/>
      </c>
      <c r="X73" s="15">
        <f>IF($C$8=0,0,(W72*W70)/$C$8)</f>
        <v/>
      </c>
      <c r="Y73" s="15">
        <f>IF($C$8=0,0,(X72*X70)/$C$8)</f>
        <v/>
      </c>
      <c r="Z73" s="15">
        <f>IF($C$8=0,0,(Y72*Y70)/$C$8)</f>
        <v/>
      </c>
      <c r="AA73" s="15">
        <f>IF($C$8=0,0,(Z72*Z70)/$C$8)</f>
        <v/>
      </c>
      <c r="AB73" s="15">
        <f>IF($C$8=0,0,(AA72*AA70)/$C$8)</f>
        <v/>
      </c>
      <c r="AC73" s="15">
        <f>IF($C$8=0,0,(AB72*AB70)/$C$8)</f>
        <v/>
      </c>
      <c r="AD73" s="15">
        <f>IF($C$8=0,0,(AC72*AC70)/$C$8)</f>
        <v/>
      </c>
      <c r="AE73" s="15">
        <f>IF($C$8=0,0,(AD72*AD70)/$C$8)</f>
        <v/>
      </c>
      <c r="AF73" s="15">
        <f>IF($C$8=0,0,(AE72*AE70)/$C$8)</f>
        <v/>
      </c>
      <c r="AG73" s="15">
        <f>IF($C$8=0,0,(AF72*AF70)/$C$8)</f>
        <v/>
      </c>
      <c r="AH73" s="15">
        <f>IF($C$8=0,0,(AG72*AG70)/$C$8)</f>
        <v/>
      </c>
      <c r="AI73" s="15">
        <f>IF($C$8=0,0,(AH72*AH70)/$C$8)</f>
        <v/>
      </c>
      <c r="AJ73" s="15">
        <f>IF($C$8=0,0,(AI72*AI70)/$C$8)</f>
        <v/>
      </c>
      <c r="AK73" s="15">
        <f>IF($C$8=0,0,(AJ72*AJ70)/$C$8)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41.339698</v>
      </c>
      <c r="E74" s="13" t="n">
        <v>8.767624</v>
      </c>
      <c r="F74" s="13" t="n">
        <v>17.529121</v>
      </c>
      <c r="G74" s="13" t="n">
        <v>25.201589</v>
      </c>
      <c r="H74" s="15">
        <f>(((H41*H25)*$C$10)+H26)</f>
        <v/>
      </c>
      <c r="I74" s="15">
        <f>(((I41*I25)*$C$10)+I26)</f>
        <v/>
      </c>
      <c r="J74" s="15">
        <f>(((J41*J25)*$C$10)+J26)</f>
        <v/>
      </c>
      <c r="K74" s="15">
        <f>(((K41*K25)*$C$10)+K26)</f>
        <v/>
      </c>
      <c r="L74" s="15">
        <f>(((L41*L25)*$C$10)+L26)</f>
        <v/>
      </c>
      <c r="M74" s="15">
        <f>(((M41*M25)*$C$10)+M26)</f>
        <v/>
      </c>
      <c r="N74" s="15">
        <f>(((N41*N25)*$C$10)+N26)</f>
        <v/>
      </c>
      <c r="O74" s="15">
        <f>(((O41*O25)*$C$10)+O26)</f>
        <v/>
      </c>
      <c r="P74" s="15">
        <f>(((P41*P25)*$C$10)+P26)</f>
        <v/>
      </c>
      <c r="Q74" s="15">
        <f>(((Q41*Q25)*$C$10)+Q26)</f>
        <v/>
      </c>
      <c r="R74" s="15">
        <f>(((R41*R25)*$C$10)+R26)</f>
        <v/>
      </c>
      <c r="S74" s="15">
        <f>(((S41*S25)*$C$10)+S26)</f>
        <v/>
      </c>
      <c r="T74" s="15">
        <f>(((T41*T25)*$C$10)+T26)</f>
        <v/>
      </c>
      <c r="U74" s="15">
        <f>(((U41*U25)*$C$10)+U26)</f>
        <v/>
      </c>
      <c r="V74" s="15">
        <f>(((V41*V25)*$C$10)+V26)</f>
        <v/>
      </c>
      <c r="W74" s="15">
        <f>(((W41*W25)*$C$10)+W26)</f>
        <v/>
      </c>
      <c r="X74" s="15">
        <f>(((X41*X25)*$C$10)+X26)</f>
        <v/>
      </c>
      <c r="Y74" s="15">
        <f>(((Y41*Y25)*$C$10)+Y26)</f>
        <v/>
      </c>
      <c r="Z74" s="15">
        <f>(((Z41*Z25)*$C$10)+Z26)</f>
        <v/>
      </c>
      <c r="AA74" s="15">
        <f>(((AA41*AA25)*$C$10)+AA26)</f>
        <v/>
      </c>
      <c r="AB74" s="15">
        <f>(((AB41*AB25)*$C$10)+AB26)</f>
        <v/>
      </c>
      <c r="AC74" s="15">
        <f>(((AC41*AC25)*$C$10)+AC26)</f>
        <v/>
      </c>
      <c r="AD74" s="15">
        <f>(((AD41*AD25)*$C$10)+AD26)</f>
        <v/>
      </c>
      <c r="AE74" s="15">
        <f>(((AE41*AE25)*$C$10)+AE26)</f>
        <v/>
      </c>
      <c r="AF74" s="15">
        <f>(((AF41*AF25)*$C$10)+AF26)</f>
        <v/>
      </c>
      <c r="AG74" s="15">
        <f>(((AG41*AG25)*$C$10)+AG26)</f>
        <v/>
      </c>
      <c r="AH74" s="15">
        <f>(((AH41*AH25)*$C$10)+AH26)</f>
        <v/>
      </c>
      <c r="AI74" s="15">
        <f>(((AI41*AI25)*$C$10)+AI26)</f>
        <v/>
      </c>
      <c r="AJ74" s="15">
        <f>(((AJ41*AJ25)*$C$10)+AJ26)</f>
        <v/>
      </c>
      <c r="AK74" s="15">
        <f>(((AK41*AK25)*$C$10)+AK26)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2.055922000000006</v>
      </c>
      <c r="F75" s="13" t="n">
        <v>7.517372999999999</v>
      </c>
      <c r="G75" s="13" t="n">
        <v>17.86912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  <c r="P75" s="15">
        <f>(P80-O80)</f>
        <v/>
      </c>
      <c r="Q75" s="15">
        <f>(Q80-P80)</f>
        <v/>
      </c>
      <c r="R75" s="15">
        <f>(R80-Q80)</f>
        <v/>
      </c>
      <c r="S75" s="15">
        <f>(S80-R80)</f>
        <v/>
      </c>
      <c r="T75" s="15">
        <f>(T80-S80)</f>
        <v/>
      </c>
      <c r="U75" s="15">
        <f>(U80-T80)</f>
        <v/>
      </c>
      <c r="V75" s="15">
        <f>(V80-U80)</f>
        <v/>
      </c>
      <c r="W75" s="15">
        <f>(W80-V80)</f>
        <v/>
      </c>
      <c r="X75" s="15">
        <f>(X80-W80)</f>
        <v/>
      </c>
      <c r="Y75" s="15">
        <f>(Y80-X80)</f>
        <v/>
      </c>
      <c r="Z75" s="15">
        <f>(Z80-Y80)</f>
        <v/>
      </c>
      <c r="AA75" s="15">
        <f>(AA80-Z80)</f>
        <v/>
      </c>
      <c r="AB75" s="15">
        <f>(AB80-AA80)</f>
        <v/>
      </c>
      <c r="AC75" s="15">
        <f>(AC80-AB80)</f>
        <v/>
      </c>
      <c r="AD75" s="15">
        <f>(AD80-AC80)</f>
        <v/>
      </c>
      <c r="AE75" s="15">
        <f>(AE80-AD80)</f>
        <v/>
      </c>
      <c r="AF75" s="15">
        <f>(AF80-AE80)</f>
        <v/>
      </c>
      <c r="AG75" s="15">
        <f>(AG80-AF80)</f>
        <v/>
      </c>
      <c r="AH75" s="15">
        <f>(AH80-AG80)</f>
        <v/>
      </c>
      <c r="AI75" s="15">
        <f>(AI80-AH80)</f>
        <v/>
      </c>
      <c r="AJ75" s="15">
        <f>(AJ80-AI80)</f>
        <v/>
      </c>
      <c r="AK75" s="15">
        <f>(AK80-AJ80)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19.78881488555814</v>
      </c>
      <c r="F76" s="13" t="n">
        <v>-10.46785971670784</v>
      </c>
      <c r="G76" s="13" t="n">
        <v>-27.3805599316292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  <c r="P76" s="15">
        <f>((((P59*(1-P28))+P60)-P74)-P75)</f>
        <v/>
      </c>
      <c r="Q76" s="15">
        <f>((((Q59*(1-Q28))+Q60)-Q74)-Q75)</f>
        <v/>
      </c>
      <c r="R76" s="15">
        <f>((((R59*(1-R28))+R60)-R74)-R75)</f>
        <v/>
      </c>
      <c r="S76" s="15">
        <f>((((S59*(1-S28))+S60)-S74)-S75)</f>
        <v/>
      </c>
      <c r="T76" s="15">
        <f>((((T59*(1-T28))+T60)-T74)-T75)</f>
        <v/>
      </c>
      <c r="U76" s="15">
        <f>((((U59*(1-U28))+U60)-U74)-U75)</f>
        <v/>
      </c>
      <c r="V76" s="15">
        <f>((((V59*(1-V28))+V60)-V74)-V75)</f>
        <v/>
      </c>
      <c r="W76" s="15">
        <f>((((W59*(1-W28))+W60)-W74)-W75)</f>
        <v/>
      </c>
      <c r="X76" s="15">
        <f>((((X59*(1-X28))+X60)-X74)-X75)</f>
        <v/>
      </c>
      <c r="Y76" s="15">
        <f>((((Y59*(1-Y28))+Y60)-Y74)-Y75)</f>
        <v/>
      </c>
      <c r="Z76" s="15">
        <f>((((Z59*(1-Z28))+Z60)-Z74)-Z75)</f>
        <v/>
      </c>
      <c r="AA76" s="15">
        <f>((((AA59*(1-AA28))+AA60)-AA74)-AA75)</f>
        <v/>
      </c>
      <c r="AB76" s="15">
        <f>((((AB59*(1-AB28))+AB60)-AB74)-AB75)</f>
        <v/>
      </c>
      <c r="AC76" s="15">
        <f>((((AC59*(1-AC28))+AC60)-AC74)-AC75)</f>
        <v/>
      </c>
      <c r="AD76" s="15">
        <f>((((AD59*(1-AD28))+AD60)-AD74)-AD75)</f>
        <v/>
      </c>
      <c r="AE76" s="15">
        <f>((((AE59*(1-AE28))+AE60)-AE74)-AE75)</f>
        <v/>
      </c>
      <c r="AF76" s="15">
        <f>((((AF59*(1-AF28))+AF60)-AF74)-AF75)</f>
        <v/>
      </c>
      <c r="AG76" s="15">
        <f>((((AG59*(1-AG28))+AG60)-AG74)-AG75)</f>
        <v/>
      </c>
      <c r="AH76" s="15">
        <f>((((AH59*(1-AH28))+AH60)-AH74)-AH75)</f>
        <v/>
      </c>
      <c r="AI76" s="15">
        <f>((((AI59*(1-AI28))+AI60)-AI74)-AI75)</f>
        <v/>
      </c>
      <c r="AJ76" s="15">
        <f>((((AJ59*(1-AJ28))+AJ60)-AJ74)-AJ75)</f>
        <v/>
      </c>
      <c r="AK76" s="15">
        <f>((((AK59*(1-AK28))+AK60)-AK74)-AK75)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37.67561300000001</v>
      </c>
      <c r="F77" s="13" t="n">
        <v>-30.18053700000001</v>
      </c>
      <c r="G77" s="13" t="n">
        <v>11.937664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  <c r="P77" s="15">
        <f>P31</f>
        <v/>
      </c>
      <c r="Q77" s="15">
        <f>Q31</f>
        <v/>
      </c>
      <c r="R77" s="15">
        <f>R31</f>
        <v/>
      </c>
      <c r="S77" s="15">
        <f>S31</f>
        <v/>
      </c>
      <c r="T77" s="15">
        <f>T31</f>
        <v/>
      </c>
      <c r="U77" s="15">
        <f>U31</f>
        <v/>
      </c>
      <c r="V77" s="15">
        <f>V31</f>
        <v/>
      </c>
      <c r="W77" s="15">
        <f>W31</f>
        <v/>
      </c>
      <c r="X77" s="15">
        <f>X31</f>
        <v/>
      </c>
      <c r="Y77" s="15">
        <f>Y31</f>
        <v/>
      </c>
      <c r="Z77" s="15">
        <f>Z31</f>
        <v/>
      </c>
      <c r="AA77" s="15">
        <f>AA31</f>
        <v/>
      </c>
      <c r="AB77" s="15">
        <f>AB31</f>
        <v/>
      </c>
      <c r="AC77" s="15">
        <f>AC31</f>
        <v/>
      </c>
      <c r="AD77" s="15">
        <f>AD31</f>
        <v/>
      </c>
      <c r="AE77" s="15">
        <f>AE31</f>
        <v/>
      </c>
      <c r="AF77" s="15">
        <f>AF31</f>
        <v/>
      </c>
      <c r="AG77" s="15">
        <f>AG31</f>
        <v/>
      </c>
      <c r="AH77" s="15">
        <f>AH31</f>
        <v/>
      </c>
      <c r="AI77" s="15">
        <f>AI31</f>
        <v/>
      </c>
      <c r="AJ77" s="15">
        <f>AJ31</f>
        <v/>
      </c>
      <c r="AK77" s="15">
        <f>AK31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  <c r="P78" s="15">
        <f>(MAX(O68,0)*P34)</f>
        <v/>
      </c>
      <c r="Q78" s="15">
        <f>(MAX(P68,0)*Q34)</f>
        <v/>
      </c>
      <c r="R78" s="15">
        <f>(MAX(Q68,0)*R34)</f>
        <v/>
      </c>
      <c r="S78" s="15">
        <f>(MAX(R68,0)*S34)</f>
        <v/>
      </c>
      <c r="T78" s="15">
        <f>(MAX(S68,0)*T34)</f>
        <v/>
      </c>
      <c r="U78" s="15">
        <f>(MAX(T68,0)*U34)</f>
        <v/>
      </c>
      <c r="V78" s="15">
        <f>(MAX(U68,0)*V34)</f>
        <v/>
      </c>
      <c r="W78" s="15">
        <f>(MAX(V68,0)*W34)</f>
        <v/>
      </c>
      <c r="X78" s="15">
        <f>(MAX(W68,0)*X34)</f>
        <v/>
      </c>
      <c r="Y78" s="15">
        <f>(MAX(X68,0)*Y34)</f>
        <v/>
      </c>
      <c r="Z78" s="15">
        <f>(MAX(Y68,0)*Z34)</f>
        <v/>
      </c>
      <c r="AA78" s="15">
        <f>(MAX(Z68,0)*AA34)</f>
        <v/>
      </c>
      <c r="AB78" s="15">
        <f>(MAX(AA68,0)*AB34)</f>
        <v/>
      </c>
      <c r="AC78" s="15">
        <f>(MAX(AB68,0)*AC34)</f>
        <v/>
      </c>
      <c r="AD78" s="15">
        <f>(MAX(AC68,0)*AD34)</f>
        <v/>
      </c>
      <c r="AE78" s="15">
        <f>(MAX(AD68,0)*AE34)</f>
        <v/>
      </c>
      <c r="AF78" s="15">
        <f>(MAX(AE68,0)*AF34)</f>
        <v/>
      </c>
      <c r="AG78" s="15">
        <f>(MAX(AF68,0)*AG34)</f>
        <v/>
      </c>
      <c r="AH78" s="15">
        <f>(MAX(AG68,0)*AH34)</f>
        <v/>
      </c>
      <c r="AI78" s="15">
        <f>(MAX(AH68,0)*AI34)</f>
        <v/>
      </c>
      <c r="AJ78" s="15">
        <f>(MAX(AI68,0)*AJ34)</f>
        <v/>
      </c>
      <c r="AK78" s="15">
        <f>(MAX(AJ68,0)*AK34)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  <c r="P79" s="15">
        <f>(((((P67+P60)-P74)-P75)+P77)-P78)</f>
        <v/>
      </c>
      <c r="Q79" s="15">
        <f>(((((Q67+Q60)-Q74)-Q75)+Q77)-Q78)</f>
        <v/>
      </c>
      <c r="R79" s="15">
        <f>(((((R67+R60)-R74)-R75)+R77)-R78)</f>
        <v/>
      </c>
      <c r="S79" s="15">
        <f>(((((S67+S60)-S74)-S75)+S77)-S78)</f>
        <v/>
      </c>
      <c r="T79" s="15">
        <f>(((((T67+T60)-T74)-T75)+T77)-T78)</f>
        <v/>
      </c>
      <c r="U79" s="15">
        <f>(((((U67+U60)-U74)-U75)+U77)-U78)</f>
        <v/>
      </c>
      <c r="V79" s="15">
        <f>(((((V67+V60)-V74)-V75)+V77)-V78)</f>
        <v/>
      </c>
      <c r="W79" s="15">
        <f>(((((W67+W60)-W74)-W75)+W77)-W78)</f>
        <v/>
      </c>
      <c r="X79" s="15">
        <f>(((((X67+X60)-X74)-X75)+X77)-X78)</f>
        <v/>
      </c>
      <c r="Y79" s="15">
        <f>(((((Y67+Y60)-Y74)-Y75)+Y77)-Y78)</f>
        <v/>
      </c>
      <c r="Z79" s="15">
        <f>(((((Z67+Z60)-Z74)-Z75)+Z77)-Z78)</f>
        <v/>
      </c>
      <c r="AA79" s="15">
        <f>(((((AA67+AA60)-AA74)-AA75)+AA77)-AA78)</f>
        <v/>
      </c>
      <c r="AB79" s="15">
        <f>(((((AB67+AB60)-AB74)-AB75)+AB77)-AB78)</f>
        <v/>
      </c>
      <c r="AC79" s="15">
        <f>(((((AC67+AC60)-AC74)-AC75)+AC77)-AC78)</f>
        <v/>
      </c>
      <c r="AD79" s="15">
        <f>(((((AD67+AD60)-AD74)-AD75)+AD77)-AD78)</f>
        <v/>
      </c>
      <c r="AE79" s="15">
        <f>(((((AE67+AE60)-AE74)-AE75)+AE77)-AE78)</f>
        <v/>
      </c>
      <c r="AF79" s="15">
        <f>(((((AF67+AF60)-AF74)-AF75)+AF77)-AF78)</f>
        <v/>
      </c>
      <c r="AG79" s="15">
        <f>(((((AG67+AG60)-AG74)-AG75)+AG77)-AG78)</f>
        <v/>
      </c>
      <c r="AH79" s="15">
        <f>(((((AH67+AH60)-AH74)-AH75)+AH77)-AH78)</f>
        <v/>
      </c>
      <c r="AI79" s="15">
        <f>(((((AI67+AI60)-AI74)-AI75)+AI77)-AI78)</f>
        <v/>
      </c>
      <c r="AJ79" s="15">
        <f>(((((AJ67+AJ60)-AJ74)-AJ75)+AJ77)-AJ78)</f>
        <v/>
      </c>
      <c r="AK79" s="15">
        <f>(((((AK67+AK60)-AK74)-AK75)+AK77)-AK78)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-21.037287</v>
      </c>
      <c r="E80" s="13" t="n">
        <v>-18.981365</v>
      </c>
      <c r="F80" s="13" t="n">
        <v>-11.463992</v>
      </c>
      <c r="G80" s="13" t="n">
        <v>6.405128000000005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  <c r="P80" s="15">
        <f>(P55*P27)</f>
        <v/>
      </c>
      <c r="Q80" s="15">
        <f>(Q55*Q27)</f>
        <v/>
      </c>
      <c r="R80" s="15">
        <f>(R55*R27)</f>
        <v/>
      </c>
      <c r="S80" s="15">
        <f>(S55*S27)</f>
        <v/>
      </c>
      <c r="T80" s="15">
        <f>(T55*T27)</f>
        <v/>
      </c>
      <c r="U80" s="15">
        <f>(U55*U27)</f>
        <v/>
      </c>
      <c r="V80" s="15">
        <f>(V55*V27)</f>
        <v/>
      </c>
      <c r="W80" s="15">
        <f>(W55*W27)</f>
        <v/>
      </c>
      <c r="X80" s="15">
        <f>(X55*X27)</f>
        <v/>
      </c>
      <c r="Y80" s="15">
        <f>(Y55*Y27)</f>
        <v/>
      </c>
      <c r="Z80" s="15">
        <f>(Z55*Z27)</f>
        <v/>
      </c>
      <c r="AA80" s="15">
        <f>(AA55*AA27)</f>
        <v/>
      </c>
      <c r="AB80" s="15">
        <f>(AB55*AB27)</f>
        <v/>
      </c>
      <c r="AC80" s="15">
        <f>(AC55*AC27)</f>
        <v/>
      </c>
      <c r="AD80" s="15">
        <f>(AD55*AD27)</f>
        <v/>
      </c>
      <c r="AE80" s="15">
        <f>(AE55*AE27)</f>
        <v/>
      </c>
      <c r="AF80" s="15">
        <f>(AF55*AF27)</f>
        <v/>
      </c>
      <c r="AG80" s="15">
        <f>(AG55*AG27)</f>
        <v/>
      </c>
      <c r="AH80" s="15">
        <f>(AH55*AH27)</f>
        <v/>
      </c>
      <c r="AI80" s="15">
        <f>(AI55*AI27)</f>
        <v/>
      </c>
      <c r="AJ80" s="15">
        <f>(AJ55*AJ27)</f>
        <v/>
      </c>
      <c r="AK80" s="15">
        <f>(AK55*AK27)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0.726931</v>
      </c>
      <c r="E81" s="13" t="n">
        <v>0.932803</v>
      </c>
      <c r="F81" s="13" t="n">
        <v>3.297545</v>
      </c>
      <c r="G81" s="13" t="n">
        <v>2.152424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  <c r="P81" s="15">
        <f>(((((((O81+P67)+P60)-P74)-P75)+P77)-P73)-P78)</f>
        <v/>
      </c>
      <c r="Q81" s="15">
        <f>(((((((P81+Q67)+Q60)-Q74)-Q75)+Q77)-Q73)-Q78)</f>
        <v/>
      </c>
      <c r="R81" s="15">
        <f>(((((((Q81+R67)+R60)-R74)-R75)+R77)-R73)-R78)</f>
        <v/>
      </c>
      <c r="S81" s="15">
        <f>(((((((R81+S67)+S60)-S74)-S75)+S77)-S73)-S78)</f>
        <v/>
      </c>
      <c r="T81" s="15">
        <f>(((((((S81+T67)+T60)-T74)-T75)+T77)-T73)-T78)</f>
        <v/>
      </c>
      <c r="U81" s="15">
        <f>(((((((T81+U67)+U60)-U74)-U75)+U77)-U73)-U78)</f>
        <v/>
      </c>
      <c r="V81" s="15">
        <f>(((((((U81+V67)+V60)-V74)-V75)+V77)-V73)-V78)</f>
        <v/>
      </c>
      <c r="W81" s="15">
        <f>(((((((V81+W67)+W60)-W74)-W75)+W77)-W73)-W78)</f>
        <v/>
      </c>
      <c r="X81" s="15">
        <f>(((((((W81+X67)+X60)-X74)-X75)+X77)-X73)-X78)</f>
        <v/>
      </c>
      <c r="Y81" s="15">
        <f>(((((((X81+Y67)+Y60)-Y74)-Y75)+Y77)-Y73)-Y78)</f>
        <v/>
      </c>
      <c r="Z81" s="15">
        <f>(((((((Y81+Z67)+Z60)-Z74)-Z75)+Z77)-Z73)-Z78)</f>
        <v/>
      </c>
      <c r="AA81" s="15">
        <f>(((((((Z81+AA67)+AA60)-AA74)-AA75)+AA77)-AA73)-AA78)</f>
        <v/>
      </c>
      <c r="AB81" s="15">
        <f>(((((((AA81+AB67)+AB60)-AB74)-AB75)+AB77)-AB73)-AB78)</f>
        <v/>
      </c>
      <c r="AC81" s="15">
        <f>(((((((AB81+AC67)+AC60)-AC74)-AC75)+AC77)-AC73)-AC78)</f>
        <v/>
      </c>
      <c r="AD81" s="15">
        <f>(((((((AC81+AD67)+AD60)-AD74)-AD75)+AD77)-AD73)-AD78)</f>
        <v/>
      </c>
      <c r="AE81" s="15">
        <f>(((((((AD81+AE67)+AE60)-AE74)-AE75)+AE77)-AE73)-AE78)</f>
        <v/>
      </c>
      <c r="AF81" s="15">
        <f>(((((((AE81+AF67)+AF60)-AF74)-AF75)+AF77)-AF73)-AF78)</f>
        <v/>
      </c>
      <c r="AG81" s="15">
        <f>(((((((AF81+AG67)+AG60)-AG74)-AG75)+AG77)-AG73)-AG78)</f>
        <v/>
      </c>
      <c r="AH81" s="15">
        <f>(((((((AG81+AH67)+AH60)-AH74)-AH75)+AH77)-AH73)-AH78)</f>
        <v/>
      </c>
      <c r="AI81" s="15">
        <f>(((((((AH81+AI67)+AI60)-AI74)-AI75)+AI77)-AI73)-AI78)</f>
        <v/>
      </c>
      <c r="AJ81" s="15">
        <f>(((((((AI81+AJ67)+AJ60)-AJ74)-AJ75)+AJ77)-AJ73)-AJ78)</f>
        <v/>
      </c>
      <c r="AK81" s="15">
        <f>(((((((AJ81+AK67)+AK60)-AK74)-AK75)+AK77)-AK73)-AK78)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35.309885</v>
      </c>
      <c r="E82" s="13" t="n">
        <v>72.98549800000001</v>
      </c>
      <c r="F82" s="13" t="n">
        <v>42.804961</v>
      </c>
      <c r="G82" s="13" t="n">
        <v>54.742625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  <c r="P82" s="15">
        <f>(O82+P77)</f>
        <v/>
      </c>
      <c r="Q82" s="15">
        <f>(P82+Q77)</f>
        <v/>
      </c>
      <c r="R82" s="15">
        <f>(Q82+R77)</f>
        <v/>
      </c>
      <c r="S82" s="15">
        <f>(R82+S77)</f>
        <v/>
      </c>
      <c r="T82" s="15">
        <f>(S82+T77)</f>
        <v/>
      </c>
      <c r="U82" s="15">
        <f>(T82+U77)</f>
        <v/>
      </c>
      <c r="V82" s="15">
        <f>(U82+V77)</f>
        <v/>
      </c>
      <c r="W82" s="15">
        <f>(V82+W77)</f>
        <v/>
      </c>
      <c r="X82" s="15">
        <f>(W82+X77)</f>
        <v/>
      </c>
      <c r="Y82" s="15">
        <f>(X82+Y77)</f>
        <v/>
      </c>
      <c r="Z82" s="15">
        <f>(Y82+Z77)</f>
        <v/>
      </c>
      <c r="AA82" s="15">
        <f>(Z82+AA77)</f>
        <v/>
      </c>
      <c r="AB82" s="15">
        <f>(AA82+AB77)</f>
        <v/>
      </c>
      <c r="AC82" s="15">
        <f>(AB82+AC77)</f>
        <v/>
      </c>
      <c r="AD82" s="15">
        <f>(AC82+AD77)</f>
        <v/>
      </c>
      <c r="AE82" s="15">
        <f>(AD82+AE77)</f>
        <v/>
      </c>
      <c r="AF82" s="15">
        <f>(AE82+AF77)</f>
        <v/>
      </c>
      <c r="AG82" s="15">
        <f>(AF82+AG77)</f>
        <v/>
      </c>
      <c r="AH82" s="15">
        <f>(AG82+AH77)</f>
        <v/>
      </c>
      <c r="AI82" s="15">
        <f>(AH82+AI77)</f>
        <v/>
      </c>
      <c r="AJ82" s="15">
        <f>(AI82+AJ77)</f>
        <v/>
      </c>
      <c r="AK82" s="15">
        <f>(AJ82+AK77)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126.133471</v>
      </c>
      <c r="E83" s="13" t="n">
        <v>145.500558</v>
      </c>
      <c r="F83" s="13" t="n">
        <v>134.886519</v>
      </c>
      <c r="G83" s="13" t="n">
        <v>143.727229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  <c r="P83" s="15">
        <f>((O83+P74)-P60)</f>
        <v/>
      </c>
      <c r="Q83" s="15">
        <f>((P83+Q74)-Q60)</f>
        <v/>
      </c>
      <c r="R83" s="15">
        <f>((Q83+R74)-R60)</f>
        <v/>
      </c>
      <c r="S83" s="15">
        <f>((R83+S74)-S60)</f>
        <v/>
      </c>
      <c r="T83" s="15">
        <f>((S83+T74)-T60)</f>
        <v/>
      </c>
      <c r="U83" s="15">
        <f>((T83+U74)-U60)</f>
        <v/>
      </c>
      <c r="V83" s="15">
        <f>((U83+V74)-V60)</f>
        <v/>
      </c>
      <c r="W83" s="15">
        <f>((V83+W74)-W60)</f>
        <v/>
      </c>
      <c r="X83" s="15">
        <f>((W83+X74)-X60)</f>
        <v/>
      </c>
      <c r="Y83" s="15">
        <f>((X83+Y74)-Y60)</f>
        <v/>
      </c>
      <c r="Z83" s="15">
        <f>((Y83+Z74)-Z60)</f>
        <v/>
      </c>
      <c r="AA83" s="15">
        <f>((Z83+AA74)-AA60)</f>
        <v/>
      </c>
      <c r="AB83" s="15">
        <f>((AA83+AB74)-AB60)</f>
        <v/>
      </c>
      <c r="AC83" s="15">
        <f>((AB83+AC74)-AC60)</f>
        <v/>
      </c>
      <c r="AD83" s="15">
        <f>((AC83+AD74)-AD60)</f>
        <v/>
      </c>
      <c r="AE83" s="15">
        <f>((AD83+AE74)-AE60)</f>
        <v/>
      </c>
      <c r="AF83" s="15">
        <f>((AE83+AF74)-AF60)</f>
        <v/>
      </c>
      <c r="AG83" s="15">
        <f>((AF83+AG74)-AG60)</f>
        <v/>
      </c>
      <c r="AH83" s="15">
        <f>((AG83+AH74)-AH60)</f>
        <v/>
      </c>
      <c r="AI83" s="15">
        <f>((AH83+AI74)-AI60)</f>
        <v/>
      </c>
      <c r="AJ83" s="15">
        <f>((AI83+AJ74)-AJ60)</f>
        <v/>
      </c>
      <c r="AK83" s="15">
        <f>((AJ83+AK74)-AK60)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75.224664</v>
      </c>
      <c r="E84" s="13" t="n">
        <v>102.900169</v>
      </c>
      <c r="F84" s="13" t="n">
        <v>108.275006</v>
      </c>
      <c r="G84" s="13" t="n">
        <v>134.763952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  <c r="P84" s="15">
        <f>((O84+P69)-P73)</f>
        <v/>
      </c>
      <c r="Q84" s="15">
        <f>((P84+Q69)-Q73)</f>
        <v/>
      </c>
      <c r="R84" s="15">
        <f>((Q84+R69)-R73)</f>
        <v/>
      </c>
      <c r="S84" s="15">
        <f>((R84+S69)-S73)</f>
        <v/>
      </c>
      <c r="T84" s="15">
        <f>((S84+T69)-T73)</f>
        <v/>
      </c>
      <c r="U84" s="15">
        <f>((T84+U69)-U73)</f>
        <v/>
      </c>
      <c r="V84" s="15">
        <f>((U84+V69)-V73)</f>
        <v/>
      </c>
      <c r="W84" s="15">
        <f>((V84+W69)-W73)</f>
        <v/>
      </c>
      <c r="X84" s="15">
        <f>((W84+X69)-X73)</f>
        <v/>
      </c>
      <c r="Y84" s="15">
        <f>((X84+Y69)-Y73)</f>
        <v/>
      </c>
      <c r="Z84" s="15">
        <f>((Y84+Z69)-Z73)</f>
        <v/>
      </c>
      <c r="AA84" s="15">
        <f>((Z84+AA69)-AA73)</f>
        <v/>
      </c>
      <c r="AB84" s="15">
        <f>((AA84+AB69)-AB73)</f>
        <v/>
      </c>
      <c r="AC84" s="15">
        <f>((AB84+AC69)-AC73)</f>
        <v/>
      </c>
      <c r="AD84" s="15">
        <f>((AC84+AD69)-AD73)</f>
        <v/>
      </c>
      <c r="AE84" s="15">
        <f>((AD84+AE69)-AE73)</f>
        <v/>
      </c>
      <c r="AF84" s="15">
        <f>((AE84+AF69)-AF73)</f>
        <v/>
      </c>
      <c r="AG84" s="15">
        <f>((AF84+AG69)-AG73)</f>
        <v/>
      </c>
      <c r="AH84" s="15">
        <f>((AG84+AH69)-AH73)</f>
        <v/>
      </c>
      <c r="AI84" s="15">
        <f>((AH84+AI69)-AI73)</f>
        <v/>
      </c>
      <c r="AJ84" s="15">
        <f>((AI84+AJ69)-AJ73)</f>
        <v/>
      </c>
      <c r="AK84" s="15">
        <f>((AJ84+AK69)-AK73)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0.1325</v>
      </c>
      <c r="E85" s="13" t="n">
        <v>0.240663</v>
      </c>
      <c r="F85" s="13" t="n">
        <v>0.090307</v>
      </c>
      <c r="G85" s="13" t="n">
        <v>0.115829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  <c r="P85" s="15">
        <f>((O85+P68)-P78)</f>
        <v/>
      </c>
      <c r="Q85" s="15">
        <f>((P85+Q68)-Q78)</f>
        <v/>
      </c>
      <c r="R85" s="15">
        <f>((Q85+R68)-R78)</f>
        <v/>
      </c>
      <c r="S85" s="15">
        <f>((R85+S68)-S78)</f>
        <v/>
      </c>
      <c r="T85" s="15">
        <f>((S85+T68)-T78)</f>
        <v/>
      </c>
      <c r="U85" s="15">
        <f>((T85+U68)-U78)</f>
        <v/>
      </c>
      <c r="V85" s="15">
        <f>((U85+V68)-V78)</f>
        <v/>
      </c>
      <c r="W85" s="15">
        <f>((V85+W68)-W78)</f>
        <v/>
      </c>
      <c r="X85" s="15">
        <f>((W85+X68)-X78)</f>
        <v/>
      </c>
      <c r="Y85" s="15">
        <f>((X85+Y68)-Y78)</f>
        <v/>
      </c>
      <c r="Z85" s="15">
        <f>((Y85+Z68)-Z78)</f>
        <v/>
      </c>
      <c r="AA85" s="15">
        <f>((Z85+AA68)-AA78)</f>
        <v/>
      </c>
      <c r="AB85" s="15">
        <f>((AA85+AB68)-AB78)</f>
        <v/>
      </c>
      <c r="AC85" s="15">
        <f>((AB85+AC68)-AC78)</f>
        <v/>
      </c>
      <c r="AD85" s="15">
        <f>((AC85+AD68)-AD78)</f>
        <v/>
      </c>
      <c r="AE85" s="15">
        <f>((AD85+AE68)-AE78)</f>
        <v/>
      </c>
      <c r="AF85" s="15">
        <f>((AE85+AF68)-AF78)</f>
        <v/>
      </c>
      <c r="AG85" s="15">
        <f>((AF85+AG68)-AG78)</f>
        <v/>
      </c>
      <c r="AH85" s="15">
        <f>((AG85+AH68)-AH78)</f>
        <v/>
      </c>
      <c r="AI85" s="15">
        <f>((AH85+AI68)-AI78)</f>
        <v/>
      </c>
      <c r="AJ85" s="15">
        <f>((AI85+AJ68)-AJ78)</f>
        <v/>
      </c>
      <c r="AK85" s="15">
        <f>((AJ85+AK68)-AK78)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4.843934000000004</v>
      </c>
      <c r="E86" s="13" t="n">
        <v>48.67433399999999</v>
      </c>
      <c r="F86" s="13" t="n">
        <v>24.45020199999999</v>
      </c>
      <c r="G86" s="13" t="n">
        <v>37.33762499999997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  <c r="P86" s="15">
        <f>O86</f>
        <v/>
      </c>
      <c r="Q86" s="15">
        <f>P86</f>
        <v/>
      </c>
      <c r="R86" s="15">
        <f>Q86</f>
        <v/>
      </c>
      <c r="S86" s="15">
        <f>R86</f>
        <v/>
      </c>
      <c r="T86" s="15">
        <f>S86</f>
        <v/>
      </c>
      <c r="U86" s="15">
        <f>T86</f>
        <v/>
      </c>
      <c r="V86" s="15">
        <f>U86</f>
        <v/>
      </c>
      <c r="W86" s="15">
        <f>V86</f>
        <v/>
      </c>
      <c r="X86" s="15">
        <f>W86</f>
        <v/>
      </c>
      <c r="Y86" s="15">
        <f>X86</f>
        <v/>
      </c>
      <c r="Z86" s="15">
        <f>Y86</f>
        <v/>
      </c>
      <c r="AA86" s="15">
        <f>Z86</f>
        <v/>
      </c>
      <c r="AB86" s="15">
        <f>AA86</f>
        <v/>
      </c>
      <c r="AC86" s="15">
        <f>AB86</f>
        <v/>
      </c>
      <c r="AD86" s="15">
        <f>AC86</f>
        <v/>
      </c>
      <c r="AE86" s="15">
        <f>AD86</f>
        <v/>
      </c>
      <c r="AF86" s="15">
        <f>AE86</f>
        <v/>
      </c>
      <c r="AG86" s="15">
        <f>AF86</f>
        <v/>
      </c>
      <c r="AH86" s="15">
        <f>AG86</f>
        <v/>
      </c>
      <c r="AI86" s="15">
        <f>AH86</f>
        <v/>
      </c>
      <c r="AJ86" s="15">
        <f>AI86</f>
        <v/>
      </c>
      <c r="AK86" s="15">
        <f>AJ86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  <c r="P87" s="15">
        <f>((((((P81+P80)+P83)+P86)-P82)-P84)-P85)</f>
        <v/>
      </c>
      <c r="Q87" s="15">
        <f>((((((Q81+Q80)+Q83)+Q86)-Q82)-Q84)-Q85)</f>
        <v/>
      </c>
      <c r="R87" s="15">
        <f>((((((R81+R80)+R83)+R86)-R82)-R84)-R85)</f>
        <v/>
      </c>
      <c r="S87" s="15">
        <f>((((((S81+S80)+S83)+S86)-S82)-S84)-S85)</f>
        <v/>
      </c>
      <c r="T87" s="15">
        <f>((((((T81+T80)+T83)+T86)-T82)-T84)-T85)</f>
        <v/>
      </c>
      <c r="U87" s="15">
        <f>((((((U81+U80)+U83)+U86)-U82)-U84)-U85)</f>
        <v/>
      </c>
      <c r="V87" s="15">
        <f>((((((V81+V80)+V83)+V86)-V82)-V84)-V85)</f>
        <v/>
      </c>
      <c r="W87" s="15">
        <f>((((((W81+W80)+W83)+W86)-W82)-W84)-W85)</f>
        <v/>
      </c>
      <c r="X87" s="15">
        <f>((((((X81+X80)+X83)+X86)-X82)-X84)-X85)</f>
        <v/>
      </c>
      <c r="Y87" s="15">
        <f>((((((Y81+Y80)+Y83)+Y86)-Y82)-Y84)-Y85)</f>
        <v/>
      </c>
      <c r="Z87" s="15">
        <f>((((((Z81+Z80)+Z83)+Z86)-Z82)-Z84)-Z85)</f>
        <v/>
      </c>
      <c r="AA87" s="15">
        <f>((((((AA81+AA80)+AA83)+AA86)-AA82)-AA84)-AA85)</f>
        <v/>
      </c>
      <c r="AB87" s="15">
        <f>((((((AB81+AB80)+AB83)+AB86)-AB82)-AB84)-AB85)</f>
        <v/>
      </c>
      <c r="AC87" s="15">
        <f>((((((AC81+AC80)+AC83)+AC86)-AC82)-AC84)-AC85)</f>
        <v/>
      </c>
      <c r="AD87" s="15">
        <f>((((((AD81+AD80)+AD83)+AD86)-AD82)-AD84)-AD85)</f>
        <v/>
      </c>
      <c r="AE87" s="15">
        <f>((((((AE81+AE80)+AE83)+AE86)-AE82)-AE84)-AE85)</f>
        <v/>
      </c>
      <c r="AF87" s="15">
        <f>((((((AF81+AF80)+AF83)+AF86)-AF82)-AF84)-AF85)</f>
        <v/>
      </c>
      <c r="AG87" s="15">
        <f>((((((AG81+AG80)+AG83)+AG86)-AG82)-AG84)-AG85)</f>
        <v/>
      </c>
      <c r="AH87" s="15">
        <f>((((((AH81+AH80)+AH83)+AH86)-AH82)-AH84)-AH85)</f>
        <v/>
      </c>
      <c r="AI87" s="15">
        <f>((((((AI81+AI80)+AI83)+AI86)-AI82)-AI84)-AI85)</f>
        <v/>
      </c>
      <c r="AJ87" s="15">
        <f>((((((AJ81+AJ80)+AJ83)+AJ86)-AJ82)-AJ84)-AJ85)</f>
        <v/>
      </c>
      <c r="AK87" s="15">
        <f>((((((AK81+AK80)+AK83)+AK86)-AK82)-AK84)-AK85)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34.582954</v>
      </c>
      <c r="E88" s="13" t="n">
        <v>72.052695</v>
      </c>
      <c r="F88" s="13" t="n">
        <v>39.507416</v>
      </c>
      <c r="G88" s="13" t="n">
        <v>52.59020099999999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  <c r="P88" s="15">
        <f>(P82-P81)</f>
        <v/>
      </c>
      <c r="Q88" s="15">
        <f>(Q82-Q81)</f>
        <v/>
      </c>
      <c r="R88" s="15">
        <f>(R82-R81)</f>
        <v/>
      </c>
      <c r="S88" s="15">
        <f>(S82-S81)</f>
        <v/>
      </c>
      <c r="T88" s="15">
        <f>(T82-T81)</f>
        <v/>
      </c>
      <c r="U88" s="15">
        <f>(U82-U81)</f>
        <v/>
      </c>
      <c r="V88" s="15">
        <f>(V82-V81)</f>
        <v/>
      </c>
      <c r="W88" s="15">
        <f>(W82-W81)</f>
        <v/>
      </c>
      <c r="X88" s="15">
        <f>(X82-X81)</f>
        <v/>
      </c>
      <c r="Y88" s="15">
        <f>(Y82-Y81)</f>
        <v/>
      </c>
      <c r="Z88" s="15">
        <f>(Z82-Z81)</f>
        <v/>
      </c>
      <c r="AA88" s="15">
        <f>(AA82-AA81)</f>
        <v/>
      </c>
      <c r="AB88" s="15">
        <f>(AB82-AB81)</f>
        <v/>
      </c>
      <c r="AC88" s="15">
        <f>(AC82-AC81)</f>
        <v/>
      </c>
      <c r="AD88" s="15">
        <f>(AD82-AD81)</f>
        <v/>
      </c>
      <c r="AE88" s="15">
        <f>(AE82-AE81)</f>
        <v/>
      </c>
      <c r="AF88" s="15">
        <f>(AF82-AF81)</f>
        <v/>
      </c>
      <c r="AG88" s="15">
        <f>(AG82-AG81)</f>
        <v/>
      </c>
      <c r="AH88" s="15">
        <f>(AH82-AH81)</f>
        <v/>
      </c>
      <c r="AI88" s="15">
        <f>(AI82-AI81)</f>
        <v/>
      </c>
      <c r="AJ88" s="15">
        <f>(AJ82-AJ81)</f>
        <v/>
      </c>
      <c r="AK88" s="15">
        <f>(AK82-AK81)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0.002980584982034306</v>
      </c>
      <c r="E89" s="20" t="n">
        <v>0.004077156108935123</v>
      </c>
      <c r="F89" s="20" t="n">
        <v>0.004290116207169061</v>
      </c>
      <c r="G89" s="20" t="n">
        <v>0.004308884914704703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  <c r="M89" s="21">
        <f>(IF(M70=0,0,M84/M70)*$C$8)</f>
        <v/>
      </c>
      <c r="N89" s="21">
        <f>(IF(N70=0,0,N84/N70)*$C$8)</f>
        <v/>
      </c>
      <c r="O89" s="21">
        <f>(IF(O70=0,0,O84/O70)*$C$8)</f>
        <v/>
      </c>
      <c r="P89" s="21">
        <f>(IF(P70=0,0,P84/P70)*$C$8)</f>
        <v/>
      </c>
      <c r="Q89" s="21">
        <f>(IF(Q70=0,0,Q84/Q70)*$C$8)</f>
        <v/>
      </c>
      <c r="R89" s="21">
        <f>(IF(R70=0,0,R84/R70)*$C$8)</f>
        <v/>
      </c>
      <c r="S89" s="21">
        <f>(IF(S70=0,0,S84/S70)*$C$8)</f>
        <v/>
      </c>
      <c r="T89" s="21">
        <f>(IF(T70=0,0,T84/T70)*$C$8)</f>
        <v/>
      </c>
      <c r="U89" s="21">
        <f>(IF(U70=0,0,U84/U70)*$C$8)</f>
        <v/>
      </c>
      <c r="V89" s="21">
        <f>(IF(V70=0,0,V84/V70)*$C$8)</f>
        <v/>
      </c>
      <c r="W89" s="21">
        <f>(IF(W70=0,0,W84/W70)*$C$8)</f>
        <v/>
      </c>
      <c r="X89" s="21">
        <f>(IF(X70=0,0,X84/X70)*$C$8)</f>
        <v/>
      </c>
      <c r="Y89" s="21">
        <f>(IF(Y70=0,0,Y84/Y70)*$C$8)</f>
        <v/>
      </c>
      <c r="Z89" s="21">
        <f>(IF(Z70=0,0,Z84/Z70)*$C$8)</f>
        <v/>
      </c>
      <c r="AA89" s="21">
        <f>(IF(AA70=0,0,AA84/AA70)*$C$8)</f>
        <v/>
      </c>
      <c r="AB89" s="21">
        <f>(IF(AB70=0,0,AB84/AB70)*$C$8)</f>
        <v/>
      </c>
      <c r="AC89" s="21">
        <f>(IF(AC70=0,0,AC84/AC70)*$C$8)</f>
        <v/>
      </c>
      <c r="AD89" s="21">
        <f>(IF(AD70=0,0,AD84/AD70)*$C$8)</f>
        <v/>
      </c>
      <c r="AE89" s="21">
        <f>(IF(AE70=0,0,AE84/AE70)*$C$8)</f>
        <v/>
      </c>
      <c r="AF89" s="21">
        <f>(IF(AF70=0,0,AF84/AF70)*$C$8)</f>
        <v/>
      </c>
      <c r="AG89" s="21">
        <f>(IF(AG70=0,0,AG84/AG70)*$C$8)</f>
        <v/>
      </c>
      <c r="AH89" s="21">
        <f>(IF(AH70=0,0,AH84/AH70)*$C$8)</f>
        <v/>
      </c>
      <c r="AI89" s="21">
        <f>(IF(AI70=0,0,AI84/AI70)*$C$8)</f>
        <v/>
      </c>
      <c r="AJ89" s="21">
        <f>(IF(AJ70=0,0,AJ84/AJ70)*$C$8)</f>
        <v/>
      </c>
      <c r="AK89" s="21">
        <f>(IF(AK70=0,0,AK84/AK70)*$C$8)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-0.114505998949207</v>
      </c>
      <c r="F90" s="4" t="n">
        <v>-0.3068249014346494</v>
      </c>
      <c r="G90" s="4" t="n">
        <v>-0.3244785794604785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  <c r="L90" s="17">
        <f>(IF(K55=0,0,L55/K55)-1)</f>
        <v/>
      </c>
      <c r="M90" s="17">
        <f>(IF(L55=0,0,M55/L55)-1)</f>
        <v/>
      </c>
      <c r="N90" s="17">
        <f>(IF(M55=0,0,N55/M55)-1)</f>
        <v/>
      </c>
      <c r="O90" s="17">
        <f>(IF(N55=0,0,O55/N55)-1)</f>
        <v/>
      </c>
      <c r="P90" s="17">
        <f>(IF(O55=0,0,P55/O55)-1)</f>
        <v/>
      </c>
      <c r="Q90" s="17">
        <f>(IF(P55=0,0,Q55/P55)-1)</f>
        <v/>
      </c>
      <c r="R90" s="17">
        <f>(IF(Q55=0,0,R55/Q55)-1)</f>
        <v/>
      </c>
      <c r="S90" s="17">
        <f>(IF(R55=0,0,S55/R55)-1)</f>
        <v/>
      </c>
      <c r="T90" s="17">
        <f>(IF(S55=0,0,T55/S55)-1)</f>
        <v/>
      </c>
      <c r="U90" s="17">
        <f>(IF(T55=0,0,U55/T55)-1)</f>
        <v/>
      </c>
      <c r="V90" s="17">
        <f>(IF(U55=0,0,V55/U55)-1)</f>
        <v/>
      </c>
      <c r="W90" s="17">
        <f>(IF(V55=0,0,W55/V55)-1)</f>
        <v/>
      </c>
      <c r="X90" s="17">
        <f>(IF(W55=0,0,X55/W55)-1)</f>
        <v/>
      </c>
      <c r="Y90" s="17">
        <f>(IF(X55=0,0,Y55/X55)-1)</f>
        <v/>
      </c>
      <c r="Z90" s="17">
        <f>(IF(Y55=0,0,Z55/Y55)-1)</f>
        <v/>
      </c>
      <c r="AA90" s="17">
        <f>(IF(Z55=0,0,AA55/Z55)-1)</f>
        <v/>
      </c>
      <c r="AB90" s="17">
        <f>(IF(AA55=0,0,AB55/AA55)-1)</f>
        <v/>
      </c>
      <c r="AC90" s="17">
        <f>(IF(AB55=0,0,AC55/AB55)-1)</f>
        <v/>
      </c>
      <c r="AD90" s="17">
        <f>(IF(AC55=0,0,AD55/AC55)-1)</f>
        <v/>
      </c>
      <c r="AE90" s="17">
        <f>(IF(AD55=0,0,AE55/AD55)-1)</f>
        <v/>
      </c>
      <c r="AF90" s="17">
        <f>(IF(AE55=0,0,AF55/AE55)-1)</f>
        <v/>
      </c>
      <c r="AG90" s="17">
        <f>(IF(AF55=0,0,AG55/AF55)-1)</f>
        <v/>
      </c>
      <c r="AH90" s="17">
        <f>(IF(AG55=0,0,AH55/AG55)-1)</f>
        <v/>
      </c>
      <c r="AI90" s="17">
        <f>(IF(AH55=0,0,AI55/AH55)-1)</f>
        <v/>
      </c>
      <c r="AJ90" s="17">
        <f>(IF(AI55=0,0,AJ55/AI55)-1)</f>
        <v/>
      </c>
      <c r="AK90" s="17">
        <f>(IF(AJ55=0,0,AK55/AJ55)-1)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0.6422091654953151</v>
      </c>
      <c r="E91" s="4" t="n">
        <v>0.5363986272255995</v>
      </c>
      <c r="F91" s="4" t="n">
        <v>0.4597153417165247</v>
      </c>
      <c r="G91" s="4" t="n">
        <v>0.5594207368836266</v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  <c r="L91" s="17">
        <f>IF(L55=0,0,L57/L55)</f>
        <v/>
      </c>
      <c r="M91" s="17">
        <f>IF(M55=0,0,M57/M55)</f>
        <v/>
      </c>
      <c r="N91" s="17">
        <f>IF(N55=0,0,N57/N55)</f>
        <v/>
      </c>
      <c r="O91" s="17">
        <f>IF(O55=0,0,O57/O55)</f>
        <v/>
      </c>
      <c r="P91" s="17">
        <f>IF(P55=0,0,P57/P55)</f>
        <v/>
      </c>
      <c r="Q91" s="17">
        <f>IF(Q55=0,0,Q57/Q55)</f>
        <v/>
      </c>
      <c r="R91" s="17">
        <f>IF(R55=0,0,R57/R55)</f>
        <v/>
      </c>
      <c r="S91" s="17">
        <f>IF(S55=0,0,S57/S55)</f>
        <v/>
      </c>
      <c r="T91" s="17">
        <f>IF(T55=0,0,T57/T55)</f>
        <v/>
      </c>
      <c r="U91" s="17">
        <f>IF(U55=0,0,U57/U55)</f>
        <v/>
      </c>
      <c r="V91" s="17">
        <f>IF(V55=0,0,V57/V55)</f>
        <v/>
      </c>
      <c r="W91" s="17">
        <f>IF(W55=0,0,W57/W55)</f>
        <v/>
      </c>
      <c r="X91" s="17">
        <f>IF(X55=0,0,X57/X55)</f>
        <v/>
      </c>
      <c r="Y91" s="17">
        <f>IF(Y55=0,0,Y57/Y55)</f>
        <v/>
      </c>
      <c r="Z91" s="17">
        <f>IF(Z55=0,0,Z57/Z55)</f>
        <v/>
      </c>
      <c r="AA91" s="17">
        <f>IF(AA55=0,0,AA57/AA55)</f>
        <v/>
      </c>
      <c r="AB91" s="17">
        <f>IF(AB55=0,0,AB57/AB55)</f>
        <v/>
      </c>
      <c r="AC91" s="17">
        <f>IF(AC55=0,0,AC57/AC55)</f>
        <v/>
      </c>
      <c r="AD91" s="17">
        <f>IF(AD55=0,0,AD57/AD55)</f>
        <v/>
      </c>
      <c r="AE91" s="17">
        <f>IF(AE55=0,0,AE57/AE55)</f>
        <v/>
      </c>
      <c r="AF91" s="17">
        <f>IF(AF55=0,0,AF57/AF55)</f>
        <v/>
      </c>
      <c r="AG91" s="17">
        <f>IF(AG55=0,0,AG57/AG55)</f>
        <v/>
      </c>
      <c r="AH91" s="17">
        <f>IF(AH55=0,0,AH57/AH55)</f>
        <v/>
      </c>
      <c r="AI91" s="17">
        <f>IF(AI55=0,0,AI57/AI55)</f>
        <v/>
      </c>
      <c r="AJ91" s="17">
        <f>IF(AJ55=0,0,AJ57/AJ55)</f>
        <v/>
      </c>
      <c r="AK91" s="17">
        <f>IF(AK55=0,0,AK57/AK55)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0.3576441233508728</v>
      </c>
      <c r="E92" s="4" t="n">
        <v>0.2173681553198759</v>
      </c>
      <c r="F92" s="4" t="n">
        <v>0.1844668425503851</v>
      </c>
      <c r="G92" s="4" t="n">
        <v>0.2266442429107456</v>
      </c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  <c r="L92" s="17">
        <f>IF(L55=0,0,L61/L55)</f>
        <v/>
      </c>
      <c r="M92" s="17">
        <f>IF(M55=0,0,M61/M55)</f>
        <v/>
      </c>
      <c r="N92" s="17">
        <f>IF(N55=0,0,N61/N55)</f>
        <v/>
      </c>
      <c r="O92" s="17">
        <f>IF(O55=0,0,O61/O55)</f>
        <v/>
      </c>
      <c r="P92" s="17">
        <f>IF(P55=0,0,P61/P55)</f>
        <v/>
      </c>
      <c r="Q92" s="17">
        <f>IF(Q55=0,0,Q61/Q55)</f>
        <v/>
      </c>
      <c r="R92" s="17">
        <f>IF(R55=0,0,R61/R55)</f>
        <v/>
      </c>
      <c r="S92" s="17">
        <f>IF(S55=0,0,S61/S55)</f>
        <v/>
      </c>
      <c r="T92" s="17">
        <f>IF(T55=0,0,T61/T55)</f>
        <v/>
      </c>
      <c r="U92" s="17">
        <f>IF(U55=0,0,U61/U55)</f>
        <v/>
      </c>
      <c r="V92" s="17">
        <f>IF(V55=0,0,V61/V55)</f>
        <v/>
      </c>
      <c r="W92" s="17">
        <f>IF(W55=0,0,W61/W55)</f>
        <v/>
      </c>
      <c r="X92" s="17">
        <f>IF(X55=0,0,X61/X55)</f>
        <v/>
      </c>
      <c r="Y92" s="17">
        <f>IF(Y55=0,0,Y61/Y55)</f>
        <v/>
      </c>
      <c r="Z92" s="17">
        <f>IF(Z55=0,0,Z61/Z55)</f>
        <v/>
      </c>
      <c r="AA92" s="17">
        <f>IF(AA55=0,0,AA61/AA55)</f>
        <v/>
      </c>
      <c r="AB92" s="17">
        <f>IF(AB55=0,0,AB61/AB55)</f>
        <v/>
      </c>
      <c r="AC92" s="17">
        <f>IF(AC55=0,0,AC61/AC55)</f>
        <v/>
      </c>
      <c r="AD92" s="17">
        <f>IF(AD55=0,0,AD61/AD55)</f>
        <v/>
      </c>
      <c r="AE92" s="17">
        <f>IF(AE55=0,0,AE61/AE55)</f>
        <v/>
      </c>
      <c r="AF92" s="17">
        <f>IF(AF55=0,0,AF61/AF55)</f>
        <v/>
      </c>
      <c r="AG92" s="17">
        <f>IF(AG55=0,0,AG61/AG55)</f>
        <v/>
      </c>
      <c r="AH92" s="17">
        <f>IF(AH55=0,0,AH61/AH55)</f>
        <v/>
      </c>
      <c r="AI92" s="17">
        <f>IF(AI55=0,0,AI61/AI55)</f>
        <v/>
      </c>
      <c r="AJ92" s="17">
        <f>IF(AJ55=0,0,AJ61/AJ55)</f>
        <v/>
      </c>
      <c r="AK92" s="17">
        <f>IF(AK55=0,0,AK61/AK55)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0.3562386786061993</v>
      </c>
      <c r="E93" s="4" t="n">
        <v>0.2157005198082769</v>
      </c>
      <c r="F93" s="4" t="n">
        <v>0.1654665710167504</v>
      </c>
      <c r="G93" s="4" t="n">
        <v>0.1970883724344563</v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  <c r="L93" s="17">
        <f>IF(L55=0,0,L59/L55)</f>
        <v/>
      </c>
      <c r="M93" s="17">
        <f>IF(M55=0,0,M59/M55)</f>
        <v/>
      </c>
      <c r="N93" s="17">
        <f>IF(N55=0,0,N59/N55)</f>
        <v/>
      </c>
      <c r="O93" s="17">
        <f>IF(O55=0,0,O59/O55)</f>
        <v/>
      </c>
      <c r="P93" s="17">
        <f>IF(P55=0,0,P59/P55)</f>
        <v/>
      </c>
      <c r="Q93" s="17">
        <f>IF(Q55=0,0,Q59/Q55)</f>
        <v/>
      </c>
      <c r="R93" s="17">
        <f>IF(R55=0,0,R59/R55)</f>
        <v/>
      </c>
      <c r="S93" s="17">
        <f>IF(S55=0,0,S59/S55)</f>
        <v/>
      </c>
      <c r="T93" s="17">
        <f>IF(T55=0,0,T59/T55)</f>
        <v/>
      </c>
      <c r="U93" s="17">
        <f>IF(U55=0,0,U59/U55)</f>
        <v/>
      </c>
      <c r="V93" s="17">
        <f>IF(V55=0,0,V59/V55)</f>
        <v/>
      </c>
      <c r="W93" s="17">
        <f>IF(W55=0,0,W59/W55)</f>
        <v/>
      </c>
      <c r="X93" s="17">
        <f>IF(X55=0,0,X59/X55)</f>
        <v/>
      </c>
      <c r="Y93" s="17">
        <f>IF(Y55=0,0,Y59/Y55)</f>
        <v/>
      </c>
      <c r="Z93" s="17">
        <f>IF(Z55=0,0,Z59/Z55)</f>
        <v/>
      </c>
      <c r="AA93" s="17">
        <f>IF(AA55=0,0,AA59/AA55)</f>
        <v/>
      </c>
      <c r="AB93" s="17">
        <f>IF(AB55=0,0,AB59/AB55)</f>
        <v/>
      </c>
      <c r="AC93" s="17">
        <f>IF(AC55=0,0,AC59/AC55)</f>
        <v/>
      </c>
      <c r="AD93" s="17">
        <f>IF(AD55=0,0,AD59/AD55)</f>
        <v/>
      </c>
      <c r="AE93" s="17">
        <f>IF(AE55=0,0,AE59/AE55)</f>
        <v/>
      </c>
      <c r="AF93" s="17">
        <f>IF(AF55=0,0,AF59/AF55)</f>
        <v/>
      </c>
      <c r="AG93" s="17">
        <f>IF(AG55=0,0,AG59/AG55)</f>
        <v/>
      </c>
      <c r="AH93" s="17">
        <f>IF(AH55=0,0,AH59/AH55)</f>
        <v/>
      </c>
      <c r="AI93" s="17">
        <f>IF(AI55=0,0,AI59/AI55)</f>
        <v/>
      </c>
      <c r="AJ93" s="17">
        <f>IF(AJ55=0,0,AJ59/AJ55)</f>
        <v/>
      </c>
      <c r="AK93" s="17">
        <f>IF(AK55=0,0,AK59/AK55)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0.1756543310691457</v>
      </c>
      <c r="E94" s="4" t="n">
        <v>0.1551036086282924</v>
      </c>
      <c r="F94" s="4" t="n">
        <v>0.06512129976893388</v>
      </c>
      <c r="G94" s="4" t="n">
        <v>0.095567007439296</v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  <c r="L94" s="17">
        <f>IF(L55=0,0,L69/L55)</f>
        <v/>
      </c>
      <c r="M94" s="17">
        <f>IF(M55=0,0,M69/M55)</f>
        <v/>
      </c>
      <c r="N94" s="17">
        <f>IF(N55=0,0,N69/N55)</f>
        <v/>
      </c>
      <c r="O94" s="17">
        <f>IF(O55=0,0,O69/O55)</f>
        <v/>
      </c>
      <c r="P94" s="17">
        <f>IF(P55=0,0,P69/P55)</f>
        <v/>
      </c>
      <c r="Q94" s="17">
        <f>IF(Q55=0,0,Q69/Q55)</f>
        <v/>
      </c>
      <c r="R94" s="17">
        <f>IF(R55=0,0,R69/R55)</f>
        <v/>
      </c>
      <c r="S94" s="17">
        <f>IF(S55=0,0,S69/S55)</f>
        <v/>
      </c>
      <c r="T94" s="17">
        <f>IF(T55=0,0,T69/T55)</f>
        <v/>
      </c>
      <c r="U94" s="17">
        <f>IF(U55=0,0,U69/U55)</f>
        <v/>
      </c>
      <c r="V94" s="17">
        <f>IF(V55=0,0,V69/V55)</f>
        <v/>
      </c>
      <c r="W94" s="17">
        <f>IF(W55=0,0,W69/W55)</f>
        <v/>
      </c>
      <c r="X94" s="17">
        <f>IF(X55=0,0,X69/X55)</f>
        <v/>
      </c>
      <c r="Y94" s="17">
        <f>IF(Y55=0,0,Y69/Y55)</f>
        <v/>
      </c>
      <c r="Z94" s="17">
        <f>IF(Z55=0,0,Z69/Z55)</f>
        <v/>
      </c>
      <c r="AA94" s="17">
        <f>IF(AA55=0,0,AA69/AA55)</f>
        <v/>
      </c>
      <c r="AB94" s="17">
        <f>IF(AB55=0,0,AB69/AB55)</f>
        <v/>
      </c>
      <c r="AC94" s="17">
        <f>IF(AC55=0,0,AC69/AC55)</f>
        <v/>
      </c>
      <c r="AD94" s="17">
        <f>IF(AD55=0,0,AD69/AD55)</f>
        <v/>
      </c>
      <c r="AE94" s="17">
        <f>IF(AE55=0,0,AE69/AE55)</f>
        <v/>
      </c>
      <c r="AF94" s="17">
        <f>IF(AF55=0,0,AF69/AF55)</f>
        <v/>
      </c>
      <c r="AG94" s="17">
        <f>IF(AG55=0,0,AG69/AG55)</f>
        <v/>
      </c>
      <c r="AH94" s="17">
        <f>IF(AH55=0,0,AH69/AH55)</f>
        <v/>
      </c>
      <c r="AI94" s="17">
        <f>IF(AI55=0,0,AI69/AI55)</f>
        <v/>
      </c>
      <c r="AJ94" s="17">
        <f>IF(AJ55=0,0,AJ69/AJ55)</f>
        <v/>
      </c>
      <c r="AK94" s="17">
        <f>IF(AK55=0,0,AK69/AK55)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-0.2181045912974483</v>
      </c>
      <c r="F95" s="4" t="n">
        <v>-0.7089660202052899</v>
      </c>
      <c r="G95" s="4" t="n">
        <v>-0.2000287701482104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  <c r="L95" s="17">
        <f>(IF(K71=0,0,L71/K71)-1)</f>
        <v/>
      </c>
      <c r="M95" s="17">
        <f>(IF(L71=0,0,M71/L71)-1)</f>
        <v/>
      </c>
      <c r="N95" s="17">
        <f>(IF(M71=0,0,N71/M71)-1)</f>
        <v/>
      </c>
      <c r="O95" s="17">
        <f>(IF(N71=0,0,O71/N71)-1)</f>
        <v/>
      </c>
      <c r="P95" s="17">
        <f>(IF(O71=0,0,P71/O71)-1)</f>
        <v/>
      </c>
      <c r="Q95" s="17">
        <f>(IF(P71=0,0,Q71/P71)-1)</f>
        <v/>
      </c>
      <c r="R95" s="17">
        <f>(IF(Q71=0,0,R71/Q71)-1)</f>
        <v/>
      </c>
      <c r="S95" s="17">
        <f>(IF(R71=0,0,S71/R71)-1)</f>
        <v/>
      </c>
      <c r="T95" s="17">
        <f>(IF(S71=0,0,T71/S71)-1)</f>
        <v/>
      </c>
      <c r="U95" s="17">
        <f>(IF(T71=0,0,U71/T71)-1)</f>
        <v/>
      </c>
      <c r="V95" s="17">
        <f>(IF(U71=0,0,V71/U71)-1)</f>
        <v/>
      </c>
      <c r="W95" s="17">
        <f>(IF(V71=0,0,W71/V71)-1)</f>
        <v/>
      </c>
      <c r="X95" s="17">
        <f>(IF(W71=0,0,X71/W71)-1)</f>
        <v/>
      </c>
      <c r="Y95" s="17">
        <f>(IF(X71=0,0,Y71/X71)-1)</f>
        <v/>
      </c>
      <c r="Z95" s="17">
        <f>(IF(Y71=0,0,Z71/Y71)-1)</f>
        <v/>
      </c>
      <c r="AA95" s="17">
        <f>(IF(Z71=0,0,AA71/Z71)-1)</f>
        <v/>
      </c>
      <c r="AB95" s="17">
        <f>(IF(AA71=0,0,AB71/AA71)-1)</f>
        <v/>
      </c>
      <c r="AC95" s="17">
        <f>(IF(AB71=0,0,AC71/AB71)-1)</f>
        <v/>
      </c>
      <c r="AD95" s="17">
        <f>(IF(AC71=0,0,AD71/AC71)-1)</f>
        <v/>
      </c>
      <c r="AE95" s="17">
        <f>(IF(AD71=0,0,AE71/AD71)-1)</f>
        <v/>
      </c>
      <c r="AF95" s="17">
        <f>(IF(AE71=0,0,AF71/AE71)-1)</f>
        <v/>
      </c>
      <c r="AG95" s="17">
        <f>(IF(AF71=0,0,AG71/AF71)-1)</f>
        <v/>
      </c>
      <c r="AH95" s="17">
        <f>(IF(AG71=0,0,AH71/AG71)-1)</f>
        <v/>
      </c>
      <c r="AI95" s="17">
        <f>(IF(AH71=0,0,AI71/AH71)-1)</f>
        <v/>
      </c>
      <c r="AJ95" s="17">
        <f>(IF(AI71=0,0,AJ71/AI71)-1)</f>
        <v/>
      </c>
      <c r="AK95" s="17">
        <f>(IF(AJ71=0,0,AK71/AJ71)-1)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0.296182969614349</v>
      </c>
      <c r="F96" s="4" t="n">
        <v>0.07270860317743313</v>
      </c>
      <c r="G96" s="4" t="n">
        <v>0.06262919379369625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  <c r="L96" s="17">
        <f>IF(IF(2=0,0,(L84+K84)/2)=0,0,L69/IF(2=0,0,(L84+K84)/2))</f>
        <v/>
      </c>
      <c r="M96" s="17">
        <f>IF(IF(2=0,0,(M84+L84)/2)=0,0,M69/IF(2=0,0,(M84+L84)/2))</f>
        <v/>
      </c>
      <c r="N96" s="17">
        <f>IF(IF(2=0,0,(N84+M84)/2)=0,0,N69/IF(2=0,0,(N84+M84)/2))</f>
        <v/>
      </c>
      <c r="O96" s="17">
        <f>IF(IF(2=0,0,(O84+N84)/2)=0,0,O69/IF(2=0,0,(O84+N84)/2))</f>
        <v/>
      </c>
      <c r="P96" s="17">
        <f>IF(IF(2=0,0,(P84+O84)/2)=0,0,P69/IF(2=0,0,(P84+O84)/2))</f>
        <v/>
      </c>
      <c r="Q96" s="17">
        <f>IF(IF(2=0,0,(Q84+P84)/2)=0,0,Q69/IF(2=0,0,(Q84+P84)/2))</f>
        <v/>
      </c>
      <c r="R96" s="17">
        <f>IF(IF(2=0,0,(R84+Q84)/2)=0,0,R69/IF(2=0,0,(R84+Q84)/2))</f>
        <v/>
      </c>
      <c r="S96" s="17">
        <f>IF(IF(2=0,0,(S84+R84)/2)=0,0,S69/IF(2=0,0,(S84+R84)/2))</f>
        <v/>
      </c>
      <c r="T96" s="17">
        <f>IF(IF(2=0,0,(T84+S84)/2)=0,0,T69/IF(2=0,0,(T84+S84)/2))</f>
        <v/>
      </c>
      <c r="U96" s="17">
        <f>IF(IF(2=0,0,(U84+T84)/2)=0,0,U69/IF(2=0,0,(U84+T84)/2))</f>
        <v/>
      </c>
      <c r="V96" s="17">
        <f>IF(IF(2=0,0,(V84+U84)/2)=0,0,V69/IF(2=0,0,(V84+U84)/2))</f>
        <v/>
      </c>
      <c r="W96" s="17">
        <f>IF(IF(2=0,0,(W84+V84)/2)=0,0,W69/IF(2=0,0,(W84+V84)/2))</f>
        <v/>
      </c>
      <c r="X96" s="17">
        <f>IF(IF(2=0,0,(X84+W84)/2)=0,0,X69/IF(2=0,0,(X84+W84)/2))</f>
        <v/>
      </c>
      <c r="Y96" s="17">
        <f>IF(IF(2=0,0,(Y84+X84)/2)=0,0,Y69/IF(2=0,0,(Y84+X84)/2))</f>
        <v/>
      </c>
      <c r="Z96" s="17">
        <f>IF(IF(2=0,0,(Z84+Y84)/2)=0,0,Z69/IF(2=0,0,(Z84+Y84)/2))</f>
        <v/>
      </c>
      <c r="AA96" s="17">
        <f>IF(IF(2=0,0,(AA84+Z84)/2)=0,0,AA69/IF(2=0,0,(AA84+Z84)/2))</f>
        <v/>
      </c>
      <c r="AB96" s="17">
        <f>IF(IF(2=0,0,(AB84+AA84)/2)=0,0,AB69/IF(2=0,0,(AB84+AA84)/2))</f>
        <v/>
      </c>
      <c r="AC96" s="17">
        <f>IF(IF(2=0,0,(AC84+AB84)/2)=0,0,AC69/IF(2=0,0,(AC84+AB84)/2))</f>
        <v/>
      </c>
      <c r="AD96" s="17">
        <f>IF(IF(2=0,0,(AD84+AC84)/2)=0,0,AD69/IF(2=0,0,(AD84+AC84)/2))</f>
        <v/>
      </c>
      <c r="AE96" s="17">
        <f>IF(IF(2=0,0,(AE84+AD84)/2)=0,0,AE69/IF(2=0,0,(AE84+AD84)/2))</f>
        <v/>
      </c>
      <c r="AF96" s="17">
        <f>IF(IF(2=0,0,(AF84+AE84)/2)=0,0,AF69/IF(2=0,0,(AF84+AE84)/2))</f>
        <v/>
      </c>
      <c r="AG96" s="17">
        <f>IF(IF(2=0,0,(AG84+AF84)/2)=0,0,AG69/IF(2=0,0,(AG84+AF84)/2))</f>
        <v/>
      </c>
      <c r="AH96" s="17">
        <f>IF(IF(2=0,0,(AH84+AG84)/2)=0,0,AH69/IF(2=0,0,(AH84+AG84)/2))</f>
        <v/>
      </c>
      <c r="AI96" s="17">
        <f>IF(IF(2=0,0,(AI84+AH84)/2)=0,0,AI69/IF(2=0,0,(AI84+AH84)/2))</f>
        <v/>
      </c>
      <c r="AJ96" s="17">
        <f>IF(IF(2=0,0,(AJ84+AI84)/2)=0,0,AJ69/IF(2=0,0,(AJ84+AI84)/2))</f>
        <v/>
      </c>
      <c r="AK96" s="17">
        <f>IF(IF(2=0,0,(AK84+AJ84)/2)=0,0,AK69/IF(2=0,0,(AK84+AJ84)/2))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>
        <v>0.5034588292111444</v>
      </c>
      <c r="E97" s="22" t="n">
        <v>1.949044047911094</v>
      </c>
      <c r="F97" s="22" t="n">
        <v>1.816706218976942</v>
      </c>
      <c r="G97" s="22" t="n">
        <v>2.913703835298298</v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  <c r="M97" s="23">
        <f>IF(M61=0,0,M88/M61)</f>
        <v/>
      </c>
      <c r="N97" s="23">
        <f>IF(N61=0,0,N88/N61)</f>
        <v/>
      </c>
      <c r="O97" s="23">
        <f>IF(O61=0,0,O88/O61)</f>
        <v/>
      </c>
      <c r="P97" s="23">
        <f>IF(P61=0,0,P88/P61)</f>
        <v/>
      </c>
      <c r="Q97" s="23">
        <f>IF(Q61=0,0,Q88/Q61)</f>
        <v/>
      </c>
      <c r="R97" s="23">
        <f>IF(R61=0,0,R88/R61)</f>
        <v/>
      </c>
      <c r="S97" s="23">
        <f>IF(S61=0,0,S88/S61)</f>
        <v/>
      </c>
      <c r="T97" s="23">
        <f>IF(T61=0,0,T88/T61)</f>
        <v/>
      </c>
      <c r="U97" s="23">
        <f>IF(U61=0,0,U88/U61)</f>
        <v/>
      </c>
      <c r="V97" s="23">
        <f>IF(V61=0,0,V88/V61)</f>
        <v/>
      </c>
      <c r="W97" s="23">
        <f>IF(W61=0,0,W88/W61)</f>
        <v/>
      </c>
      <c r="X97" s="23">
        <f>IF(X61=0,0,X88/X61)</f>
        <v/>
      </c>
      <c r="Y97" s="23">
        <f>IF(Y61=0,0,Y88/Y61)</f>
        <v/>
      </c>
      <c r="Z97" s="23">
        <f>IF(Z61=0,0,Z88/Z61)</f>
        <v/>
      </c>
      <c r="AA97" s="23">
        <f>IF(AA61=0,0,AA88/AA61)</f>
        <v/>
      </c>
      <c r="AB97" s="23">
        <f>IF(AB61=0,0,AB88/AB61)</f>
        <v/>
      </c>
      <c r="AC97" s="23">
        <f>IF(AC61=0,0,AC88/AC61)</f>
        <v/>
      </c>
      <c r="AD97" s="23">
        <f>IF(AD61=0,0,AD88/AD61)</f>
        <v/>
      </c>
      <c r="AE97" s="23">
        <f>IF(AE61=0,0,AE88/AE61)</f>
        <v/>
      </c>
      <c r="AF97" s="23">
        <f>IF(AF61=0,0,AF88/AF61)</f>
        <v/>
      </c>
      <c r="AG97" s="23">
        <f>IF(AG61=0,0,AG88/AG61)</f>
        <v/>
      </c>
      <c r="AH97" s="23">
        <f>IF(AH61=0,0,AH88/AH61)</f>
        <v/>
      </c>
      <c r="AI97" s="23">
        <f>IF(AI61=0,0,AI88/AI61)</f>
        <v/>
      </c>
      <c r="AJ97" s="23">
        <f>IF(AJ61=0,0,AJ88/AJ61)</f>
        <v/>
      </c>
      <c r="AK97" s="23">
        <f>IF(AK61=0,0,AK88/AK61)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  <c r="L98" s="17">
        <f>IF(L71=0,0,L72/L71)</f>
        <v/>
      </c>
      <c r="M98" s="17">
        <f>IF(M71=0,0,M72/M71)</f>
        <v/>
      </c>
      <c r="N98" s="17">
        <f>IF(N71=0,0,N72/N71)</f>
        <v/>
      </c>
      <c r="O98" s="17">
        <f>IF(O71=0,0,O72/O71)</f>
        <v/>
      </c>
      <c r="P98" s="17">
        <f>IF(P71=0,0,P72/P71)</f>
        <v/>
      </c>
      <c r="Q98" s="17">
        <f>IF(Q71=0,0,Q72/Q71)</f>
        <v/>
      </c>
      <c r="R98" s="17">
        <f>IF(R71=0,0,R72/R71)</f>
        <v/>
      </c>
      <c r="S98" s="17">
        <f>IF(S71=0,0,S72/S71)</f>
        <v/>
      </c>
      <c r="T98" s="17">
        <f>IF(T71=0,0,T72/T71)</f>
        <v/>
      </c>
      <c r="U98" s="17">
        <f>IF(U71=0,0,U72/U71)</f>
        <v/>
      </c>
      <c r="V98" s="17">
        <f>IF(V71=0,0,V72/V71)</f>
        <v/>
      </c>
      <c r="W98" s="17">
        <f>IF(W71=0,0,W72/W71)</f>
        <v/>
      </c>
      <c r="X98" s="17">
        <f>IF(X71=0,0,X72/X71)</f>
        <v/>
      </c>
      <c r="Y98" s="17">
        <f>IF(Y71=0,0,Y72/Y71)</f>
        <v/>
      </c>
      <c r="Z98" s="17">
        <f>IF(Z71=0,0,Z72/Z71)</f>
        <v/>
      </c>
      <c r="AA98" s="17">
        <f>IF(AA71=0,0,AA72/AA71)</f>
        <v/>
      </c>
      <c r="AB98" s="17">
        <f>IF(AB71=0,0,AB72/AB71)</f>
        <v/>
      </c>
      <c r="AC98" s="17">
        <f>IF(AC71=0,0,AC72/AC71)</f>
        <v/>
      </c>
      <c r="AD98" s="17">
        <f>IF(AD71=0,0,AD72/AD71)</f>
        <v/>
      </c>
      <c r="AE98" s="17">
        <f>IF(AE71=0,0,AE72/AE71)</f>
        <v/>
      </c>
      <c r="AF98" s="17">
        <f>IF(AF71=0,0,AF72/AF71)</f>
        <v/>
      </c>
      <c r="AG98" s="17">
        <f>IF(AG71=0,0,AG72/AG71)</f>
        <v/>
      </c>
      <c r="AH98" s="17">
        <f>IF(AH71=0,0,AH72/AH71)</f>
        <v/>
      </c>
      <c r="AI98" s="17">
        <f>IF(AI71=0,0,AI72/AI71)</f>
        <v/>
      </c>
      <c r="AJ98" s="17">
        <f>IF(AJ71=0,0,AJ72/AJ71)</f>
        <v/>
      </c>
      <c r="AK98" s="17">
        <f>IF(AK71=0,0,AK72/AK71)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0.2152386539790519</v>
      </c>
      <c r="E99" s="4" t="n">
        <v>0.05155244425511802</v>
      </c>
      <c r="F99" s="4" t="n">
        <v>0.1486909480614118</v>
      </c>
      <c r="G99" s="4" t="n">
        <v>0.3164558958426482</v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  <c r="L99" s="17">
        <f>IF(L55=0,0,L74/L55)</f>
        <v/>
      </c>
      <c r="M99" s="17">
        <f>IF(M55=0,0,M74/M55)</f>
        <v/>
      </c>
      <c r="N99" s="17">
        <f>IF(N55=0,0,N74/N55)</f>
        <v/>
      </c>
      <c r="O99" s="17">
        <f>IF(O55=0,0,O74/O55)</f>
        <v/>
      </c>
      <c r="P99" s="17">
        <f>IF(P55=0,0,P74/P55)</f>
        <v/>
      </c>
      <c r="Q99" s="17">
        <f>IF(Q55=0,0,Q74/Q55)</f>
        <v/>
      </c>
      <c r="R99" s="17">
        <f>IF(R55=0,0,R74/R55)</f>
        <v/>
      </c>
      <c r="S99" s="17">
        <f>IF(S55=0,0,S74/S55)</f>
        <v/>
      </c>
      <c r="T99" s="17">
        <f>IF(T55=0,0,T74/T55)</f>
        <v/>
      </c>
      <c r="U99" s="17">
        <f>IF(U55=0,0,U74/U55)</f>
        <v/>
      </c>
      <c r="V99" s="17">
        <f>IF(V55=0,0,V74/V55)</f>
        <v/>
      </c>
      <c r="W99" s="17">
        <f>IF(W55=0,0,W74/W55)</f>
        <v/>
      </c>
      <c r="X99" s="17">
        <f>IF(X55=0,0,X74/X55)</f>
        <v/>
      </c>
      <c r="Y99" s="17">
        <f>IF(Y55=0,0,Y74/Y55)</f>
        <v/>
      </c>
      <c r="Z99" s="17">
        <f>IF(Z55=0,0,Z74/Z55)</f>
        <v/>
      </c>
      <c r="AA99" s="17">
        <f>IF(AA55=0,0,AA74/AA55)</f>
        <v/>
      </c>
      <c r="AB99" s="17">
        <f>IF(AB55=0,0,AB74/AB55)</f>
        <v/>
      </c>
      <c r="AC99" s="17">
        <f>IF(AC55=0,0,AC74/AC55)</f>
        <v/>
      </c>
      <c r="AD99" s="17">
        <f>IF(AD55=0,0,AD74/AD55)</f>
        <v/>
      </c>
      <c r="AE99" s="17">
        <f>IF(AE55=0,0,AE74/AE55)</f>
        <v/>
      </c>
      <c r="AF99" s="17">
        <f>IF(AF55=0,0,AF74/AF55)</f>
        <v/>
      </c>
      <c r="AG99" s="17">
        <f>IF(AG55=0,0,AG74/AG55)</f>
        <v/>
      </c>
      <c r="AH99" s="17">
        <f>IF(AH55=0,0,AH74/AH55)</f>
        <v/>
      </c>
      <c r="AI99" s="17">
        <f>IF(AI55=0,0,AI74/AI55)</f>
        <v/>
      </c>
      <c r="AJ99" s="17">
        <f>IF(AJ55=0,0,AJ74/AJ55)</f>
        <v/>
      </c>
      <c r="AK99" s="17">
        <f>IF(AK55=0,0,AK74/AK55)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94</v>
      </c>
    </row>
    <row r="103">
      <c r="A103" t="inlineStr">
        <is>
          <t>Shares outstanding (m)</t>
        </is>
      </c>
      <c r="C103" s="13" t="n">
        <v>31275.829981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57.680965</v>
      </c>
    </row>
    <row r="106">
      <c r="A106" t="inlineStr">
        <is>
          <t>Cash at balance-sheet date</t>
        </is>
      </c>
      <c r="C106" s="13" t="n">
        <v>1.208803</v>
      </c>
    </row>
    <row r="107">
      <c r="A107" t="inlineStr">
        <is>
          <t>Minority interest (book)</t>
        </is>
      </c>
      <c r="C107" s="13" t="n">
        <v>-0.517612</v>
      </c>
    </row>
    <row r="108">
      <c r="A108" t="inlineStr">
        <is>
          <t>Associates &amp; investments (book)</t>
        </is>
      </c>
      <c r="C108" s="13" t="n">
        <v>0</v>
      </c>
    </row>
    <row r="109">
      <c r="A109" t="inlineStr">
        <is>
          <t>Post-balance-sheet &amp; other items (sourced, probability-weighted)</t>
        </is>
      </c>
      <c r="C109" s="13" t="n">
        <v>18.810965</v>
      </c>
    </row>
    <row r="110">
      <c r="A110" t="inlineStr">
        <is>
          <t>Parent equity at balance-sheet date</t>
        </is>
      </c>
      <c r="C110" s="13" t="n">
        <v>131.872985</v>
      </c>
    </row>
    <row r="111">
      <c r="A111" t="inlineStr">
        <is>
          <t>Per-share factor</t>
        </is>
      </c>
      <c r="C111" s="24" t="n">
        <v>1</v>
      </c>
    </row>
    <row r="112">
      <c r="A112" t="inlineStr">
        <is>
          <t>Risk-free rate</t>
        </is>
      </c>
      <c r="C112" s="9">
        <f>Drivers!$C$12</f>
        <v/>
      </c>
    </row>
    <row r="113">
      <c r="A113" t="inlineStr">
        <is>
          <t>Less: default spread (IDR only)</t>
        </is>
      </c>
      <c r="C113" s="9" t="n">
        <v>0</v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0.3558649520288509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0.0083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0.02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  <c r="K126" s="6" t="n">
        <v>0.996578</v>
      </c>
      <c r="L126" s="6" t="n">
        <v>0.996578</v>
      </c>
      <c r="M126" s="6" t="n">
        <v>0.996578</v>
      </c>
      <c r="N126" s="6" t="n">
        <v>0.999316</v>
      </c>
      <c r="O126" s="6" t="n">
        <v>0.996578</v>
      </c>
      <c r="P126" s="6" t="n">
        <v>0.996578</v>
      </c>
      <c r="Q126" s="6" t="n">
        <v>0.996578</v>
      </c>
      <c r="R126" s="6" t="n">
        <v>0.999316</v>
      </c>
      <c r="S126" s="6" t="n">
        <v>0.996578</v>
      </c>
      <c r="T126" s="6" t="n">
        <v>0.996578</v>
      </c>
      <c r="U126" s="6" t="n">
        <v>0.996578</v>
      </c>
      <c r="V126" s="6" t="n">
        <v>0.999316</v>
      </c>
      <c r="W126" s="6" t="n">
        <v>0.996578</v>
      </c>
      <c r="X126" s="6" t="n">
        <v>0.996578</v>
      </c>
      <c r="Y126" s="6" t="n">
        <v>0.996578</v>
      </c>
      <c r="Z126" s="6" t="n">
        <v>0.999316</v>
      </c>
      <c r="AA126" s="6" t="n">
        <v>0.996578</v>
      </c>
      <c r="AB126" s="6" t="n">
        <v>0.996578</v>
      </c>
      <c r="AC126" s="6" t="n">
        <v>0.996578</v>
      </c>
      <c r="AD126" s="6" t="n">
        <v>0.999316</v>
      </c>
      <c r="AE126" s="6" t="n">
        <v>0.996578</v>
      </c>
      <c r="AF126" s="6" t="n">
        <v>0.996578</v>
      </c>
      <c r="AG126" s="6" t="n">
        <v>0.996578</v>
      </c>
      <c r="AH126" s="6" t="n">
        <v>0.999316</v>
      </c>
      <c r="AI126" s="6" t="n">
        <v>0.996578</v>
      </c>
      <c r="AJ126" s="6" t="n">
        <v>0.996578</v>
      </c>
      <c r="AK126" s="6" t="n">
        <v>0.996578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  <c r="K127" s="6" t="n">
        <v>2.672142</v>
      </c>
      <c r="L127" s="6" t="n">
        <v>3.671458</v>
      </c>
      <c r="M127" s="6" t="n">
        <v>4.670773</v>
      </c>
      <c r="N127" s="6" t="n">
        <v>5.670089</v>
      </c>
      <c r="O127" s="6" t="n">
        <v>6.672142</v>
      </c>
      <c r="P127" s="6" t="n">
        <v>7.671458</v>
      </c>
      <c r="Q127" s="6" t="n">
        <v>8.670773000000001</v>
      </c>
      <c r="R127" s="6" t="n">
        <v>9.670089000000001</v>
      </c>
      <c r="S127" s="6" t="n">
        <v>10.672142</v>
      </c>
      <c r="T127" s="6" t="n">
        <v>11.671458</v>
      </c>
      <c r="U127" s="6" t="n">
        <v>12.670773</v>
      </c>
      <c r="V127" s="6" t="n">
        <v>13.670089</v>
      </c>
      <c r="W127" s="6" t="n">
        <v>14.672142</v>
      </c>
      <c r="X127" s="6" t="n">
        <v>15.671458</v>
      </c>
      <c r="Y127" s="6" t="n">
        <v>16.670773</v>
      </c>
      <c r="Z127" s="6" t="n">
        <v>17.670089</v>
      </c>
      <c r="AA127" s="6" t="n">
        <v>18.672142</v>
      </c>
      <c r="AB127" s="6" t="n">
        <v>19.671458</v>
      </c>
      <c r="AC127" s="6" t="n">
        <v>20.670773</v>
      </c>
      <c r="AD127" s="6" t="n">
        <v>21.670089</v>
      </c>
      <c r="AE127" s="6" t="n">
        <v>22.672142</v>
      </c>
      <c r="AF127" s="6" t="n">
        <v>23.671458</v>
      </c>
      <c r="AG127" s="6" t="n">
        <v>24.670773</v>
      </c>
      <c r="AH127" s="6" t="n">
        <v>25.670089</v>
      </c>
      <c r="AI127" s="6" t="n">
        <v>26.672142</v>
      </c>
      <c r="AJ127" s="6" t="n">
        <v>27.671458</v>
      </c>
      <c r="AK127" s="6" t="n">
        <v>28.670773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  <c r="P128">
        <f>1/(1+$C$122)^P127</f>
        <v/>
      </c>
      <c r="Q128">
        <f>1/(1+$C$122)^Q127</f>
        <v/>
      </c>
      <c r="R128">
        <f>1/(1+$C$122)^R127</f>
        <v/>
      </c>
      <c r="S128">
        <f>1/(1+$C$122)^S127</f>
        <v/>
      </c>
      <c r="T128">
        <f>1/(1+$C$122)^T127</f>
        <v/>
      </c>
      <c r="U128">
        <f>1/(1+$C$122)^U127</f>
        <v/>
      </c>
      <c r="V128">
        <f>1/(1+$C$122)^V127</f>
        <v/>
      </c>
      <c r="W128">
        <f>1/(1+$C$122)^W127</f>
        <v/>
      </c>
      <c r="X128">
        <f>1/(1+$C$122)^X127</f>
        <v/>
      </c>
      <c r="Y128">
        <f>1/(1+$C$122)^Y127</f>
        <v/>
      </c>
      <c r="Z128">
        <f>1/(1+$C$122)^Z127</f>
        <v/>
      </c>
      <c r="AA128">
        <f>1/(1+$C$122)^AA127</f>
        <v/>
      </c>
      <c r="AB128">
        <f>1/(1+$C$122)^AB127</f>
        <v/>
      </c>
      <c r="AC128">
        <f>1/(1+$C$122)^AC127</f>
        <v/>
      </c>
      <c r="AD128">
        <f>1/(1+$C$122)^AD127</f>
        <v/>
      </c>
      <c r="AE128">
        <f>1/(1+$C$122)^AE127</f>
        <v/>
      </c>
      <c r="AF128">
        <f>1/(1+$C$122)^AF127</f>
        <v/>
      </c>
      <c r="AG128">
        <f>1/(1+$C$122)^AG127</f>
        <v/>
      </c>
      <c r="AH128">
        <f>1/(1+$C$122)^AH127</f>
        <v/>
      </c>
      <c r="AI128">
        <f>1/(1+$C$122)^AI127</f>
        <v/>
      </c>
      <c r="AJ128">
        <f>1/(1+$C$122)^AJ127</f>
        <v/>
      </c>
      <c r="AK128">
        <f>1/(1+$C$122)^AK127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  <c r="M129" s="26">
        <f>M76*M126*M128</f>
        <v/>
      </c>
      <c r="N129" s="26">
        <f>N76*N126*N128</f>
        <v/>
      </c>
      <c r="O129" s="26">
        <f>O76*O126*O128</f>
        <v/>
      </c>
      <c r="P129" s="26">
        <f>P76*P126*P128</f>
        <v/>
      </c>
      <c r="Q129" s="26">
        <f>Q76*Q126*Q128</f>
        <v/>
      </c>
      <c r="R129" s="26">
        <f>R76*R126*R128</f>
        <v/>
      </c>
      <c r="S129" s="26">
        <f>S76*S126*S128</f>
        <v/>
      </c>
      <c r="T129" s="26">
        <f>T76*T126*T128</f>
        <v/>
      </c>
      <c r="U129" s="26">
        <f>U76*U126*U128</f>
        <v/>
      </c>
      <c r="V129" s="26">
        <f>V76*V126*V128</f>
        <v/>
      </c>
      <c r="W129" s="26">
        <f>W76*W126*W128</f>
        <v/>
      </c>
      <c r="X129" s="26">
        <f>X76*X126*X128</f>
        <v/>
      </c>
      <c r="Y129" s="26">
        <f>Y76*Y126*Y128</f>
        <v/>
      </c>
      <c r="Z129" s="26">
        <f>Z76*Z126*Z128</f>
        <v/>
      </c>
      <c r="AA129" s="26">
        <f>AA76*AA126*AA128</f>
        <v/>
      </c>
      <c r="AB129" s="26">
        <f>AB76*AB126*AB128</f>
        <v/>
      </c>
      <c r="AC129" s="26">
        <f>AC76*AC126*AC128</f>
        <v/>
      </c>
      <c r="AD129" s="26">
        <f>AD76*AD126*AD128</f>
        <v/>
      </c>
      <c r="AE129" s="26">
        <f>AE76*AE126*AE128</f>
        <v/>
      </c>
      <c r="AF129" s="26">
        <f>AF76*AF126*AF128</f>
        <v/>
      </c>
      <c r="AG129" s="26">
        <f>AG76*AG126*AG128</f>
        <v/>
      </c>
      <c r="AH129" s="26">
        <f>AH76*AH126*AH128</f>
        <v/>
      </c>
      <c r="AI129" s="26">
        <f>AI76*AI126*AI128</f>
        <v/>
      </c>
      <c r="AJ129" s="26">
        <f>AJ76*AJ126*AJ128</f>
        <v/>
      </c>
      <c r="AK129" s="26">
        <f>AK76*AK126*AK128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  <c r="M130" s="26">
        <f>L130+M129</f>
        <v/>
      </c>
      <c r="N130" s="26">
        <f>M130+N129</f>
        <v/>
      </c>
      <c r="O130" s="26">
        <f>N130+O129</f>
        <v/>
      </c>
      <c r="P130" s="26">
        <f>O130+P129</f>
        <v/>
      </c>
      <c r="Q130" s="26">
        <f>P130+Q129</f>
        <v/>
      </c>
      <c r="R130" s="26">
        <f>Q130+R129</f>
        <v/>
      </c>
      <c r="S130" s="26">
        <f>R130+S129</f>
        <v/>
      </c>
      <c r="T130" s="26">
        <f>S130+T129</f>
        <v/>
      </c>
      <c r="U130" s="26">
        <f>T130+U129</f>
        <v/>
      </c>
      <c r="V130" s="26">
        <f>U130+V129</f>
        <v/>
      </c>
      <c r="W130" s="26">
        <f>V130+W129</f>
        <v/>
      </c>
      <c r="X130" s="26">
        <f>W130+X129</f>
        <v/>
      </c>
      <c r="Y130" s="26">
        <f>X130+Y129</f>
        <v/>
      </c>
      <c r="Z130" s="26">
        <f>Y130+Z129</f>
        <v/>
      </c>
      <c r="AA130" s="26">
        <f>Z130+AA129</f>
        <v/>
      </c>
      <c r="AB130" s="26">
        <f>AA130+AB129</f>
        <v/>
      </c>
      <c r="AC130" s="26">
        <f>AB130+AC129</f>
        <v/>
      </c>
      <c r="AD130" s="26">
        <f>AC130+AD129</f>
        <v/>
      </c>
      <c r="AE130" s="26">
        <f>AD130+AE129</f>
        <v/>
      </c>
      <c r="AF130" s="26">
        <f>AE130+AF129</f>
        <v/>
      </c>
      <c r="AG130" s="26">
        <f>AF130+AG129</f>
        <v/>
      </c>
      <c r="AH130" s="26">
        <f>AG130+AH129</f>
        <v/>
      </c>
      <c r="AI130" s="26">
        <f>AH130+AI129</f>
        <v/>
      </c>
      <c r="AJ130" s="26">
        <f>AI130+AJ129</f>
        <v/>
      </c>
      <c r="AK130" s="26">
        <f>AJ130+AK129</f>
        <v/>
      </c>
    </row>
    <row r="131">
      <c r="A131" t="inlineStr">
        <is>
          <t>Best cumulative PV (never below zero)</t>
        </is>
      </c>
      <c r="C131" s="26">
        <f>MAX(0,MAX(H130:AK130))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MAX(0,$C$134/$C$103*$C$111*$C$104)</f>
        <v/>
      </c>
    </row>
    <row r="137">
      <c r="A137" s="1" t="inlineStr">
        <is>
          <t>EV/EBITDA</t>
        </is>
      </c>
    </row>
    <row r="138">
      <c r="A138" t="inlineStr">
        <is>
          <t>Target multiple (peer median)</t>
        </is>
      </c>
      <c r="C138" s="22" t="n">
        <v>6.291633</v>
      </c>
    </row>
    <row r="139">
      <c r="A139" t="inlineStr">
        <is>
          <t>Metric (LTM, or next-12m DPS for yield)</t>
        </is>
      </c>
      <c r="C139" s="13" t="n">
        <v>15.916795</v>
      </c>
    </row>
    <row r="140">
      <c r="A140" t="inlineStr">
        <is>
          <t>Value per share (IDR) — EV/EBITDA</t>
        </is>
      </c>
      <c r="C140" s="27">
        <f>MAX(0,($C$138*$C$139-($C$105-$C$106)-$C$107+$C$108+$C$109)/$C$103*$C$111*$C$104)</f>
        <v/>
      </c>
    </row>
    <row r="142">
      <c r="A142" s="1" t="inlineStr">
        <is>
          <t>TARGET</t>
        </is>
      </c>
    </row>
    <row r="143">
      <c r="A143" t="inlineStr">
        <is>
          <t>Weight: DCF to end of life (no terminal value)</t>
        </is>
      </c>
      <c r="C143" s="4" t="n">
        <v>0.705882</v>
      </c>
    </row>
    <row r="144">
      <c r="A144" t="inlineStr">
        <is>
          <t>Weight: EV/EBITDA</t>
        </is>
      </c>
      <c r="C144" s="4" t="n">
        <v>0.294118</v>
      </c>
    </row>
    <row r="145">
      <c r="A145" t="inlineStr">
        <is>
          <t>Value today (weighted)</t>
        </is>
      </c>
      <c r="C145" s="27">
        <f>$C$135*$C$143+$C$140*$C$144</f>
        <v/>
      </c>
    </row>
    <row r="146">
      <c r="A146" t="inlineStr">
        <is>
          <t>DPS expected in next 12 months (IDR)</t>
        </is>
      </c>
      <c r="C146" s="20" t="n">
        <v>0</v>
      </c>
    </row>
    <row r="147">
      <c r="A147" t="inlineStr">
        <is>
          <t>Base-case 12-month value</t>
        </is>
      </c>
      <c r="C147" s="27">
        <f>MAX(0,$C$145*(1+$C$120)-$C$146)</f>
        <v/>
      </c>
    </row>
    <row r="148">
      <c r="A148" t="inlineStr">
        <is>
          <t>Bear probability</t>
        </is>
      </c>
      <c r="C148" s="4" t="n">
        <v>0.25</v>
      </c>
    </row>
    <row r="149">
      <c r="A149" t="inlineStr">
        <is>
          <t>Bear 12-month value (engine)</t>
        </is>
      </c>
      <c r="C149" s="20" t="n">
        <v>12.1064988792506</v>
      </c>
    </row>
    <row r="150">
      <c r="A150" t="inlineStr">
        <is>
          <t>Base probability</t>
        </is>
      </c>
      <c r="C150" s="4" t="n">
        <v>0.5</v>
      </c>
    </row>
    <row r="151">
      <c r="A151" t="inlineStr">
        <is>
          <t>Bull probability</t>
        </is>
      </c>
      <c r="C151" s="4" t="n">
        <v>0.25</v>
      </c>
    </row>
    <row r="152">
      <c r="A152" t="inlineStr">
        <is>
          <t>Bull 12-month value (engine)</t>
        </is>
      </c>
      <c r="C152" s="20" t="n">
        <v>130.9196154535056</v>
      </c>
    </row>
    <row r="153">
      <c r="A153" t="inlineStr">
        <is>
          <t>Probability-weighted 12-month value</t>
        </is>
      </c>
      <c r="C153" s="27">
        <f>$C$148*$C$149+$C$150*$C$147+$C$151*$C$152</f>
        <v/>
      </c>
    </row>
    <row r="154">
      <c r="A154" t="inlineStr">
        <is>
          <t>Liquidity discount (limits.yaml)</t>
        </is>
      </c>
      <c r="C154" s="4" t="n">
        <v>0</v>
      </c>
    </row>
    <row r="155">
      <c r="A155" t="inlineStr">
        <is>
          <t>TARGET PRICE (IDR)</t>
        </is>
      </c>
      <c r="C155" s="28">
        <f>$C$153*(1-$C$154)</f>
        <v/>
      </c>
    </row>
    <row r="156">
      <c r="A156" t="inlineStr">
        <is>
          <t>Expected 12-month total return</t>
        </is>
      </c>
      <c r="C156" s="29">
        <f>($C$155+$C$146)/$C$102-1</f>
        <v/>
      </c>
    </row>
    <row r="157">
      <c r="A157" t="inlineStr">
        <is>
          <t>Rating</t>
        </is>
      </c>
      <c r="C157" s="30">
        <f>IF($C$156&gt;=0.25,"BUY",IF($C$156&gt;=0.1,"ADD",IF($C$156&lt;=-0.25,"SELL",IF($C$156&lt;=-0.1,"REDUCE","HOLD"))))</f>
        <v/>
      </c>
    </row>
    <row r="159">
      <c r="A159" s="1" t="inlineStr">
        <is>
          <t>12-month value vs benchmark price and IDR/USD (engine values)</t>
        </is>
      </c>
    </row>
    <row r="160">
      <c r="A160" s="5" t="inlineStr">
        <is>
          <t>rows: IDR per USD (x deck) · columns: Benchmark price (x deck)</t>
        </is>
      </c>
      <c r="D160" s="1" t="n">
        <v>0.8</v>
      </c>
      <c r="E160" s="1" t="n">
        <v>0.9</v>
      </c>
      <c r="F160" s="1" t="n">
        <v>1</v>
      </c>
      <c r="G160" s="1" t="n">
        <v>1.1</v>
      </c>
      <c r="H160" s="1" t="n">
        <v>1.2</v>
      </c>
    </row>
    <row r="161">
      <c r="C161" s="1" t="n">
        <v>0.9</v>
      </c>
      <c r="D161" s="27" t="n">
        <v>10.881467</v>
      </c>
      <c r="E161" s="27" t="n">
        <v>16.961478</v>
      </c>
      <c r="F161" s="27" t="n">
        <v>39.261284</v>
      </c>
      <c r="G161" s="27" t="n">
        <v>63.6364</v>
      </c>
      <c r="H161" s="27" t="n">
        <v>89.26636000000001</v>
      </c>
    </row>
    <row r="162">
      <c r="C162" s="1" t="n">
        <v>0.95</v>
      </c>
      <c r="D162" s="27" t="n">
        <v>11.493584</v>
      </c>
      <c r="E162" s="27" t="n">
        <v>17.931067</v>
      </c>
      <c r="F162" s="27" t="n">
        <v>41.504141</v>
      </c>
      <c r="G162" s="27" t="n">
        <v>67.27444300000001</v>
      </c>
      <c r="H162" s="27" t="n">
        <v>94.37403399999999</v>
      </c>
    </row>
    <row r="163">
      <c r="C163" s="1" t="n">
        <v>1</v>
      </c>
      <c r="D163" s="27" t="n">
        <v>12.106499</v>
      </c>
      <c r="E163" s="27" t="n">
        <v>18.903138</v>
      </c>
      <c r="F163" s="27" t="n">
        <v>43.752631</v>
      </c>
      <c r="G163" s="27" t="n">
        <v>70.921845</v>
      </c>
      <c r="H163" s="27" t="n">
        <v>99.49520200000001</v>
      </c>
    </row>
    <row r="164">
      <c r="C164" s="1" t="n">
        <v>1.05</v>
      </c>
      <c r="D164" s="27" t="n">
        <v>12.720213</v>
      </c>
      <c r="E164" s="27" t="n">
        <v>19.877647</v>
      </c>
      <c r="F164" s="27" t="n">
        <v>46.00666</v>
      </c>
      <c r="G164" s="27" t="n">
        <v>74.578444</v>
      </c>
      <c r="H164" s="27" t="n">
        <v>104.629625</v>
      </c>
    </row>
    <row r="165">
      <c r="C165" s="1" t="n">
        <v>1.1</v>
      </c>
      <c r="D165" s="27" t="n">
        <v>13.334726</v>
      </c>
      <c r="E165" s="27" t="n">
        <v>20.854554</v>
      </c>
      <c r="F165" s="27" t="n">
        <v>48.266135</v>
      </c>
      <c r="G165" s="27" t="n">
        <v>78.244088</v>
      </c>
      <c r="H165" s="27" t="n">
        <v>109.777079</v>
      </c>
    </row>
    <row r="167">
      <c r="A167" s="1" t="inlineStr">
        <is>
          <t>12-month value vs volume and unit cost intensity (engine values)</t>
        </is>
      </c>
    </row>
    <row r="168">
      <c r="A168" s="5" t="inlineStr">
        <is>
          <t>rows: Volume (x plan) · columns: Cost intensity / strip ratio (x)</t>
        </is>
      </c>
      <c r="D168" s="1" t="n">
        <v>0.85</v>
      </c>
      <c r="E168" s="1" t="n">
        <v>0.925</v>
      </c>
      <c r="F168" s="1" t="n">
        <v>1</v>
      </c>
      <c r="G168" s="1" t="n">
        <v>1.075</v>
      </c>
      <c r="H168" s="1" t="n">
        <v>1.15</v>
      </c>
    </row>
    <row r="169">
      <c r="C169" s="1" t="n">
        <v>0.9</v>
      </c>
      <c r="D169" s="27" t="n">
        <v>94.932346</v>
      </c>
      <c r="E169" s="27" t="n">
        <v>80.014853</v>
      </c>
      <c r="F169" s="27" t="n">
        <v>65.09735999999999</v>
      </c>
      <c r="G169" s="27" t="n">
        <v>50.179866</v>
      </c>
      <c r="H169" s="27" t="n">
        <v>35.262373</v>
      </c>
    </row>
    <row r="170">
      <c r="C170" s="1" t="n">
        <v>0.95</v>
      </c>
      <c r="D170" s="27" t="n">
        <v>100.577107</v>
      </c>
      <c r="E170" s="27" t="n">
        <v>84.83086400000001</v>
      </c>
      <c r="F170" s="27" t="n">
        <v>69.084621</v>
      </c>
      <c r="G170" s="27" t="n">
        <v>53.338378</v>
      </c>
      <c r="H170" s="27" t="n">
        <v>37.592135</v>
      </c>
    </row>
    <row r="171">
      <c r="C171" s="1" t="n">
        <v>1</v>
      </c>
      <c r="D171" s="27" t="n">
        <v>106.221867</v>
      </c>
      <c r="E171" s="27" t="n">
        <v>89.64687499999999</v>
      </c>
      <c r="F171" s="27" t="n">
        <v>73.071882</v>
      </c>
      <c r="G171" s="27" t="n">
        <v>56.49689</v>
      </c>
      <c r="H171" s="27" t="n">
        <v>39.921897</v>
      </c>
    </row>
    <row r="172">
      <c r="C172" s="1" t="n">
        <v>1.05</v>
      </c>
      <c r="D172" s="27" t="n">
        <v>111.866628</v>
      </c>
      <c r="E172" s="27" t="n">
        <v>94.462886</v>
      </c>
      <c r="F172" s="27" t="n">
        <v>77.05914300000001</v>
      </c>
      <c r="G172" s="27" t="n">
        <v>59.655401</v>
      </c>
      <c r="H172" s="27" t="n">
        <v>42.251659</v>
      </c>
    </row>
    <row r="173">
      <c r="C173" s="1" t="n">
        <v>1.1</v>
      </c>
      <c r="D173" s="27" t="n">
        <v>117.511388</v>
      </c>
      <c r="E173" s="27" t="n">
        <v>99.278896</v>
      </c>
      <c r="F173" s="27" t="n">
        <v>81.04640499999999</v>
      </c>
      <c r="G173" s="27" t="n">
        <v>62.813913</v>
      </c>
      <c r="H173" s="27" t="n">
        <v>44.581421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7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PT. Indika Energy Tbk (INDY.JK) — Coal producers</t>
        </is>
      </c>
    </row>
    <row r="2">
      <c r="A2" s="5" t="inlineStr">
        <is>
          <t>Units: USD m; per-share in USD unless marked IDR. Model asof 2026-10-30 · data 2026-10-26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  <c r="R4" s="1" t="inlineStr">
        <is>
          <t>FY2036E</t>
        </is>
      </c>
      <c r="S4" s="1" t="inlineStr">
        <is>
          <t>FY2037E</t>
        </is>
      </c>
      <c r="T4" s="1" t="inlineStr">
        <is>
          <t>FY2038E</t>
        </is>
      </c>
      <c r="U4" s="1" t="inlineStr">
        <is>
          <t>FY2039E</t>
        </is>
      </c>
      <c r="V4" s="1" t="inlineStr">
        <is>
          <t>FY2040E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15</v>
      </c>
    </row>
    <row r="8">
      <c r="A8" t="inlineStr">
        <is>
          <t>ps_factor</t>
        </is>
      </c>
      <c r="C8" s="6" t="n">
        <v>1</v>
      </c>
    </row>
    <row r="9">
      <c r="A9" t="inlineStr">
        <is>
          <t>reserves</t>
        </is>
      </c>
      <c r="C9" s="6" t="n">
        <v>468.2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30.3</v>
      </c>
      <c r="I14" s="13" t="n">
        <v>30.3</v>
      </c>
      <c r="J14" s="13" t="n">
        <v>30.3</v>
      </c>
      <c r="K14" s="13" t="n">
        <v>30.3</v>
      </c>
      <c r="L14" s="13" t="n">
        <v>30.3</v>
      </c>
      <c r="M14" s="13" t="n">
        <v>30.3</v>
      </c>
      <c r="N14" s="13" t="n">
        <v>30.3</v>
      </c>
      <c r="O14" s="13" t="n">
        <v>30.3</v>
      </c>
      <c r="P14" s="13" t="n">
        <v>30.3</v>
      </c>
      <c r="Q14" s="13" t="n">
        <v>30.3</v>
      </c>
      <c r="R14" s="13" t="n">
        <v>30.3</v>
      </c>
      <c r="S14" s="13" t="n">
        <v>30.3</v>
      </c>
      <c r="T14" s="13" t="n">
        <v>30.3</v>
      </c>
      <c r="U14" s="13" t="n">
        <v>30.3</v>
      </c>
      <c r="V14" s="13" t="n">
        <v>30.3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0.4834</v>
      </c>
      <c r="I15" s="14" t="n">
        <v>0.4834</v>
      </c>
      <c r="J15" s="14" t="n">
        <v>0.4834</v>
      </c>
      <c r="K15" s="14" t="n">
        <v>0.4834</v>
      </c>
      <c r="L15" s="14" t="n">
        <v>0.4834</v>
      </c>
      <c r="M15" s="14" t="n">
        <v>0.4834</v>
      </c>
      <c r="N15" s="14" t="n">
        <v>0.4834</v>
      </c>
      <c r="O15" s="14" t="n">
        <v>0.4834</v>
      </c>
      <c r="P15" s="14" t="n">
        <v>0.4834</v>
      </c>
      <c r="Q15" s="14" t="n">
        <v>0.4834</v>
      </c>
      <c r="R15" s="14" t="n">
        <v>0.4834</v>
      </c>
      <c r="S15" s="14" t="n">
        <v>0.4834</v>
      </c>
      <c r="T15" s="14" t="n">
        <v>0.4834</v>
      </c>
      <c r="U15" s="14" t="n">
        <v>0.4834</v>
      </c>
      <c r="V15" s="14" t="n">
        <v>0.4834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5.37</v>
      </c>
      <c r="I17" s="14" t="n">
        <v>5.37</v>
      </c>
      <c r="J17" s="14" t="n">
        <v>5.37</v>
      </c>
      <c r="K17" s="14" t="n">
        <v>5.37</v>
      </c>
      <c r="L17" s="14" t="n">
        <v>5.37</v>
      </c>
      <c r="M17" s="14" t="n">
        <v>5.37</v>
      </c>
      <c r="N17" s="14" t="n">
        <v>5.37</v>
      </c>
      <c r="O17" s="14" t="n">
        <v>5.37</v>
      </c>
      <c r="P17" s="14" t="n">
        <v>5.37</v>
      </c>
      <c r="Q17" s="14" t="n">
        <v>5.37</v>
      </c>
      <c r="R17" s="14" t="n">
        <v>5.37</v>
      </c>
      <c r="S17" s="14" t="n">
        <v>5.37</v>
      </c>
      <c r="T17" s="14" t="n">
        <v>5.37</v>
      </c>
      <c r="U17" s="14" t="n">
        <v>5.37</v>
      </c>
      <c r="V17" s="14" t="n">
        <v>5.37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5.35</v>
      </c>
      <c r="I18" s="3" t="n">
        <v>5.35</v>
      </c>
      <c r="J18" s="3" t="n">
        <v>5.35</v>
      </c>
      <c r="K18" s="3" t="n">
        <v>5.35</v>
      </c>
      <c r="L18" s="3" t="n">
        <v>5.35</v>
      </c>
      <c r="M18" s="3" t="n">
        <v>5.457</v>
      </c>
      <c r="N18" s="3" t="n">
        <v>5.56614</v>
      </c>
      <c r="O18" s="3" t="n">
        <v>5.677462800000001</v>
      </c>
      <c r="P18" s="3" t="n">
        <v>5.791012056</v>
      </c>
      <c r="Q18" s="3" t="n">
        <v>5.906832297119999</v>
      </c>
      <c r="R18" s="3" t="n">
        <v>6.0249689430624</v>
      </c>
      <c r="S18" s="3" t="n">
        <v>6.145468321923648</v>
      </c>
      <c r="T18" s="3" t="n">
        <v>6.268377688362121</v>
      </c>
      <c r="U18" s="3" t="n">
        <v>6.393745242129364</v>
      </c>
      <c r="V18" s="3" t="n">
        <v>6.521620146971951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0.3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4.84</v>
      </c>
      <c r="I20" s="3" t="n">
        <v>4.84</v>
      </c>
      <c r="J20" s="3" t="n">
        <v>4.84</v>
      </c>
      <c r="K20" s="3" t="n">
        <v>4.84</v>
      </c>
      <c r="L20" s="3" t="n">
        <v>4.84</v>
      </c>
      <c r="M20" s="3" t="n">
        <v>4.9368</v>
      </c>
      <c r="N20" s="3" t="n">
        <v>5.035536</v>
      </c>
      <c r="O20" s="3" t="n">
        <v>5.136246720000001</v>
      </c>
      <c r="P20" s="3" t="n">
        <v>5.238971654399999</v>
      </c>
      <c r="Q20" s="3" t="n">
        <v>5.343751087488</v>
      </c>
      <c r="R20" s="3" t="n">
        <v>5.45062610923776</v>
      </c>
      <c r="S20" s="3" t="n">
        <v>5.559638631422515</v>
      </c>
      <c r="T20" s="3" t="n">
        <v>5.670831404050966</v>
      </c>
      <c r="U20" s="3" t="n">
        <v>5.784248032131985</v>
      </c>
      <c r="V20" s="3" t="n">
        <v>5.899932992774625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0.18</v>
      </c>
      <c r="I21" s="4" t="n">
        <v>0.18</v>
      </c>
      <c r="J21" s="4" t="n">
        <v>0.18</v>
      </c>
      <c r="K21" s="4" t="n">
        <v>0.18</v>
      </c>
      <c r="L21" s="4" t="n">
        <v>0.18</v>
      </c>
      <c r="M21" s="4" t="n">
        <v>0.18</v>
      </c>
      <c r="N21" s="4" t="n">
        <v>0.18</v>
      </c>
      <c r="O21" s="4" t="n">
        <v>0.18</v>
      </c>
      <c r="P21" s="4" t="n">
        <v>0.18</v>
      </c>
      <c r="Q21" s="4" t="n">
        <v>0.18</v>
      </c>
      <c r="R21" s="4" t="n">
        <v>0.18</v>
      </c>
      <c r="S21" s="4" t="n">
        <v>0.18</v>
      </c>
      <c r="T21" s="4" t="n">
        <v>0.18</v>
      </c>
      <c r="U21" s="4" t="n">
        <v>0.18</v>
      </c>
      <c r="V21" s="4" t="n">
        <v>0.18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365.04</v>
      </c>
      <c r="I22" s="13" t="n">
        <v>365.04</v>
      </c>
      <c r="J22" s="13" t="n">
        <v>365.04</v>
      </c>
      <c r="K22" s="13" t="n">
        <v>365.04</v>
      </c>
      <c r="L22" s="13" t="n">
        <v>365.04</v>
      </c>
      <c r="M22" s="13" t="n">
        <v>372.3408</v>
      </c>
      <c r="N22" s="13" t="n">
        <v>379.787616</v>
      </c>
      <c r="O22" s="13" t="n">
        <v>387.3833683200001</v>
      </c>
      <c r="P22" s="13" t="n">
        <v>395.1310356864</v>
      </c>
      <c r="Q22" s="13" t="n">
        <v>403.0336564001281</v>
      </c>
      <c r="R22" s="13" t="n">
        <v>411.0943295281306</v>
      </c>
      <c r="S22" s="13" t="n">
        <v>419.3162161186932</v>
      </c>
      <c r="T22" s="13" t="n">
        <v>427.7025404410671</v>
      </c>
      <c r="U22" s="13" t="n">
        <v>436.2565912498885</v>
      </c>
      <c r="V22" s="13" t="n">
        <v>444.9817230748862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0.06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1.4379</v>
      </c>
      <c r="I24" s="3" t="n">
        <v>1.4379</v>
      </c>
      <c r="J24" s="3" t="n">
        <v>1.4379</v>
      </c>
      <c r="K24" s="3" t="n">
        <v>1.4379</v>
      </c>
      <c r="L24" s="3" t="n">
        <v>1.4379</v>
      </c>
      <c r="M24" s="3" t="n">
        <v>1.466658</v>
      </c>
      <c r="N24" s="3" t="n">
        <v>1.49599116</v>
      </c>
      <c r="O24" s="3" t="n">
        <v>1.5259109832</v>
      </c>
      <c r="P24" s="3" t="n">
        <v>1.556429202864</v>
      </c>
      <c r="Q24" s="3" t="n">
        <v>1.58755778692128</v>
      </c>
      <c r="R24" s="3" t="n">
        <v>1.619308942659706</v>
      </c>
      <c r="S24" s="3" t="n">
        <v>1.6516951215129</v>
      </c>
      <c r="T24" s="3" t="n">
        <v>1.684729023943158</v>
      </c>
      <c r="U24" s="3" t="n">
        <v>1.718423604422021</v>
      </c>
      <c r="V24" s="3" t="n">
        <v>1.752792076510461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2.1024</v>
      </c>
      <c r="I25" s="3" t="n">
        <v>2.1024</v>
      </c>
      <c r="J25" s="3" t="n">
        <v>2.1024</v>
      </c>
      <c r="K25" s="3" t="n">
        <v>2.1024</v>
      </c>
      <c r="L25" s="3" t="n">
        <v>2.1024</v>
      </c>
      <c r="M25" s="3" t="n">
        <v>2.144448</v>
      </c>
      <c r="N25" s="3" t="n">
        <v>2.18733696</v>
      </c>
      <c r="O25" s="3" t="n">
        <v>2.2310836992</v>
      </c>
      <c r="P25" s="3" t="n">
        <v>2.275705373184</v>
      </c>
      <c r="Q25" s="3" t="n">
        <v>2.32121948064768</v>
      </c>
      <c r="R25" s="3" t="n">
        <v>2.367643870260633</v>
      </c>
      <c r="S25" s="3" t="n">
        <v>2.414996747665846</v>
      </c>
      <c r="T25" s="3" t="n">
        <v>2.463296682619163</v>
      </c>
      <c r="U25" s="3" t="n">
        <v>2.512562616271547</v>
      </c>
      <c r="V25" s="3" t="n">
        <v>2.562813868596978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0.09425699999999999</v>
      </c>
      <c r="I27" s="4" t="n">
        <v>0.09425699999999999</v>
      </c>
      <c r="J27" s="4" t="n">
        <v>0.09425699999999999</v>
      </c>
      <c r="K27" s="4" t="n">
        <v>0.09425699999999999</v>
      </c>
      <c r="L27" s="4" t="n">
        <v>0.09425699999999999</v>
      </c>
      <c r="M27" s="4" t="n">
        <v>0.09425699999999999</v>
      </c>
      <c r="N27" s="4" t="n">
        <v>0.09425699999999999</v>
      </c>
      <c r="O27" s="4" t="n">
        <v>0.09425699999999999</v>
      </c>
      <c r="P27" s="4" t="n">
        <v>0.09425699999999999</v>
      </c>
      <c r="Q27" s="4" t="n">
        <v>0.09425699999999999</v>
      </c>
      <c r="R27" s="4" t="n">
        <v>0.09425699999999999</v>
      </c>
      <c r="S27" s="4" t="n">
        <v>0.09425699999999999</v>
      </c>
      <c r="T27" s="4" t="n">
        <v>0.09425699999999999</v>
      </c>
      <c r="U27" s="4" t="n">
        <v>0.09425699999999999</v>
      </c>
      <c r="V27" s="4" t="n">
        <v>0.09425699999999999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0.35</v>
      </c>
      <c r="I28" s="4" t="n">
        <v>0.35</v>
      </c>
      <c r="J28" s="4" t="n">
        <v>0.35</v>
      </c>
      <c r="K28" s="4" t="n">
        <v>0.35</v>
      </c>
      <c r="L28" s="4" t="n">
        <v>0.35</v>
      </c>
      <c r="M28" s="4" t="n">
        <v>0.35</v>
      </c>
      <c r="N28" s="4" t="n">
        <v>0.35</v>
      </c>
      <c r="O28" s="4" t="n">
        <v>0.35</v>
      </c>
      <c r="P28" s="4" t="n">
        <v>0.35</v>
      </c>
      <c r="Q28" s="4" t="n">
        <v>0.35</v>
      </c>
      <c r="R28" s="4" t="n">
        <v>0.35</v>
      </c>
      <c r="S28" s="4" t="n">
        <v>0.35</v>
      </c>
      <c r="T28" s="4" t="n">
        <v>0.35</v>
      </c>
      <c r="U28" s="4" t="n">
        <v>0.35</v>
      </c>
      <c r="V28" s="4" t="n">
        <v>0.35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0.066293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0.028763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0.555696</v>
      </c>
      <c r="I33" s="4" t="n">
        <v>0.555696</v>
      </c>
      <c r="J33" s="4" t="n">
        <v>0.555696</v>
      </c>
      <c r="K33" s="4" t="n">
        <v>0.555696</v>
      </c>
      <c r="L33" s="4" t="n">
        <v>0.555696</v>
      </c>
      <c r="M33" s="4" t="n">
        <v>0.555696</v>
      </c>
      <c r="N33" s="4" t="n">
        <v>0.555696</v>
      </c>
      <c r="O33" s="4" t="n">
        <v>0.555696</v>
      </c>
      <c r="P33" s="4" t="n">
        <v>0.555696</v>
      </c>
      <c r="Q33" s="4" t="n">
        <v>0.555696</v>
      </c>
      <c r="R33" s="4" t="n">
        <v>0.555696</v>
      </c>
      <c r="S33" s="4" t="n">
        <v>0.555696</v>
      </c>
      <c r="T33" s="4" t="n">
        <v>0.555696</v>
      </c>
      <c r="U33" s="4" t="n">
        <v>0.555696</v>
      </c>
      <c r="V33" s="4" t="n">
        <v>0.555696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0.3</v>
      </c>
      <c r="I34" s="4" t="n">
        <v>0.3</v>
      </c>
      <c r="J34" s="4" t="n">
        <v>0.3</v>
      </c>
      <c r="K34" s="4" t="n">
        <v>0.3</v>
      </c>
      <c r="L34" s="4" t="n">
        <v>0.3</v>
      </c>
      <c r="M34" s="4" t="n">
        <v>0.3</v>
      </c>
      <c r="N34" s="4" t="n">
        <v>0.3</v>
      </c>
      <c r="O34" s="4" t="n">
        <v>0.3</v>
      </c>
      <c r="P34" s="4" t="n">
        <v>0.3</v>
      </c>
      <c r="Q34" s="4" t="n">
        <v>0.3</v>
      </c>
      <c r="R34" s="4" t="n">
        <v>0.3</v>
      </c>
      <c r="S34" s="4" t="n">
        <v>0.3</v>
      </c>
      <c r="T34" s="4" t="n">
        <v>0.3</v>
      </c>
      <c r="U34" s="4" t="n">
        <v>0.3</v>
      </c>
      <c r="V34" s="4" t="n">
        <v>0.3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0.02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0.07843799999999999</v>
      </c>
      <c r="I37" s="4" t="n">
        <v>0.07843799999999999</v>
      </c>
      <c r="J37" s="4" t="n">
        <v>0.07843799999999999</v>
      </c>
      <c r="K37" s="4" t="n">
        <v>0.07843799999999999</v>
      </c>
      <c r="L37" s="4" t="n">
        <v>0.07843799999999999</v>
      </c>
      <c r="M37" s="4" t="n">
        <v>0.07843799999999999</v>
      </c>
      <c r="N37" s="4" t="n">
        <v>0.07843799999999999</v>
      </c>
      <c r="O37" s="4" t="n">
        <v>0.07843799999999999</v>
      </c>
      <c r="P37" s="4" t="n">
        <v>0.07843799999999999</v>
      </c>
      <c r="Q37" s="4" t="n">
        <v>0.07843799999999999</v>
      </c>
      <c r="R37" s="4" t="n">
        <v>0.07843799999999999</v>
      </c>
      <c r="S37" s="4" t="n">
        <v>0.07843799999999999</v>
      </c>
      <c r="T37" s="4" t="n">
        <v>0.07843799999999999</v>
      </c>
      <c r="U37" s="4" t="n">
        <v>0.07843799999999999</v>
      </c>
      <c r="V37" s="4" t="n">
        <v>0.07843799999999999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>
        <v>468.2</v>
      </c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  <c r="P40" s="15">
        <f>MAX((O40-P41),0)</f>
        <v/>
      </c>
      <c r="Q40" s="15">
        <f>MAX((P40-Q41),0)</f>
        <v/>
      </c>
      <c r="R40" s="15">
        <f>MAX((Q40-R41),0)</f>
        <v/>
      </c>
      <c r="S40" s="15">
        <f>MAX((R40-S41),0)</f>
        <v/>
      </c>
      <c r="T40" s="15">
        <f>MAX((S40-T41),0)</f>
        <v/>
      </c>
      <c r="U40" s="15">
        <f>MAX((T40-U41),0)</f>
        <v/>
      </c>
      <c r="V40" s="15">
        <f>MAX((U40-V41),0)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/>
      <c r="F41" s="13" t="n"/>
      <c r="G41" s="13" t="n">
        <v>30.8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  <c r="P41" s="15">
        <f>IF(($C$9&gt;0),MIN(P14,MAX(O40,0)),P14)</f>
        <v/>
      </c>
      <c r="Q41" s="15">
        <f>IF(($C$9&gt;0),MIN(Q14,MAX(P40,0)),Q14)</f>
        <v/>
      </c>
      <c r="R41" s="15">
        <f>IF(($C$9&gt;0),MIN(R14,MAX(Q40,0)),R14)</f>
        <v/>
      </c>
      <c r="S41" s="15">
        <f>IF(($C$9&gt;0),MIN(S14,MAX(R40,0)),S14)</f>
        <v/>
      </c>
      <c r="T41" s="15">
        <f>IF(($C$9&gt;0),MIN(T14,MAX(S40,0)),T14)</f>
        <v/>
      </c>
      <c r="U41" s="15">
        <f>IF(($C$9&gt;0),MIN(U14,MAX(T40,0)),U14)</f>
        <v/>
      </c>
      <c r="V41" s="15">
        <f>IF(($C$9&gt;0),MIN(V14,MAX(U40,0)),V14)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  <c r="K42" s="16">
        <f>Drivers!$O$6</f>
        <v/>
      </c>
      <c r="L42" s="16">
        <f>Drivers!$P$6</f>
        <v/>
      </c>
      <c r="M42" s="16">
        <f>Drivers!$Q$6</f>
        <v/>
      </c>
      <c r="N42" s="16">
        <f>Drivers!$R$6</f>
        <v/>
      </c>
      <c r="O42" s="16">
        <f>Drivers!$S$6</f>
        <v/>
      </c>
      <c r="P42" s="16">
        <f>Drivers!$T$6</f>
        <v/>
      </c>
      <c r="Q42" s="16">
        <f>Drivers!$U$6</f>
        <v/>
      </c>
      <c r="R42" s="16">
        <f>Drivers!$V$6</f>
        <v/>
      </c>
      <c r="S42" s="16">
        <f>Drivers!$W$6</f>
        <v/>
      </c>
      <c r="T42" s="16">
        <f>Drivers!$X$6</f>
        <v/>
      </c>
      <c r="U42" s="16">
        <f>Drivers!$Y$6</f>
        <v/>
      </c>
      <c r="V42" s="16">
        <f>Drivers!$Z$6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/>
      <c r="G43" s="3" t="n">
        <v>52.4</v>
      </c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  <c r="K43" s="16">
        <f>(((K15*K42)*(1-K16))+(MIN(Drivers!$O$4,(K15*K42))*K16))</f>
        <v/>
      </c>
      <c r="L43" s="16">
        <f>(((L15*L42)*(1-L16))+(MIN(Drivers!$P$4,(L15*L42))*L16))</f>
        <v/>
      </c>
      <c r="M43" s="16">
        <f>(((M15*M42)*(1-M16))+(MIN(Drivers!$Q$4,(M15*M42))*M16))</f>
        <v/>
      </c>
      <c r="N43" s="16">
        <f>(((N15*N42)*(1-N16))+(MIN(Drivers!$R$4,(N15*N42))*N16))</f>
        <v/>
      </c>
      <c r="O43" s="16">
        <f>(((O15*O42)*(1-O16))+(MIN(Drivers!$S$4,(O15*O42))*O16))</f>
        <v/>
      </c>
      <c r="P43" s="16">
        <f>(((P15*P42)*(1-P16))+(MIN(Drivers!$T$4,(P15*P42))*P16))</f>
        <v/>
      </c>
      <c r="Q43" s="16">
        <f>(((Q15*Q42)*(1-Q16))+(MIN(Drivers!$U$4,(Q15*Q42))*Q16))</f>
        <v/>
      </c>
      <c r="R43" s="16">
        <f>(((R15*R42)*(1-R16))+(MIN(Drivers!$V$4,(R15*R42))*R16))</f>
        <v/>
      </c>
      <c r="S43" s="16">
        <f>(((S15*S42)*(1-S16))+(MIN(Drivers!$W$4,(S15*S42))*S16))</f>
        <v/>
      </c>
      <c r="T43" s="16">
        <f>(((T15*T42)*(1-T16))+(MIN(Drivers!$X$4,(T15*T42))*T16))</f>
        <v/>
      </c>
      <c r="U43" s="16">
        <f>(((U15*U42)*(1-U16))+(MIN(Drivers!$Y$4,(U15*U42))*U16))</f>
        <v/>
      </c>
      <c r="V43" s="16">
        <f>(((V15*V42)*(1-V16))+(MIN(Drivers!$Z$4,(V15*V42))*V16))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  <c r="L44" s="17">
        <f>IF(L42=0,0,L43/L42)</f>
        <v/>
      </c>
      <c r="M44" s="17">
        <f>IF(M42=0,0,M43/M42)</f>
        <v/>
      </c>
      <c r="N44" s="17">
        <f>IF(N42=0,0,N43/N42)</f>
        <v/>
      </c>
      <c r="O44" s="17">
        <f>IF(O42=0,0,O43/O42)</f>
        <v/>
      </c>
      <c r="P44" s="17">
        <f>IF(P42=0,0,P43/P42)</f>
        <v/>
      </c>
      <c r="Q44" s="17">
        <f>IF(Q42=0,0,Q43/Q42)</f>
        <v/>
      </c>
      <c r="R44" s="17">
        <f>IF(R42=0,0,R43/R42)</f>
        <v/>
      </c>
      <c r="S44" s="17">
        <f>IF(S42=0,0,S43/S42)</f>
        <v/>
      </c>
      <c r="T44" s="17">
        <f>IF(T42=0,0,T43/T42)</f>
        <v/>
      </c>
      <c r="U44" s="17">
        <f>IF(U42=0,0,U43/U42)</f>
        <v/>
      </c>
      <c r="V44" s="17">
        <f>IF(V42=0,0,V43/V42)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9">
        <f>((H17*H18)+H20)</f>
        <v/>
      </c>
      <c r="I45" s="19">
        <f>((I17*I18)+I20)</f>
        <v/>
      </c>
      <c r="J45" s="19">
        <f>((J17*J18)+J20)</f>
        <v/>
      </c>
      <c r="K45" s="19">
        <f>((K17*K18)+K20)</f>
        <v/>
      </c>
      <c r="L45" s="19">
        <f>((L17*L18)+L20)</f>
        <v/>
      </c>
      <c r="M45" s="19">
        <f>((M17*M18)+M20)</f>
        <v/>
      </c>
      <c r="N45" s="19">
        <f>((N17*N18)+N20)</f>
        <v/>
      </c>
      <c r="O45" s="19">
        <f>((O17*O18)+O20)</f>
        <v/>
      </c>
      <c r="P45" s="19">
        <f>((P17*P18)+P20)</f>
        <v/>
      </c>
      <c r="Q45" s="19">
        <f>((Q17*Q18)+Q20)</f>
        <v/>
      </c>
      <c r="R45" s="19">
        <f>((R17*R18)+R20)</f>
        <v/>
      </c>
      <c r="S45" s="19">
        <f>((S17*S18)+S20)</f>
        <v/>
      </c>
      <c r="T45" s="19">
        <f>((T17*T18)+T20)</f>
        <v/>
      </c>
      <c r="U45" s="19">
        <f>((U17*U18)+U20)</f>
        <v/>
      </c>
      <c r="V45" s="19">
        <f>((V17*V18)+V20)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>
        <v>5.13</v>
      </c>
      <c r="H46" s="18">
        <f>H17</f>
        <v/>
      </c>
      <c r="I46" s="18">
        <f>I17</f>
        <v/>
      </c>
      <c r="J46" s="18">
        <f>J17</f>
        <v/>
      </c>
      <c r="K46" s="18">
        <f>K17</f>
        <v/>
      </c>
      <c r="L46" s="18">
        <f>L17</f>
        <v/>
      </c>
      <c r="M46" s="18">
        <f>M17</f>
        <v/>
      </c>
      <c r="N46" s="18">
        <f>N17</f>
        <v/>
      </c>
      <c r="O46" s="18">
        <f>O17</f>
        <v/>
      </c>
      <c r="P46" s="18">
        <f>P17</f>
        <v/>
      </c>
      <c r="Q46" s="18">
        <f>Q17</f>
        <v/>
      </c>
      <c r="R46" s="18">
        <f>R17</f>
        <v/>
      </c>
      <c r="S46" s="18">
        <f>S17</f>
        <v/>
      </c>
      <c r="T46" s="18">
        <f>T17</f>
        <v/>
      </c>
      <c r="U46" s="18">
        <f>U17</f>
        <v/>
      </c>
      <c r="V46" s="18">
        <f>V17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9">
        <f>VLOOKUP(Drivers!$L$5,Drivers!$B$25:$C$30,2,TRUE)</f>
        <v/>
      </c>
      <c r="I47" s="9">
        <f>VLOOKUP(Drivers!$M$5,Drivers!$B$25:$C$30,2,TRUE)</f>
        <v/>
      </c>
      <c r="J47" s="9">
        <f>VLOOKUP(Drivers!$N$5,Drivers!$B$25:$C$30,2,TRUE)</f>
        <v/>
      </c>
      <c r="K47" s="9">
        <f>VLOOKUP(Drivers!$O$5,Drivers!$B$25:$C$30,2,TRUE)</f>
        <v/>
      </c>
      <c r="L47" s="9">
        <f>VLOOKUP(Drivers!$P$5,Drivers!$B$25:$C$30,2,TRUE)</f>
        <v/>
      </c>
      <c r="M47" s="9">
        <f>VLOOKUP(Drivers!$Q$5,Drivers!$B$25:$C$30,2,TRUE)</f>
        <v/>
      </c>
      <c r="N47" s="9">
        <f>VLOOKUP(Drivers!$R$5,Drivers!$B$25:$C$30,2,TRUE)</f>
        <v/>
      </c>
      <c r="O47" s="9">
        <f>VLOOKUP(Drivers!$S$5,Drivers!$B$25:$C$30,2,TRUE)</f>
        <v/>
      </c>
      <c r="P47" s="9">
        <f>VLOOKUP(Drivers!$T$5,Drivers!$B$25:$C$30,2,TRUE)</f>
        <v/>
      </c>
      <c r="Q47" s="9">
        <f>VLOOKUP(Drivers!$U$5,Drivers!$B$25:$C$30,2,TRUE)</f>
        <v/>
      </c>
      <c r="R47" s="9">
        <f>VLOOKUP(Drivers!$V$5,Drivers!$B$25:$C$30,2,TRUE)</f>
        <v/>
      </c>
      <c r="S47" s="9">
        <f>VLOOKUP(Drivers!$W$5,Drivers!$B$25:$C$30,2,TRUE)</f>
        <v/>
      </c>
      <c r="T47" s="9">
        <f>VLOOKUP(Drivers!$X$5,Drivers!$B$25:$C$30,2,TRUE)</f>
        <v/>
      </c>
      <c r="U47" s="9">
        <f>VLOOKUP(Drivers!$Y$5,Drivers!$B$25:$C$30,2,TRUE)</f>
        <v/>
      </c>
      <c r="V47" s="9">
        <f>VLOOKUP(Drivers!$Z$5,Drivers!$B$25:$C$30,2,TRUE)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/>
      <c r="F48" s="3" t="n"/>
      <c r="G48" s="3" t="n">
        <v>5.041888506493506</v>
      </c>
      <c r="H48" s="19">
        <f>IF((H41*$C$10)=0,0,H61/(H41*$C$10))</f>
        <v/>
      </c>
      <c r="I48" s="19">
        <f>IF((I41*$C$10)=0,0,I61/(I41*$C$10))</f>
        <v/>
      </c>
      <c r="J48" s="19">
        <f>IF((J41*$C$10)=0,0,J61/(J41*$C$10))</f>
        <v/>
      </c>
      <c r="K48" s="19">
        <f>IF((K41*$C$10)=0,0,K61/(K41*$C$10))</f>
        <v/>
      </c>
      <c r="L48" s="19">
        <f>IF((L41*$C$10)=0,0,L61/(L41*$C$10))</f>
        <v/>
      </c>
      <c r="M48" s="19">
        <f>IF((M41*$C$10)=0,0,M61/(M41*$C$10))</f>
        <v/>
      </c>
      <c r="N48" s="19">
        <f>IF((N41*$C$10)=0,0,N61/(N41*$C$10))</f>
        <v/>
      </c>
      <c r="O48" s="19">
        <f>IF((O41*$C$10)=0,0,O61/(O41*$C$10))</f>
        <v/>
      </c>
      <c r="P48" s="19">
        <f>IF((P41*$C$10)=0,0,P61/(P41*$C$10))</f>
        <v/>
      </c>
      <c r="Q48" s="19">
        <f>IF((Q41*$C$10)=0,0,Q61/(Q41*$C$10))</f>
        <v/>
      </c>
      <c r="R48" s="19">
        <f>IF((R41*$C$10)=0,0,R61/(R41*$C$10))</f>
        <v/>
      </c>
      <c r="S48" s="19">
        <f>IF((S41*$C$10)=0,0,S61/(S41*$C$10))</f>
        <v/>
      </c>
      <c r="T48" s="19">
        <f>IF((T41*$C$10)=0,0,T61/(T41*$C$10))</f>
        <v/>
      </c>
      <c r="U48" s="19">
        <f>IF((U41*$C$10)=0,0,U61/(U41*$C$10))</f>
        <v/>
      </c>
      <c r="V48" s="19">
        <f>IF((V41*$C$10)=0,0,V61/(V41*$C$10))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9">
        <f>IF((H41*$C$10)=0,0,(H53+H52)/(H41*$C$10))</f>
        <v/>
      </c>
      <c r="I49" s="19">
        <f>IF((I41*$C$10)=0,0,(I53+I52)/(I41*$C$10))</f>
        <v/>
      </c>
      <c r="J49" s="19">
        <f>IF((J41*$C$10)=0,0,(J53+J52)/(J41*$C$10))</f>
        <v/>
      </c>
      <c r="K49" s="19">
        <f>IF((K41*$C$10)=0,0,(K53+K52)/(K41*$C$10))</f>
        <v/>
      </c>
      <c r="L49" s="19">
        <f>IF((L41*$C$10)=0,0,(L53+L52)/(L41*$C$10))</f>
        <v/>
      </c>
      <c r="M49" s="19">
        <f>IF((M41*$C$10)=0,0,(M53+M52)/(M41*$C$10))</f>
        <v/>
      </c>
      <c r="N49" s="19">
        <f>IF((N41*$C$10)=0,0,(N53+N52)/(N41*$C$10))</f>
        <v/>
      </c>
      <c r="O49" s="19">
        <f>IF((O41*$C$10)=0,0,(O53+O52)/(O41*$C$10))</f>
        <v/>
      </c>
      <c r="P49" s="19">
        <f>IF((P41*$C$10)=0,0,(P53+P52)/(P41*$C$10))</f>
        <v/>
      </c>
      <c r="Q49" s="19">
        <f>IF((Q41*$C$10)=0,0,(Q53+Q52)/(Q41*$C$10))</f>
        <v/>
      </c>
      <c r="R49" s="19">
        <f>IF((R41*$C$10)=0,0,(R53+R52)/(R41*$C$10))</f>
        <v/>
      </c>
      <c r="S49" s="19">
        <f>IF((S41*$C$10)=0,0,(S53+S52)/(S41*$C$10))</f>
        <v/>
      </c>
      <c r="T49" s="19">
        <f>IF((T41*$C$10)=0,0,(T53+T52)/(T41*$C$10))</f>
        <v/>
      </c>
      <c r="U49" s="19">
        <f>IF((U41*$C$10)=0,0,(U53+U52)/(U41*$C$10))</f>
        <v/>
      </c>
      <c r="V49" s="19">
        <f>IF((V41*$C$10)=0,0,(V53+V52)/(V41*$C$10))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15">
        <f>((H41*H43)*$C$10)</f>
        <v/>
      </c>
      <c r="I50" s="15">
        <f>((I41*I43)*$C$10)</f>
        <v/>
      </c>
      <c r="J50" s="15">
        <f>((J41*J43)*$C$10)</f>
        <v/>
      </c>
      <c r="K50" s="15">
        <f>((K41*K43)*$C$10)</f>
        <v/>
      </c>
      <c r="L50" s="15">
        <f>((L41*L43)*$C$10)</f>
        <v/>
      </c>
      <c r="M50" s="15">
        <f>((M41*M43)*$C$10)</f>
        <v/>
      </c>
      <c r="N50" s="15">
        <f>((N41*N43)*$C$10)</f>
        <v/>
      </c>
      <c r="O50" s="15">
        <f>((O41*O43)*$C$10)</f>
        <v/>
      </c>
      <c r="P50" s="15">
        <f>((P41*P43)*$C$10)</f>
        <v/>
      </c>
      <c r="Q50" s="15">
        <f>((Q41*Q43)*$C$10)</f>
        <v/>
      </c>
      <c r="R50" s="15">
        <f>((R41*R43)*$C$10)</f>
        <v/>
      </c>
      <c r="S50" s="15">
        <f>((S41*S43)*$C$10)</f>
        <v/>
      </c>
      <c r="T50" s="15">
        <f>((T41*T43)*$C$10)</f>
        <v/>
      </c>
      <c r="U50" s="15">
        <f>((U41*U43)*$C$10)</f>
        <v/>
      </c>
      <c r="V50" s="15">
        <f>((V41*V43)*$C$10)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  <c r="P51" s="15">
        <f>P22</f>
        <v/>
      </c>
      <c r="Q51" s="15">
        <f>Q22</f>
        <v/>
      </c>
      <c r="R51" s="15">
        <f>R22</f>
        <v/>
      </c>
      <c r="S51" s="15">
        <f>S22</f>
        <v/>
      </c>
      <c r="T51" s="15">
        <f>T22</f>
        <v/>
      </c>
      <c r="U51" s="15">
        <f>U22</f>
        <v/>
      </c>
      <c r="V51" s="15">
        <f>V22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  <c r="P52" s="15">
        <f>(P50*P47)</f>
        <v/>
      </c>
      <c r="Q52" s="15">
        <f>(Q50*Q47)</f>
        <v/>
      </c>
      <c r="R52" s="15">
        <f>(R50*R47)</f>
        <v/>
      </c>
      <c r="S52" s="15">
        <f>(S50*S47)</f>
        <v/>
      </c>
      <c r="T52" s="15">
        <f>(T50*T47)</f>
        <v/>
      </c>
      <c r="U52" s="15">
        <f>(U50*U47)</f>
        <v/>
      </c>
      <c r="V52" s="15">
        <f>(V50*V47)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((H41*H45)*$C$10)</f>
        <v/>
      </c>
      <c r="I53" s="15">
        <f>((I41*I45)*$C$10)</f>
        <v/>
      </c>
      <c r="J53" s="15">
        <f>((J41*J45)*$C$10)</f>
        <v/>
      </c>
      <c r="K53" s="15">
        <f>((K41*K45)*$C$10)</f>
        <v/>
      </c>
      <c r="L53" s="15">
        <f>((L41*L45)*$C$10)</f>
        <v/>
      </c>
      <c r="M53" s="15">
        <f>((M41*M45)*$C$10)</f>
        <v/>
      </c>
      <c r="N53" s="15">
        <f>((N41*N45)*$C$10)</f>
        <v/>
      </c>
      <c r="O53" s="15">
        <f>((O41*O45)*$C$10)</f>
        <v/>
      </c>
      <c r="P53" s="15">
        <f>((P41*P45)*$C$10)</f>
        <v/>
      </c>
      <c r="Q53" s="15">
        <f>((Q41*Q45)*$C$10)</f>
        <v/>
      </c>
      <c r="R53" s="15">
        <f>((R41*R45)*$C$10)</f>
        <v/>
      </c>
      <c r="S53" s="15">
        <f>((S41*S45)*$C$10)</f>
        <v/>
      </c>
      <c r="T53" s="15">
        <f>((T41*T45)*$C$10)</f>
        <v/>
      </c>
      <c r="U53" s="15">
        <f>((U41*U45)*$C$10)</f>
        <v/>
      </c>
      <c r="V53" s="15">
        <f>((V41*V45)*$C$10)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  <c r="P54" s="15">
        <f>(P51*(1-$C$23))</f>
        <v/>
      </c>
      <c r="Q54" s="15">
        <f>(Q51*(1-$C$23))</f>
        <v/>
      </c>
      <c r="R54" s="15">
        <f>(R51*(1-$C$23))</f>
        <v/>
      </c>
      <c r="S54" s="15">
        <f>(S51*(1-$C$23))</f>
        <v/>
      </c>
      <c r="T54" s="15">
        <f>(T51*(1-$C$23))</f>
        <v/>
      </c>
      <c r="U54" s="15">
        <f>(U51*(1-$C$23))</f>
        <v/>
      </c>
      <c r="V54" s="15">
        <f>(V51*(1-$C$23))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4334.910725</v>
      </c>
      <c r="E55" s="13" t="n">
        <v>3026.83919</v>
      </c>
      <c r="F55" s="13" t="n">
        <v>2446.67975</v>
      </c>
      <c r="G55" s="13" t="n">
        <v>2030.903015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  <c r="P55" s="15">
        <f>(P50+P51)</f>
        <v/>
      </c>
      <c r="Q55" s="15">
        <f>(Q50+Q51)</f>
        <v/>
      </c>
      <c r="R55" s="15">
        <f>(R50+R51)</f>
        <v/>
      </c>
      <c r="S55" s="15">
        <f>(S50+S51)</f>
        <v/>
      </c>
      <c r="T55" s="15">
        <f>(T50+T51)</f>
        <v/>
      </c>
      <c r="U55" s="15">
        <f>(U50+U51)</f>
        <v/>
      </c>
      <c r="V55" s="15">
        <f>(V50+V51)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2884.09867</v>
      </c>
      <c r="E56" s="13" t="n">
        <v>2474.863205</v>
      </c>
      <c r="F56" s="13" t="n">
        <v>2113.986772</v>
      </c>
      <c r="G56" s="13" t="n">
        <v>1760.598266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  <c r="P56" s="15">
        <f>(((P53+P52)+P54)+P60)</f>
        <v/>
      </c>
      <c r="Q56" s="15">
        <f>(((Q53+Q52)+Q54)+Q60)</f>
        <v/>
      </c>
      <c r="R56" s="15">
        <f>(((R53+R52)+R54)+R60)</f>
        <v/>
      </c>
      <c r="S56" s="15">
        <f>(((S53+S52)+S54)+S60)</f>
        <v/>
      </c>
      <c r="T56" s="15">
        <f>(((T53+T52)+T54)+T60)</f>
        <v/>
      </c>
      <c r="U56" s="15">
        <f>(((U53+U52)+U54)+U60)</f>
        <v/>
      </c>
      <c r="V56" s="15">
        <f>(((V53+V52)+V54)+V60)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1450.812055</v>
      </c>
      <c r="E57" s="13" t="n">
        <v>551.975985</v>
      </c>
      <c r="F57" s="13" t="n">
        <v>332.692978</v>
      </c>
      <c r="G57" s="13" t="n">
        <v>270.304749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  <c r="P57" s="15">
        <f>(P55-P56)</f>
        <v/>
      </c>
      <c r="Q57" s="15">
        <f>(Q55-Q56)</f>
        <v/>
      </c>
      <c r="R57" s="15">
        <f>(R55-R56)</f>
        <v/>
      </c>
      <c r="S57" s="15">
        <f>(S55-S56)</f>
        <v/>
      </c>
      <c r="T57" s="15">
        <f>(T55-T56)</f>
        <v/>
      </c>
      <c r="U57" s="15">
        <f>(U55-U56)</f>
        <v/>
      </c>
      <c r="V57" s="15">
        <f>(V55-V56)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406.3842850000001</v>
      </c>
      <c r="E58" s="13" t="n">
        <v>278.311276</v>
      </c>
      <c r="F58" s="13" t="n">
        <v>171.631245</v>
      </c>
      <c r="G58" s="13" t="n">
        <v>159.301889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  <c r="P58" s="15">
        <f>(P55*P37)</f>
        <v/>
      </c>
      <c r="Q58" s="15">
        <f>(Q55*Q37)</f>
        <v/>
      </c>
      <c r="R58" s="15">
        <f>(R55*R37)</f>
        <v/>
      </c>
      <c r="S58" s="15">
        <f>(S55*S37)</f>
        <v/>
      </c>
      <c r="T58" s="15">
        <f>(T55*T37)</f>
        <v/>
      </c>
      <c r="U58" s="15">
        <f>(U55*U37)</f>
        <v/>
      </c>
      <c r="V58" s="15">
        <f>(V55*V37)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1044.42777</v>
      </c>
      <c r="E59" s="13" t="n">
        <v>273.664709</v>
      </c>
      <c r="F59" s="13" t="n">
        <v>161.061733</v>
      </c>
      <c r="G59" s="13" t="n">
        <v>111.00286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  <c r="P59" s="15">
        <f>(P57-P58)</f>
        <v/>
      </c>
      <c r="Q59" s="15">
        <f>(Q57-Q58)</f>
        <v/>
      </c>
      <c r="R59" s="15">
        <f>(R57-R58)</f>
        <v/>
      </c>
      <c r="S59" s="15">
        <f>(S57-S58)</f>
        <v/>
      </c>
      <c r="T59" s="15">
        <f>(T57-T58)</f>
        <v/>
      </c>
      <c r="U59" s="15">
        <f>(U57-U58)</f>
        <v/>
      </c>
      <c r="V59" s="15">
        <f>(V57-V58)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143.759606</v>
      </c>
      <c r="E60" s="13" t="n">
        <v>44.504119</v>
      </c>
      <c r="F60" s="13" t="n">
        <v>35.307574</v>
      </c>
      <c r="G60" s="13" t="n">
        <v>44.287306</v>
      </c>
      <c r="H60" s="15">
        <f>((H41*H24)*$C$10)</f>
        <v/>
      </c>
      <c r="I60" s="15">
        <f>((I41*I24)*$C$10)</f>
        <v/>
      </c>
      <c r="J60" s="15">
        <f>((J41*J24)*$C$10)</f>
        <v/>
      </c>
      <c r="K60" s="15">
        <f>((K41*K24)*$C$10)</f>
        <v/>
      </c>
      <c r="L60" s="15">
        <f>((L41*L24)*$C$10)</f>
        <v/>
      </c>
      <c r="M60" s="15">
        <f>((M41*M24)*$C$10)</f>
        <v/>
      </c>
      <c r="N60" s="15">
        <f>((N41*N24)*$C$10)</f>
        <v/>
      </c>
      <c r="O60" s="15">
        <f>((O41*O24)*$C$10)</f>
        <v/>
      </c>
      <c r="P60" s="15">
        <f>((P41*P24)*$C$10)</f>
        <v/>
      </c>
      <c r="Q60" s="15">
        <f>((Q41*Q24)*$C$10)</f>
        <v/>
      </c>
      <c r="R60" s="15">
        <f>((R41*R24)*$C$10)</f>
        <v/>
      </c>
      <c r="S60" s="15">
        <f>((S41*S24)*$C$10)</f>
        <v/>
      </c>
      <c r="T60" s="15">
        <f>((T41*T24)*$C$10)</f>
        <v/>
      </c>
      <c r="U60" s="15">
        <f>((U41*U24)*$C$10)</f>
        <v/>
      </c>
      <c r="V60" s="15">
        <f>((V41*V24)*$C$10)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1188.187376</v>
      </c>
      <c r="E61" s="13" t="n">
        <v>318.168828</v>
      </c>
      <c r="F61" s="13" t="n">
        <v>196.369307</v>
      </c>
      <c r="G61" s="13" t="n">
        <v>155.290166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  <c r="P61" s="15">
        <f>(P59+P60)</f>
        <v/>
      </c>
      <c r="Q61" s="15">
        <f>(Q59+Q60)</f>
        <v/>
      </c>
      <c r="R61" s="15">
        <f>(R59+R60)</f>
        <v/>
      </c>
      <c r="S61" s="15">
        <f>(S59+S60)</f>
        <v/>
      </c>
      <c r="T61" s="15">
        <f>(T59+T60)</f>
        <v/>
      </c>
      <c r="U61" s="15">
        <f>(U59+U60)</f>
        <v/>
      </c>
      <c r="V61" s="15">
        <f>(V59+V60)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87.62823</v>
      </c>
      <c r="E62" s="13" t="n">
        <v>78.434741</v>
      </c>
      <c r="F62" s="13" t="n">
        <v>76.13073799999999</v>
      </c>
      <c r="G62" s="13" t="n">
        <v>61.626976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  <c r="P62" s="15">
        <f>(O82*$C$29)</f>
        <v/>
      </c>
      <c r="Q62" s="15">
        <f>(P82*$C$29)</f>
        <v/>
      </c>
      <c r="R62" s="15">
        <f>(Q82*$C$29)</f>
        <v/>
      </c>
      <c r="S62" s="15">
        <f>(R82*$C$29)</f>
        <v/>
      </c>
      <c r="T62" s="15">
        <f>(S82*$C$29)</f>
        <v/>
      </c>
      <c r="U62" s="15">
        <f>(T82*$C$29)</f>
        <v/>
      </c>
      <c r="V62" s="15">
        <f>(U82*$C$29)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6.797645</v>
      </c>
      <c r="E63" s="13" t="n">
        <v>17.954698</v>
      </c>
      <c r="F63" s="13" t="n">
        <v>24.155492</v>
      </c>
      <c r="G63" s="13" t="n">
        <v>17.962693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  <c r="P63" s="15">
        <f>(O81*$C$30)</f>
        <v/>
      </c>
      <c r="Q63" s="15">
        <f>(P81*$C$30)</f>
        <v/>
      </c>
      <c r="R63" s="15">
        <f>(Q81*$C$30)</f>
        <v/>
      </c>
      <c r="S63" s="15">
        <f>(R81*$C$30)</f>
        <v/>
      </c>
      <c r="T63" s="15">
        <f>(S81*$C$30)</f>
        <v/>
      </c>
      <c r="U63" s="15">
        <f>(T81*$C$30)</f>
        <v/>
      </c>
      <c r="V63" s="15">
        <f>(U81*$C$30)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46.74004299999997</v>
      </c>
      <c r="E64" s="13" t="n">
        <v>25.24596799999998</v>
      </c>
      <c r="F64" s="13" t="n">
        <v>-24.19836100000001</v>
      </c>
      <c r="G64" s="13" t="n">
        <v>11.268012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  <c r="P64" s="15">
        <f>P32</f>
        <v/>
      </c>
      <c r="Q64" s="15">
        <f>Q32</f>
        <v/>
      </c>
      <c r="R64" s="15">
        <f>R32</f>
        <v/>
      </c>
      <c r="S64" s="15">
        <f>S32</f>
        <v/>
      </c>
      <c r="T64" s="15">
        <f>T32</f>
        <v/>
      </c>
      <c r="U64" s="15">
        <f>U32</f>
        <v/>
      </c>
      <c r="V64" s="15">
        <f>V32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1010.337228</v>
      </c>
      <c r="E65" s="13" t="n">
        <v>238.430634</v>
      </c>
      <c r="F65" s="13" t="n">
        <v>84.888126</v>
      </c>
      <c r="G65" s="13" t="n">
        <v>78.606589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  <c r="P65" s="15">
        <f>(((P59-P62)+P63)+P64)</f>
        <v/>
      </c>
      <c r="Q65" s="15">
        <f>(((Q59-Q62)+Q63)+Q64)</f>
        <v/>
      </c>
      <c r="R65" s="15">
        <f>(((R59-R62)+R63)+R64)</f>
        <v/>
      </c>
      <c r="S65" s="15">
        <f>(((S59-S62)+S63)+S64)</f>
        <v/>
      </c>
      <c r="T65" s="15">
        <f>(((T59-T62)+T63)+T64)</f>
        <v/>
      </c>
      <c r="U65" s="15">
        <f>(((U59-U62)+U63)+U64)</f>
        <v/>
      </c>
      <c r="V65" s="15">
        <f>(((V59-V62)+V63)+V64)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499.561131</v>
      </c>
      <c r="E66" s="13" t="n">
        <v>87.38754299999999</v>
      </c>
      <c r="F66" s="13" t="n">
        <v>53.074918</v>
      </c>
      <c r="G66" s="13" t="n">
        <v>51.646806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  <c r="P66" s="15">
        <f>(MAX(P65,0)*P28)</f>
        <v/>
      </c>
      <c r="Q66" s="15">
        <f>(MAX(Q65,0)*Q28)</f>
        <v/>
      </c>
      <c r="R66" s="15">
        <f>(MAX(R65,0)*R28)</f>
        <v/>
      </c>
      <c r="S66" s="15">
        <f>(MAX(S65,0)*S28)</f>
        <v/>
      </c>
      <c r="T66" s="15">
        <f>(MAX(T65,0)*T28)</f>
        <v/>
      </c>
      <c r="U66" s="15">
        <f>(MAX(U65,0)*U28)</f>
        <v/>
      </c>
      <c r="V66" s="15">
        <f>(MAX(V65,0)*V28)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510.776097</v>
      </c>
      <c r="E67" s="13" t="n">
        <v>151.043091</v>
      </c>
      <c r="F67" s="13" t="n">
        <v>31.813208</v>
      </c>
      <c r="G67" s="13" t="n">
        <v>26.959783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  <c r="P67" s="15">
        <f>(P65-P66)</f>
        <v/>
      </c>
      <c r="Q67" s="15">
        <f>(Q65-Q66)</f>
        <v/>
      </c>
      <c r="R67" s="15">
        <f>(R65-R66)</f>
        <v/>
      </c>
      <c r="S67" s="15">
        <f>(S65-S66)</f>
        <v/>
      </c>
      <c r="T67" s="15">
        <f>(T65-T66)</f>
        <v/>
      </c>
      <c r="U67" s="15">
        <f>(U65-U66)</f>
        <v/>
      </c>
      <c r="V67" s="15">
        <f>(V65-V66)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58.09953899999999</v>
      </c>
      <c r="E68" s="13" t="n">
        <v>31.359291</v>
      </c>
      <c r="F68" s="13" t="n">
        <v>21.729412</v>
      </c>
      <c r="G68" s="13" t="n">
        <v>20.932588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  <c r="P68" s="15">
        <f>(P67*P33)</f>
        <v/>
      </c>
      <c r="Q68" s="15">
        <f>(Q67*Q33)</f>
        <v/>
      </c>
      <c r="R68" s="15">
        <f>(R67*R33)</f>
        <v/>
      </c>
      <c r="S68" s="15">
        <f>(S67*S33)</f>
        <v/>
      </c>
      <c r="T68" s="15">
        <f>(T67*T33)</f>
        <v/>
      </c>
      <c r="U68" s="15">
        <f>(U67*U33)</f>
        <v/>
      </c>
      <c r="V68" s="15">
        <f>(V67*V33)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452.676558</v>
      </c>
      <c r="E69" s="13" t="n">
        <v>119.6838</v>
      </c>
      <c r="F69" s="13" t="n">
        <v>10.083796</v>
      </c>
      <c r="G69" s="13" t="n">
        <v>6.027195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  <c r="P69" s="15">
        <f>(P67-P68)</f>
        <v/>
      </c>
      <c r="Q69" s="15">
        <f>(Q67-Q68)</f>
        <v/>
      </c>
      <c r="R69" s="15">
        <f>(R67-R68)</f>
        <v/>
      </c>
      <c r="S69" s="15">
        <f>(S67-S68)</f>
        <v/>
      </c>
      <c r="T69" s="15">
        <f>(T67-T68)</f>
        <v/>
      </c>
      <c r="U69" s="15">
        <f>(U67-U68)</f>
        <v/>
      </c>
      <c r="V69" s="15">
        <f>(V67-V68)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5202.692</v>
      </c>
      <c r="E70" s="13" t="n">
        <v>5202.692</v>
      </c>
      <c r="F70" s="13" t="n">
        <v>5202.692</v>
      </c>
      <c r="G70" s="13" t="n">
        <v>5202.692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  <c r="P70" s="15">
        <f>(O70*(1+P35))</f>
        <v/>
      </c>
      <c r="Q70" s="15">
        <f>(P70*(1+Q35))</f>
        <v/>
      </c>
      <c r="R70" s="15">
        <f>(Q70*(1+R35))</f>
        <v/>
      </c>
      <c r="S70" s="15">
        <f>(R70*(1+S35))</f>
        <v/>
      </c>
      <c r="T70" s="15">
        <f>(S70*(1+T35))</f>
        <v/>
      </c>
      <c r="U70" s="15">
        <f>(T70*(1+U35))</f>
        <v/>
      </c>
      <c r="V70" s="15">
        <f>(U70*(1+V35))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0.08700814078557793</v>
      </c>
      <c r="E71" s="20" t="n">
        <v>0.0230042062839776</v>
      </c>
      <c r="F71" s="20" t="n">
        <v>0.001938188153363682</v>
      </c>
      <c r="G71" s="20" t="n">
        <v>0.00115847622730694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  <c r="M71" s="21">
        <f>(IF(M70=0,0,M69/M70)*$C$8)</f>
        <v/>
      </c>
      <c r="N71" s="21">
        <f>(IF(N70=0,0,N69/N70)*$C$8)</f>
        <v/>
      </c>
      <c r="O71" s="21">
        <f>(IF(O70=0,0,O69/O70)*$C$8)</f>
        <v/>
      </c>
      <c r="P71" s="21">
        <f>(IF(P70=0,0,P69/P70)*$C$8)</f>
        <v/>
      </c>
      <c r="Q71" s="21">
        <f>(IF(Q70=0,0,Q69/Q70)*$C$8)</f>
        <v/>
      </c>
      <c r="R71" s="21">
        <f>(IF(R70=0,0,R69/R70)*$C$8)</f>
        <v/>
      </c>
      <c r="S71" s="21">
        <f>(IF(S70=0,0,S69/S70)*$C$8)</f>
        <v/>
      </c>
      <c r="T71" s="21">
        <f>(IF(T70=0,0,T69/T70)*$C$8)</f>
        <v/>
      </c>
      <c r="U71" s="21">
        <f>(IF(U70=0,0,U69/U70)*$C$8)</f>
        <v/>
      </c>
      <c r="V71" s="21">
        <f>(IF(V70=0,0,V69/V70)*$C$8)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0.01388610721677015</v>
      </c>
      <c r="E72" s="20" t="n">
        <v>0.005677414345575549</v>
      </c>
      <c r="F72" s="20" t="n">
        <v>0.001064647872030719</v>
      </c>
      <c r="G72" s="20" t="n">
        <v>0.0005717573221757322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  <c r="M72" s="21">
        <f>(MAX(M71,0)*M34)</f>
        <v/>
      </c>
      <c r="N72" s="21">
        <f>(MAX(N71,0)*N34)</f>
        <v/>
      </c>
      <c r="O72" s="21">
        <f>(MAX(O71,0)*O34)</f>
        <v/>
      </c>
      <c r="P72" s="21">
        <f>(MAX(P71,0)*P34)</f>
        <v/>
      </c>
      <c r="Q72" s="21">
        <f>(MAX(Q71,0)*Q34)</f>
        <v/>
      </c>
      <c r="R72" s="21">
        <f>(MAX(R71,0)*R34)</f>
        <v/>
      </c>
      <c r="S72" s="21">
        <f>(MAX(S71,0)*S34)</f>
        <v/>
      </c>
      <c r="T72" s="21">
        <f>(MAX(T71,0)*T34)</f>
        <v/>
      </c>
      <c r="U72" s="21">
        <f>(MAX(U71,0)*U34)</f>
        <v/>
      </c>
      <c r="V72" s="21">
        <f>(MAX(V71,0)*V34)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>
        <v>40</v>
      </c>
      <c r="E73" s="13" t="n">
        <v>73.252551</v>
      </c>
      <c r="F73" s="13" t="n">
        <v>30</v>
      </c>
      <c r="G73" s="13" t="n">
        <v>5.041898</v>
      </c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  <c r="P73" s="15">
        <f>IF($C$8=0,0,(O72*O70)/$C$8)</f>
        <v/>
      </c>
      <c r="Q73" s="15">
        <f>IF($C$8=0,0,(P72*P70)/$C$8)</f>
        <v/>
      </c>
      <c r="R73" s="15">
        <f>IF($C$8=0,0,(Q72*Q70)/$C$8)</f>
        <v/>
      </c>
      <c r="S73" s="15">
        <f>IF($C$8=0,0,(R72*R70)/$C$8)</f>
        <v/>
      </c>
      <c r="T73" s="15">
        <f>IF($C$8=0,0,(S72*S70)/$C$8)</f>
        <v/>
      </c>
      <c r="U73" s="15">
        <f>IF($C$8=0,0,(T72*T70)/$C$8)</f>
        <v/>
      </c>
      <c r="V73" s="15">
        <f>IF($C$8=0,0,(U72*U70)/$C$8)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73.641696</v>
      </c>
      <c r="E74" s="13" t="n">
        <v>118.995705</v>
      </c>
      <c r="F74" s="13" t="n">
        <v>104.631888</v>
      </c>
      <c r="G74" s="13" t="n">
        <v>64.772886</v>
      </c>
      <c r="H74" s="15">
        <f>(((H41*H25)*$C$10)+H26)</f>
        <v/>
      </c>
      <c r="I74" s="15">
        <f>(((I41*I25)*$C$10)+I26)</f>
        <v/>
      </c>
      <c r="J74" s="15">
        <f>(((J41*J25)*$C$10)+J26)</f>
        <v/>
      </c>
      <c r="K74" s="15">
        <f>(((K41*K25)*$C$10)+K26)</f>
        <v/>
      </c>
      <c r="L74" s="15">
        <f>(((L41*L25)*$C$10)+L26)</f>
        <v/>
      </c>
      <c r="M74" s="15">
        <f>(((M41*M25)*$C$10)+M26)</f>
        <v/>
      </c>
      <c r="N74" s="15">
        <f>(((N41*N25)*$C$10)+N26)</f>
        <v/>
      </c>
      <c r="O74" s="15">
        <f>(((O41*O25)*$C$10)+O26)</f>
        <v/>
      </c>
      <c r="P74" s="15">
        <f>(((P41*P25)*$C$10)+P26)</f>
        <v/>
      </c>
      <c r="Q74" s="15">
        <f>(((Q41*Q25)*$C$10)+Q26)</f>
        <v/>
      </c>
      <c r="R74" s="15">
        <f>(((R41*R25)*$C$10)+R26)</f>
        <v/>
      </c>
      <c r="S74" s="15">
        <f>(((S41*S25)*$C$10)+S26)</f>
        <v/>
      </c>
      <c r="T74" s="15">
        <f>(((T41*T25)*$C$10)+T26)</f>
        <v/>
      </c>
      <c r="U74" s="15">
        <f>(((U41*U25)*$C$10)+U26)</f>
        <v/>
      </c>
      <c r="V74" s="15">
        <f>(((V41*V25)*$C$10)+V26)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583.787562</v>
      </c>
      <c r="F75" s="13" t="n">
        <v>-98.64103199999988</v>
      </c>
      <c r="G75" s="13" t="n">
        <v>-83.15832699999999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  <c r="P75" s="15">
        <f>(P80-O80)</f>
        <v/>
      </c>
      <c r="Q75" s="15">
        <f>(Q80-P80)</f>
        <v/>
      </c>
      <c r="R75" s="15">
        <f>(R80-Q80)</f>
        <v/>
      </c>
      <c r="S75" s="15">
        <f>(S80-R80)</f>
        <v/>
      </c>
      <c r="T75" s="15">
        <f>(T80-S80)</f>
        <v/>
      </c>
      <c r="U75" s="15">
        <f>(U80-T80)</f>
        <v/>
      </c>
      <c r="V75" s="15">
        <f>(V80-U80)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-484.9156717909172</v>
      </c>
      <c r="F76" s="13" t="n">
        <v>89.67722604996513</v>
      </c>
      <c r="G76" s="13" t="n">
        <v>100.7435125178802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  <c r="P76" s="15">
        <f>((((P59*(1-P28))+P60)-P74)-P75)</f>
        <v/>
      </c>
      <c r="Q76" s="15">
        <f>((((Q59*(1-Q28))+Q60)-Q74)-Q75)</f>
        <v/>
      </c>
      <c r="R76" s="15">
        <f>((((R59*(1-R28))+R60)-R74)-R75)</f>
        <v/>
      </c>
      <c r="S76" s="15">
        <f>((((S59*(1-S28))+S60)-S74)-S75)</f>
        <v/>
      </c>
      <c r="T76" s="15">
        <f>((((T59*(1-T28))+T60)-T74)-T75)</f>
        <v/>
      </c>
      <c r="U76" s="15">
        <f>((((U59*(1-U28))+U60)-U74)-U75)</f>
        <v/>
      </c>
      <c r="V76" s="15">
        <f>((((V59*(1-V28))+V60)-V74)-V75)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-5.071900000000142</v>
      </c>
      <c r="F77" s="13" t="n">
        <v>-23.1287299999999</v>
      </c>
      <c r="G77" s="13" t="n">
        <v>8.020262000000002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  <c r="P77" s="15">
        <f>P31</f>
        <v/>
      </c>
      <c r="Q77" s="15">
        <f>Q31</f>
        <v/>
      </c>
      <c r="R77" s="15">
        <f>R31</f>
        <v/>
      </c>
      <c r="S77" s="15">
        <f>S31</f>
        <v/>
      </c>
      <c r="T77" s="15">
        <f>T31</f>
        <v/>
      </c>
      <c r="U77" s="15">
        <f>U31</f>
        <v/>
      </c>
      <c r="V77" s="15">
        <f>V31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  <c r="P78" s="15">
        <f>(MAX(O68,0)*P34)</f>
        <v/>
      </c>
      <c r="Q78" s="15">
        <f>(MAX(P68,0)*Q34)</f>
        <v/>
      </c>
      <c r="R78" s="15">
        <f>(MAX(Q68,0)*R34)</f>
        <v/>
      </c>
      <c r="S78" s="15">
        <f>(MAX(R68,0)*S34)</f>
        <v/>
      </c>
      <c r="T78" s="15">
        <f>(MAX(S68,0)*T34)</f>
        <v/>
      </c>
      <c r="U78" s="15">
        <f>(MAX(T68,0)*U34)</f>
        <v/>
      </c>
      <c r="V78" s="15">
        <f>(MAX(U68,0)*V34)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  <c r="P79" s="15">
        <f>(((((P67+P60)-P74)-P75)+P77)-P78)</f>
        <v/>
      </c>
      <c r="Q79" s="15">
        <f>(((((Q67+Q60)-Q74)-Q75)+Q77)-Q78)</f>
        <v/>
      </c>
      <c r="R79" s="15">
        <f>(((((R67+R60)-R74)-R75)+R77)-R78)</f>
        <v/>
      </c>
      <c r="S79" s="15">
        <f>(((((S67+S60)-S74)-S75)+S77)-S78)</f>
        <v/>
      </c>
      <c r="T79" s="15">
        <f>(((((T67+T60)-T74)-T75)+T77)-T78)</f>
        <v/>
      </c>
      <c r="U79" s="15">
        <f>(((((U67+U60)-U74)-U75)+U77)-U78)</f>
        <v/>
      </c>
      <c r="V79" s="15">
        <f>(((((V67+V60)-V74)-V75)+V77)-V78)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-248.7421670000001</v>
      </c>
      <c r="E80" s="13" t="n">
        <v>335.0453949999999</v>
      </c>
      <c r="F80" s="13" t="n">
        <v>236.404363</v>
      </c>
      <c r="G80" s="13" t="n">
        <v>153.246036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  <c r="P80" s="15">
        <f>(P55*P27)</f>
        <v/>
      </c>
      <c r="Q80" s="15">
        <f>(Q55*Q27)</f>
        <v/>
      </c>
      <c r="R80" s="15">
        <f>(R55*R27)</f>
        <v/>
      </c>
      <c r="S80" s="15">
        <f>(S55*S27)</f>
        <v/>
      </c>
      <c r="T80" s="15">
        <f>(T55*T27)</f>
        <v/>
      </c>
      <c r="U80" s="15">
        <f>(U55*U27)</f>
        <v/>
      </c>
      <c r="V80" s="15">
        <f>(V55*V27)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1189.479256</v>
      </c>
      <c r="E81" s="13" t="n">
        <v>595.5029469999999</v>
      </c>
      <c r="F81" s="13" t="n">
        <v>586.390277</v>
      </c>
      <c r="G81" s="13" t="n">
        <v>488.217563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  <c r="P81" s="15">
        <f>(((((((O81+P67)+P60)-P74)-P75)+P77)-P73)-P78)</f>
        <v/>
      </c>
      <c r="Q81" s="15">
        <f>(((((((P81+Q67)+Q60)-Q74)-Q75)+Q77)-Q73)-Q78)</f>
        <v/>
      </c>
      <c r="R81" s="15">
        <f>(((((((Q81+R67)+R60)-R74)-R75)+R77)-R73)-R78)</f>
        <v/>
      </c>
      <c r="S81" s="15">
        <f>(((((((R81+S67)+S60)-S74)-S75)+S77)-S73)-S78)</f>
        <v/>
      </c>
      <c r="T81" s="15">
        <f>(((((((S81+T67)+T60)-T74)-T75)+T77)-T73)-T78)</f>
        <v/>
      </c>
      <c r="U81" s="15">
        <f>(((((((T81+U67)+U60)-U74)-U75)+U77)-U73)-U78)</f>
        <v/>
      </c>
      <c r="V81" s="15">
        <f>(((((((U81+V67)+V60)-V74)-V75)+V77)-V73)-V78)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1097.002052</v>
      </c>
      <c r="E82" s="13" t="n">
        <v>1091.930152</v>
      </c>
      <c r="F82" s="13" t="n">
        <v>1068.801422</v>
      </c>
      <c r="G82" s="13" t="n">
        <v>1076.821684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  <c r="P82" s="15">
        <f>(O82+P77)</f>
        <v/>
      </c>
      <c r="Q82" s="15">
        <f>(P82+Q77)</f>
        <v/>
      </c>
      <c r="R82" s="15">
        <f>(Q82+R77)</f>
        <v/>
      </c>
      <c r="S82" s="15">
        <f>(R82+S77)</f>
        <v/>
      </c>
      <c r="T82" s="15">
        <f>(S82+T77)</f>
        <v/>
      </c>
      <c r="U82" s="15">
        <f>(T82+U77)</f>
        <v/>
      </c>
      <c r="V82" s="15">
        <f>(U82+V77)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359.677326</v>
      </c>
      <c r="E83" s="13" t="n">
        <v>441.666713</v>
      </c>
      <c r="F83" s="13" t="n">
        <v>536.603808</v>
      </c>
      <c r="G83" s="13" t="n">
        <v>629.891506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  <c r="P83" s="15">
        <f>((O83+P74)-P60)</f>
        <v/>
      </c>
      <c r="Q83" s="15">
        <f>((P83+Q74)-Q60)</f>
        <v/>
      </c>
      <c r="R83" s="15">
        <f>((Q83+R74)-R60)</f>
        <v/>
      </c>
      <c r="S83" s="15">
        <f>((R83+S74)-S60)</f>
        <v/>
      </c>
      <c r="T83" s="15">
        <f>((S83+T74)-T60)</f>
        <v/>
      </c>
      <c r="U83" s="15">
        <f>((T83+U74)-U60)</f>
        <v/>
      </c>
      <c r="V83" s="15">
        <f>((U83+V74)-V60)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1189.283697</v>
      </c>
      <c r="E84" s="13" t="n">
        <v>1232.842384</v>
      </c>
      <c r="F84" s="13" t="n">
        <v>1205.512723</v>
      </c>
      <c r="G84" s="13" t="n">
        <v>1194.756782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  <c r="P84" s="15">
        <f>((O84+P69)-P73)</f>
        <v/>
      </c>
      <c r="Q84" s="15">
        <f>((P84+Q69)-Q73)</f>
        <v/>
      </c>
      <c r="R84" s="15">
        <f>((Q84+R69)-R73)</f>
        <v/>
      </c>
      <c r="S84" s="15">
        <f>((R84+S69)-S73)</f>
        <v/>
      </c>
      <c r="T84" s="15">
        <f>((S84+T69)-T73)</f>
        <v/>
      </c>
      <c r="U84" s="15">
        <f>((T84+U69)-U73)</f>
        <v/>
      </c>
      <c r="V84" s="15">
        <f>((U84+V69)-V73)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150.890266</v>
      </c>
      <c r="E85" s="13" t="n">
        <v>144.295066</v>
      </c>
      <c r="F85" s="13" t="n">
        <v>149.674212</v>
      </c>
      <c r="G85" s="13" t="n">
        <v>150.298837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  <c r="P85" s="15">
        <f>((O85+P68)-P78)</f>
        <v/>
      </c>
      <c r="Q85" s="15">
        <f>((P85+Q68)-Q78)</f>
        <v/>
      </c>
      <c r="R85" s="15">
        <f>((Q85+R68)-R78)</f>
        <v/>
      </c>
      <c r="S85" s="15">
        <f>((R85+S68)-S78)</f>
        <v/>
      </c>
      <c r="T85" s="15">
        <f>((S85+T68)-T78)</f>
        <v/>
      </c>
      <c r="U85" s="15">
        <f>((T85+U68)-U78)</f>
        <v/>
      </c>
      <c r="V85" s="15">
        <f>((U85+V68)-V78)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1136.7616</v>
      </c>
      <c r="E86" s="13" t="n">
        <v>1096.852547</v>
      </c>
      <c r="F86" s="13" t="n">
        <v>1064.589909</v>
      </c>
      <c r="G86" s="13" t="n">
        <v>1150.522198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  <c r="P86" s="15">
        <f>O86</f>
        <v/>
      </c>
      <c r="Q86" s="15">
        <f>P86</f>
        <v/>
      </c>
      <c r="R86" s="15">
        <f>Q86</f>
        <v/>
      </c>
      <c r="S86" s="15">
        <f>R86</f>
        <v/>
      </c>
      <c r="T86" s="15">
        <f>S86</f>
        <v/>
      </c>
      <c r="U86" s="15">
        <f>T86</f>
        <v/>
      </c>
      <c r="V86" s="15">
        <f>U86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  <c r="P87" s="15">
        <f>((((((P81+P80)+P83)+P86)-P82)-P84)-P85)</f>
        <v/>
      </c>
      <c r="Q87" s="15">
        <f>((((((Q81+Q80)+Q83)+Q86)-Q82)-Q84)-Q85)</f>
        <v/>
      </c>
      <c r="R87" s="15">
        <f>((((((R81+R80)+R83)+R86)-R82)-R84)-R85)</f>
        <v/>
      </c>
      <c r="S87" s="15">
        <f>((((((S81+S80)+S83)+S86)-S82)-S84)-S85)</f>
        <v/>
      </c>
      <c r="T87" s="15">
        <f>((((((T81+T80)+T83)+T86)-T82)-T84)-T85)</f>
        <v/>
      </c>
      <c r="U87" s="15">
        <f>((((((U81+U80)+U83)+U86)-U82)-U84)-U85)</f>
        <v/>
      </c>
      <c r="V87" s="15">
        <f>((((((V81+V80)+V83)+V86)-V82)-V84)-V85)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-92.47720400000003</v>
      </c>
      <c r="E88" s="13" t="n">
        <v>496.427205</v>
      </c>
      <c r="F88" s="13" t="n">
        <v>482.411145</v>
      </c>
      <c r="G88" s="13" t="n">
        <v>588.6041210000001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  <c r="P88" s="15">
        <f>(P82-P81)</f>
        <v/>
      </c>
      <c r="Q88" s="15">
        <f>(Q82-Q81)</f>
        <v/>
      </c>
      <c r="R88" s="15">
        <f>(R82-R81)</f>
        <v/>
      </c>
      <c r="S88" s="15">
        <f>(S82-S81)</f>
        <v/>
      </c>
      <c r="T88" s="15">
        <f>(T82-T81)</f>
        <v/>
      </c>
      <c r="U88" s="15">
        <f>(U82-U81)</f>
        <v/>
      </c>
      <c r="V88" s="15">
        <f>(V82-V81)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0.2285900639515082</v>
      </c>
      <c r="E89" s="20" t="n">
        <v>0.2369624002343402</v>
      </c>
      <c r="F89" s="20" t="n">
        <v>0.2317094156256031</v>
      </c>
      <c r="G89" s="20" t="n">
        <v>0.2296420356999799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  <c r="M89" s="21">
        <f>(IF(M70=0,0,M84/M70)*$C$8)</f>
        <v/>
      </c>
      <c r="N89" s="21">
        <f>(IF(N70=0,0,N84/N70)*$C$8)</f>
        <v/>
      </c>
      <c r="O89" s="21">
        <f>(IF(O70=0,0,O84/O70)*$C$8)</f>
        <v/>
      </c>
      <c r="P89" s="21">
        <f>(IF(P70=0,0,P84/P70)*$C$8)</f>
        <v/>
      </c>
      <c r="Q89" s="21">
        <f>(IF(Q70=0,0,Q84/Q70)*$C$8)</f>
        <v/>
      </c>
      <c r="R89" s="21">
        <f>(IF(R70=0,0,R84/R70)*$C$8)</f>
        <v/>
      </c>
      <c r="S89" s="21">
        <f>(IF(S70=0,0,S84/S70)*$C$8)</f>
        <v/>
      </c>
      <c r="T89" s="21">
        <f>(IF(T70=0,0,T84/T70)*$C$8)</f>
        <v/>
      </c>
      <c r="U89" s="21">
        <f>(IF(U70=0,0,U84/U70)*$C$8)</f>
        <v/>
      </c>
      <c r="V89" s="21">
        <f>(IF(V70=0,0,V84/V70)*$C$8)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-0.3017528198345999</v>
      </c>
      <c r="F90" s="4" t="n">
        <v>-0.1916717088627362</v>
      </c>
      <c r="G90" s="4" t="n">
        <v>-0.1699350865187811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  <c r="L90" s="17">
        <f>(IF(K55=0,0,L55/K55)-1)</f>
        <v/>
      </c>
      <c r="M90" s="17">
        <f>(IF(L55=0,0,M55/L55)-1)</f>
        <v/>
      </c>
      <c r="N90" s="17">
        <f>(IF(M55=0,0,N55/M55)-1)</f>
        <v/>
      </c>
      <c r="O90" s="17">
        <f>(IF(N55=0,0,O55/N55)-1)</f>
        <v/>
      </c>
      <c r="P90" s="17">
        <f>(IF(O55=0,0,P55/O55)-1)</f>
        <v/>
      </c>
      <c r="Q90" s="17">
        <f>(IF(P55=0,0,Q55/P55)-1)</f>
        <v/>
      </c>
      <c r="R90" s="17">
        <f>(IF(Q55=0,0,R55/Q55)-1)</f>
        <v/>
      </c>
      <c r="S90" s="17">
        <f>(IF(R55=0,0,S55/R55)-1)</f>
        <v/>
      </c>
      <c r="T90" s="17">
        <f>(IF(S55=0,0,T55/S55)-1)</f>
        <v/>
      </c>
      <c r="U90" s="17">
        <f>(IF(T55=0,0,U55/T55)-1)</f>
        <v/>
      </c>
      <c r="V90" s="17">
        <f>(IF(U55=0,0,V55/U55)-1)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0.334680953550664</v>
      </c>
      <c r="E91" s="4" t="n">
        <v>0.1823605254033994</v>
      </c>
      <c r="F91" s="4" t="n">
        <v>0.135977329276543</v>
      </c>
      <c r="G91" s="4" t="n">
        <v>0.1330958430823936</v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  <c r="L91" s="17">
        <f>IF(L55=0,0,L57/L55)</f>
        <v/>
      </c>
      <c r="M91" s="17">
        <f>IF(M55=0,0,M57/M55)</f>
        <v/>
      </c>
      <c r="N91" s="17">
        <f>IF(N55=0,0,N57/N55)</f>
        <v/>
      </c>
      <c r="O91" s="17">
        <f>IF(O55=0,0,O57/O55)</f>
        <v/>
      </c>
      <c r="P91" s="17">
        <f>IF(P55=0,0,P57/P55)</f>
        <v/>
      </c>
      <c r="Q91" s="17">
        <f>IF(Q55=0,0,Q57/Q55)</f>
        <v/>
      </c>
      <c r="R91" s="17">
        <f>IF(R55=0,0,R57/R55)</f>
        <v/>
      </c>
      <c r="S91" s="17">
        <f>IF(S55=0,0,S57/S55)</f>
        <v/>
      </c>
      <c r="T91" s="17">
        <f>IF(T55=0,0,T57/T55)</f>
        <v/>
      </c>
      <c r="U91" s="17">
        <f>IF(U55=0,0,U57/U55)</f>
        <v/>
      </c>
      <c r="V91" s="17">
        <f>IF(V55=0,0,V57/V55)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0.2740973116580158</v>
      </c>
      <c r="E92" s="4" t="n">
        <v>0.1051158677511374</v>
      </c>
      <c r="F92" s="4" t="n">
        <v>0.08025950556054588</v>
      </c>
      <c r="G92" s="4" t="n">
        <v>0.07646360503335015</v>
      </c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  <c r="L92" s="17">
        <f>IF(L55=0,0,L61/L55)</f>
        <v/>
      </c>
      <c r="M92" s="17">
        <f>IF(M55=0,0,M61/M55)</f>
        <v/>
      </c>
      <c r="N92" s="17">
        <f>IF(N55=0,0,N61/N55)</f>
        <v/>
      </c>
      <c r="O92" s="17">
        <f>IF(O55=0,0,O61/O55)</f>
        <v/>
      </c>
      <c r="P92" s="17">
        <f>IF(P55=0,0,P61/P55)</f>
        <v/>
      </c>
      <c r="Q92" s="17">
        <f>IF(Q55=0,0,Q61/Q55)</f>
        <v/>
      </c>
      <c r="R92" s="17">
        <f>IF(R55=0,0,R61/R55)</f>
        <v/>
      </c>
      <c r="S92" s="17">
        <f>IF(S55=0,0,S61/S55)</f>
        <v/>
      </c>
      <c r="T92" s="17">
        <f>IF(T55=0,0,T61/T55)</f>
        <v/>
      </c>
      <c r="U92" s="17">
        <f>IF(U55=0,0,U61/U55)</f>
        <v/>
      </c>
      <c r="V92" s="17">
        <f>IF(V55=0,0,V61/V55)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0.2409340898248833</v>
      </c>
      <c r="E93" s="4" t="n">
        <v>0.09041270177290125</v>
      </c>
      <c r="F93" s="4" t="n">
        <v>0.06582869417217355</v>
      </c>
      <c r="G93" s="4" t="n">
        <v>0.05465689852255205</v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  <c r="L93" s="17">
        <f>IF(L55=0,0,L59/L55)</f>
        <v/>
      </c>
      <c r="M93" s="17">
        <f>IF(M55=0,0,M59/M55)</f>
        <v/>
      </c>
      <c r="N93" s="17">
        <f>IF(N55=0,0,N59/N55)</f>
        <v/>
      </c>
      <c r="O93" s="17">
        <f>IF(O55=0,0,O59/O55)</f>
        <v/>
      </c>
      <c r="P93" s="17">
        <f>IF(P55=0,0,P59/P55)</f>
        <v/>
      </c>
      <c r="Q93" s="17">
        <f>IF(Q55=0,0,Q59/Q55)</f>
        <v/>
      </c>
      <c r="R93" s="17">
        <f>IF(R55=0,0,R59/R55)</f>
        <v/>
      </c>
      <c r="S93" s="17">
        <f>IF(S55=0,0,S59/S55)</f>
        <v/>
      </c>
      <c r="T93" s="17">
        <f>IF(T55=0,0,T59/T55)</f>
        <v/>
      </c>
      <c r="U93" s="17">
        <f>IF(U55=0,0,U59/U55)</f>
        <v/>
      </c>
      <c r="V93" s="17">
        <f>IF(V55=0,0,V59/V55)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0.1044258086768327</v>
      </c>
      <c r="E94" s="4" t="n">
        <v>0.03954085185476933</v>
      </c>
      <c r="F94" s="4" t="n">
        <v>0.004121420467881013</v>
      </c>
      <c r="G94" s="4" t="n">
        <v>0.002967741421172689</v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  <c r="L94" s="17">
        <f>IF(L55=0,0,L69/L55)</f>
        <v/>
      </c>
      <c r="M94" s="17">
        <f>IF(M55=0,0,M69/M55)</f>
        <v/>
      </c>
      <c r="N94" s="17">
        <f>IF(N55=0,0,N69/N55)</f>
        <v/>
      </c>
      <c r="O94" s="17">
        <f>IF(O55=0,0,O69/O55)</f>
        <v/>
      </c>
      <c r="P94" s="17">
        <f>IF(P55=0,0,P69/P55)</f>
        <v/>
      </c>
      <c r="Q94" s="17">
        <f>IF(Q55=0,0,Q69/Q55)</f>
        <v/>
      </c>
      <c r="R94" s="17">
        <f>IF(R55=0,0,R69/R55)</f>
        <v/>
      </c>
      <c r="S94" s="17">
        <f>IF(S55=0,0,S69/S55)</f>
        <v/>
      </c>
      <c r="T94" s="17">
        <f>IF(T55=0,0,T69/T55)</f>
        <v/>
      </c>
      <c r="U94" s="17">
        <f>IF(U55=0,0,U69/U55)</f>
        <v/>
      </c>
      <c r="V94" s="17">
        <f>IF(V55=0,0,V69/V55)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-0.7356085755162961</v>
      </c>
      <c r="F95" s="4" t="n">
        <v>-0.9157463583208421</v>
      </c>
      <c r="G95" s="4" t="n">
        <v>-0.4022890784383183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  <c r="L95" s="17">
        <f>(IF(K71=0,0,L71/K71)-1)</f>
        <v/>
      </c>
      <c r="M95" s="17">
        <f>(IF(L71=0,0,M71/L71)-1)</f>
        <v/>
      </c>
      <c r="N95" s="17">
        <f>(IF(M71=0,0,N71/M71)-1)</f>
        <v/>
      </c>
      <c r="O95" s="17">
        <f>(IF(N71=0,0,O71/N71)-1)</f>
        <v/>
      </c>
      <c r="P95" s="17">
        <f>(IF(O71=0,0,P71/O71)-1)</f>
        <v/>
      </c>
      <c r="Q95" s="17">
        <f>(IF(P71=0,0,Q71/P71)-1)</f>
        <v/>
      </c>
      <c r="R95" s="17">
        <f>(IF(Q71=0,0,R71/Q71)-1)</f>
        <v/>
      </c>
      <c r="S95" s="17">
        <f>(IF(R71=0,0,S71/R71)-1)</f>
        <v/>
      </c>
      <c r="T95" s="17">
        <f>(IF(S71=0,0,T71/S71)-1)</f>
        <v/>
      </c>
      <c r="U95" s="17">
        <f>(IF(T71=0,0,U71/T71)-1)</f>
        <v/>
      </c>
      <c r="V95" s="17">
        <f>(IF(U71=0,0,V71/U71)-1)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0.0988254087504704</v>
      </c>
      <c r="F96" s="4" t="n">
        <v>0.008270982328251993</v>
      </c>
      <c r="G96" s="4" t="n">
        <v>0.005022098549720981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  <c r="L96" s="17">
        <f>IF(IF(2=0,0,(L84+K84)/2)=0,0,L69/IF(2=0,0,(L84+K84)/2))</f>
        <v/>
      </c>
      <c r="M96" s="17">
        <f>IF(IF(2=0,0,(M84+L84)/2)=0,0,M69/IF(2=0,0,(M84+L84)/2))</f>
        <v/>
      </c>
      <c r="N96" s="17">
        <f>IF(IF(2=0,0,(N84+M84)/2)=0,0,N69/IF(2=0,0,(N84+M84)/2))</f>
        <v/>
      </c>
      <c r="O96" s="17">
        <f>IF(IF(2=0,0,(O84+N84)/2)=0,0,O69/IF(2=0,0,(O84+N84)/2))</f>
        <v/>
      </c>
      <c r="P96" s="17">
        <f>IF(IF(2=0,0,(P84+O84)/2)=0,0,P69/IF(2=0,0,(P84+O84)/2))</f>
        <v/>
      </c>
      <c r="Q96" s="17">
        <f>IF(IF(2=0,0,(Q84+P84)/2)=0,0,Q69/IF(2=0,0,(Q84+P84)/2))</f>
        <v/>
      </c>
      <c r="R96" s="17">
        <f>IF(IF(2=0,0,(R84+Q84)/2)=0,0,R69/IF(2=0,0,(R84+Q84)/2))</f>
        <v/>
      </c>
      <c r="S96" s="17">
        <f>IF(IF(2=0,0,(S84+R84)/2)=0,0,S69/IF(2=0,0,(S84+R84)/2))</f>
        <v/>
      </c>
      <c r="T96" s="17">
        <f>IF(IF(2=0,0,(T84+S84)/2)=0,0,T69/IF(2=0,0,(T84+S84)/2))</f>
        <v/>
      </c>
      <c r="U96" s="17">
        <f>IF(IF(2=0,0,(U84+T84)/2)=0,0,U69/IF(2=0,0,(U84+T84)/2))</f>
        <v/>
      </c>
      <c r="V96" s="17">
        <f>IF(IF(2=0,0,(V84+U84)/2)=0,0,V69/IF(2=0,0,(V84+U84)/2))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>
        <v>-0.07783048858112092</v>
      </c>
      <c r="E97" s="22" t="n">
        <v>1.560263486905763</v>
      </c>
      <c r="F97" s="22" t="n">
        <v>2.456652479809383</v>
      </c>
      <c r="G97" s="22" t="n">
        <v>3.790350259526415</v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  <c r="M97" s="23">
        <f>IF(M61=0,0,M88/M61)</f>
        <v/>
      </c>
      <c r="N97" s="23">
        <f>IF(N61=0,0,N88/N61)</f>
        <v/>
      </c>
      <c r="O97" s="23">
        <f>IF(O61=0,0,O88/O61)</f>
        <v/>
      </c>
      <c r="P97" s="23">
        <f>IF(P61=0,0,P88/P61)</f>
        <v/>
      </c>
      <c r="Q97" s="23">
        <f>IF(Q61=0,0,Q88/Q61)</f>
        <v/>
      </c>
      <c r="R97" s="23">
        <f>IF(R61=0,0,R88/R61)</f>
        <v/>
      </c>
      <c r="S97" s="23">
        <f>IF(S61=0,0,S88/S61)</f>
        <v/>
      </c>
      <c r="T97" s="23">
        <f>IF(T61=0,0,T88/T61)</f>
        <v/>
      </c>
      <c r="U97" s="23">
        <f>IF(U61=0,0,U88/U61)</f>
        <v/>
      </c>
      <c r="V97" s="23">
        <f>IF(V61=0,0,V88/V61)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0.1595954940698129</v>
      </c>
      <c r="E98" s="4" t="n">
        <v>0.2467989669145794</v>
      </c>
      <c r="F98" s="4" t="n">
        <v>0.549300577543541</v>
      </c>
      <c r="G98" s="4" t="n">
        <v>0.4935425593539124</v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  <c r="L98" s="17">
        <f>IF(L71=0,0,L72/L71)</f>
        <v/>
      </c>
      <c r="M98" s="17">
        <f>IF(M71=0,0,M72/M71)</f>
        <v/>
      </c>
      <c r="N98" s="17">
        <f>IF(N71=0,0,N72/N71)</f>
        <v/>
      </c>
      <c r="O98" s="17">
        <f>IF(O71=0,0,O72/O71)</f>
        <v/>
      </c>
      <c r="P98" s="17">
        <f>IF(P71=0,0,P72/P71)</f>
        <v/>
      </c>
      <c r="Q98" s="17">
        <f>IF(Q71=0,0,Q72/Q71)</f>
        <v/>
      </c>
      <c r="R98" s="17">
        <f>IF(R71=0,0,R72/R71)</f>
        <v/>
      </c>
      <c r="S98" s="17">
        <f>IF(S71=0,0,S72/S71)</f>
        <v/>
      </c>
      <c r="T98" s="17">
        <f>IF(T71=0,0,T72/T71)</f>
        <v/>
      </c>
      <c r="U98" s="17">
        <f>IF(U71=0,0,U72/U71)</f>
        <v/>
      </c>
      <c r="V98" s="17">
        <f>IF(V71=0,0,V72/V71)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0.0169880536582446</v>
      </c>
      <c r="E99" s="4" t="n">
        <v>0.03931352064990278</v>
      </c>
      <c r="F99" s="4" t="n">
        <v>0.04276484815799862</v>
      </c>
      <c r="G99" s="4" t="n">
        <v>0.03189363820999596</v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  <c r="L99" s="17">
        <f>IF(L55=0,0,L74/L55)</f>
        <v/>
      </c>
      <c r="M99" s="17">
        <f>IF(M55=0,0,M74/M55)</f>
        <v/>
      </c>
      <c r="N99" s="17">
        <f>IF(N55=0,0,N74/N55)</f>
        <v/>
      </c>
      <c r="O99" s="17">
        <f>IF(O55=0,0,O74/O55)</f>
        <v/>
      </c>
      <c r="P99" s="17">
        <f>IF(P55=0,0,P74/P55)</f>
        <v/>
      </c>
      <c r="Q99" s="17">
        <f>IF(Q55=0,0,Q74/Q55)</f>
        <v/>
      </c>
      <c r="R99" s="17">
        <f>IF(R55=0,0,R74/R55)</f>
        <v/>
      </c>
      <c r="S99" s="17">
        <f>IF(S55=0,0,S74/S55)</f>
        <v/>
      </c>
      <c r="T99" s="17">
        <f>IF(T55=0,0,T74/T55)</f>
        <v/>
      </c>
      <c r="U99" s="17">
        <f>IF(U55=0,0,U74/U55)</f>
        <v/>
      </c>
      <c r="V99" s="17">
        <f>IF(V55=0,0,V74/V55)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2190</v>
      </c>
    </row>
    <row r="103">
      <c r="A103" t="inlineStr">
        <is>
          <t>Shares outstanding (m)</t>
        </is>
      </c>
      <c r="C103" s="13" t="n">
        <v>5202.692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1253.410127</v>
      </c>
    </row>
    <row r="106">
      <c r="A106" t="inlineStr">
        <is>
          <t>Cash at balance-sheet date</t>
        </is>
      </c>
      <c r="C106" s="13" t="n">
        <v>608.083475</v>
      </c>
    </row>
    <row r="107">
      <c r="A107" t="inlineStr">
        <is>
          <t>Minority interest (book)</t>
        </is>
      </c>
      <c r="C107" s="13" t="n">
        <v>149.210675</v>
      </c>
    </row>
    <row r="108">
      <c r="A108" t="inlineStr">
        <is>
          <t>Associates &amp; investments (book)</t>
        </is>
      </c>
      <c r="C108" s="13" t="n">
        <v>276.654578</v>
      </c>
    </row>
    <row r="109">
      <c r="A109" t="inlineStr">
        <is>
          <t>Post-balance-sheet &amp; other items (sourced, probability-weighted)</t>
        </is>
      </c>
      <c r="C109" s="13" t="n">
        <v>0</v>
      </c>
    </row>
    <row r="110">
      <c r="A110" t="inlineStr">
        <is>
          <t>Parent equity at balance-sheet date</t>
        </is>
      </c>
      <c r="C110" s="13" t="n">
        <v>1200.241678</v>
      </c>
    </row>
    <row r="111">
      <c r="A111" t="inlineStr">
        <is>
          <t>Per-share factor</t>
        </is>
      </c>
      <c r="C111" s="24" t="n">
        <v>1</v>
      </c>
    </row>
    <row r="112">
      <c r="A112" t="inlineStr">
        <is>
          <t>Risk-free rate</t>
        </is>
      </c>
      <c r="C112" s="9">
        <f>Drivers!$C$12</f>
        <v/>
      </c>
    </row>
    <row r="113">
      <c r="A113" t="inlineStr">
        <is>
          <t>Less: default spread (IDR only)</t>
        </is>
      </c>
      <c r="C113" s="9" t="n">
        <v>0</v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1.995309937977946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0.02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  <c r="K126" s="6" t="n">
        <v>0.996578</v>
      </c>
      <c r="L126" s="6" t="n">
        <v>0.996578</v>
      </c>
      <c r="M126" s="6" t="n">
        <v>0.996578</v>
      </c>
      <c r="N126" s="6" t="n">
        <v>0.999316</v>
      </c>
      <c r="O126" s="6" t="n">
        <v>0.996578</v>
      </c>
      <c r="P126" s="6" t="n">
        <v>0.996578</v>
      </c>
      <c r="Q126" s="6" t="n">
        <v>0.996578</v>
      </c>
      <c r="R126" s="6" t="n">
        <v>0.999316</v>
      </c>
      <c r="S126" s="6" t="n">
        <v>0.996578</v>
      </c>
      <c r="T126" s="6" t="n">
        <v>0.996578</v>
      </c>
      <c r="U126" s="6" t="n">
        <v>0.996578</v>
      </c>
      <c r="V126" s="6" t="n">
        <v>0.999316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  <c r="K127" s="6" t="n">
        <v>2.672142</v>
      </c>
      <c r="L127" s="6" t="n">
        <v>3.671458</v>
      </c>
      <c r="M127" s="6" t="n">
        <v>4.670773</v>
      </c>
      <c r="N127" s="6" t="n">
        <v>5.670089</v>
      </c>
      <c r="O127" s="6" t="n">
        <v>6.672142</v>
      </c>
      <c r="P127" s="6" t="n">
        <v>7.671458</v>
      </c>
      <c r="Q127" s="6" t="n">
        <v>8.670773000000001</v>
      </c>
      <c r="R127" s="6" t="n">
        <v>9.670089000000001</v>
      </c>
      <c r="S127" s="6" t="n">
        <v>10.672142</v>
      </c>
      <c r="T127" s="6" t="n">
        <v>11.671458</v>
      </c>
      <c r="U127" s="6" t="n">
        <v>12.670773</v>
      </c>
      <c r="V127" s="6" t="n">
        <v>13.670089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  <c r="P128">
        <f>1/(1+$C$122)^P127</f>
        <v/>
      </c>
      <c r="Q128">
        <f>1/(1+$C$122)^Q127</f>
        <v/>
      </c>
      <c r="R128">
        <f>1/(1+$C$122)^R127</f>
        <v/>
      </c>
      <c r="S128">
        <f>1/(1+$C$122)^S127</f>
        <v/>
      </c>
      <c r="T128">
        <f>1/(1+$C$122)^T127</f>
        <v/>
      </c>
      <c r="U128">
        <f>1/(1+$C$122)^U127</f>
        <v/>
      </c>
      <c r="V128">
        <f>1/(1+$C$122)^V127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  <c r="M129" s="26">
        <f>M76*M126*M128</f>
        <v/>
      </c>
      <c r="N129" s="26">
        <f>N76*N126*N128</f>
        <v/>
      </c>
      <c r="O129" s="26">
        <f>O76*O126*O128</f>
        <v/>
      </c>
      <c r="P129" s="26">
        <f>P76*P126*P128</f>
        <v/>
      </c>
      <c r="Q129" s="26">
        <f>Q76*Q126*Q128</f>
        <v/>
      </c>
      <c r="R129" s="26">
        <f>R76*R126*R128</f>
        <v/>
      </c>
      <c r="S129" s="26">
        <f>S76*S126*S128</f>
        <v/>
      </c>
      <c r="T129" s="26">
        <f>T76*T126*T128</f>
        <v/>
      </c>
      <c r="U129" s="26">
        <f>U76*U126*U128</f>
        <v/>
      </c>
      <c r="V129" s="26">
        <f>V76*V126*V128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  <c r="M130" s="26">
        <f>L130+M129</f>
        <v/>
      </c>
      <c r="N130" s="26">
        <f>M130+N129</f>
        <v/>
      </c>
      <c r="O130" s="26">
        <f>N130+O129</f>
        <v/>
      </c>
      <c r="P130" s="26">
        <f>O130+P129</f>
        <v/>
      </c>
      <c r="Q130" s="26">
        <f>P130+Q129</f>
        <v/>
      </c>
      <c r="R130" s="26">
        <f>Q130+R129</f>
        <v/>
      </c>
      <c r="S130" s="26">
        <f>R130+S129</f>
        <v/>
      </c>
      <c r="T130" s="26">
        <f>S130+T129</f>
        <v/>
      </c>
      <c r="U130" s="26">
        <f>T130+U129</f>
        <v/>
      </c>
      <c r="V130" s="26">
        <f>U130+V129</f>
        <v/>
      </c>
    </row>
    <row r="131">
      <c r="A131" t="inlineStr">
        <is>
          <t>Best cumulative PV (never below zero)</t>
        </is>
      </c>
      <c r="C131" s="26">
        <f>MAX(0,MAX(H130:V130))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MAX(0,$C$134/$C$103*$C$111*$C$104)</f>
        <v/>
      </c>
    </row>
    <row r="137">
      <c r="A137" s="1" t="inlineStr">
        <is>
          <t>EV/EBITDA</t>
        </is>
      </c>
    </row>
    <row r="138">
      <c r="A138" t="inlineStr">
        <is>
          <t>Target multiple (average of peer median and own five-year average)</t>
        </is>
      </c>
      <c r="C138" s="22" t="n">
        <v>5.926412</v>
      </c>
    </row>
    <row r="139">
      <c r="A139" t="inlineStr">
        <is>
          <t>Metric (LTM, or next-12m DPS for yield)</t>
        </is>
      </c>
      <c r="C139" s="13" t="n">
        <v>155.290166</v>
      </c>
    </row>
    <row r="140">
      <c r="A140" t="inlineStr">
        <is>
          <t>Value per share (IDR) — EV/EBITDA</t>
        </is>
      </c>
      <c r="C140" s="27">
        <f>MAX(0,($C$138*$C$139-($C$105-$C$106)-$C$107+$C$108+$C$109)/$C$103*$C$111*$C$104)</f>
        <v/>
      </c>
    </row>
    <row r="142">
      <c r="A142" s="1" t="inlineStr">
        <is>
          <t>Dividend yield</t>
        </is>
      </c>
    </row>
    <row r="143">
      <c r="A143" t="inlineStr">
        <is>
          <t>Target multiple (average of peer median and own five-year average)</t>
        </is>
      </c>
      <c r="C143" s="4" t="n">
        <v>0.070816</v>
      </c>
    </row>
    <row r="144">
      <c r="A144" t="inlineStr">
        <is>
          <t>Metric (LTM, or next-12m DPS for yield)</t>
        </is>
      </c>
      <c r="C144" s="13" t="n">
        <v>0.006049</v>
      </c>
    </row>
    <row r="145">
      <c r="A145" t="inlineStr">
        <is>
          <t>Value per share (IDR) — Dividend yield</t>
        </is>
      </c>
      <c r="C145" s="27">
        <f>MAX(0,$C$144/$C$143*$C$104)</f>
        <v/>
      </c>
    </row>
    <row r="147">
      <c r="A147" s="1" t="inlineStr">
        <is>
          <t>TARGET</t>
        </is>
      </c>
    </row>
    <row r="148">
      <c r="A148" t="inlineStr">
        <is>
          <t>Weight: DCF to end of life (no terminal value)</t>
        </is>
      </c>
      <c r="C148" s="4" t="n">
        <v>0.6</v>
      </c>
    </row>
    <row r="149">
      <c r="A149" t="inlineStr">
        <is>
          <t>Weight: EV/EBITDA</t>
        </is>
      </c>
      <c r="C149" s="4" t="n">
        <v>0.25</v>
      </c>
    </row>
    <row r="150">
      <c r="A150" t="inlineStr">
        <is>
          <t>Weight: Dividend yield</t>
        </is>
      </c>
      <c r="C150" s="4" t="n">
        <v>0.15</v>
      </c>
    </row>
    <row r="151">
      <c r="A151" t="inlineStr">
        <is>
          <t>Value today (weighted)</t>
        </is>
      </c>
      <c r="C151" s="27">
        <f>$C$135*$C$148+$C$140*$C$149+$C$145*$C$150</f>
        <v/>
      </c>
    </row>
    <row r="152">
      <c r="A152" t="inlineStr">
        <is>
          <t>DPS expected in next 12 months (IDR)</t>
        </is>
      </c>
      <c r="C152" s="20" t="n">
        <v>109.7193657795001</v>
      </c>
    </row>
    <row r="153">
      <c r="A153" t="inlineStr">
        <is>
          <t>Base-case 12-month value</t>
        </is>
      </c>
      <c r="C153" s="27">
        <f>MAX(0,$C$151*(1+$C$120)-$C$152)</f>
        <v/>
      </c>
    </row>
    <row r="154">
      <c r="A154" t="inlineStr">
        <is>
          <t>Bear probability</t>
        </is>
      </c>
      <c r="C154" s="4" t="n">
        <v>0.25</v>
      </c>
    </row>
    <row r="155">
      <c r="A155" t="inlineStr">
        <is>
          <t>Bear 12-month value (engine)</t>
        </is>
      </c>
      <c r="C155" s="20" t="n">
        <v>443.3305793044187</v>
      </c>
    </row>
    <row r="156">
      <c r="A156" t="inlineStr">
        <is>
          <t>Base probability</t>
        </is>
      </c>
      <c r="C156" s="4" t="n">
        <v>0.5</v>
      </c>
    </row>
    <row r="157">
      <c r="A157" t="inlineStr">
        <is>
          <t>Bull probability</t>
        </is>
      </c>
      <c r="C157" s="4" t="n">
        <v>0.25</v>
      </c>
    </row>
    <row r="158">
      <c r="A158" t="inlineStr">
        <is>
          <t>Bull 12-month value (engine)</t>
        </is>
      </c>
      <c r="C158" s="20" t="n">
        <v>3186.194831406059</v>
      </c>
    </row>
    <row r="159">
      <c r="A159" t="inlineStr">
        <is>
          <t>Probability-weighted 12-month value</t>
        </is>
      </c>
      <c r="C159" s="27">
        <f>$C$154*$C$155+$C$156*$C$153+$C$157*$C$158</f>
        <v/>
      </c>
    </row>
    <row r="160">
      <c r="A160" t="inlineStr">
        <is>
          <t>Liquidity discount (limits.yaml)</t>
        </is>
      </c>
      <c r="C160" s="4" t="n">
        <v>0</v>
      </c>
    </row>
    <row r="161">
      <c r="A161" t="inlineStr">
        <is>
          <t>TARGET PRICE (IDR)</t>
        </is>
      </c>
      <c r="C161" s="28">
        <f>$C$159*(1-$C$160)</f>
        <v/>
      </c>
    </row>
    <row r="162">
      <c r="A162" t="inlineStr">
        <is>
          <t>Expected 12-month total return</t>
        </is>
      </c>
      <c r="C162" s="29">
        <f>($C$161+$C$152)/$C$102-1</f>
        <v/>
      </c>
    </row>
    <row r="163">
      <c r="A163" t="inlineStr">
        <is>
          <t>Rating</t>
        </is>
      </c>
      <c r="C163" s="30">
        <f>IF($C$162&gt;=0.25,"BUY",IF($C$162&gt;=0.1,"ADD",IF($C$162&lt;=-0.25,"SELL",IF($C$162&lt;=-0.1,"REDUCE","HOLD"))))</f>
        <v/>
      </c>
    </row>
    <row r="165">
      <c r="A165" s="1" t="inlineStr">
        <is>
          <t>12-month value vs benchmark price and IDR/USD (engine values)</t>
        </is>
      </c>
    </row>
    <row r="166">
      <c r="A166" s="5" t="inlineStr">
        <is>
          <t>rows: IDR per USD (x deck) · columns: Benchmark price (x deck)</t>
        </is>
      </c>
      <c r="D166" s="1" t="n">
        <v>0.8</v>
      </c>
      <c r="E166" s="1" t="n">
        <v>0.9</v>
      </c>
      <c r="F166" s="1" t="n">
        <v>1</v>
      </c>
      <c r="G166" s="1" t="n">
        <v>1.1</v>
      </c>
      <c r="H166" s="1" t="n">
        <v>1.2</v>
      </c>
    </row>
    <row r="167">
      <c r="C167" s="1" t="n">
        <v>0.9</v>
      </c>
      <c r="D167" s="27" t="n">
        <v>398.71957</v>
      </c>
      <c r="E167" s="27" t="n">
        <v>459.245957</v>
      </c>
      <c r="F167" s="27" t="n">
        <v>519.772344</v>
      </c>
      <c r="G167" s="27" t="n">
        <v>1323.679754</v>
      </c>
      <c r="H167" s="27" t="n">
        <v>2706.16578</v>
      </c>
    </row>
    <row r="168">
      <c r="C168" s="1" t="n">
        <v>0.95</v>
      </c>
      <c r="D168" s="27" t="n">
        <v>422.426109</v>
      </c>
      <c r="E168" s="27" t="n">
        <v>486.692126</v>
      </c>
      <c r="F168" s="27" t="n">
        <v>550.958142</v>
      </c>
      <c r="G168" s="27" t="n">
        <v>1403.092595</v>
      </c>
      <c r="H168" s="27" t="n">
        <v>2868.24049</v>
      </c>
    </row>
    <row r="169">
      <c r="C169" s="1" t="n">
        <v>1</v>
      </c>
      <c r="D169" s="27" t="n">
        <v>446.29638</v>
      </c>
      <c r="E169" s="27" t="n">
        <v>514.341716</v>
      </c>
      <c r="F169" s="27" t="n">
        <v>582.387052</v>
      </c>
      <c r="G169" s="27" t="n">
        <v>1483.098074</v>
      </c>
      <c r="H169" s="27" t="n">
        <v>3031.490501</v>
      </c>
    </row>
    <row r="170">
      <c r="C170" s="1" t="n">
        <v>1.05</v>
      </c>
      <c r="D170" s="27" t="n">
        <v>468.692019</v>
      </c>
      <c r="E170" s="27" t="n">
        <v>540.159213</v>
      </c>
      <c r="F170" s="27" t="n">
        <v>611.626407</v>
      </c>
      <c r="G170" s="27" t="n">
        <v>1557.556349</v>
      </c>
      <c r="H170" s="27" t="n">
        <v>3183.670239</v>
      </c>
    </row>
    <row r="171">
      <c r="C171" s="1" t="n">
        <v>1.1</v>
      </c>
      <c r="D171" s="27" t="n">
        <v>491.010686</v>
      </c>
      <c r="E171" s="27" t="n">
        <v>565.88108</v>
      </c>
      <c r="F171" s="27" t="n">
        <v>640.751474</v>
      </c>
      <c r="G171" s="27" t="n">
        <v>1631.725699</v>
      </c>
      <c r="H171" s="27" t="n">
        <v>3335.273584</v>
      </c>
    </row>
    <row r="173">
      <c r="A173" s="1" t="inlineStr">
        <is>
          <t>12-month value vs volume and unit cost intensity (engine values)</t>
        </is>
      </c>
    </row>
    <row r="174">
      <c r="A174" s="5" t="inlineStr">
        <is>
          <t>rows: Volume (x plan) · columns: Cost intensity / strip ratio (x)</t>
        </is>
      </c>
      <c r="D174" s="1" t="n">
        <v>0.85</v>
      </c>
      <c r="E174" s="1" t="n">
        <v>0.925</v>
      </c>
      <c r="F174" s="1" t="n">
        <v>1</v>
      </c>
      <c r="G174" s="1" t="n">
        <v>1.075</v>
      </c>
      <c r="H174" s="1" t="n">
        <v>1.15</v>
      </c>
    </row>
    <row r="175">
      <c r="C175" s="1" t="n">
        <v>0.9</v>
      </c>
      <c r="D175" s="27" t="n">
        <v>2101.81727</v>
      </c>
      <c r="E175" s="27" t="n">
        <v>1262.115885</v>
      </c>
      <c r="F175" s="27" t="n">
        <v>562.8463839999999</v>
      </c>
      <c r="G175" s="27" t="n">
        <v>535.977135</v>
      </c>
      <c r="H175" s="27" t="n">
        <v>509.107887</v>
      </c>
    </row>
    <row r="176">
      <c r="C176" s="1" t="n">
        <v>0.95</v>
      </c>
      <c r="D176" s="27" t="n">
        <v>2265.875533</v>
      </c>
      <c r="E176" s="27" t="n">
        <v>1379.524071</v>
      </c>
      <c r="F176" s="27" t="n">
        <v>572.616718</v>
      </c>
      <c r="G176" s="27" t="n">
        <v>544.254733</v>
      </c>
      <c r="H176" s="27" t="n">
        <v>515.892748</v>
      </c>
    </row>
    <row r="177">
      <c r="C177" s="1" t="n">
        <v>1</v>
      </c>
      <c r="D177" s="27" t="n">
        <v>2429.933796</v>
      </c>
      <c r="E177" s="27" t="n">
        <v>1496.932256</v>
      </c>
      <c r="F177" s="27" t="n">
        <v>582.387052</v>
      </c>
      <c r="G177" s="27" t="n">
        <v>552.532331</v>
      </c>
      <c r="H177" s="27" t="n">
        <v>522.67761</v>
      </c>
    </row>
    <row r="178">
      <c r="C178" s="1" t="n">
        <v>1.05</v>
      </c>
      <c r="D178" s="27" t="n">
        <v>2600.622976</v>
      </c>
      <c r="E178" s="27" t="n">
        <v>1631.529282</v>
      </c>
      <c r="F178" s="27" t="n">
        <v>662.4355870000001</v>
      </c>
      <c r="G178" s="27" t="n">
        <v>560.809929</v>
      </c>
      <c r="H178" s="27" t="n">
        <v>529.462472</v>
      </c>
    </row>
    <row r="179">
      <c r="C179" s="1" t="n">
        <v>1.1</v>
      </c>
      <c r="D179" s="27" t="n">
        <v>2781.377927</v>
      </c>
      <c r="E179" s="27" t="n">
        <v>1792.219062</v>
      </c>
      <c r="F179" s="27" t="n">
        <v>803.060196</v>
      </c>
      <c r="G179" s="27" t="n">
        <v>569.087526</v>
      </c>
      <c r="H179" s="27" t="n">
        <v>536.247334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7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 Indo Tambangraya Megah Tbk (ITMG.JK) — Coal producers</t>
        </is>
      </c>
    </row>
    <row r="2">
      <c r="A2" s="5" t="inlineStr">
        <is>
          <t>Units: USD m; per-share in USD unless marked IDR. Model asof 2026-10-30 · data 2026-10-30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  <c r="R4" s="1" t="inlineStr">
        <is>
          <t>FY2036E</t>
        </is>
      </c>
      <c r="S4" s="1" t="inlineStr">
        <is>
          <t>FY2037E</t>
        </is>
      </c>
      <c r="T4" s="1" t="inlineStr">
        <is>
          <t>FY2038E</t>
        </is>
      </c>
      <c r="U4" s="1" t="inlineStr">
        <is>
          <t>FY2039E</t>
        </is>
      </c>
      <c r="V4" s="1" t="inlineStr">
        <is>
          <t>FY2040E</t>
        </is>
      </c>
      <c r="W4" s="1" t="inlineStr">
        <is>
          <t>FY2041E</t>
        </is>
      </c>
      <c r="X4" s="1" t="inlineStr">
        <is>
          <t>FY2042E</t>
        </is>
      </c>
      <c r="Y4" s="1" t="inlineStr">
        <is>
          <t>FY2043E</t>
        </is>
      </c>
      <c r="Z4" s="1" t="inlineStr">
        <is>
          <t>FY2044E</t>
        </is>
      </c>
      <c r="AA4" s="1" t="inlineStr">
        <is>
          <t>FY2045E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20</v>
      </c>
    </row>
    <row r="8">
      <c r="A8" t="inlineStr">
        <is>
          <t>ps_factor</t>
        </is>
      </c>
      <c r="C8" s="6" t="n">
        <v>1</v>
      </c>
    </row>
    <row r="9">
      <c r="A9" t="inlineStr">
        <is>
          <t>reserves</t>
        </is>
      </c>
      <c r="C9" s="6" t="n">
        <v>382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27.2</v>
      </c>
      <c r="I14" s="13" t="n">
        <v>27.4</v>
      </c>
      <c r="J14" s="13" t="n">
        <v>27.5</v>
      </c>
      <c r="K14" s="13" t="n">
        <v>27.3</v>
      </c>
      <c r="L14" s="13" t="n">
        <v>27.2</v>
      </c>
      <c r="M14" s="13" t="n">
        <v>27</v>
      </c>
      <c r="N14" s="13" t="n">
        <v>27</v>
      </c>
      <c r="O14" s="13" t="n">
        <v>27</v>
      </c>
      <c r="P14" s="13" t="n">
        <v>27</v>
      </c>
      <c r="Q14" s="13" t="n">
        <v>27</v>
      </c>
      <c r="R14" s="13" t="n">
        <v>27</v>
      </c>
      <c r="S14" s="13" t="n">
        <v>27</v>
      </c>
      <c r="T14" s="13" t="n">
        <v>27</v>
      </c>
      <c r="U14" s="13" t="n">
        <v>27</v>
      </c>
      <c r="V14" s="13" t="n">
        <v>27</v>
      </c>
      <c r="W14" s="13" t="n">
        <v>27</v>
      </c>
      <c r="X14" s="13" t="n">
        <v>27</v>
      </c>
      <c r="Y14" s="13" t="n">
        <v>27</v>
      </c>
      <c r="Z14" s="13" t="n">
        <v>27</v>
      </c>
      <c r="AA14" s="13" t="n">
        <v>27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0.655</v>
      </c>
      <c r="I15" s="14" t="n">
        <v>0.7167</v>
      </c>
      <c r="J15" s="14" t="n">
        <v>0.7167</v>
      </c>
      <c r="K15" s="14" t="n">
        <v>0.7167</v>
      </c>
      <c r="L15" s="14" t="n">
        <v>0.7167</v>
      </c>
      <c r="M15" s="14" t="n">
        <v>0.7167</v>
      </c>
      <c r="N15" s="14" t="n">
        <v>0.7167</v>
      </c>
      <c r="O15" s="14" t="n">
        <v>0.7167</v>
      </c>
      <c r="P15" s="14" t="n">
        <v>0.7167</v>
      </c>
      <c r="Q15" s="14" t="n">
        <v>0.7167</v>
      </c>
      <c r="R15" s="14" t="n">
        <v>0.7167</v>
      </c>
      <c r="S15" s="14" t="n">
        <v>0.7167</v>
      </c>
      <c r="T15" s="14" t="n">
        <v>0.7167</v>
      </c>
      <c r="U15" s="14" t="n">
        <v>0.7167</v>
      </c>
      <c r="V15" s="14" t="n">
        <v>0.7167</v>
      </c>
      <c r="W15" s="14" t="n">
        <v>0.7167</v>
      </c>
      <c r="X15" s="14" t="n">
        <v>0.7167</v>
      </c>
      <c r="Y15" s="14" t="n">
        <v>0.7167</v>
      </c>
      <c r="Z15" s="14" t="n">
        <v>0.7167</v>
      </c>
      <c r="AA15" s="14" t="n">
        <v>0.7167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0.22</v>
      </c>
      <c r="I16" s="4" t="n">
        <v>0.22</v>
      </c>
      <c r="J16" s="4" t="n">
        <v>0.22</v>
      </c>
      <c r="K16" s="4" t="n">
        <v>0.22</v>
      </c>
      <c r="L16" s="4" t="n">
        <v>0.22</v>
      </c>
      <c r="M16" s="4" t="n">
        <v>0.22</v>
      </c>
      <c r="N16" s="4" t="n">
        <v>0.22</v>
      </c>
      <c r="O16" s="4" t="n">
        <v>0.22</v>
      </c>
      <c r="P16" s="4" t="n">
        <v>0.22</v>
      </c>
      <c r="Q16" s="4" t="n">
        <v>0.22</v>
      </c>
      <c r="R16" s="4" t="n">
        <v>0.22</v>
      </c>
      <c r="S16" s="4" t="n">
        <v>0.22</v>
      </c>
      <c r="T16" s="4" t="n">
        <v>0.22</v>
      </c>
      <c r="U16" s="4" t="n">
        <v>0.22</v>
      </c>
      <c r="V16" s="4" t="n">
        <v>0.22</v>
      </c>
      <c r="W16" s="4" t="n">
        <v>0.22</v>
      </c>
      <c r="X16" s="4" t="n">
        <v>0.22</v>
      </c>
      <c r="Y16" s="4" t="n">
        <v>0.22</v>
      </c>
      <c r="Z16" s="4" t="n">
        <v>0.22</v>
      </c>
      <c r="AA16" s="4" t="n">
        <v>0.22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10.3</v>
      </c>
      <c r="I17" s="14" t="n">
        <v>10.4</v>
      </c>
      <c r="J17" s="14" t="n">
        <v>10.4</v>
      </c>
      <c r="K17" s="14" t="n">
        <v>10.3</v>
      </c>
      <c r="L17" s="14" t="n">
        <v>10.3</v>
      </c>
      <c r="M17" s="14" t="n">
        <v>10.3</v>
      </c>
      <c r="N17" s="14" t="n">
        <v>10.3</v>
      </c>
      <c r="O17" s="14" t="n">
        <v>10.3</v>
      </c>
      <c r="P17" s="14" t="n">
        <v>10.3</v>
      </c>
      <c r="Q17" s="14" t="n">
        <v>10.3</v>
      </c>
      <c r="R17" s="14" t="n">
        <v>10.3</v>
      </c>
      <c r="S17" s="14" t="n">
        <v>10.3</v>
      </c>
      <c r="T17" s="14" t="n">
        <v>10.3</v>
      </c>
      <c r="U17" s="14" t="n">
        <v>10.3</v>
      </c>
      <c r="V17" s="14" t="n">
        <v>10.3</v>
      </c>
      <c r="W17" s="14" t="n">
        <v>10.3</v>
      </c>
      <c r="X17" s="14" t="n">
        <v>10.3</v>
      </c>
      <c r="Y17" s="14" t="n">
        <v>10.3</v>
      </c>
      <c r="Z17" s="14" t="n">
        <v>10.3</v>
      </c>
      <c r="AA17" s="14" t="n">
        <v>10.3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2.81</v>
      </c>
      <c r="I18" s="3" t="n">
        <v>2.83</v>
      </c>
      <c r="J18" s="3" t="n">
        <v>2.85</v>
      </c>
      <c r="K18" s="3" t="n">
        <v>2.86</v>
      </c>
      <c r="L18" s="3" t="n">
        <v>2.87</v>
      </c>
      <c r="M18" s="3" t="n">
        <v>2.9376</v>
      </c>
      <c r="N18" s="3" t="n">
        <v>2.996352</v>
      </c>
      <c r="O18" s="3" t="n">
        <v>3.05627904</v>
      </c>
      <c r="P18" s="3" t="n">
        <v>3.1174046208</v>
      </c>
      <c r="Q18" s="3" t="n">
        <v>3.179752713216</v>
      </c>
      <c r="R18" s="3" t="n">
        <v>3.24334776748032</v>
      </c>
      <c r="S18" s="3" t="n">
        <v>3.308214722829927</v>
      </c>
      <c r="T18" s="3" t="n">
        <v>3.374379017286525</v>
      </c>
      <c r="U18" s="3" t="n">
        <v>3.441866597632256</v>
      </c>
      <c r="V18" s="3" t="n">
        <v>3.510703929584901</v>
      </c>
      <c r="W18" s="3" t="n">
        <v>3.580918008176599</v>
      </c>
      <c r="X18" s="3" t="n">
        <v>3.652536368340131</v>
      </c>
      <c r="Y18" s="3" t="n">
        <v>3.725587095706934</v>
      </c>
      <c r="Z18" s="3" t="n">
        <v>3.800098837621072</v>
      </c>
      <c r="AA18" s="3" t="n">
        <v>3.876100814373494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0.15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20.7</v>
      </c>
      <c r="I20" s="3" t="n">
        <v>20.9</v>
      </c>
      <c r="J20" s="3" t="n">
        <v>21.1</v>
      </c>
      <c r="K20" s="3" t="n">
        <v>21.2</v>
      </c>
      <c r="L20" s="3" t="n">
        <v>21.3</v>
      </c>
      <c r="M20" s="3" t="n">
        <v>21.828</v>
      </c>
      <c r="N20" s="3" t="n">
        <v>22.26456</v>
      </c>
      <c r="O20" s="3" t="n">
        <v>22.7098512</v>
      </c>
      <c r="P20" s="3" t="n">
        <v>23.164048224</v>
      </c>
      <c r="Q20" s="3" t="n">
        <v>23.62732918848</v>
      </c>
      <c r="R20" s="3" t="n">
        <v>24.0998757722496</v>
      </c>
      <c r="S20" s="3" t="n">
        <v>24.58187328769459</v>
      </c>
      <c r="T20" s="3" t="n">
        <v>25.07351075344848</v>
      </c>
      <c r="U20" s="3" t="n">
        <v>25.57498096851745</v>
      </c>
      <c r="V20" s="3" t="n">
        <v>26.08648058788781</v>
      </c>
      <c r="W20" s="3" t="n">
        <v>26.60821019964556</v>
      </c>
      <c r="X20" s="3" t="n">
        <v>27.14037440363847</v>
      </c>
      <c r="Y20" s="3" t="n">
        <v>27.68318189171124</v>
      </c>
      <c r="Z20" s="3" t="n">
        <v>28.23684552954547</v>
      </c>
      <c r="AA20" s="3" t="n">
        <v>28.80158244013638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0.117</v>
      </c>
      <c r="I21" s="4" t="n">
        <v>0.117</v>
      </c>
      <c r="J21" s="4" t="n">
        <v>0.117</v>
      </c>
      <c r="K21" s="4" t="n">
        <v>0.117</v>
      </c>
      <c r="L21" s="4" t="n">
        <v>0.117</v>
      </c>
      <c r="M21" s="4" t="n">
        <v>0.117</v>
      </c>
      <c r="N21" s="4" t="n">
        <v>0.117</v>
      </c>
      <c r="O21" s="4" t="n">
        <v>0.117</v>
      </c>
      <c r="P21" s="4" t="n">
        <v>0.117</v>
      </c>
      <c r="Q21" s="4" t="n">
        <v>0.117</v>
      </c>
      <c r="R21" s="4" t="n">
        <v>0.117</v>
      </c>
      <c r="S21" s="4" t="n">
        <v>0.117</v>
      </c>
      <c r="T21" s="4" t="n">
        <v>0.117</v>
      </c>
      <c r="U21" s="4" t="n">
        <v>0.117</v>
      </c>
      <c r="V21" s="4" t="n">
        <v>0.117</v>
      </c>
      <c r="W21" s="4" t="n">
        <v>0.117</v>
      </c>
      <c r="X21" s="4" t="n">
        <v>0.117</v>
      </c>
      <c r="Y21" s="4" t="n">
        <v>0.117</v>
      </c>
      <c r="Z21" s="4" t="n">
        <v>0.117</v>
      </c>
      <c r="AA21" s="4" t="n">
        <v>0.117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0.1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1.09</v>
      </c>
      <c r="I24" s="3" t="n">
        <v>1.09</v>
      </c>
      <c r="J24" s="3" t="n">
        <v>1.09</v>
      </c>
      <c r="K24" s="3" t="n">
        <v>1.09</v>
      </c>
      <c r="L24" s="3" t="n">
        <v>1.09</v>
      </c>
      <c r="M24" s="3" t="n">
        <v>1.1118</v>
      </c>
      <c r="N24" s="3" t="n">
        <v>1.134036</v>
      </c>
      <c r="O24" s="3" t="n">
        <v>1.15671672</v>
      </c>
      <c r="P24" s="3" t="n">
        <v>1.1798510544</v>
      </c>
      <c r="Q24" s="3" t="n">
        <v>1.203448075488</v>
      </c>
      <c r="R24" s="3" t="n">
        <v>1.22751703699776</v>
      </c>
      <c r="S24" s="3" t="n">
        <v>1.252067377737715</v>
      </c>
      <c r="T24" s="3" t="n">
        <v>1.27710872529247</v>
      </c>
      <c r="U24" s="3" t="n">
        <v>1.302650899798319</v>
      </c>
      <c r="V24" s="3" t="n">
        <v>1.328703917794286</v>
      </c>
      <c r="W24" s="3" t="n">
        <v>1.355277996150171</v>
      </c>
      <c r="X24" s="3" t="n">
        <v>1.382383556073175</v>
      </c>
      <c r="Y24" s="3" t="n">
        <v>1.410031227194638</v>
      </c>
      <c r="Z24" s="3" t="n">
        <v>1.438231851738531</v>
      </c>
      <c r="AA24" s="3" t="n">
        <v>1.466996488773302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4</v>
      </c>
      <c r="I25" s="3" t="n">
        <v>4</v>
      </c>
      <c r="J25" s="3" t="n">
        <v>4</v>
      </c>
      <c r="K25" s="3" t="n">
        <v>4</v>
      </c>
      <c r="L25" s="3" t="n">
        <v>4</v>
      </c>
      <c r="M25" s="3" t="n">
        <v>4.08</v>
      </c>
      <c r="N25" s="3" t="n">
        <v>4.1616</v>
      </c>
      <c r="O25" s="3" t="n">
        <v>4.244832000000001</v>
      </c>
      <c r="P25" s="3" t="n">
        <v>4.32972864</v>
      </c>
      <c r="Q25" s="3" t="n">
        <v>4.4163232128</v>
      </c>
      <c r="R25" s="3" t="n">
        <v>4.504649677056</v>
      </c>
      <c r="S25" s="3" t="n">
        <v>4.59474267059712</v>
      </c>
      <c r="T25" s="3" t="n">
        <v>4.686637524009063</v>
      </c>
      <c r="U25" s="3" t="n">
        <v>4.780370274489244</v>
      </c>
      <c r="V25" s="3" t="n">
        <v>4.875977679979029</v>
      </c>
      <c r="W25" s="3" t="n">
        <v>4.97349723357861</v>
      </c>
      <c r="X25" s="3" t="n">
        <v>5.072967178250182</v>
      </c>
      <c r="Y25" s="3" t="n">
        <v>5.174426521815186</v>
      </c>
      <c r="Z25" s="3" t="n">
        <v>5.277915052251489</v>
      </c>
      <c r="AA25" s="3" t="n">
        <v>5.38347335329652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0.077441</v>
      </c>
      <c r="I27" s="4" t="n">
        <v>0.077441</v>
      </c>
      <c r="J27" s="4" t="n">
        <v>0.077441</v>
      </c>
      <c r="K27" s="4" t="n">
        <v>0.077441</v>
      </c>
      <c r="L27" s="4" t="n">
        <v>0.077441</v>
      </c>
      <c r="M27" s="4" t="n">
        <v>0.077441</v>
      </c>
      <c r="N27" s="4" t="n">
        <v>0.077441</v>
      </c>
      <c r="O27" s="4" t="n">
        <v>0.077441</v>
      </c>
      <c r="P27" s="4" t="n">
        <v>0.077441</v>
      </c>
      <c r="Q27" s="4" t="n">
        <v>0.077441</v>
      </c>
      <c r="R27" s="4" t="n">
        <v>0.077441</v>
      </c>
      <c r="S27" s="4" t="n">
        <v>0.077441</v>
      </c>
      <c r="T27" s="4" t="n">
        <v>0.077441</v>
      </c>
      <c r="U27" s="4" t="n">
        <v>0.077441</v>
      </c>
      <c r="V27" s="4" t="n">
        <v>0.077441</v>
      </c>
      <c r="W27" s="4" t="n">
        <v>0.077441</v>
      </c>
      <c r="X27" s="4" t="n">
        <v>0.077441</v>
      </c>
      <c r="Y27" s="4" t="n">
        <v>0.077441</v>
      </c>
      <c r="Z27" s="4" t="n">
        <v>0.077441</v>
      </c>
      <c r="AA27" s="4" t="n">
        <v>0.077441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0.262486</v>
      </c>
      <c r="I28" s="4" t="n">
        <v>0.262486</v>
      </c>
      <c r="J28" s="4" t="n">
        <v>0.262486</v>
      </c>
      <c r="K28" s="4" t="n">
        <v>0.262486</v>
      </c>
      <c r="L28" s="4" t="n">
        <v>0.262486</v>
      </c>
      <c r="M28" s="4" t="n">
        <v>0.262486</v>
      </c>
      <c r="N28" s="4" t="n">
        <v>0.262486</v>
      </c>
      <c r="O28" s="4" t="n">
        <v>0.262486</v>
      </c>
      <c r="P28" s="4" t="n">
        <v>0.262486</v>
      </c>
      <c r="Q28" s="4" t="n">
        <v>0.262486</v>
      </c>
      <c r="R28" s="4" t="n">
        <v>0.262486</v>
      </c>
      <c r="S28" s="4" t="n">
        <v>0.262486</v>
      </c>
      <c r="T28" s="4" t="n">
        <v>0.262486</v>
      </c>
      <c r="U28" s="4" t="n">
        <v>0.262486</v>
      </c>
      <c r="V28" s="4" t="n">
        <v>0.262486</v>
      </c>
      <c r="W28" s="4" t="n">
        <v>0.262486</v>
      </c>
      <c r="X28" s="4" t="n">
        <v>0.262486</v>
      </c>
      <c r="Y28" s="4" t="n">
        <v>0.262486</v>
      </c>
      <c r="Z28" s="4" t="n">
        <v>0.262486</v>
      </c>
      <c r="AA28" s="4" t="n">
        <v>0.262486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0.076668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0.037726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0.007236</v>
      </c>
      <c r="I33" s="4" t="n">
        <v>0.007236</v>
      </c>
      <c r="J33" s="4" t="n">
        <v>0.007236</v>
      </c>
      <c r="K33" s="4" t="n">
        <v>0.007236</v>
      </c>
      <c r="L33" s="4" t="n">
        <v>0.007236</v>
      </c>
      <c r="M33" s="4" t="n">
        <v>0.007236</v>
      </c>
      <c r="N33" s="4" t="n">
        <v>0.007236</v>
      </c>
      <c r="O33" s="4" t="n">
        <v>0.007236</v>
      </c>
      <c r="P33" s="4" t="n">
        <v>0.007236</v>
      </c>
      <c r="Q33" s="4" t="n">
        <v>0.007236</v>
      </c>
      <c r="R33" s="4" t="n">
        <v>0.007236</v>
      </c>
      <c r="S33" s="4" t="n">
        <v>0.007236</v>
      </c>
      <c r="T33" s="4" t="n">
        <v>0.007236</v>
      </c>
      <c r="U33" s="4" t="n">
        <v>0.007236</v>
      </c>
      <c r="V33" s="4" t="n">
        <v>0.007236</v>
      </c>
      <c r="W33" s="4" t="n">
        <v>0.007236</v>
      </c>
      <c r="X33" s="4" t="n">
        <v>0.007236</v>
      </c>
      <c r="Y33" s="4" t="n">
        <v>0.007236</v>
      </c>
      <c r="Z33" s="4" t="n">
        <v>0.007236</v>
      </c>
      <c r="AA33" s="4" t="n">
        <v>0.007236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0.6</v>
      </c>
      <c r="I34" s="4" t="n">
        <v>0.6</v>
      </c>
      <c r="J34" s="4" t="n">
        <v>0.6</v>
      </c>
      <c r="K34" s="4" t="n">
        <v>0.6</v>
      </c>
      <c r="L34" s="4" t="n">
        <v>0.6</v>
      </c>
      <c r="M34" s="4" t="n">
        <v>0.6</v>
      </c>
      <c r="N34" s="4" t="n">
        <v>0.6</v>
      </c>
      <c r="O34" s="4" t="n">
        <v>0.6</v>
      </c>
      <c r="P34" s="4" t="n">
        <v>0.6</v>
      </c>
      <c r="Q34" s="4" t="n">
        <v>0.6</v>
      </c>
      <c r="R34" s="4" t="n">
        <v>0.6</v>
      </c>
      <c r="S34" s="4" t="n">
        <v>0.6</v>
      </c>
      <c r="T34" s="4" t="n">
        <v>0.6</v>
      </c>
      <c r="U34" s="4" t="n">
        <v>0.6</v>
      </c>
      <c r="V34" s="4" t="n">
        <v>0.6</v>
      </c>
      <c r="W34" s="4" t="n">
        <v>0.6</v>
      </c>
      <c r="X34" s="4" t="n">
        <v>0.6</v>
      </c>
      <c r="Y34" s="4" t="n">
        <v>0.6</v>
      </c>
      <c r="Z34" s="4" t="n">
        <v>0.6</v>
      </c>
      <c r="AA34" s="4" t="n">
        <v>0.6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0.115</v>
      </c>
      <c r="I37" s="4" t="n">
        <v>0.115</v>
      </c>
      <c r="J37" s="4" t="n">
        <v>0.115</v>
      </c>
      <c r="K37" s="4" t="n">
        <v>0.115</v>
      </c>
      <c r="L37" s="4" t="n">
        <v>0.115</v>
      </c>
      <c r="M37" s="4" t="n">
        <v>0.115</v>
      </c>
      <c r="N37" s="4" t="n">
        <v>0.115</v>
      </c>
      <c r="O37" s="4" t="n">
        <v>0.115</v>
      </c>
      <c r="P37" s="4" t="n">
        <v>0.115</v>
      </c>
      <c r="Q37" s="4" t="n">
        <v>0.115</v>
      </c>
      <c r="R37" s="4" t="n">
        <v>0.115</v>
      </c>
      <c r="S37" s="4" t="n">
        <v>0.115</v>
      </c>
      <c r="T37" s="4" t="n">
        <v>0.115</v>
      </c>
      <c r="U37" s="4" t="n">
        <v>0.115</v>
      </c>
      <c r="V37" s="4" t="n">
        <v>0.115</v>
      </c>
      <c r="W37" s="4" t="n">
        <v>0.115</v>
      </c>
      <c r="X37" s="4" t="n">
        <v>0.115</v>
      </c>
      <c r="Y37" s="4" t="n">
        <v>0.115</v>
      </c>
      <c r="Z37" s="4" t="n">
        <v>0.115</v>
      </c>
      <c r="AA37" s="4" t="n">
        <v>0.115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>
        <v>382</v>
      </c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  <c r="P40" s="15">
        <f>MAX((O40-P41),0)</f>
        <v/>
      </c>
      <c r="Q40" s="15">
        <f>MAX((P40-Q41),0)</f>
        <v/>
      </c>
      <c r="R40" s="15">
        <f>MAX((Q40-R41),0)</f>
        <v/>
      </c>
      <c r="S40" s="15">
        <f>MAX((R40-S41),0)</f>
        <v/>
      </c>
      <c r="T40" s="15">
        <f>MAX((S40-T41),0)</f>
        <v/>
      </c>
      <c r="U40" s="15">
        <f>MAX((T40-U41),0)</f>
        <v/>
      </c>
      <c r="V40" s="15">
        <f>MAX((U40-V41),0)</f>
        <v/>
      </c>
      <c r="W40" s="15">
        <f>MAX((V40-W41),0)</f>
        <v/>
      </c>
      <c r="X40" s="15">
        <f>MAX((W40-X41),0)</f>
        <v/>
      </c>
      <c r="Y40" s="15">
        <f>MAX((X40-Y41),0)</f>
        <v/>
      </c>
      <c r="Z40" s="15">
        <f>MAX((Y40-Z41),0)</f>
        <v/>
      </c>
      <c r="AA40" s="15">
        <f>MAX((Z40-AA41),0)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/>
      <c r="F41" s="13" t="n">
        <v>24</v>
      </c>
      <c r="G41" s="13" t="n">
        <v>24.7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  <c r="P41" s="15">
        <f>IF(($C$9&gt;0),MIN(P14,MAX(O40,0)),P14)</f>
        <v/>
      </c>
      <c r="Q41" s="15">
        <f>IF(($C$9&gt;0),MIN(Q14,MAX(P40,0)),Q14)</f>
        <v/>
      </c>
      <c r="R41" s="15">
        <f>IF(($C$9&gt;0),MIN(R14,MAX(Q40,0)),R14)</f>
        <v/>
      </c>
      <c r="S41" s="15">
        <f>IF(($C$9&gt;0),MIN(S14,MAX(R40,0)),S14)</f>
        <v/>
      </c>
      <c r="T41" s="15">
        <f>IF(($C$9&gt;0),MIN(T14,MAX(S40,0)),T14)</f>
        <v/>
      </c>
      <c r="U41" s="15">
        <f>IF(($C$9&gt;0),MIN(U14,MAX(T40,0)),U14)</f>
        <v/>
      </c>
      <c r="V41" s="15">
        <f>IF(($C$9&gt;0),MIN(V14,MAX(U40,0)),V14)</f>
        <v/>
      </c>
      <c r="W41" s="15">
        <f>IF(($C$9&gt;0),MIN(W14,MAX(V40,0)),W14)</f>
        <v/>
      </c>
      <c r="X41" s="15">
        <f>IF(($C$9&gt;0),MIN(X14,MAX(W40,0)),X14)</f>
        <v/>
      </c>
      <c r="Y41" s="15">
        <f>IF(($C$9&gt;0),MIN(Y14,MAX(X40,0)),Y14)</f>
        <v/>
      </c>
      <c r="Z41" s="15">
        <f>IF(($C$9&gt;0),MIN(Z14,MAX(Y40,0)),Z14)</f>
        <v/>
      </c>
      <c r="AA41" s="15">
        <f>IF(($C$9&gt;0),MIN(AA14,MAX(Z40,0)),AA14)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  <c r="K42" s="16">
        <f>Drivers!$O$6</f>
        <v/>
      </c>
      <c r="L42" s="16">
        <f>Drivers!$P$6</f>
        <v/>
      </c>
      <c r="M42" s="16">
        <f>Drivers!$Q$6</f>
        <v/>
      </c>
      <c r="N42" s="16">
        <f>Drivers!$R$6</f>
        <v/>
      </c>
      <c r="O42" s="16">
        <f>Drivers!$S$6</f>
        <v/>
      </c>
      <c r="P42" s="16">
        <f>Drivers!$T$6</f>
        <v/>
      </c>
      <c r="Q42" s="16">
        <f>Drivers!$U$6</f>
        <v/>
      </c>
      <c r="R42" s="16">
        <f>Drivers!$V$6</f>
        <v/>
      </c>
      <c r="S42" s="16">
        <f>Drivers!$W$6</f>
        <v/>
      </c>
      <c r="T42" s="16">
        <f>Drivers!$X$6</f>
        <v/>
      </c>
      <c r="U42" s="16">
        <f>Drivers!$Y$6</f>
        <v/>
      </c>
      <c r="V42" s="16">
        <f>Drivers!$Z$6</f>
        <v/>
      </c>
      <c r="W42" s="16">
        <f>Drivers!$AA$6</f>
        <v/>
      </c>
      <c r="X42" s="16">
        <f>Drivers!$AB$6</f>
        <v/>
      </c>
      <c r="Y42" s="16">
        <f>Drivers!$AC$6</f>
        <v/>
      </c>
      <c r="Z42" s="16">
        <f>Drivers!$AD$6</f>
        <v/>
      </c>
      <c r="AA42" s="16">
        <f>Drivers!$AE$6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>
        <v>95.7</v>
      </c>
      <c r="G43" s="3" t="n">
        <v>76</v>
      </c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  <c r="K43" s="16">
        <f>(((K15*K42)*(1-K16))+(MIN(Drivers!$O$4,(K15*K42))*K16))</f>
        <v/>
      </c>
      <c r="L43" s="16">
        <f>(((L15*L42)*(1-L16))+(MIN(Drivers!$P$4,(L15*L42))*L16))</f>
        <v/>
      </c>
      <c r="M43" s="16">
        <f>(((M15*M42)*(1-M16))+(MIN(Drivers!$Q$4,(M15*M42))*M16))</f>
        <v/>
      </c>
      <c r="N43" s="16">
        <f>(((N15*N42)*(1-N16))+(MIN(Drivers!$R$4,(N15*N42))*N16))</f>
        <v/>
      </c>
      <c r="O43" s="16">
        <f>(((O15*O42)*(1-O16))+(MIN(Drivers!$S$4,(O15*O42))*O16))</f>
        <v/>
      </c>
      <c r="P43" s="16">
        <f>(((P15*P42)*(1-P16))+(MIN(Drivers!$T$4,(P15*P42))*P16))</f>
        <v/>
      </c>
      <c r="Q43" s="16">
        <f>(((Q15*Q42)*(1-Q16))+(MIN(Drivers!$U$4,(Q15*Q42))*Q16))</f>
        <v/>
      </c>
      <c r="R43" s="16">
        <f>(((R15*R42)*(1-R16))+(MIN(Drivers!$V$4,(R15*R42))*R16))</f>
        <v/>
      </c>
      <c r="S43" s="16">
        <f>(((S15*S42)*(1-S16))+(MIN(Drivers!$W$4,(S15*S42))*S16))</f>
        <v/>
      </c>
      <c r="T43" s="16">
        <f>(((T15*T42)*(1-T16))+(MIN(Drivers!$X$4,(T15*T42))*T16))</f>
        <v/>
      </c>
      <c r="U43" s="16">
        <f>(((U15*U42)*(1-U16))+(MIN(Drivers!$Y$4,(U15*U42))*U16))</f>
        <v/>
      </c>
      <c r="V43" s="16">
        <f>(((V15*V42)*(1-V16))+(MIN(Drivers!$Z$4,(V15*V42))*V16))</f>
        <v/>
      </c>
      <c r="W43" s="16">
        <f>(((W15*W42)*(1-W16))+(MIN(Drivers!$AA$4,(W15*W42))*W16))</f>
        <v/>
      </c>
      <c r="X43" s="16">
        <f>(((X15*X42)*(1-X16))+(MIN(Drivers!$AB$4,(X15*X42))*X16))</f>
        <v/>
      </c>
      <c r="Y43" s="16">
        <f>(((Y15*Y42)*(1-Y16))+(MIN(Drivers!$AC$4,(Y15*Y42))*Y16))</f>
        <v/>
      </c>
      <c r="Z43" s="16">
        <f>(((Z15*Z42)*(1-Z16))+(MIN(Drivers!$AD$4,(Z15*Z42))*Z16))</f>
        <v/>
      </c>
      <c r="AA43" s="16">
        <f>(((AA15*AA42)*(1-AA16))+(MIN(Drivers!$AE$4,(AA15*AA42))*AA16))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  <c r="L44" s="17">
        <f>IF(L42=0,0,L43/L42)</f>
        <v/>
      </c>
      <c r="M44" s="17">
        <f>IF(M42=0,0,M43/M42)</f>
        <v/>
      </c>
      <c r="N44" s="17">
        <f>IF(N42=0,0,N43/N42)</f>
        <v/>
      </c>
      <c r="O44" s="17">
        <f>IF(O42=0,0,O43/O42)</f>
        <v/>
      </c>
      <c r="P44" s="17">
        <f>IF(P42=0,0,P43/P42)</f>
        <v/>
      </c>
      <c r="Q44" s="17">
        <f>IF(Q42=0,0,Q43/Q42)</f>
        <v/>
      </c>
      <c r="R44" s="17">
        <f>IF(R42=0,0,R43/R42)</f>
        <v/>
      </c>
      <c r="S44" s="17">
        <f>IF(S42=0,0,S43/S42)</f>
        <v/>
      </c>
      <c r="T44" s="17">
        <f>IF(T42=0,0,T43/T42)</f>
        <v/>
      </c>
      <c r="U44" s="17">
        <f>IF(U42=0,0,U43/U42)</f>
        <v/>
      </c>
      <c r="V44" s="17">
        <f>IF(V42=0,0,V43/V42)</f>
        <v/>
      </c>
      <c r="W44" s="17">
        <f>IF(W42=0,0,W43/W42)</f>
        <v/>
      </c>
      <c r="X44" s="17">
        <f>IF(X42=0,0,X43/X42)</f>
        <v/>
      </c>
      <c r="Y44" s="17">
        <f>IF(Y42=0,0,Y43/Y42)</f>
        <v/>
      </c>
      <c r="Z44" s="17">
        <f>IF(Z42=0,0,Z43/Z42)</f>
        <v/>
      </c>
      <c r="AA44" s="17">
        <f>IF(AA42=0,0,AA43/AA42)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6">
        <f>(((H17*H18)*(1+($C$19*(IF(Drivers!$J$8=0,0,Drivers!$L$8/Drivers!$J$8)-1))))+H20)</f>
        <v/>
      </c>
      <c r="I45" s="16">
        <f>(((I17*I18)*(1+($C$19*(IF(Drivers!$J$8=0,0,Drivers!$M$8/Drivers!$J$8)-1))))+I20)</f>
        <v/>
      </c>
      <c r="J45" s="16">
        <f>(((J17*J18)*(1+($C$19*(IF(Drivers!$J$8=0,0,Drivers!$N$8/Drivers!$J$8)-1))))+J20)</f>
        <v/>
      </c>
      <c r="K45" s="16">
        <f>(((K17*K18)*(1+($C$19*(IF(Drivers!$J$8=0,0,Drivers!$O$8/Drivers!$J$8)-1))))+K20)</f>
        <v/>
      </c>
      <c r="L45" s="16">
        <f>(((L17*L18)*(1+($C$19*(IF(Drivers!$J$8=0,0,Drivers!$P$8/Drivers!$J$8)-1))))+L20)</f>
        <v/>
      </c>
      <c r="M45" s="16">
        <f>(((M17*M18)*(1+($C$19*(IF(Drivers!$J$8=0,0,Drivers!$Q$8/Drivers!$J$8)-1))))+M20)</f>
        <v/>
      </c>
      <c r="N45" s="16">
        <f>(((N17*N18)*(1+($C$19*(IF(Drivers!$J$8=0,0,Drivers!$R$8/Drivers!$J$8)-1))))+N20)</f>
        <v/>
      </c>
      <c r="O45" s="16">
        <f>(((O17*O18)*(1+($C$19*(IF(Drivers!$J$8=0,0,Drivers!$S$8/Drivers!$J$8)-1))))+O20)</f>
        <v/>
      </c>
      <c r="P45" s="16">
        <f>(((P17*P18)*(1+($C$19*(IF(Drivers!$J$8=0,0,Drivers!$T$8/Drivers!$J$8)-1))))+P20)</f>
        <v/>
      </c>
      <c r="Q45" s="16">
        <f>(((Q17*Q18)*(1+($C$19*(IF(Drivers!$J$8=0,0,Drivers!$U$8/Drivers!$J$8)-1))))+Q20)</f>
        <v/>
      </c>
      <c r="R45" s="16">
        <f>(((R17*R18)*(1+($C$19*(IF(Drivers!$J$8=0,0,Drivers!$V$8/Drivers!$J$8)-1))))+R20)</f>
        <v/>
      </c>
      <c r="S45" s="16">
        <f>(((S17*S18)*(1+($C$19*(IF(Drivers!$J$8=0,0,Drivers!$W$8/Drivers!$J$8)-1))))+S20)</f>
        <v/>
      </c>
      <c r="T45" s="16">
        <f>(((T17*T18)*(1+($C$19*(IF(Drivers!$J$8=0,0,Drivers!$X$8/Drivers!$J$8)-1))))+T20)</f>
        <v/>
      </c>
      <c r="U45" s="16">
        <f>(((U17*U18)*(1+($C$19*(IF(Drivers!$J$8=0,0,Drivers!$Y$8/Drivers!$J$8)-1))))+U20)</f>
        <v/>
      </c>
      <c r="V45" s="16">
        <f>(((V17*V18)*(1+($C$19*(IF(Drivers!$J$8=0,0,Drivers!$Z$8/Drivers!$J$8)-1))))+V20)</f>
        <v/>
      </c>
      <c r="W45" s="16">
        <f>(((W17*W18)*(1+($C$19*(IF(Drivers!$J$8=0,0,Drivers!$AA$8/Drivers!$J$8)-1))))+W20)</f>
        <v/>
      </c>
      <c r="X45" s="16">
        <f>(((X17*X18)*(1+($C$19*(IF(Drivers!$J$8=0,0,Drivers!$AB$8/Drivers!$J$8)-1))))+X20)</f>
        <v/>
      </c>
      <c r="Y45" s="16">
        <f>(((Y17*Y18)*(1+($C$19*(IF(Drivers!$J$8=0,0,Drivers!$AC$8/Drivers!$J$8)-1))))+Y20)</f>
        <v/>
      </c>
      <c r="Z45" s="16">
        <f>(((Z17*Z18)*(1+($C$19*(IF(Drivers!$J$8=0,0,Drivers!$AD$8/Drivers!$J$8)-1))))+Z20)</f>
        <v/>
      </c>
      <c r="AA45" s="16">
        <f>(((AA17*AA18)*(1+($C$19*(IF(Drivers!$J$8=0,0,Drivers!$AE$8/Drivers!$J$8)-1))))+AA20)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>
        <v>9.4</v>
      </c>
      <c r="H46" s="18">
        <f>H17</f>
        <v/>
      </c>
      <c r="I46" s="18">
        <f>I17</f>
        <v/>
      </c>
      <c r="J46" s="18">
        <f>J17</f>
        <v/>
      </c>
      <c r="K46" s="18">
        <f>K17</f>
        <v/>
      </c>
      <c r="L46" s="18">
        <f>L17</f>
        <v/>
      </c>
      <c r="M46" s="18">
        <f>M17</f>
        <v/>
      </c>
      <c r="N46" s="18">
        <f>N17</f>
        <v/>
      </c>
      <c r="O46" s="18">
        <f>O17</f>
        <v/>
      </c>
      <c r="P46" s="18">
        <f>P17</f>
        <v/>
      </c>
      <c r="Q46" s="18">
        <f>Q17</f>
        <v/>
      </c>
      <c r="R46" s="18">
        <f>R17</f>
        <v/>
      </c>
      <c r="S46" s="18">
        <f>S17</f>
        <v/>
      </c>
      <c r="T46" s="18">
        <f>T17</f>
        <v/>
      </c>
      <c r="U46" s="18">
        <f>U17</f>
        <v/>
      </c>
      <c r="V46" s="18">
        <f>V17</f>
        <v/>
      </c>
      <c r="W46" s="18">
        <f>W17</f>
        <v/>
      </c>
      <c r="X46" s="18">
        <f>X17</f>
        <v/>
      </c>
      <c r="Y46" s="18">
        <f>Y17</f>
        <v/>
      </c>
      <c r="Z46" s="18">
        <f>Z17</f>
        <v/>
      </c>
      <c r="AA46" s="18">
        <f>AA17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7">
        <f>H21</f>
        <v/>
      </c>
      <c r="I47" s="17">
        <f>I21</f>
        <v/>
      </c>
      <c r="J47" s="17">
        <f>J21</f>
        <v/>
      </c>
      <c r="K47" s="17">
        <f>K21</f>
        <v/>
      </c>
      <c r="L47" s="17">
        <f>L21</f>
        <v/>
      </c>
      <c r="M47" s="17">
        <f>M21</f>
        <v/>
      </c>
      <c r="N47" s="17">
        <f>N21</f>
        <v/>
      </c>
      <c r="O47" s="17">
        <f>O21</f>
        <v/>
      </c>
      <c r="P47" s="17">
        <f>P21</f>
        <v/>
      </c>
      <c r="Q47" s="17">
        <f>Q21</f>
        <v/>
      </c>
      <c r="R47" s="17">
        <f>R21</f>
        <v/>
      </c>
      <c r="S47" s="17">
        <f>S21</f>
        <v/>
      </c>
      <c r="T47" s="17">
        <f>T21</f>
        <v/>
      </c>
      <c r="U47" s="17">
        <f>U21</f>
        <v/>
      </c>
      <c r="V47" s="17">
        <f>V21</f>
        <v/>
      </c>
      <c r="W47" s="17">
        <f>W21</f>
        <v/>
      </c>
      <c r="X47" s="17">
        <f>X21</f>
        <v/>
      </c>
      <c r="Y47" s="17">
        <f>Y21</f>
        <v/>
      </c>
      <c r="Z47" s="17">
        <f>Z21</f>
        <v/>
      </c>
      <c r="AA47" s="17">
        <f>AA21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/>
      <c r="F48" s="3" t="n">
        <v>21.537</v>
      </c>
      <c r="G48" s="3" t="n">
        <v>11.88453441295547</v>
      </c>
      <c r="H48" s="19">
        <f>IF((H41*$C$10)=0,0,H61/(H41*$C$10))</f>
        <v/>
      </c>
      <c r="I48" s="19">
        <f>IF((I41*$C$10)=0,0,I61/(I41*$C$10))</f>
        <v/>
      </c>
      <c r="J48" s="19">
        <f>IF((J41*$C$10)=0,0,J61/(J41*$C$10))</f>
        <v/>
      </c>
      <c r="K48" s="19">
        <f>IF((K41*$C$10)=0,0,K61/(K41*$C$10))</f>
        <v/>
      </c>
      <c r="L48" s="19">
        <f>IF((L41*$C$10)=0,0,L61/(L41*$C$10))</f>
        <v/>
      </c>
      <c r="M48" s="19">
        <f>IF((M41*$C$10)=0,0,M61/(M41*$C$10))</f>
        <v/>
      </c>
      <c r="N48" s="19">
        <f>IF((N41*$C$10)=0,0,N61/(N41*$C$10))</f>
        <v/>
      </c>
      <c r="O48" s="19">
        <f>IF((O41*$C$10)=0,0,O61/(O41*$C$10))</f>
        <v/>
      </c>
      <c r="P48" s="19">
        <f>IF((P41*$C$10)=0,0,P61/(P41*$C$10))</f>
        <v/>
      </c>
      <c r="Q48" s="19">
        <f>IF((Q41*$C$10)=0,0,Q61/(Q41*$C$10))</f>
        <v/>
      </c>
      <c r="R48" s="19">
        <f>IF((R41*$C$10)=0,0,R61/(R41*$C$10))</f>
        <v/>
      </c>
      <c r="S48" s="19">
        <f>IF((S41*$C$10)=0,0,S61/(S41*$C$10))</f>
        <v/>
      </c>
      <c r="T48" s="19">
        <f>IF((T41*$C$10)=0,0,T61/(T41*$C$10))</f>
        <v/>
      </c>
      <c r="U48" s="19">
        <f>IF((U41*$C$10)=0,0,U61/(U41*$C$10))</f>
        <v/>
      </c>
      <c r="V48" s="19">
        <f>IF((V41*$C$10)=0,0,V61/(V41*$C$10))</f>
        <v/>
      </c>
      <c r="W48" s="19">
        <f>IF((W41*$C$10)=0,0,W61/(W41*$C$10))</f>
        <v/>
      </c>
      <c r="X48" s="19">
        <f>IF((X41*$C$10)=0,0,X61/(X41*$C$10))</f>
        <v/>
      </c>
      <c r="Y48" s="19">
        <f>IF((Y41*$C$10)=0,0,Y61/(Y41*$C$10))</f>
        <v/>
      </c>
      <c r="Z48" s="19">
        <f>IF((Z41*$C$10)=0,0,Z61/(Z41*$C$10))</f>
        <v/>
      </c>
      <c r="AA48" s="19">
        <f>IF((AA41*$C$10)=0,0,AA61/(AA41*$C$10))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9">
        <f>IF((H41*$C$10)=0,0,(H53+H52)/(H41*$C$10))</f>
        <v/>
      </c>
      <c r="I49" s="19">
        <f>IF((I41*$C$10)=0,0,(I53+I52)/(I41*$C$10))</f>
        <v/>
      </c>
      <c r="J49" s="19">
        <f>IF((J41*$C$10)=0,0,(J53+J52)/(J41*$C$10))</f>
        <v/>
      </c>
      <c r="K49" s="19">
        <f>IF((K41*$C$10)=0,0,(K53+K52)/(K41*$C$10))</f>
        <v/>
      </c>
      <c r="L49" s="19">
        <f>IF((L41*$C$10)=0,0,(L53+L52)/(L41*$C$10))</f>
        <v/>
      </c>
      <c r="M49" s="19">
        <f>IF((M41*$C$10)=0,0,(M53+M52)/(M41*$C$10))</f>
        <v/>
      </c>
      <c r="N49" s="19">
        <f>IF((N41*$C$10)=0,0,(N53+N52)/(N41*$C$10))</f>
        <v/>
      </c>
      <c r="O49" s="19">
        <f>IF((O41*$C$10)=0,0,(O53+O52)/(O41*$C$10))</f>
        <v/>
      </c>
      <c r="P49" s="19">
        <f>IF((P41*$C$10)=0,0,(P53+P52)/(P41*$C$10))</f>
        <v/>
      </c>
      <c r="Q49" s="19">
        <f>IF((Q41*$C$10)=0,0,(Q53+Q52)/(Q41*$C$10))</f>
        <v/>
      </c>
      <c r="R49" s="19">
        <f>IF((R41*$C$10)=0,0,(R53+R52)/(R41*$C$10))</f>
        <v/>
      </c>
      <c r="S49" s="19">
        <f>IF((S41*$C$10)=0,0,(S53+S52)/(S41*$C$10))</f>
        <v/>
      </c>
      <c r="T49" s="19">
        <f>IF((T41*$C$10)=0,0,(T53+T52)/(T41*$C$10))</f>
        <v/>
      </c>
      <c r="U49" s="19">
        <f>IF((U41*$C$10)=0,0,(U53+U52)/(U41*$C$10))</f>
        <v/>
      </c>
      <c r="V49" s="19">
        <f>IF((V41*$C$10)=0,0,(V53+V52)/(V41*$C$10))</f>
        <v/>
      </c>
      <c r="W49" s="19">
        <f>IF((W41*$C$10)=0,0,(W53+W52)/(W41*$C$10))</f>
        <v/>
      </c>
      <c r="X49" s="19">
        <f>IF((X41*$C$10)=0,0,(X53+X52)/(X41*$C$10))</f>
        <v/>
      </c>
      <c r="Y49" s="19">
        <f>IF((Y41*$C$10)=0,0,(Y53+Y52)/(Y41*$C$10))</f>
        <v/>
      </c>
      <c r="Z49" s="19">
        <f>IF((Z41*$C$10)=0,0,(Z53+Z52)/(Z41*$C$10))</f>
        <v/>
      </c>
      <c r="AA49" s="19">
        <f>IF((AA41*$C$10)=0,0,(AA53+AA52)/(AA41*$C$10))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15">
        <f>((H41*H43)*$C$10)</f>
        <v/>
      </c>
      <c r="I50" s="15">
        <f>((I41*I43)*$C$10)</f>
        <v/>
      </c>
      <c r="J50" s="15">
        <f>((J41*J43)*$C$10)</f>
        <v/>
      </c>
      <c r="K50" s="15">
        <f>((K41*K43)*$C$10)</f>
        <v/>
      </c>
      <c r="L50" s="15">
        <f>((L41*L43)*$C$10)</f>
        <v/>
      </c>
      <c r="M50" s="15">
        <f>((M41*M43)*$C$10)</f>
        <v/>
      </c>
      <c r="N50" s="15">
        <f>((N41*N43)*$C$10)</f>
        <v/>
      </c>
      <c r="O50" s="15">
        <f>((O41*O43)*$C$10)</f>
        <v/>
      </c>
      <c r="P50" s="15">
        <f>((P41*P43)*$C$10)</f>
        <v/>
      </c>
      <c r="Q50" s="15">
        <f>((Q41*Q43)*$C$10)</f>
        <v/>
      </c>
      <c r="R50" s="15">
        <f>((R41*R43)*$C$10)</f>
        <v/>
      </c>
      <c r="S50" s="15">
        <f>((S41*S43)*$C$10)</f>
        <v/>
      </c>
      <c r="T50" s="15">
        <f>((T41*T43)*$C$10)</f>
        <v/>
      </c>
      <c r="U50" s="15">
        <f>((U41*U43)*$C$10)</f>
        <v/>
      </c>
      <c r="V50" s="15">
        <f>((V41*V43)*$C$10)</f>
        <v/>
      </c>
      <c r="W50" s="15">
        <f>((W41*W43)*$C$10)</f>
        <v/>
      </c>
      <c r="X50" s="15">
        <f>((X41*X43)*$C$10)</f>
        <v/>
      </c>
      <c r="Y50" s="15">
        <f>((Y41*Y43)*$C$10)</f>
        <v/>
      </c>
      <c r="Z50" s="15">
        <f>((Z41*Z43)*$C$10)</f>
        <v/>
      </c>
      <c r="AA50" s="15">
        <f>((AA41*AA43)*$C$10)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  <c r="P51" s="15">
        <f>P22</f>
        <v/>
      </c>
      <c r="Q51" s="15">
        <f>Q22</f>
        <v/>
      </c>
      <c r="R51" s="15">
        <f>R22</f>
        <v/>
      </c>
      <c r="S51" s="15">
        <f>S22</f>
        <v/>
      </c>
      <c r="T51" s="15">
        <f>T22</f>
        <v/>
      </c>
      <c r="U51" s="15">
        <f>U22</f>
        <v/>
      </c>
      <c r="V51" s="15">
        <f>V22</f>
        <v/>
      </c>
      <c r="W51" s="15">
        <f>W22</f>
        <v/>
      </c>
      <c r="X51" s="15">
        <f>X22</f>
        <v/>
      </c>
      <c r="Y51" s="15">
        <f>Y22</f>
        <v/>
      </c>
      <c r="Z51" s="15">
        <f>Z22</f>
        <v/>
      </c>
      <c r="AA51" s="15">
        <f>AA22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  <c r="P52" s="15">
        <f>(P50*P47)</f>
        <v/>
      </c>
      <c r="Q52" s="15">
        <f>(Q50*Q47)</f>
        <v/>
      </c>
      <c r="R52" s="15">
        <f>(R50*R47)</f>
        <v/>
      </c>
      <c r="S52" s="15">
        <f>(S50*S47)</f>
        <v/>
      </c>
      <c r="T52" s="15">
        <f>(T50*T47)</f>
        <v/>
      </c>
      <c r="U52" s="15">
        <f>(U50*U47)</f>
        <v/>
      </c>
      <c r="V52" s="15">
        <f>(V50*V47)</f>
        <v/>
      </c>
      <c r="W52" s="15">
        <f>(W50*W47)</f>
        <v/>
      </c>
      <c r="X52" s="15">
        <f>(X50*X47)</f>
        <v/>
      </c>
      <c r="Y52" s="15">
        <f>(Y50*Y47)</f>
        <v/>
      </c>
      <c r="Z52" s="15">
        <f>(Z50*Z47)</f>
        <v/>
      </c>
      <c r="AA52" s="15">
        <f>(AA50*AA47)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((H41*H45)*$C$10)</f>
        <v/>
      </c>
      <c r="I53" s="15">
        <f>((I41*I45)*$C$10)</f>
        <v/>
      </c>
      <c r="J53" s="15">
        <f>((J41*J45)*$C$10)</f>
        <v/>
      </c>
      <c r="K53" s="15">
        <f>((K41*K45)*$C$10)</f>
        <v/>
      </c>
      <c r="L53" s="15">
        <f>((L41*L45)*$C$10)</f>
        <v/>
      </c>
      <c r="M53" s="15">
        <f>((M41*M45)*$C$10)</f>
        <v/>
      </c>
      <c r="N53" s="15">
        <f>((N41*N45)*$C$10)</f>
        <v/>
      </c>
      <c r="O53" s="15">
        <f>((O41*O45)*$C$10)</f>
        <v/>
      </c>
      <c r="P53" s="15">
        <f>((P41*P45)*$C$10)</f>
        <v/>
      </c>
      <c r="Q53" s="15">
        <f>((Q41*Q45)*$C$10)</f>
        <v/>
      </c>
      <c r="R53" s="15">
        <f>((R41*R45)*$C$10)</f>
        <v/>
      </c>
      <c r="S53" s="15">
        <f>((S41*S45)*$C$10)</f>
        <v/>
      </c>
      <c r="T53" s="15">
        <f>((T41*T45)*$C$10)</f>
        <v/>
      </c>
      <c r="U53" s="15">
        <f>((U41*U45)*$C$10)</f>
        <v/>
      </c>
      <c r="V53" s="15">
        <f>((V41*V45)*$C$10)</f>
        <v/>
      </c>
      <c r="W53" s="15">
        <f>((W41*W45)*$C$10)</f>
        <v/>
      </c>
      <c r="X53" s="15">
        <f>((X41*X45)*$C$10)</f>
        <v/>
      </c>
      <c r="Y53" s="15">
        <f>((Y41*Y45)*$C$10)</f>
        <v/>
      </c>
      <c r="Z53" s="15">
        <f>((Z41*Z45)*$C$10)</f>
        <v/>
      </c>
      <c r="AA53" s="15">
        <f>((AA41*AA45)*$C$10)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  <c r="P54" s="15">
        <f>(P51*(1-$C$23))</f>
        <v/>
      </c>
      <c r="Q54" s="15">
        <f>(Q51*(1-$C$23))</f>
        <v/>
      </c>
      <c r="R54" s="15">
        <f>(R51*(1-$C$23))</f>
        <v/>
      </c>
      <c r="S54" s="15">
        <f>(S51*(1-$C$23))</f>
        <v/>
      </c>
      <c r="T54" s="15">
        <f>(T51*(1-$C$23))</f>
        <v/>
      </c>
      <c r="U54" s="15">
        <f>(U51*(1-$C$23))</f>
        <v/>
      </c>
      <c r="V54" s="15">
        <f>(V51*(1-$C$23))</f>
        <v/>
      </c>
      <c r="W54" s="15">
        <f>(W51*(1-$C$23))</f>
        <v/>
      </c>
      <c r="X54" s="15">
        <f>(X51*(1-$C$23))</f>
        <v/>
      </c>
      <c r="Y54" s="15">
        <f>(Y51*(1-$C$23))</f>
        <v/>
      </c>
      <c r="Z54" s="15">
        <f>(Z51*(1-$C$23))</f>
        <v/>
      </c>
      <c r="AA54" s="15">
        <f>(AA51*(1-$C$23))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3636.213</v>
      </c>
      <c r="E55" s="13" t="n">
        <v>2374.315</v>
      </c>
      <c r="F55" s="13" t="n">
        <v>2304.497</v>
      </c>
      <c r="G55" s="13" t="n">
        <v>1881.107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  <c r="P55" s="15">
        <f>(P50+P51)</f>
        <v/>
      </c>
      <c r="Q55" s="15">
        <f>(Q50+Q51)</f>
        <v/>
      </c>
      <c r="R55" s="15">
        <f>(R50+R51)</f>
        <v/>
      </c>
      <c r="S55" s="15">
        <f>(S50+S51)</f>
        <v/>
      </c>
      <c r="T55" s="15">
        <f>(T50+T51)</f>
        <v/>
      </c>
      <c r="U55" s="15">
        <f>(U50+U51)</f>
        <v/>
      </c>
      <c r="V55" s="15">
        <f>(V50+V51)</f>
        <v/>
      </c>
      <c r="W55" s="15">
        <f>(W50+W51)</f>
        <v/>
      </c>
      <c r="X55" s="15">
        <f>(X50+X51)</f>
        <v/>
      </c>
      <c r="Y55" s="15">
        <f>(Y50+Y51)</f>
        <v/>
      </c>
      <c r="Z55" s="15">
        <f>(Z50+Z51)</f>
        <v/>
      </c>
      <c r="AA55" s="15">
        <f>(AA50+AA51)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1741.821</v>
      </c>
      <c r="E56" s="13" t="n">
        <v>1631.773</v>
      </c>
      <c r="F56" s="13" t="n">
        <v>1605.687</v>
      </c>
      <c r="G56" s="13" t="n">
        <v>1398.27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  <c r="P56" s="15">
        <f>(((P53+P52)+P54)+P60)</f>
        <v/>
      </c>
      <c r="Q56" s="15">
        <f>(((Q53+Q52)+Q54)+Q60)</f>
        <v/>
      </c>
      <c r="R56" s="15">
        <f>(((R53+R52)+R54)+R60)</f>
        <v/>
      </c>
      <c r="S56" s="15">
        <f>(((S53+S52)+S54)+S60)</f>
        <v/>
      </c>
      <c r="T56" s="15">
        <f>(((T53+T52)+T54)+T60)</f>
        <v/>
      </c>
      <c r="U56" s="15">
        <f>(((U53+U52)+U54)+U60)</f>
        <v/>
      </c>
      <c r="V56" s="15">
        <f>(((V53+V52)+V54)+V60)</f>
        <v/>
      </c>
      <c r="W56" s="15">
        <f>(((W53+W52)+W54)+W60)</f>
        <v/>
      </c>
      <c r="X56" s="15">
        <f>(((X53+X52)+X54)+X60)</f>
        <v/>
      </c>
      <c r="Y56" s="15">
        <f>(((Y53+Y52)+Y54)+Y60)</f>
        <v/>
      </c>
      <c r="Z56" s="15">
        <f>(((Z53+Z52)+Z54)+Z60)</f>
        <v/>
      </c>
      <c r="AA56" s="15">
        <f>(((AA53+AA52)+AA54)+AA60)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1894.392</v>
      </c>
      <c r="E57" s="13" t="n">
        <v>742.542</v>
      </c>
      <c r="F57" s="13" t="n">
        <v>698.8099999999999</v>
      </c>
      <c r="G57" s="13" t="n">
        <v>482.837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  <c r="P57" s="15">
        <f>(P55-P56)</f>
        <v/>
      </c>
      <c r="Q57" s="15">
        <f>(Q55-Q56)</f>
        <v/>
      </c>
      <c r="R57" s="15">
        <f>(R55-R56)</f>
        <v/>
      </c>
      <c r="S57" s="15">
        <f>(S55-S56)</f>
        <v/>
      </c>
      <c r="T57" s="15">
        <f>(T55-T56)</f>
        <v/>
      </c>
      <c r="U57" s="15">
        <f>(U55-U56)</f>
        <v/>
      </c>
      <c r="V57" s="15">
        <f>(V55-V56)</f>
        <v/>
      </c>
      <c r="W57" s="15">
        <f>(W55-W56)</f>
        <v/>
      </c>
      <c r="X57" s="15">
        <f>(X55-X56)</f>
        <v/>
      </c>
      <c r="Y57" s="15">
        <f>(Y55-Y56)</f>
        <v/>
      </c>
      <c r="Z57" s="15">
        <f>(Z55-Z56)</f>
        <v/>
      </c>
      <c r="AA57" s="15">
        <f>(AA55-AA56)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211.7440000000001</v>
      </c>
      <c r="E58" s="13" t="n">
        <v>141.489</v>
      </c>
      <c r="F58" s="13" t="n">
        <v>220.6329999999999</v>
      </c>
      <c r="G58" s="13" t="n">
        <v>216.151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  <c r="P58" s="15">
        <f>(P55*P37)</f>
        <v/>
      </c>
      <c r="Q58" s="15">
        <f>(Q55*Q37)</f>
        <v/>
      </c>
      <c r="R58" s="15">
        <f>(R55*R37)</f>
        <v/>
      </c>
      <c r="S58" s="15">
        <f>(S55*S37)</f>
        <v/>
      </c>
      <c r="T58" s="15">
        <f>(T55*T37)</f>
        <v/>
      </c>
      <c r="U58" s="15">
        <f>(U55*U37)</f>
        <v/>
      </c>
      <c r="V58" s="15">
        <f>(V55*V37)</f>
        <v/>
      </c>
      <c r="W58" s="15">
        <f>(W55*W37)</f>
        <v/>
      </c>
      <c r="X58" s="15">
        <f>(X55*X37)</f>
        <v/>
      </c>
      <c r="Y58" s="15">
        <f>(Y55*Y37)</f>
        <v/>
      </c>
      <c r="Z58" s="15">
        <f>(Z55*Z37)</f>
        <v/>
      </c>
      <c r="AA58" s="15">
        <f>(AA55*AA37)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1682.648</v>
      </c>
      <c r="E59" s="13" t="n">
        <v>601.053</v>
      </c>
      <c r="F59" s="13" t="n">
        <v>478.177</v>
      </c>
      <c r="G59" s="13" t="n">
        <v>266.686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  <c r="P59" s="15">
        <f>(P57-P58)</f>
        <v/>
      </c>
      <c r="Q59" s="15">
        <f>(Q57-Q58)</f>
        <v/>
      </c>
      <c r="R59" s="15">
        <f>(R57-R58)</f>
        <v/>
      </c>
      <c r="S59" s="15">
        <f>(S57-S58)</f>
        <v/>
      </c>
      <c r="T59" s="15">
        <f>(T57-T58)</f>
        <v/>
      </c>
      <c r="U59" s="15">
        <f>(U57-U58)</f>
        <v/>
      </c>
      <c r="V59" s="15">
        <f>(V57-V58)</f>
        <v/>
      </c>
      <c r="W59" s="15">
        <f>(W57-W58)</f>
        <v/>
      </c>
      <c r="X59" s="15">
        <f>(X57-X58)</f>
        <v/>
      </c>
      <c r="Y59" s="15">
        <f>(Y57-Y58)</f>
        <v/>
      </c>
      <c r="Z59" s="15">
        <f>(Z57-Z58)</f>
        <v/>
      </c>
      <c r="AA59" s="15">
        <f>(AA57-AA58)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22.044</v>
      </c>
      <c r="E60" s="13" t="n">
        <v>18.929</v>
      </c>
      <c r="F60" s="13" t="n">
        <v>38.711</v>
      </c>
      <c r="G60" s="13" t="n">
        <v>26.862</v>
      </c>
      <c r="H60" s="15">
        <f>((H41*H24)*$C$10)</f>
        <v/>
      </c>
      <c r="I60" s="15">
        <f>((I41*I24)*$C$10)</f>
        <v/>
      </c>
      <c r="J60" s="15">
        <f>((J41*J24)*$C$10)</f>
        <v/>
      </c>
      <c r="K60" s="15">
        <f>((K41*K24)*$C$10)</f>
        <v/>
      </c>
      <c r="L60" s="15">
        <f>((L41*L24)*$C$10)</f>
        <v/>
      </c>
      <c r="M60" s="15">
        <f>((M41*M24)*$C$10)</f>
        <v/>
      </c>
      <c r="N60" s="15">
        <f>((N41*N24)*$C$10)</f>
        <v/>
      </c>
      <c r="O60" s="15">
        <f>((O41*O24)*$C$10)</f>
        <v/>
      </c>
      <c r="P60" s="15">
        <f>((P41*P24)*$C$10)</f>
        <v/>
      </c>
      <c r="Q60" s="15">
        <f>((Q41*Q24)*$C$10)</f>
        <v/>
      </c>
      <c r="R60" s="15">
        <f>((R41*R24)*$C$10)</f>
        <v/>
      </c>
      <c r="S60" s="15">
        <f>((S41*S24)*$C$10)</f>
        <v/>
      </c>
      <c r="T60" s="15">
        <f>((T41*T24)*$C$10)</f>
        <v/>
      </c>
      <c r="U60" s="15">
        <f>((U41*U24)*$C$10)</f>
        <v/>
      </c>
      <c r="V60" s="15">
        <f>((V41*V24)*$C$10)</f>
        <v/>
      </c>
      <c r="W60" s="15">
        <f>((W41*W24)*$C$10)</f>
        <v/>
      </c>
      <c r="X60" s="15">
        <f>((X41*X24)*$C$10)</f>
        <v/>
      </c>
      <c r="Y60" s="15">
        <f>((Y41*Y24)*$C$10)</f>
        <v/>
      </c>
      <c r="Z60" s="15">
        <f>((Z41*Z24)*$C$10)</f>
        <v/>
      </c>
      <c r="AA60" s="15">
        <f>((AA41*AA24)*$C$10)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1704.692</v>
      </c>
      <c r="E61" s="13" t="n">
        <v>619.982</v>
      </c>
      <c r="F61" s="13" t="n">
        <v>516.888</v>
      </c>
      <c r="G61" s="13" t="n">
        <v>293.548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  <c r="P61" s="15">
        <f>(P59+P60)</f>
        <v/>
      </c>
      <c r="Q61" s="15">
        <f>(Q59+Q60)</f>
        <v/>
      </c>
      <c r="R61" s="15">
        <f>(R59+R60)</f>
        <v/>
      </c>
      <c r="S61" s="15">
        <f>(S59+S60)</f>
        <v/>
      </c>
      <c r="T61" s="15">
        <f>(T59+T60)</f>
        <v/>
      </c>
      <c r="U61" s="15">
        <f>(U59+U60)</f>
        <v/>
      </c>
      <c r="V61" s="15">
        <f>(V59+V60)</f>
        <v/>
      </c>
      <c r="W61" s="15">
        <f>(W59+W60)</f>
        <v/>
      </c>
      <c r="X61" s="15">
        <f>(X59+X60)</f>
        <v/>
      </c>
      <c r="Y61" s="15">
        <f>(Y59+Y60)</f>
        <v/>
      </c>
      <c r="Z61" s="15">
        <f>(Z59+Z60)</f>
        <v/>
      </c>
      <c r="AA61" s="15">
        <f>(AA59+AA60)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2.745</v>
      </c>
      <c r="E62" s="13" t="n">
        <v>1.996</v>
      </c>
      <c r="F62" s="13" t="n">
        <v>3.514</v>
      </c>
      <c r="G62" s="13" t="n">
        <v>9.029999999999999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  <c r="P62" s="15">
        <f>(O82*$C$29)</f>
        <v/>
      </c>
      <c r="Q62" s="15">
        <f>(P82*$C$29)</f>
        <v/>
      </c>
      <c r="R62" s="15">
        <f>(Q82*$C$29)</f>
        <v/>
      </c>
      <c r="S62" s="15">
        <f>(R82*$C$29)</f>
        <v/>
      </c>
      <c r="T62" s="15">
        <f>(S82*$C$29)</f>
        <v/>
      </c>
      <c r="U62" s="15">
        <f>(T82*$C$29)</f>
        <v/>
      </c>
      <c r="V62" s="15">
        <f>(U82*$C$29)</f>
        <v/>
      </c>
      <c r="W62" s="15">
        <f>(V82*$C$29)</f>
        <v/>
      </c>
      <c r="X62" s="15">
        <f>(W82*$C$29)</f>
        <v/>
      </c>
      <c r="Y62" s="15">
        <f>(X82*$C$29)</f>
        <v/>
      </c>
      <c r="Z62" s="15">
        <f>(Y82*$C$29)</f>
        <v/>
      </c>
      <c r="AA62" s="15">
        <f>(Z82*$C$29)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8.869</v>
      </c>
      <c r="E63" s="13" t="n">
        <v>34.541</v>
      </c>
      <c r="F63" s="13" t="n">
        <v>41.285</v>
      </c>
      <c r="G63" s="13" t="n">
        <v>40.132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  <c r="P63" s="15">
        <f>(O81*$C$30)</f>
        <v/>
      </c>
      <c r="Q63" s="15">
        <f>(P81*$C$30)</f>
        <v/>
      </c>
      <c r="R63" s="15">
        <f>(Q81*$C$30)</f>
        <v/>
      </c>
      <c r="S63" s="15">
        <f>(R81*$C$30)</f>
        <v/>
      </c>
      <c r="T63" s="15">
        <f>(S81*$C$30)</f>
        <v/>
      </c>
      <c r="U63" s="15">
        <f>(T81*$C$30)</f>
        <v/>
      </c>
      <c r="V63" s="15">
        <f>(U81*$C$30)</f>
        <v/>
      </c>
      <c r="W63" s="15">
        <f>(V81*$C$30)</f>
        <v/>
      </c>
      <c r="X63" s="15">
        <f>(W81*$C$30)</f>
        <v/>
      </c>
      <c r="Y63" s="15">
        <f>(X81*$C$30)</f>
        <v/>
      </c>
      <c r="Z63" s="15">
        <f>(Y81*$C$30)</f>
        <v/>
      </c>
      <c r="AA63" s="15">
        <f>(Z81*$C$30)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-143.98</v>
      </c>
      <c r="E64" s="13" t="n">
        <v>10.51399999999997</v>
      </c>
      <c r="F64" s="13" t="n">
        <v>-21.12699999999999</v>
      </c>
      <c r="G64" s="13" t="n">
        <v>-10.57399999999998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  <c r="P64" s="15">
        <f>P32</f>
        <v/>
      </c>
      <c r="Q64" s="15">
        <f>Q32</f>
        <v/>
      </c>
      <c r="R64" s="15">
        <f>R32</f>
        <v/>
      </c>
      <c r="S64" s="15">
        <f>S32</f>
        <v/>
      </c>
      <c r="T64" s="15">
        <f>T32</f>
        <v/>
      </c>
      <c r="U64" s="15">
        <f>U32</f>
        <v/>
      </c>
      <c r="V64" s="15">
        <f>V32</f>
        <v/>
      </c>
      <c r="W64" s="15">
        <f>W32</f>
        <v/>
      </c>
      <c r="X64" s="15">
        <f>X32</f>
        <v/>
      </c>
      <c r="Y64" s="15">
        <f>Y32</f>
        <v/>
      </c>
      <c r="Z64" s="15">
        <f>Z32</f>
        <v/>
      </c>
      <c r="AA64" s="15">
        <f>AA32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1544.792</v>
      </c>
      <c r="E65" s="13" t="n">
        <v>644.112</v>
      </c>
      <c r="F65" s="13" t="n">
        <v>494.821</v>
      </c>
      <c r="G65" s="13" t="n">
        <v>287.214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  <c r="P65" s="15">
        <f>(((P59-P62)+P63)+P64)</f>
        <v/>
      </c>
      <c r="Q65" s="15">
        <f>(((Q59-Q62)+Q63)+Q64)</f>
        <v/>
      </c>
      <c r="R65" s="15">
        <f>(((R59-R62)+R63)+R64)</f>
        <v/>
      </c>
      <c r="S65" s="15">
        <f>(((S59-S62)+S63)+S64)</f>
        <v/>
      </c>
      <c r="T65" s="15">
        <f>(((T59-T62)+T63)+T64)</f>
        <v/>
      </c>
      <c r="U65" s="15">
        <f>(((U59-U62)+U63)+U64)</f>
        <v/>
      </c>
      <c r="V65" s="15">
        <f>(((V59-V62)+V63)+V64)</f>
        <v/>
      </c>
      <c r="W65" s="15">
        <f>(((W59-W62)+W63)+W64)</f>
        <v/>
      </c>
      <c r="X65" s="15">
        <f>(((X59-X62)+X63)+X64)</f>
        <v/>
      </c>
      <c r="Y65" s="15">
        <f>(((Y59-Y62)+Y63)+Y64)</f>
        <v/>
      </c>
      <c r="Z65" s="15">
        <f>(((Z59-Z62)+Z63)+Z64)</f>
        <v/>
      </c>
      <c r="AA65" s="15">
        <f>(((AA59-AA62)+AA63)+AA64)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345.447</v>
      </c>
      <c r="E66" s="13" t="n">
        <v>144.492</v>
      </c>
      <c r="F66" s="13" t="n">
        <v>119.22</v>
      </c>
      <c r="G66" s="13" t="n">
        <v>92.539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  <c r="P66" s="15">
        <f>(MAX(P65,0)*P28)</f>
        <v/>
      </c>
      <c r="Q66" s="15">
        <f>(MAX(Q65,0)*Q28)</f>
        <v/>
      </c>
      <c r="R66" s="15">
        <f>(MAX(R65,0)*R28)</f>
        <v/>
      </c>
      <c r="S66" s="15">
        <f>(MAX(S65,0)*S28)</f>
        <v/>
      </c>
      <c r="T66" s="15">
        <f>(MAX(T65,0)*T28)</f>
        <v/>
      </c>
      <c r="U66" s="15">
        <f>(MAX(U65,0)*U28)</f>
        <v/>
      </c>
      <c r="V66" s="15">
        <f>(MAX(V65,0)*V28)</f>
        <v/>
      </c>
      <c r="W66" s="15">
        <f>(MAX(W65,0)*W28)</f>
        <v/>
      </c>
      <c r="X66" s="15">
        <f>(MAX(X65,0)*X28)</f>
        <v/>
      </c>
      <c r="Y66" s="15">
        <f>(MAX(Y65,0)*Y28)</f>
        <v/>
      </c>
      <c r="Z66" s="15">
        <f>(MAX(Z65,0)*Z28)</f>
        <v/>
      </c>
      <c r="AA66" s="15">
        <f>(MAX(AA65,0)*AA28)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1199.345</v>
      </c>
      <c r="E67" s="13" t="n">
        <v>499.62</v>
      </c>
      <c r="F67" s="13" t="n">
        <v>375.601</v>
      </c>
      <c r="G67" s="13" t="n">
        <v>194.675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  <c r="P67" s="15">
        <f>(P65-P66)</f>
        <v/>
      </c>
      <c r="Q67" s="15">
        <f>(Q65-Q66)</f>
        <v/>
      </c>
      <c r="R67" s="15">
        <f>(R65-R66)</f>
        <v/>
      </c>
      <c r="S67" s="15">
        <f>(S65-S66)</f>
        <v/>
      </c>
      <c r="T67" s="15">
        <f>(T65-T66)</f>
        <v/>
      </c>
      <c r="U67" s="15">
        <f>(U65-U66)</f>
        <v/>
      </c>
      <c r="V67" s="15">
        <f>(V65-V66)</f>
        <v/>
      </c>
      <c r="W67" s="15">
        <f>(W65-W66)</f>
        <v/>
      </c>
      <c r="X67" s="15">
        <f>(X65-X66)</f>
        <v/>
      </c>
      <c r="Y67" s="15">
        <f>(Y65-Y66)</f>
        <v/>
      </c>
      <c r="Z67" s="15">
        <f>(Z65-Z66)</f>
        <v/>
      </c>
      <c r="AA67" s="15">
        <f>(AA65-AA66)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-0.7259999999998854</v>
      </c>
      <c r="E68" s="13" t="n">
        <v>-0.7110000000000127</v>
      </c>
      <c r="F68" s="13" t="n">
        <v>1.481999999999971</v>
      </c>
      <c r="G68" s="13" t="n">
        <v>3.735000000000014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  <c r="P68" s="15">
        <f>(P67*P33)</f>
        <v/>
      </c>
      <c r="Q68" s="15">
        <f>(Q67*Q33)</f>
        <v/>
      </c>
      <c r="R68" s="15">
        <f>(R67*R33)</f>
        <v/>
      </c>
      <c r="S68" s="15">
        <f>(S67*S33)</f>
        <v/>
      </c>
      <c r="T68" s="15">
        <f>(T67*T33)</f>
        <v/>
      </c>
      <c r="U68" s="15">
        <f>(U67*U33)</f>
        <v/>
      </c>
      <c r="V68" s="15">
        <f>(V67*V33)</f>
        <v/>
      </c>
      <c r="W68" s="15">
        <f>(W67*W33)</f>
        <v/>
      </c>
      <c r="X68" s="15">
        <f>(X67*X33)</f>
        <v/>
      </c>
      <c r="Y68" s="15">
        <f>(Y67*Y33)</f>
        <v/>
      </c>
      <c r="Z68" s="15">
        <f>(Z67*Z33)</f>
        <v/>
      </c>
      <c r="AA68" s="15">
        <f>(AA67*AA33)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1200.071</v>
      </c>
      <c r="E69" s="13" t="n">
        <v>500.331</v>
      </c>
      <c r="F69" s="13" t="n">
        <v>374.119</v>
      </c>
      <c r="G69" s="13" t="n">
        <v>190.94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  <c r="P69" s="15">
        <f>(P67-P68)</f>
        <v/>
      </c>
      <c r="Q69" s="15">
        <f>(Q67-Q68)</f>
        <v/>
      </c>
      <c r="R69" s="15">
        <f>(R67-R68)</f>
        <v/>
      </c>
      <c r="S69" s="15">
        <f>(S67-S68)</f>
        <v/>
      </c>
      <c r="T69" s="15">
        <f>(T67-T68)</f>
        <v/>
      </c>
      <c r="U69" s="15">
        <f>(U67-U68)</f>
        <v/>
      </c>
      <c r="V69" s="15">
        <f>(V67-V68)</f>
        <v/>
      </c>
      <c r="W69" s="15">
        <f>(W67-W68)</f>
        <v/>
      </c>
      <c r="X69" s="15">
        <f>(X67-X68)</f>
        <v/>
      </c>
      <c r="Y69" s="15">
        <f>(Y67-Y68)</f>
        <v/>
      </c>
      <c r="Z69" s="15">
        <f>(Z67-Z68)</f>
        <v/>
      </c>
      <c r="AA69" s="15">
        <f>(AA67-AA68)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1129.925</v>
      </c>
      <c r="E70" s="13" t="n">
        <v>1129.925</v>
      </c>
      <c r="F70" s="13" t="n">
        <v>1129.925</v>
      </c>
      <c r="G70" s="13" t="n">
        <v>1123.8871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  <c r="P70" s="15">
        <f>(O70*(1+P35))</f>
        <v/>
      </c>
      <c r="Q70" s="15">
        <f>(P70*(1+Q35))</f>
        <v/>
      </c>
      <c r="R70" s="15">
        <f>(Q70*(1+R35))</f>
        <v/>
      </c>
      <c r="S70" s="15">
        <f>(R70*(1+S35))</f>
        <v/>
      </c>
      <c r="T70" s="15">
        <f>(S70*(1+T35))</f>
        <v/>
      </c>
      <c r="U70" s="15">
        <f>(T70*(1+U35))</f>
        <v/>
      </c>
      <c r="V70" s="15">
        <f>(U70*(1+V35))</f>
        <v/>
      </c>
      <c r="W70" s="15">
        <f>(V70*(1+W35))</f>
        <v/>
      </c>
      <c r="X70" s="15">
        <f>(W70*(1+X35))</f>
        <v/>
      </c>
      <c r="Y70" s="15">
        <f>(X70*(1+Y35))</f>
        <v/>
      </c>
      <c r="Z70" s="15">
        <f>(Y70*(1+Z35))</f>
        <v/>
      </c>
      <c r="AA70" s="15">
        <f>(Z70*(1+AA35))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1.06208022656371</v>
      </c>
      <c r="E71" s="20" t="n">
        <v>0.4428001858530434</v>
      </c>
      <c r="F71" s="20" t="n">
        <v>0.3311007367745647</v>
      </c>
      <c r="G71" s="20" t="n">
        <v>0.1698925096657841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  <c r="M71" s="21">
        <f>(IF(M70=0,0,M69/M70)*$C$8)</f>
        <v/>
      </c>
      <c r="N71" s="21">
        <f>(IF(N70=0,0,N69/N70)*$C$8)</f>
        <v/>
      </c>
      <c r="O71" s="21">
        <f>(IF(O70=0,0,O69/O70)*$C$8)</f>
        <v/>
      </c>
      <c r="P71" s="21">
        <f>(IF(P70=0,0,P69/P70)*$C$8)</f>
        <v/>
      </c>
      <c r="Q71" s="21">
        <f>(IF(Q70=0,0,Q69/Q70)*$C$8)</f>
        <v/>
      </c>
      <c r="R71" s="21">
        <f>(IF(R70=0,0,R69/R70)*$C$8)</f>
        <v/>
      </c>
      <c r="S71" s="21">
        <f>(IF(S70=0,0,S69/S70)*$C$8)</f>
        <v/>
      </c>
      <c r="T71" s="21">
        <f>(IF(T70=0,0,T69/T70)*$C$8)</f>
        <v/>
      </c>
      <c r="U71" s="21">
        <f>(IF(U70=0,0,U69/U70)*$C$8)</f>
        <v/>
      </c>
      <c r="V71" s="21">
        <f>(IF(V70=0,0,V69/V70)*$C$8)</f>
        <v/>
      </c>
      <c r="W71" s="21">
        <f>(IF(W70=0,0,W69/W70)*$C$8)</f>
        <v/>
      </c>
      <c r="X71" s="21">
        <f>(IF(X70=0,0,X69/X70)*$C$8)</f>
        <v/>
      </c>
      <c r="Y71" s="21">
        <f>(IF(Y70=0,0,Y69/Y70)*$C$8)</f>
        <v/>
      </c>
      <c r="Z71" s="21">
        <f>(IF(Z70=0,0,Z69/Z70)*$C$8)</f>
        <v/>
      </c>
      <c r="AA71" s="21">
        <f>(IF(AA70=0,0,AA69/AA70)*$C$8)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0.6092261966439971</v>
      </c>
      <c r="E72" s="20" t="n">
        <v>0.1887618378737924</v>
      </c>
      <c r="F72" s="20" t="n">
        <v>0.1786997027023832</v>
      </c>
      <c r="G72" s="20" t="n">
        <v>0.05722791041463148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  <c r="M72" s="21">
        <f>(MAX(M71,0)*M34)</f>
        <v/>
      </c>
      <c r="N72" s="21">
        <f>(MAX(N71,0)*N34)</f>
        <v/>
      </c>
      <c r="O72" s="21">
        <f>(MAX(O71,0)*O34)</f>
        <v/>
      </c>
      <c r="P72" s="21">
        <f>(MAX(P71,0)*P34)</f>
        <v/>
      </c>
      <c r="Q72" s="21">
        <f>(MAX(Q71,0)*Q34)</f>
        <v/>
      </c>
      <c r="R72" s="21">
        <f>(MAX(R71,0)*R34)</f>
        <v/>
      </c>
      <c r="S72" s="21">
        <f>(MAX(S71,0)*S34)</f>
        <v/>
      </c>
      <c r="T72" s="21">
        <f>(MAX(T71,0)*T34)</f>
        <v/>
      </c>
      <c r="U72" s="21">
        <f>(MAX(U71,0)*U34)</f>
        <v/>
      </c>
      <c r="V72" s="21">
        <f>(MAX(V71,0)*V34)</f>
        <v/>
      </c>
      <c r="W72" s="21">
        <f>(MAX(W71,0)*W34)</f>
        <v/>
      </c>
      <c r="X72" s="21">
        <f>(MAX(X71,0)*X34)</f>
        <v/>
      </c>
      <c r="Y72" s="21">
        <f>(MAX(Y71,0)*Y34)</f>
        <v/>
      </c>
      <c r="Z72" s="21">
        <f>(MAX(Z71,0)*Z34)</f>
        <v/>
      </c>
      <c r="AA72" s="21">
        <f>(MAX(AA71,0)*AA34)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>
        <v>538.372</v>
      </c>
      <c r="E73" s="13" t="n">
        <v>673.907</v>
      </c>
      <c r="F73" s="13" t="n">
        <v>215.992</v>
      </c>
      <c r="G73" s="13" t="n">
        <v>203.167</v>
      </c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  <c r="P73" s="15">
        <f>IF($C$8=0,0,(O72*O70)/$C$8)</f>
        <v/>
      </c>
      <c r="Q73" s="15">
        <f>IF($C$8=0,0,(P72*P70)/$C$8)</f>
        <v/>
      </c>
      <c r="R73" s="15">
        <f>IF($C$8=0,0,(Q72*Q70)/$C$8)</f>
        <v/>
      </c>
      <c r="S73" s="15">
        <f>IF($C$8=0,0,(R72*R70)/$C$8)</f>
        <v/>
      </c>
      <c r="T73" s="15">
        <f>IF($C$8=0,0,(S72*S70)/$C$8)</f>
        <v/>
      </c>
      <c r="U73" s="15">
        <f>IF($C$8=0,0,(T72*T70)/$C$8)</f>
        <v/>
      </c>
      <c r="V73" s="15">
        <f>IF($C$8=0,0,(U72*U70)/$C$8)</f>
        <v/>
      </c>
      <c r="W73" s="15">
        <f>IF($C$8=0,0,(V72*V70)/$C$8)</f>
        <v/>
      </c>
      <c r="X73" s="15">
        <f>IF($C$8=0,0,(W72*W70)/$C$8)</f>
        <v/>
      </c>
      <c r="Y73" s="15">
        <f>IF($C$8=0,0,(X72*X70)/$C$8)</f>
        <v/>
      </c>
      <c r="Z73" s="15">
        <f>IF($C$8=0,0,(Y72*Y70)/$C$8)</f>
        <v/>
      </c>
      <c r="AA73" s="15">
        <f>IF($C$8=0,0,(Z72*Z70)/$C$8)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44.396</v>
      </c>
      <c r="E74" s="13" t="n">
        <v>80.718</v>
      </c>
      <c r="F74" s="13" t="n">
        <v>89.503</v>
      </c>
      <c r="G74" s="13" t="n">
        <v>119.733</v>
      </c>
      <c r="H74" s="15">
        <f>(((H41*H25)*$C$10)+H26)</f>
        <v/>
      </c>
      <c r="I74" s="15">
        <f>(((I41*I25)*$C$10)+I26)</f>
        <v/>
      </c>
      <c r="J74" s="15">
        <f>(((J41*J25)*$C$10)+J26)</f>
        <v/>
      </c>
      <c r="K74" s="15">
        <f>(((K41*K25)*$C$10)+K26)</f>
        <v/>
      </c>
      <c r="L74" s="15">
        <f>(((L41*L25)*$C$10)+L26)</f>
        <v/>
      </c>
      <c r="M74" s="15">
        <f>(((M41*M25)*$C$10)+M26)</f>
        <v/>
      </c>
      <c r="N74" s="15">
        <f>(((N41*N25)*$C$10)+N26)</f>
        <v/>
      </c>
      <c r="O74" s="15">
        <f>(((O41*O25)*$C$10)+O26)</f>
        <v/>
      </c>
      <c r="P74" s="15">
        <f>(((P41*P25)*$C$10)+P26)</f>
        <v/>
      </c>
      <c r="Q74" s="15">
        <f>(((Q41*Q25)*$C$10)+Q26)</f>
        <v/>
      </c>
      <c r="R74" s="15">
        <f>(((R41*R25)*$C$10)+R26)</f>
        <v/>
      </c>
      <c r="S74" s="15">
        <f>(((S41*S25)*$C$10)+S26)</f>
        <v/>
      </c>
      <c r="T74" s="15">
        <f>(((T41*T25)*$C$10)+T26)</f>
        <v/>
      </c>
      <c r="U74" s="15">
        <f>(((U41*U25)*$C$10)+U26)</f>
        <v/>
      </c>
      <c r="V74" s="15">
        <f>(((V41*V25)*$C$10)+V26)</f>
        <v/>
      </c>
      <c r="W74" s="15">
        <f>(((W41*W25)*$C$10)+W26)</f>
        <v/>
      </c>
      <c r="X74" s="15">
        <f>(((X41*X25)*$C$10)+X26)</f>
        <v/>
      </c>
      <c r="Y74" s="15">
        <f>(((Y41*Y25)*$C$10)+Y26)</f>
        <v/>
      </c>
      <c r="Z74" s="15">
        <f>(((Z41*Z25)*$C$10)+Z26)</f>
        <v/>
      </c>
      <c r="AA74" s="15">
        <f>(((AA41*AA25)*$C$10)+AA26)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251.447</v>
      </c>
      <c r="F75" s="13" t="n">
        <v>-53.40900000000022</v>
      </c>
      <c r="G75" s="13" t="n">
        <v>62.61700000000019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  <c r="P75" s="15">
        <f>(P80-O80)</f>
        <v/>
      </c>
      <c r="Q75" s="15">
        <f>(Q80-P80)</f>
        <v/>
      </c>
      <c r="R75" s="15">
        <f>(R80-Q80)</f>
        <v/>
      </c>
      <c r="S75" s="15">
        <f>(S80-R80)</f>
        <v/>
      </c>
      <c r="T75" s="15">
        <f>(T80-S80)</f>
        <v/>
      </c>
      <c r="U75" s="15">
        <f>(U80-T80)</f>
        <v/>
      </c>
      <c r="V75" s="15">
        <f>(V80-U80)</f>
        <v/>
      </c>
      <c r="W75" s="15">
        <f>(W80-V80)</f>
        <v/>
      </c>
      <c r="X75" s="15">
        <f>(X80-W80)</f>
        <v/>
      </c>
      <c r="Y75" s="15">
        <f>(Y80-X80)</f>
        <v/>
      </c>
      <c r="Z75" s="15">
        <f>(Z80-Y80)</f>
        <v/>
      </c>
      <c r="AA75" s="15">
        <f>(AA80-Z80)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152.9843155041359</v>
      </c>
      <c r="F76" s="13" t="n">
        <v>365.5841323104721</v>
      </c>
      <c r="G76" s="13" t="n">
        <v>25.27302505448878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  <c r="P76" s="15">
        <f>((((P59*(1-P28))+P60)-P74)-P75)</f>
        <v/>
      </c>
      <c r="Q76" s="15">
        <f>((((Q59*(1-Q28))+Q60)-Q74)-Q75)</f>
        <v/>
      </c>
      <c r="R76" s="15">
        <f>((((R59*(1-R28))+R60)-R74)-R75)</f>
        <v/>
      </c>
      <c r="S76" s="15">
        <f>((((S59*(1-S28))+S60)-S74)-S75)</f>
        <v/>
      </c>
      <c r="T76" s="15">
        <f>((((T59*(1-T28))+T60)-T74)-T75)</f>
        <v/>
      </c>
      <c r="U76" s="15">
        <f>((((U59*(1-U28))+U60)-U74)-U75)</f>
        <v/>
      </c>
      <c r="V76" s="15">
        <f>((((V59*(1-V28))+V60)-V74)-V75)</f>
        <v/>
      </c>
      <c r="W76" s="15">
        <f>((((W59*(1-W28))+W60)-W74)-W75)</f>
        <v/>
      </c>
      <c r="X76" s="15">
        <f>((((X59*(1-X28))+X60)-X74)-X75)</f>
        <v/>
      </c>
      <c r="Y76" s="15">
        <f>((((Y59*(1-Y28))+Y60)-Y74)-Y75)</f>
        <v/>
      </c>
      <c r="Z76" s="15">
        <f>((((Z59*(1-Z28))+Z60)-Z74)-Z75)</f>
        <v/>
      </c>
      <c r="AA76" s="15">
        <f>((((AA59*(1-AA28))+AA60)-AA74)-AA75)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4.021999999999998</v>
      </c>
      <c r="F77" s="13" t="n">
        <v>18.521</v>
      </c>
      <c r="G77" s="13" t="n">
        <v>16.292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  <c r="P77" s="15">
        <f>P31</f>
        <v/>
      </c>
      <c r="Q77" s="15">
        <f>Q31</f>
        <v/>
      </c>
      <c r="R77" s="15">
        <f>R31</f>
        <v/>
      </c>
      <c r="S77" s="15">
        <f>S31</f>
        <v/>
      </c>
      <c r="T77" s="15">
        <f>T31</f>
        <v/>
      </c>
      <c r="U77" s="15">
        <f>U31</f>
        <v/>
      </c>
      <c r="V77" s="15">
        <f>V31</f>
        <v/>
      </c>
      <c r="W77" s="15">
        <f>W31</f>
        <v/>
      </c>
      <c r="X77" s="15">
        <f>X31</f>
        <v/>
      </c>
      <c r="Y77" s="15">
        <f>Y31</f>
        <v/>
      </c>
      <c r="Z77" s="15">
        <f>Z31</f>
        <v/>
      </c>
      <c r="AA77" s="15">
        <f>AA31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  <c r="P78" s="15">
        <f>(MAX(O68,0)*P34)</f>
        <v/>
      </c>
      <c r="Q78" s="15">
        <f>(MAX(P68,0)*Q34)</f>
        <v/>
      </c>
      <c r="R78" s="15">
        <f>(MAX(Q68,0)*R34)</f>
        <v/>
      </c>
      <c r="S78" s="15">
        <f>(MAX(R68,0)*S34)</f>
        <v/>
      </c>
      <c r="T78" s="15">
        <f>(MAX(S68,0)*T34)</f>
        <v/>
      </c>
      <c r="U78" s="15">
        <f>(MAX(T68,0)*U34)</f>
        <v/>
      </c>
      <c r="V78" s="15">
        <f>(MAX(U68,0)*V34)</f>
        <v/>
      </c>
      <c r="W78" s="15">
        <f>(MAX(V68,0)*W34)</f>
        <v/>
      </c>
      <c r="X78" s="15">
        <f>(MAX(W68,0)*X34)</f>
        <v/>
      </c>
      <c r="Y78" s="15">
        <f>(MAX(X68,0)*Y34)</f>
        <v/>
      </c>
      <c r="Z78" s="15">
        <f>(MAX(Y68,0)*Z34)</f>
        <v/>
      </c>
      <c r="AA78" s="15">
        <f>(MAX(Z68,0)*AA34)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  <c r="P79" s="15">
        <f>(((((P67+P60)-P74)-P75)+P77)-P78)</f>
        <v/>
      </c>
      <c r="Q79" s="15">
        <f>(((((Q67+Q60)-Q74)-Q75)+Q77)-Q78)</f>
        <v/>
      </c>
      <c r="R79" s="15">
        <f>(((((R67+R60)-R74)-R75)+R77)-R78)</f>
        <v/>
      </c>
      <c r="S79" s="15">
        <f>(((((S67+S60)-S74)-S75)+S77)-S78)</f>
        <v/>
      </c>
      <c r="T79" s="15">
        <f>(((((T67+T60)-T74)-T75)+T77)-T78)</f>
        <v/>
      </c>
      <c r="U79" s="15">
        <f>(((((U67+U60)-U74)-U75)+U77)-U78)</f>
        <v/>
      </c>
      <c r="V79" s="15">
        <f>(((((V67+V60)-V74)-V75)+V77)-V78)</f>
        <v/>
      </c>
      <c r="W79" s="15">
        <f>(((((W67+W60)-W74)-W75)+W77)-W78)</f>
        <v/>
      </c>
      <c r="X79" s="15">
        <f>(((((X67+X60)-X74)-X75)+X77)-X78)</f>
        <v/>
      </c>
      <c r="Y79" s="15">
        <f>(((((Y67+Y60)-Y74)-Y75)+Y77)-Y78)</f>
        <v/>
      </c>
      <c r="Z79" s="15">
        <f>(((((Z67+Z60)-Z74)-Z75)+Z77)-Z78)</f>
        <v/>
      </c>
      <c r="AA79" s="15">
        <f>(((((AA67+AA60)-AA74)-AA75)+AA77)-AA78)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-70.72799999999995</v>
      </c>
      <c r="E80" s="13" t="n">
        <v>180.7190000000001</v>
      </c>
      <c r="F80" s="13" t="n">
        <v>127.3099999999998</v>
      </c>
      <c r="G80" s="13" t="n">
        <v>189.927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  <c r="P80" s="15">
        <f>(P55*P27)</f>
        <v/>
      </c>
      <c r="Q80" s="15">
        <f>(Q55*Q27)</f>
        <v/>
      </c>
      <c r="R80" s="15">
        <f>(R55*R27)</f>
        <v/>
      </c>
      <c r="S80" s="15">
        <f>(S55*S27)</f>
        <v/>
      </c>
      <c r="T80" s="15">
        <f>(T55*T27)</f>
        <v/>
      </c>
      <c r="U80" s="15">
        <f>(U55*U27)</f>
        <v/>
      </c>
      <c r="V80" s="15">
        <f>(V55*V27)</f>
        <v/>
      </c>
      <c r="W80" s="15">
        <f>(W55*W27)</f>
        <v/>
      </c>
      <c r="X80" s="15">
        <f>(X55*X27)</f>
        <v/>
      </c>
      <c r="Y80" s="15">
        <f>(Y55*Y27)</f>
        <v/>
      </c>
      <c r="Z80" s="15">
        <f>(Z55*Z27)</f>
        <v/>
      </c>
      <c r="AA80" s="15">
        <f>(AA55*AA27)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1430.327</v>
      </c>
      <c r="E81" s="13" t="n">
        <v>851.149</v>
      </c>
      <c r="F81" s="13" t="n">
        <v>990.364</v>
      </c>
      <c r="G81" s="13" t="n">
        <v>807.946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  <c r="P81" s="15">
        <f>(((((((O81+P67)+P60)-P74)-P75)+P77)-P73)-P78)</f>
        <v/>
      </c>
      <c r="Q81" s="15">
        <f>(((((((P81+Q67)+Q60)-Q74)-Q75)+Q77)-Q73)-Q78)</f>
        <v/>
      </c>
      <c r="R81" s="15">
        <f>(((((((Q81+R67)+R60)-R74)-R75)+R77)-R73)-R78)</f>
        <v/>
      </c>
      <c r="S81" s="15">
        <f>(((((((R81+S67)+S60)-S74)-S75)+S77)-S73)-S78)</f>
        <v/>
      </c>
      <c r="T81" s="15">
        <f>(((((((S81+T67)+T60)-T74)-T75)+T77)-T73)-T78)</f>
        <v/>
      </c>
      <c r="U81" s="15">
        <f>(((((((T81+U67)+U60)-U74)-U75)+U77)-U73)-U78)</f>
        <v/>
      </c>
      <c r="V81" s="15">
        <f>(((((((U81+V67)+V60)-V74)-V75)+V77)-V73)-V78)</f>
        <v/>
      </c>
      <c r="W81" s="15">
        <f>(((((((V81+W67)+W60)-W74)-W75)+W77)-W73)-W78)</f>
        <v/>
      </c>
      <c r="X81" s="15">
        <f>(((((((W81+X67)+X60)-X74)-X75)+X77)-X73)-X78)</f>
        <v/>
      </c>
      <c r="Y81" s="15">
        <f>(((((((X81+Y67)+Y60)-Y74)-Y75)+Y77)-Y73)-Y78)</f>
        <v/>
      </c>
      <c r="Z81" s="15">
        <f>(((((((Y81+Z67)+Z60)-Z74)-Z75)+Z77)-Z73)-Z78)</f>
        <v/>
      </c>
      <c r="AA81" s="15">
        <f>(((((((Z81+AA67)+AA60)-AA74)-AA75)+AA77)-AA73)-AA78)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49.85</v>
      </c>
      <c r="E82" s="13" t="n">
        <v>53.872</v>
      </c>
      <c r="F82" s="13" t="n">
        <v>72.393</v>
      </c>
      <c r="G82" s="13" t="n">
        <v>88.685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  <c r="P82" s="15">
        <f>(O82+P77)</f>
        <v/>
      </c>
      <c r="Q82" s="15">
        <f>(P82+Q77)</f>
        <v/>
      </c>
      <c r="R82" s="15">
        <f>(Q82+R77)</f>
        <v/>
      </c>
      <c r="S82" s="15">
        <f>(R82+S77)</f>
        <v/>
      </c>
      <c r="T82" s="15">
        <f>(S82+T77)</f>
        <v/>
      </c>
      <c r="U82" s="15">
        <f>(T82+U77)</f>
        <v/>
      </c>
      <c r="V82" s="15">
        <f>(U82+V77)</f>
        <v/>
      </c>
      <c r="W82" s="15">
        <f>(V82+W77)</f>
        <v/>
      </c>
      <c r="X82" s="15">
        <f>(W82+X77)</f>
        <v/>
      </c>
      <c r="Y82" s="15">
        <f>(X82+Y77)</f>
        <v/>
      </c>
      <c r="Z82" s="15">
        <f>(Y82+Z77)</f>
        <v/>
      </c>
      <c r="AA82" s="15">
        <f>(Z82+AA77)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185.285</v>
      </c>
      <c r="E83" s="13" t="n">
        <v>429.637</v>
      </c>
      <c r="F83" s="13" t="n">
        <v>536.6</v>
      </c>
      <c r="G83" s="13" t="n">
        <v>758.096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  <c r="P83" s="15">
        <f>((O83+P74)-P60)</f>
        <v/>
      </c>
      <c r="Q83" s="15">
        <f>((P83+Q74)-Q60)</f>
        <v/>
      </c>
      <c r="R83" s="15">
        <f>((Q83+R74)-R60)</f>
        <v/>
      </c>
      <c r="S83" s="15">
        <f>((R83+S74)-S60)</f>
        <v/>
      </c>
      <c r="T83" s="15">
        <f>((S83+T74)-T60)</f>
        <v/>
      </c>
      <c r="U83" s="15">
        <f>((T83+U74)-U60)</f>
        <v/>
      </c>
      <c r="V83" s="15">
        <f>((U83+V74)-V60)</f>
        <v/>
      </c>
      <c r="W83" s="15">
        <f>((V83+W74)-W60)</f>
        <v/>
      </c>
      <c r="X83" s="15">
        <f>((W83+X74)-X60)</f>
        <v/>
      </c>
      <c r="Y83" s="15">
        <f>((X83+Y74)-Y60)</f>
        <v/>
      </c>
      <c r="Z83" s="15">
        <f>((Y83+Z74)-Z60)</f>
        <v/>
      </c>
      <c r="AA83" s="15">
        <f>((Z83+AA74)-AA60)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1955.058</v>
      </c>
      <c r="E84" s="13" t="n">
        <v>1787.579</v>
      </c>
      <c r="F84" s="13" t="n">
        <v>1928.067</v>
      </c>
      <c r="G84" s="13" t="n">
        <v>1898.388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  <c r="P84" s="15">
        <f>((O84+P69)-P73)</f>
        <v/>
      </c>
      <c r="Q84" s="15">
        <f>((P84+Q69)-Q73)</f>
        <v/>
      </c>
      <c r="R84" s="15">
        <f>((Q84+R69)-R73)</f>
        <v/>
      </c>
      <c r="S84" s="15">
        <f>((R84+S69)-S73)</f>
        <v/>
      </c>
      <c r="T84" s="15">
        <f>((S84+T69)-T73)</f>
        <v/>
      </c>
      <c r="U84" s="15">
        <f>((T84+U69)-U73)</f>
        <v/>
      </c>
      <c r="V84" s="15">
        <f>((U84+V69)-V73)</f>
        <v/>
      </c>
      <c r="W84" s="15">
        <f>((V84+W69)-W73)</f>
        <v/>
      </c>
      <c r="X84" s="15">
        <f>((W84+X69)-X73)</f>
        <v/>
      </c>
      <c r="Y84" s="15">
        <f>((X84+Y69)-Y73)</f>
        <v/>
      </c>
      <c r="Z84" s="15">
        <f>((Y84+Z69)-Z73)</f>
        <v/>
      </c>
      <c r="AA84" s="15">
        <f>((Z84+AA69)-AA73)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-4.778</v>
      </c>
      <c r="E85" s="13" t="n">
        <v>0.961</v>
      </c>
      <c r="F85" s="13" t="n">
        <v>5.743</v>
      </c>
      <c r="G85" s="13" t="n">
        <v>9.943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  <c r="P85" s="15">
        <f>((O85+P68)-P78)</f>
        <v/>
      </c>
      <c r="Q85" s="15">
        <f>((P85+Q68)-Q78)</f>
        <v/>
      </c>
      <c r="R85" s="15">
        <f>((Q85+R68)-R78)</f>
        <v/>
      </c>
      <c r="S85" s="15">
        <f>((R85+S68)-S78)</f>
        <v/>
      </c>
      <c r="T85" s="15">
        <f>((S85+T68)-T78)</f>
        <v/>
      </c>
      <c r="U85" s="15">
        <f>((T85+U68)-U78)</f>
        <v/>
      </c>
      <c r="V85" s="15">
        <f>((U85+V68)-V78)</f>
        <v/>
      </c>
      <c r="W85" s="15">
        <f>((V85+W68)-W78)</f>
        <v/>
      </c>
      <c r="X85" s="15">
        <f>((W85+X68)-X78)</f>
        <v/>
      </c>
      <c r="Y85" s="15">
        <f>((X85+Y68)-Y78)</f>
        <v/>
      </c>
      <c r="Z85" s="15">
        <f>((Y85+Z68)-Z78)</f>
        <v/>
      </c>
      <c r="AA85" s="15">
        <f>((Z85+AA68)-AA78)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455.2459999999999</v>
      </c>
      <c r="E86" s="13" t="n">
        <v>380.907</v>
      </c>
      <c r="F86" s="13" t="n">
        <v>351.9290000000001</v>
      </c>
      <c r="G86" s="13" t="n">
        <v>241.0469999999997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  <c r="P86" s="15">
        <f>O86</f>
        <v/>
      </c>
      <c r="Q86" s="15">
        <f>P86</f>
        <v/>
      </c>
      <c r="R86" s="15">
        <f>Q86</f>
        <v/>
      </c>
      <c r="S86" s="15">
        <f>R86</f>
        <v/>
      </c>
      <c r="T86" s="15">
        <f>S86</f>
        <v/>
      </c>
      <c r="U86" s="15">
        <f>T86</f>
        <v/>
      </c>
      <c r="V86" s="15">
        <f>U86</f>
        <v/>
      </c>
      <c r="W86" s="15">
        <f>V86</f>
        <v/>
      </c>
      <c r="X86" s="15">
        <f>W86</f>
        <v/>
      </c>
      <c r="Y86" s="15">
        <f>X86</f>
        <v/>
      </c>
      <c r="Z86" s="15">
        <f>Y86</f>
        <v/>
      </c>
      <c r="AA86" s="15">
        <f>Z86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  <c r="P87" s="15">
        <f>((((((P81+P80)+P83)+P86)-P82)-P84)-P85)</f>
        <v/>
      </c>
      <c r="Q87" s="15">
        <f>((((((Q81+Q80)+Q83)+Q86)-Q82)-Q84)-Q85)</f>
        <v/>
      </c>
      <c r="R87" s="15">
        <f>((((((R81+R80)+R83)+R86)-R82)-R84)-R85)</f>
        <v/>
      </c>
      <c r="S87" s="15">
        <f>((((((S81+S80)+S83)+S86)-S82)-S84)-S85)</f>
        <v/>
      </c>
      <c r="T87" s="15">
        <f>((((((T81+T80)+T83)+T86)-T82)-T84)-T85)</f>
        <v/>
      </c>
      <c r="U87" s="15">
        <f>((((((U81+U80)+U83)+U86)-U82)-U84)-U85)</f>
        <v/>
      </c>
      <c r="V87" s="15">
        <f>((((((V81+V80)+V83)+V86)-V82)-V84)-V85)</f>
        <v/>
      </c>
      <c r="W87" s="15">
        <f>((((((W81+W80)+W83)+W86)-W82)-W84)-W85)</f>
        <v/>
      </c>
      <c r="X87" s="15">
        <f>((((((X81+X80)+X83)+X86)-X82)-X84)-X85)</f>
        <v/>
      </c>
      <c r="Y87" s="15">
        <f>((((((Y81+Y80)+Y83)+Y86)-Y82)-Y84)-Y85)</f>
        <v/>
      </c>
      <c r="Z87" s="15">
        <f>((((((Z81+Z80)+Z83)+Z86)-Z82)-Z84)-Z85)</f>
        <v/>
      </c>
      <c r="AA87" s="15">
        <f>((((((AA81+AA80)+AA83)+AA86)-AA82)-AA84)-AA85)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-1380.477</v>
      </c>
      <c r="E88" s="13" t="n">
        <v>-797.277</v>
      </c>
      <c r="F88" s="13" t="n">
        <v>-917.971</v>
      </c>
      <c r="G88" s="13" t="n">
        <v>-719.261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  <c r="P88" s="15">
        <f>(P82-P81)</f>
        <v/>
      </c>
      <c r="Q88" s="15">
        <f>(Q82-Q81)</f>
        <v/>
      </c>
      <c r="R88" s="15">
        <f>(R82-R81)</f>
        <v/>
      </c>
      <c r="S88" s="15">
        <f>(S82-S81)</f>
        <v/>
      </c>
      <c r="T88" s="15">
        <f>(T82-T81)</f>
        <v/>
      </c>
      <c r="U88" s="15">
        <f>(U82-U81)</f>
        <v/>
      </c>
      <c r="V88" s="15">
        <f>(V82-V81)</f>
        <v/>
      </c>
      <c r="W88" s="15">
        <f>(W82-W81)</f>
        <v/>
      </c>
      <c r="X88" s="15">
        <f>(X82-X81)</f>
        <v/>
      </c>
      <c r="Y88" s="15">
        <f>(Y82-Y81)</f>
        <v/>
      </c>
      <c r="Z88" s="15">
        <f>(Z82-Z81)</f>
        <v/>
      </c>
      <c r="AA88" s="15">
        <f>(AA82-AA81)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1.730254662920105</v>
      </c>
      <c r="E89" s="20" t="n">
        <v>1.582033320795628</v>
      </c>
      <c r="F89" s="20" t="n">
        <v>1.706367236763502</v>
      </c>
      <c r="G89" s="20" t="n">
        <v>1.689126959460608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  <c r="M89" s="21">
        <f>(IF(M70=0,0,M84/M70)*$C$8)</f>
        <v/>
      </c>
      <c r="N89" s="21">
        <f>(IF(N70=0,0,N84/N70)*$C$8)</f>
        <v/>
      </c>
      <c r="O89" s="21">
        <f>(IF(O70=0,0,O84/O70)*$C$8)</f>
        <v/>
      </c>
      <c r="P89" s="21">
        <f>(IF(P70=0,0,P84/P70)*$C$8)</f>
        <v/>
      </c>
      <c r="Q89" s="21">
        <f>(IF(Q70=0,0,Q84/Q70)*$C$8)</f>
        <v/>
      </c>
      <c r="R89" s="21">
        <f>(IF(R70=0,0,R84/R70)*$C$8)</f>
        <v/>
      </c>
      <c r="S89" s="21">
        <f>(IF(S70=0,0,S84/S70)*$C$8)</f>
        <v/>
      </c>
      <c r="T89" s="21">
        <f>(IF(T70=0,0,T84/T70)*$C$8)</f>
        <v/>
      </c>
      <c r="U89" s="21">
        <f>(IF(U70=0,0,U84/U70)*$C$8)</f>
        <v/>
      </c>
      <c r="V89" s="21">
        <f>(IF(V70=0,0,V84/V70)*$C$8)</f>
        <v/>
      </c>
      <c r="W89" s="21">
        <f>(IF(W70=0,0,W84/W70)*$C$8)</f>
        <v/>
      </c>
      <c r="X89" s="21">
        <f>(IF(X70=0,0,X84/X70)*$C$8)</f>
        <v/>
      </c>
      <c r="Y89" s="21">
        <f>(IF(Y70=0,0,Y84/Y70)*$C$8)</f>
        <v/>
      </c>
      <c r="Z89" s="21">
        <f>(IF(Z70=0,0,Z84/Z70)*$C$8)</f>
        <v/>
      </c>
      <c r="AA89" s="21">
        <f>(IF(AA70=0,0,AA84/AA70)*$C$8)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-0.3470363259798037</v>
      </c>
      <c r="F90" s="4" t="n">
        <v>-0.02940553380659272</v>
      </c>
      <c r="G90" s="4" t="n">
        <v>-0.1837233895292552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  <c r="L90" s="17">
        <f>(IF(K55=0,0,L55/K55)-1)</f>
        <v/>
      </c>
      <c r="M90" s="17">
        <f>(IF(L55=0,0,M55/L55)-1)</f>
        <v/>
      </c>
      <c r="N90" s="17">
        <f>(IF(M55=0,0,N55/M55)-1)</f>
        <v/>
      </c>
      <c r="O90" s="17">
        <f>(IF(N55=0,0,O55/N55)-1)</f>
        <v/>
      </c>
      <c r="P90" s="17">
        <f>(IF(O55=0,0,P55/O55)-1)</f>
        <v/>
      </c>
      <c r="Q90" s="17">
        <f>(IF(P55=0,0,Q55/P55)-1)</f>
        <v/>
      </c>
      <c r="R90" s="17">
        <f>(IF(Q55=0,0,R55/Q55)-1)</f>
        <v/>
      </c>
      <c r="S90" s="17">
        <f>(IF(R55=0,0,S55/R55)-1)</f>
        <v/>
      </c>
      <c r="T90" s="17">
        <f>(IF(S55=0,0,T55/S55)-1)</f>
        <v/>
      </c>
      <c r="U90" s="17">
        <f>(IF(T55=0,0,U55/T55)-1)</f>
        <v/>
      </c>
      <c r="V90" s="17">
        <f>(IF(U55=0,0,V55/U55)-1)</f>
        <v/>
      </c>
      <c r="W90" s="17">
        <f>(IF(V55=0,0,W55/V55)-1)</f>
        <v/>
      </c>
      <c r="X90" s="17">
        <f>(IF(W55=0,0,X55/W55)-1)</f>
        <v/>
      </c>
      <c r="Y90" s="17">
        <f>(IF(X55=0,0,Y55/X55)-1)</f>
        <v/>
      </c>
      <c r="Z90" s="17">
        <f>(IF(Y55=0,0,Z55/Y55)-1)</f>
        <v/>
      </c>
      <c r="AA90" s="17">
        <f>(IF(Z55=0,0,AA55/Z55)-1)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0.5209793815708815</v>
      </c>
      <c r="E91" s="4" t="n">
        <v>0.3127394638032443</v>
      </c>
      <c r="F91" s="4" t="n">
        <v>0.3032375394717372</v>
      </c>
      <c r="G91" s="4" t="n">
        <v>0.256677052395212</v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  <c r="L91" s="17">
        <f>IF(L55=0,0,L57/L55)</f>
        <v/>
      </c>
      <c r="M91" s="17">
        <f>IF(M55=0,0,M57/M55)</f>
        <v/>
      </c>
      <c r="N91" s="17">
        <f>IF(N55=0,0,N57/N55)</f>
        <v/>
      </c>
      <c r="O91" s="17">
        <f>IF(O55=0,0,O57/O55)</f>
        <v/>
      </c>
      <c r="P91" s="17">
        <f>IF(P55=0,0,P57/P55)</f>
        <v/>
      </c>
      <c r="Q91" s="17">
        <f>IF(Q55=0,0,Q57/Q55)</f>
        <v/>
      </c>
      <c r="R91" s="17">
        <f>IF(R55=0,0,R57/R55)</f>
        <v/>
      </c>
      <c r="S91" s="17">
        <f>IF(S55=0,0,S57/S55)</f>
        <v/>
      </c>
      <c r="T91" s="17">
        <f>IF(T55=0,0,T57/T55)</f>
        <v/>
      </c>
      <c r="U91" s="17">
        <f>IF(U55=0,0,U57/U55)</f>
        <v/>
      </c>
      <c r="V91" s="17">
        <f>IF(V55=0,0,V57/V55)</f>
        <v/>
      </c>
      <c r="W91" s="17">
        <f>IF(W55=0,0,W57/W55)</f>
        <v/>
      </c>
      <c r="X91" s="17">
        <f>IF(X55=0,0,X57/X55)</f>
        <v/>
      </c>
      <c r="Y91" s="17">
        <f>IF(Y55=0,0,Y57/Y55)</f>
        <v/>
      </c>
      <c r="Z91" s="17">
        <f>IF(Z55=0,0,Z57/Z55)</f>
        <v/>
      </c>
      <c r="AA91" s="17">
        <f>IF(AA55=0,0,AA57/AA55)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0.4688097204426693</v>
      </c>
      <c r="E92" s="4" t="n">
        <v>0.2611203652421856</v>
      </c>
      <c r="F92" s="4" t="n">
        <v>0.2242953668414409</v>
      </c>
      <c r="G92" s="4" t="n">
        <v>0.1560506659110832</v>
      </c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  <c r="L92" s="17">
        <f>IF(L55=0,0,L61/L55)</f>
        <v/>
      </c>
      <c r="M92" s="17">
        <f>IF(M55=0,0,M61/M55)</f>
        <v/>
      </c>
      <c r="N92" s="17">
        <f>IF(N55=0,0,N61/N55)</f>
        <v/>
      </c>
      <c r="O92" s="17">
        <f>IF(O55=0,0,O61/O55)</f>
        <v/>
      </c>
      <c r="P92" s="17">
        <f>IF(P55=0,0,P61/P55)</f>
        <v/>
      </c>
      <c r="Q92" s="17">
        <f>IF(Q55=0,0,Q61/Q55)</f>
        <v/>
      </c>
      <c r="R92" s="17">
        <f>IF(R55=0,0,R61/R55)</f>
        <v/>
      </c>
      <c r="S92" s="17">
        <f>IF(S55=0,0,S61/S55)</f>
        <v/>
      </c>
      <c r="T92" s="17">
        <f>IF(T55=0,0,T61/T55)</f>
        <v/>
      </c>
      <c r="U92" s="17">
        <f>IF(U55=0,0,U61/U55)</f>
        <v/>
      </c>
      <c r="V92" s="17">
        <f>IF(V55=0,0,V61/V55)</f>
        <v/>
      </c>
      <c r="W92" s="17">
        <f>IF(W55=0,0,W61/W55)</f>
        <v/>
      </c>
      <c r="X92" s="17">
        <f>IF(X55=0,0,X61/X55)</f>
        <v/>
      </c>
      <c r="Y92" s="17">
        <f>IF(Y55=0,0,Y61/Y55)</f>
        <v/>
      </c>
      <c r="Z92" s="17">
        <f>IF(Z55=0,0,Z61/Z55)</f>
        <v/>
      </c>
      <c r="AA92" s="17">
        <f>IF(AA55=0,0,AA61/AA55)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0.4627473693097736</v>
      </c>
      <c r="E93" s="4" t="n">
        <v>0.2531479605696801</v>
      </c>
      <c r="F93" s="4" t="n">
        <v>0.2074973410683546</v>
      </c>
      <c r="G93" s="4" t="n">
        <v>0.1417707764630082</v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  <c r="L93" s="17">
        <f>IF(L55=0,0,L59/L55)</f>
        <v/>
      </c>
      <c r="M93" s="17">
        <f>IF(M55=0,0,M59/M55)</f>
        <v/>
      </c>
      <c r="N93" s="17">
        <f>IF(N55=0,0,N59/N55)</f>
        <v/>
      </c>
      <c r="O93" s="17">
        <f>IF(O55=0,0,O59/O55)</f>
        <v/>
      </c>
      <c r="P93" s="17">
        <f>IF(P55=0,0,P59/P55)</f>
        <v/>
      </c>
      <c r="Q93" s="17">
        <f>IF(Q55=0,0,Q59/Q55)</f>
        <v/>
      </c>
      <c r="R93" s="17">
        <f>IF(R55=0,0,R59/R55)</f>
        <v/>
      </c>
      <c r="S93" s="17">
        <f>IF(S55=0,0,S59/S55)</f>
        <v/>
      </c>
      <c r="T93" s="17">
        <f>IF(T55=0,0,T59/T55)</f>
        <v/>
      </c>
      <c r="U93" s="17">
        <f>IF(U55=0,0,U59/U55)</f>
        <v/>
      </c>
      <c r="V93" s="17">
        <f>IF(V55=0,0,V59/V55)</f>
        <v/>
      </c>
      <c r="W93" s="17">
        <f>IF(W55=0,0,W59/W55)</f>
        <v/>
      </c>
      <c r="X93" s="17">
        <f>IF(X55=0,0,X59/X55)</f>
        <v/>
      </c>
      <c r="Y93" s="17">
        <f>IF(Y55=0,0,Y59/Y55)</f>
        <v/>
      </c>
      <c r="Z93" s="17">
        <f>IF(Z55=0,0,Z59/Z55)</f>
        <v/>
      </c>
      <c r="AA93" s="17">
        <f>IF(AA55=0,0,AA59/AA55)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0.3300331966251702</v>
      </c>
      <c r="E94" s="4" t="n">
        <v>0.2107264621585594</v>
      </c>
      <c r="F94" s="4" t="n">
        <v>0.1623430188887206</v>
      </c>
      <c r="G94" s="4" t="n">
        <v>0.1015040611724905</v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  <c r="L94" s="17">
        <f>IF(L55=0,0,L69/L55)</f>
        <v/>
      </c>
      <c r="M94" s="17">
        <f>IF(M55=0,0,M69/M55)</f>
        <v/>
      </c>
      <c r="N94" s="17">
        <f>IF(N55=0,0,N69/N55)</f>
        <v/>
      </c>
      <c r="O94" s="17">
        <f>IF(O55=0,0,O69/O55)</f>
        <v/>
      </c>
      <c r="P94" s="17">
        <f>IF(P55=0,0,P69/P55)</f>
        <v/>
      </c>
      <c r="Q94" s="17">
        <f>IF(Q55=0,0,Q69/Q55)</f>
        <v/>
      </c>
      <c r="R94" s="17">
        <f>IF(R55=0,0,R69/R55)</f>
        <v/>
      </c>
      <c r="S94" s="17">
        <f>IF(S55=0,0,S69/S55)</f>
        <v/>
      </c>
      <c r="T94" s="17">
        <f>IF(T55=0,0,T69/T55)</f>
        <v/>
      </c>
      <c r="U94" s="17">
        <f>IF(U55=0,0,U69/U55)</f>
        <v/>
      </c>
      <c r="V94" s="17">
        <f>IF(V55=0,0,V69/V55)</f>
        <v/>
      </c>
      <c r="W94" s="17">
        <f>IF(W55=0,0,W69/W55)</f>
        <v/>
      </c>
      <c r="X94" s="17">
        <f>IF(X55=0,0,X69/X55)</f>
        <v/>
      </c>
      <c r="Y94" s="17">
        <f>IF(Y55=0,0,Y69/Y55)</f>
        <v/>
      </c>
      <c r="Z94" s="17">
        <f>IF(Z55=0,0,Z69/Z55)</f>
        <v/>
      </c>
      <c r="AA94" s="17">
        <f>IF(AA55=0,0,AA69/AA55)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-0.5830821676384147</v>
      </c>
      <c r="F95" s="4" t="n">
        <v>-0.2522570058621193</v>
      </c>
      <c r="G95" s="4" t="n">
        <v>-0.4868857396066197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  <c r="L95" s="17">
        <f>(IF(K71=0,0,L71/K71)-1)</f>
        <v/>
      </c>
      <c r="M95" s="17">
        <f>(IF(L71=0,0,M71/L71)-1)</f>
        <v/>
      </c>
      <c r="N95" s="17">
        <f>(IF(M71=0,0,N71/M71)-1)</f>
        <v/>
      </c>
      <c r="O95" s="17">
        <f>(IF(N71=0,0,O71/N71)-1)</f>
        <v/>
      </c>
      <c r="P95" s="17">
        <f>(IF(O71=0,0,P71/O71)-1)</f>
        <v/>
      </c>
      <c r="Q95" s="17">
        <f>(IF(P71=0,0,Q71/P71)-1)</f>
        <v/>
      </c>
      <c r="R95" s="17">
        <f>(IF(Q71=0,0,R71/Q71)-1)</f>
        <v/>
      </c>
      <c r="S95" s="17">
        <f>(IF(R71=0,0,S71/R71)-1)</f>
        <v/>
      </c>
      <c r="T95" s="17">
        <f>(IF(S71=0,0,T71/S71)-1)</f>
        <v/>
      </c>
      <c r="U95" s="17">
        <f>(IF(T71=0,0,U71/T71)-1)</f>
        <v/>
      </c>
      <c r="V95" s="17">
        <f>(IF(U71=0,0,V71/U71)-1)</f>
        <v/>
      </c>
      <c r="W95" s="17">
        <f>(IF(V71=0,0,W71/V71)-1)</f>
        <v/>
      </c>
      <c r="X95" s="17">
        <f>(IF(W71=0,0,X71/W71)-1)</f>
        <v/>
      </c>
      <c r="Y95" s="17">
        <f>(IF(X71=0,0,Y71/X71)-1)</f>
        <v/>
      </c>
      <c r="Z95" s="17">
        <f>(IF(Y71=0,0,Z71/Y71)-1)</f>
        <v/>
      </c>
      <c r="AA95" s="17">
        <f>(IF(Z71=0,0,AA71/Z71)-1)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0.2673681684865511</v>
      </c>
      <c r="F96" s="4" t="n">
        <v>0.2013749426075574</v>
      </c>
      <c r="G96" s="4" t="n">
        <v>0.09979994538025405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  <c r="L96" s="17">
        <f>IF(IF(2=0,0,(L84+K84)/2)=0,0,L69/IF(2=0,0,(L84+K84)/2))</f>
        <v/>
      </c>
      <c r="M96" s="17">
        <f>IF(IF(2=0,0,(M84+L84)/2)=0,0,M69/IF(2=0,0,(M84+L84)/2))</f>
        <v/>
      </c>
      <c r="N96" s="17">
        <f>IF(IF(2=0,0,(N84+M84)/2)=0,0,N69/IF(2=0,0,(N84+M84)/2))</f>
        <v/>
      </c>
      <c r="O96" s="17">
        <f>IF(IF(2=0,0,(O84+N84)/2)=0,0,O69/IF(2=0,0,(O84+N84)/2))</f>
        <v/>
      </c>
      <c r="P96" s="17">
        <f>IF(IF(2=0,0,(P84+O84)/2)=0,0,P69/IF(2=0,0,(P84+O84)/2))</f>
        <v/>
      </c>
      <c r="Q96" s="17">
        <f>IF(IF(2=0,0,(Q84+P84)/2)=0,0,Q69/IF(2=0,0,(Q84+P84)/2))</f>
        <v/>
      </c>
      <c r="R96" s="17">
        <f>IF(IF(2=0,0,(R84+Q84)/2)=0,0,R69/IF(2=0,0,(R84+Q84)/2))</f>
        <v/>
      </c>
      <c r="S96" s="17">
        <f>IF(IF(2=0,0,(S84+R84)/2)=0,0,S69/IF(2=0,0,(S84+R84)/2))</f>
        <v/>
      </c>
      <c r="T96" s="17">
        <f>IF(IF(2=0,0,(T84+S84)/2)=0,0,T69/IF(2=0,0,(T84+S84)/2))</f>
        <v/>
      </c>
      <c r="U96" s="17">
        <f>IF(IF(2=0,0,(U84+T84)/2)=0,0,U69/IF(2=0,0,(U84+T84)/2))</f>
        <v/>
      </c>
      <c r="V96" s="17">
        <f>IF(IF(2=0,0,(V84+U84)/2)=0,0,V69/IF(2=0,0,(V84+U84)/2))</f>
        <v/>
      </c>
      <c r="W96" s="17">
        <f>IF(IF(2=0,0,(W84+V84)/2)=0,0,W69/IF(2=0,0,(W84+V84)/2))</f>
        <v/>
      </c>
      <c r="X96" s="17">
        <f>IF(IF(2=0,0,(X84+W84)/2)=0,0,X69/IF(2=0,0,(X84+W84)/2))</f>
        <v/>
      </c>
      <c r="Y96" s="17">
        <f>IF(IF(2=0,0,(Y84+X84)/2)=0,0,Y69/IF(2=0,0,(Y84+X84)/2))</f>
        <v/>
      </c>
      <c r="Z96" s="17">
        <f>IF(IF(2=0,0,(Z84+Y84)/2)=0,0,Z69/IF(2=0,0,(Z84+Y84)/2))</f>
        <v/>
      </c>
      <c r="AA96" s="17">
        <f>IF(IF(2=0,0,(AA84+Z84)/2)=0,0,AA69/IF(2=0,0,(AA84+Z84)/2))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>
        <v>-0.8098102179161984</v>
      </c>
      <c r="E97" s="22" t="n">
        <v>-1.28596797971554</v>
      </c>
      <c r="F97" s="22" t="n">
        <v>-1.775957267338379</v>
      </c>
      <c r="G97" s="22" t="n">
        <v>-2.450233011296278</v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  <c r="M97" s="23">
        <f>IF(M61=0,0,M88/M61)</f>
        <v/>
      </c>
      <c r="N97" s="23">
        <f>IF(N61=0,0,N88/N61)</f>
        <v/>
      </c>
      <c r="O97" s="23">
        <f>IF(O61=0,0,O88/O61)</f>
        <v/>
      </c>
      <c r="P97" s="23">
        <f>IF(P61=0,0,P88/P61)</f>
        <v/>
      </c>
      <c r="Q97" s="23">
        <f>IF(Q61=0,0,Q88/Q61)</f>
        <v/>
      </c>
      <c r="R97" s="23">
        <f>IF(R61=0,0,R88/R61)</f>
        <v/>
      </c>
      <c r="S97" s="23">
        <f>IF(S61=0,0,S88/S61)</f>
        <v/>
      </c>
      <c r="T97" s="23">
        <f>IF(T61=0,0,T88/T61)</f>
        <v/>
      </c>
      <c r="U97" s="23">
        <f>IF(U61=0,0,U88/U61)</f>
        <v/>
      </c>
      <c r="V97" s="23">
        <f>IF(V61=0,0,V88/V61)</f>
        <v/>
      </c>
      <c r="W97" s="23">
        <f>IF(W61=0,0,W88/W61)</f>
        <v/>
      </c>
      <c r="X97" s="23">
        <f>IF(X61=0,0,X88/X61)</f>
        <v/>
      </c>
      <c r="Y97" s="23">
        <f>IF(Y61=0,0,Y88/Y61)</f>
        <v/>
      </c>
      <c r="Z97" s="23">
        <f>IF(Z61=0,0,Z88/Z61)</f>
        <v/>
      </c>
      <c r="AA97" s="23">
        <f>IF(AA61=0,0,AA88/AA61)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0.5736159862566202</v>
      </c>
      <c r="E98" s="4" t="n">
        <v>0.4262912345218364</v>
      </c>
      <c r="F98" s="4" t="n">
        <v>0.539713998957525</v>
      </c>
      <c r="G98" s="4" t="n">
        <v>0.3368477546609404</v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  <c r="L98" s="17">
        <f>IF(L71=0,0,L72/L71)</f>
        <v/>
      </c>
      <c r="M98" s="17">
        <f>IF(M71=0,0,M72/M71)</f>
        <v/>
      </c>
      <c r="N98" s="17">
        <f>IF(N71=0,0,N72/N71)</f>
        <v/>
      </c>
      <c r="O98" s="17">
        <f>IF(O71=0,0,O72/O71)</f>
        <v/>
      </c>
      <c r="P98" s="17">
        <f>IF(P71=0,0,P72/P71)</f>
        <v/>
      </c>
      <c r="Q98" s="17">
        <f>IF(Q71=0,0,Q72/Q71)</f>
        <v/>
      </c>
      <c r="R98" s="17">
        <f>IF(R71=0,0,R72/R71)</f>
        <v/>
      </c>
      <c r="S98" s="17">
        <f>IF(S71=0,0,S72/S71)</f>
        <v/>
      </c>
      <c r="T98" s="17">
        <f>IF(T71=0,0,T72/T71)</f>
        <v/>
      </c>
      <c r="U98" s="17">
        <f>IF(U71=0,0,U72/U71)</f>
        <v/>
      </c>
      <c r="V98" s="17">
        <f>IF(V71=0,0,V72/V71)</f>
        <v/>
      </c>
      <c r="W98" s="17">
        <f>IF(W71=0,0,W72/W71)</f>
        <v/>
      </c>
      <c r="X98" s="17">
        <f>IF(X71=0,0,X72/X71)</f>
        <v/>
      </c>
      <c r="Y98" s="17">
        <f>IF(Y71=0,0,Y72/Y71)</f>
        <v/>
      </c>
      <c r="Z98" s="17">
        <f>IF(Z71=0,0,Z72/Z71)</f>
        <v/>
      </c>
      <c r="AA98" s="17">
        <f>IF(AA71=0,0,AA72/AA71)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0.01220940577463421</v>
      </c>
      <c r="E99" s="4" t="n">
        <v>0.03399633157352752</v>
      </c>
      <c r="F99" s="4" t="n">
        <v>0.03883841029083571</v>
      </c>
      <c r="G99" s="4" t="n">
        <v>0.0636502867726291</v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  <c r="L99" s="17">
        <f>IF(L55=0,0,L74/L55)</f>
        <v/>
      </c>
      <c r="M99" s="17">
        <f>IF(M55=0,0,M74/M55)</f>
        <v/>
      </c>
      <c r="N99" s="17">
        <f>IF(N55=0,0,N74/N55)</f>
        <v/>
      </c>
      <c r="O99" s="17">
        <f>IF(O55=0,0,O74/O55)</f>
        <v/>
      </c>
      <c r="P99" s="17">
        <f>IF(P55=0,0,P74/P55)</f>
        <v/>
      </c>
      <c r="Q99" s="17">
        <f>IF(Q55=0,0,Q74/Q55)</f>
        <v/>
      </c>
      <c r="R99" s="17">
        <f>IF(R55=0,0,R74/R55)</f>
        <v/>
      </c>
      <c r="S99" s="17">
        <f>IF(S55=0,0,S74/S55)</f>
        <v/>
      </c>
      <c r="T99" s="17">
        <f>IF(T55=0,0,T74/T55)</f>
        <v/>
      </c>
      <c r="U99" s="17">
        <f>IF(U55=0,0,U74/U55)</f>
        <v/>
      </c>
      <c r="V99" s="17">
        <f>IF(V55=0,0,V74/V55)</f>
        <v/>
      </c>
      <c r="W99" s="17">
        <f>IF(W55=0,0,W74/W55)</f>
        <v/>
      </c>
      <c r="X99" s="17">
        <f>IF(X55=0,0,X74/X55)</f>
        <v/>
      </c>
      <c r="Y99" s="17">
        <f>IF(Y55=0,0,Y74/Y55)</f>
        <v/>
      </c>
      <c r="Z99" s="17">
        <f>IF(Z55=0,0,Z74/Z55)</f>
        <v/>
      </c>
      <c r="AA99" s="17">
        <f>IF(AA55=0,0,AA74/AA55)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24900</v>
      </c>
    </row>
    <row r="103">
      <c r="A103" t="inlineStr">
        <is>
          <t>Shares outstanding (m)</t>
        </is>
      </c>
      <c r="C103" s="13" t="n">
        <v>1102.7003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99.339</v>
      </c>
    </row>
    <row r="106">
      <c r="A106" t="inlineStr">
        <is>
          <t>Cash at balance-sheet date</t>
        </is>
      </c>
      <c r="C106" s="13" t="n">
        <v>804.0170000000001</v>
      </c>
    </row>
    <row r="107">
      <c r="A107" t="inlineStr">
        <is>
          <t>Minority interest (book)</t>
        </is>
      </c>
      <c r="C107" s="13" t="n">
        <v>10.039</v>
      </c>
    </row>
    <row r="108">
      <c r="A108" t="inlineStr">
        <is>
          <t>Associates &amp; investments (book)</t>
        </is>
      </c>
      <c r="C108" s="13" t="n">
        <v>0</v>
      </c>
    </row>
    <row r="109">
      <c r="A109" t="inlineStr">
        <is>
          <t>Post-balance-sheet &amp; other items (sourced, probability-weighted)</t>
        </is>
      </c>
      <c r="C109" s="13" t="n">
        <v>0</v>
      </c>
    </row>
    <row r="110">
      <c r="A110" t="inlineStr">
        <is>
          <t>Parent equity at balance-sheet date</t>
        </is>
      </c>
      <c r="C110" s="13" t="n">
        <v>1900.449</v>
      </c>
    </row>
    <row r="111">
      <c r="A111" t="inlineStr">
        <is>
          <t>Per-share factor</t>
        </is>
      </c>
      <c r="C111" s="24" t="n">
        <v>1</v>
      </c>
    </row>
    <row r="112">
      <c r="A112" t="inlineStr">
        <is>
          <t>Risk-free rate</t>
        </is>
      </c>
      <c r="C112" s="9">
        <f>Drivers!$C$12</f>
        <v/>
      </c>
    </row>
    <row r="113">
      <c r="A113" t="inlineStr">
        <is>
          <t>Less: default spread (IDR only)</t>
        </is>
      </c>
      <c r="C113" s="9" t="n">
        <v>0</v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0.06562243503078827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  <c r="K126" s="6" t="n">
        <v>0.996578</v>
      </c>
      <c r="L126" s="6" t="n">
        <v>0.996578</v>
      </c>
      <c r="M126" s="6" t="n">
        <v>0.996578</v>
      </c>
      <c r="N126" s="6" t="n">
        <v>0.999316</v>
      </c>
      <c r="O126" s="6" t="n">
        <v>0.996578</v>
      </c>
      <c r="P126" s="6" t="n">
        <v>0.996578</v>
      </c>
      <c r="Q126" s="6" t="n">
        <v>0.996578</v>
      </c>
      <c r="R126" s="6" t="n">
        <v>0.999316</v>
      </c>
      <c r="S126" s="6" t="n">
        <v>0.996578</v>
      </c>
      <c r="T126" s="6" t="n">
        <v>0.996578</v>
      </c>
      <c r="U126" s="6" t="n">
        <v>0.996578</v>
      </c>
      <c r="V126" s="6" t="n">
        <v>0.999316</v>
      </c>
      <c r="W126" s="6" t="n">
        <v>0.996578</v>
      </c>
      <c r="X126" s="6" t="n">
        <v>0.996578</v>
      </c>
      <c r="Y126" s="6" t="n">
        <v>0.996578</v>
      </c>
      <c r="Z126" s="6" t="n">
        <v>0.999316</v>
      </c>
      <c r="AA126" s="6" t="n">
        <v>0.996578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  <c r="K127" s="6" t="n">
        <v>2.672142</v>
      </c>
      <c r="L127" s="6" t="n">
        <v>3.671458</v>
      </c>
      <c r="M127" s="6" t="n">
        <v>4.670773</v>
      </c>
      <c r="N127" s="6" t="n">
        <v>5.670089</v>
      </c>
      <c r="O127" s="6" t="n">
        <v>6.672142</v>
      </c>
      <c r="P127" s="6" t="n">
        <v>7.671458</v>
      </c>
      <c r="Q127" s="6" t="n">
        <v>8.670773000000001</v>
      </c>
      <c r="R127" s="6" t="n">
        <v>9.670089000000001</v>
      </c>
      <c r="S127" s="6" t="n">
        <v>10.672142</v>
      </c>
      <c r="T127" s="6" t="n">
        <v>11.671458</v>
      </c>
      <c r="U127" s="6" t="n">
        <v>12.670773</v>
      </c>
      <c r="V127" s="6" t="n">
        <v>13.670089</v>
      </c>
      <c r="W127" s="6" t="n">
        <v>14.672142</v>
      </c>
      <c r="X127" s="6" t="n">
        <v>15.671458</v>
      </c>
      <c r="Y127" s="6" t="n">
        <v>16.670773</v>
      </c>
      <c r="Z127" s="6" t="n">
        <v>17.670089</v>
      </c>
      <c r="AA127" s="6" t="n">
        <v>18.672142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  <c r="P128">
        <f>1/(1+$C$122)^P127</f>
        <v/>
      </c>
      <c r="Q128">
        <f>1/(1+$C$122)^Q127</f>
        <v/>
      </c>
      <c r="R128">
        <f>1/(1+$C$122)^R127</f>
        <v/>
      </c>
      <c r="S128">
        <f>1/(1+$C$122)^S127</f>
        <v/>
      </c>
      <c r="T128">
        <f>1/(1+$C$122)^T127</f>
        <v/>
      </c>
      <c r="U128">
        <f>1/(1+$C$122)^U127</f>
        <v/>
      </c>
      <c r="V128">
        <f>1/(1+$C$122)^V127</f>
        <v/>
      </c>
      <c r="W128">
        <f>1/(1+$C$122)^W127</f>
        <v/>
      </c>
      <c r="X128">
        <f>1/(1+$C$122)^X127</f>
        <v/>
      </c>
      <c r="Y128">
        <f>1/(1+$C$122)^Y127</f>
        <v/>
      </c>
      <c r="Z128">
        <f>1/(1+$C$122)^Z127</f>
        <v/>
      </c>
      <c r="AA128">
        <f>1/(1+$C$122)^AA127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  <c r="M129" s="26">
        <f>M76*M126*M128</f>
        <v/>
      </c>
      <c r="N129" s="26">
        <f>N76*N126*N128</f>
        <v/>
      </c>
      <c r="O129" s="26">
        <f>O76*O126*O128</f>
        <v/>
      </c>
      <c r="P129" s="26">
        <f>P76*P126*P128</f>
        <v/>
      </c>
      <c r="Q129" s="26">
        <f>Q76*Q126*Q128</f>
        <v/>
      </c>
      <c r="R129" s="26">
        <f>R76*R126*R128</f>
        <v/>
      </c>
      <c r="S129" s="26">
        <f>S76*S126*S128</f>
        <v/>
      </c>
      <c r="T129" s="26">
        <f>T76*T126*T128</f>
        <v/>
      </c>
      <c r="U129" s="26">
        <f>U76*U126*U128</f>
        <v/>
      </c>
      <c r="V129" s="26">
        <f>V76*V126*V128</f>
        <v/>
      </c>
      <c r="W129" s="26">
        <f>W76*W126*W128</f>
        <v/>
      </c>
      <c r="X129" s="26">
        <f>X76*X126*X128</f>
        <v/>
      </c>
      <c r="Y129" s="26">
        <f>Y76*Y126*Y128</f>
        <v/>
      </c>
      <c r="Z129" s="26">
        <f>Z76*Z126*Z128</f>
        <v/>
      </c>
      <c r="AA129" s="26">
        <f>AA76*AA126*AA128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  <c r="M130" s="26">
        <f>L130+M129</f>
        <v/>
      </c>
      <c r="N130" s="26">
        <f>M130+N129</f>
        <v/>
      </c>
      <c r="O130" s="26">
        <f>N130+O129</f>
        <v/>
      </c>
      <c r="P130" s="26">
        <f>O130+P129</f>
        <v/>
      </c>
      <c r="Q130" s="26">
        <f>P130+Q129</f>
        <v/>
      </c>
      <c r="R130" s="26">
        <f>Q130+R129</f>
        <v/>
      </c>
      <c r="S130" s="26">
        <f>R130+S129</f>
        <v/>
      </c>
      <c r="T130" s="26">
        <f>S130+T129</f>
        <v/>
      </c>
      <c r="U130" s="26">
        <f>T130+U129</f>
        <v/>
      </c>
      <c r="V130" s="26">
        <f>U130+V129</f>
        <v/>
      </c>
      <c r="W130" s="26">
        <f>V130+W129</f>
        <v/>
      </c>
      <c r="X130" s="26">
        <f>W130+X129</f>
        <v/>
      </c>
      <c r="Y130" s="26">
        <f>X130+Y129</f>
        <v/>
      </c>
      <c r="Z130" s="26">
        <f>Y130+Z129</f>
        <v/>
      </c>
      <c r="AA130" s="26">
        <f>Z130+AA129</f>
        <v/>
      </c>
    </row>
    <row r="131">
      <c r="A131" t="inlineStr">
        <is>
          <t>Best cumulative PV (never below zero)</t>
        </is>
      </c>
      <c r="C131" s="26">
        <f>MAX(0,MAX(H130:AA130))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MAX(0,$C$134/$C$103*$C$111*$C$104)</f>
        <v/>
      </c>
    </row>
    <row r="137">
      <c r="A137" s="1" t="inlineStr">
        <is>
          <t>EV/EBITDA</t>
        </is>
      </c>
    </row>
    <row r="138">
      <c r="A138" t="inlineStr">
        <is>
          <t>Target multiple (average of peer median and own five-year average)</t>
        </is>
      </c>
      <c r="C138" s="22" t="n">
        <v>4.091942</v>
      </c>
    </row>
    <row r="139">
      <c r="A139" t="inlineStr">
        <is>
          <t>Metric (LTM, or next-12m DPS for yield)</t>
        </is>
      </c>
      <c r="C139" s="13" t="n">
        <v>321.48</v>
      </c>
    </row>
    <row r="140">
      <c r="A140" t="inlineStr">
        <is>
          <t>Value per share (IDR) — EV/EBITDA</t>
        </is>
      </c>
      <c r="C140" s="27">
        <f>MAX(0,($C$138*$C$139-($C$105-$C$106)-$C$107+$C$108+$C$109)/$C$103*$C$111*$C$104)</f>
        <v/>
      </c>
    </row>
    <row r="142">
      <c r="A142" s="1" t="inlineStr">
        <is>
          <t>Dividend yield</t>
        </is>
      </c>
    </row>
    <row r="143">
      <c r="A143" t="inlineStr">
        <is>
          <t>Target multiple (average of peer median and own five-year average)</t>
        </is>
      </c>
      <c r="C143" s="4" t="n">
        <v>0.11331</v>
      </c>
    </row>
    <row r="144">
      <c r="A144" t="inlineStr">
        <is>
          <t>Metric (LTM, or next-12m DPS for yield)</t>
        </is>
      </c>
      <c r="C144" s="13" t="n">
        <v>0.148222</v>
      </c>
    </row>
    <row r="145">
      <c r="A145" t="inlineStr">
        <is>
          <t>Value per share (IDR) — Dividend yield</t>
        </is>
      </c>
      <c r="C145" s="27">
        <f>MAX(0,$C$144/$C$143*$C$104)</f>
        <v/>
      </c>
    </row>
    <row r="147">
      <c r="A147" s="1" t="inlineStr">
        <is>
          <t>TARGET</t>
        </is>
      </c>
    </row>
    <row r="148">
      <c r="A148" t="inlineStr">
        <is>
          <t>Weight: DCF to end of life (no terminal value)</t>
        </is>
      </c>
      <c r="C148" s="4" t="n">
        <v>0.6</v>
      </c>
    </row>
    <row r="149">
      <c r="A149" t="inlineStr">
        <is>
          <t>Weight: EV/EBITDA</t>
        </is>
      </c>
      <c r="C149" s="4" t="n">
        <v>0.25</v>
      </c>
    </row>
    <row r="150">
      <c r="A150" t="inlineStr">
        <is>
          <t>Weight: Dividend yield</t>
        </is>
      </c>
      <c r="C150" s="4" t="n">
        <v>0.15</v>
      </c>
    </row>
    <row r="151">
      <c r="A151" t="inlineStr">
        <is>
          <t>Value today (weighted)</t>
        </is>
      </c>
      <c r="C151" s="27">
        <f>$C$135*$C$148+$C$140*$C$149+$C$145*$C$150</f>
        <v/>
      </c>
    </row>
    <row r="152">
      <c r="A152" t="inlineStr">
        <is>
          <t>DPS expected in next 12 months (IDR)</t>
        </is>
      </c>
      <c r="C152" s="20" t="n">
        <v>2688.452247712843</v>
      </c>
    </row>
    <row r="153">
      <c r="A153" t="inlineStr">
        <is>
          <t>Base-case 12-month value</t>
        </is>
      </c>
      <c r="C153" s="27">
        <f>MAX(0,$C$151*(1+$C$120)-$C$152)</f>
        <v/>
      </c>
    </row>
    <row r="154">
      <c r="A154" t="inlineStr">
        <is>
          <t>Bear probability</t>
        </is>
      </c>
      <c r="C154" s="4" t="n">
        <v>0.25</v>
      </c>
    </row>
    <row r="155">
      <c r="A155" t="inlineStr">
        <is>
          <t>Bear 12-month value (engine)</t>
        </is>
      </c>
      <c r="C155" s="20" t="n">
        <v>17099.89417495934</v>
      </c>
    </row>
    <row r="156">
      <c r="A156" t="inlineStr">
        <is>
          <t>Base probability</t>
        </is>
      </c>
      <c r="C156" s="4" t="n">
        <v>0.5</v>
      </c>
    </row>
    <row r="157">
      <c r="A157" t="inlineStr">
        <is>
          <t>Bull probability</t>
        </is>
      </c>
      <c r="C157" s="4" t="n">
        <v>0.25</v>
      </c>
    </row>
    <row r="158">
      <c r="A158" t="inlineStr">
        <is>
          <t>Bull 12-month value (engine)</t>
        </is>
      </c>
      <c r="C158" s="20" t="n">
        <v>41735.56627257003</v>
      </c>
    </row>
    <row r="159">
      <c r="A159" t="inlineStr">
        <is>
          <t>Probability-weighted 12-month value</t>
        </is>
      </c>
      <c r="C159" s="27">
        <f>$C$154*$C$155+$C$156*$C$153+$C$157*$C$158</f>
        <v/>
      </c>
    </row>
    <row r="160">
      <c r="A160" t="inlineStr">
        <is>
          <t>Liquidity discount (limits.yaml)</t>
        </is>
      </c>
      <c r="C160" s="4" t="n">
        <v>0</v>
      </c>
    </row>
    <row r="161">
      <c r="A161" t="inlineStr">
        <is>
          <t>TARGET PRICE (IDR)</t>
        </is>
      </c>
      <c r="C161" s="28">
        <f>$C$159*(1-$C$160)</f>
        <v/>
      </c>
    </row>
    <row r="162">
      <c r="A162" t="inlineStr">
        <is>
          <t>Expected 12-month total return</t>
        </is>
      </c>
      <c r="C162" s="29">
        <f>($C$161+$C$152)/$C$102-1</f>
        <v/>
      </c>
    </row>
    <row r="163">
      <c r="A163" t="inlineStr">
        <is>
          <t>Rating</t>
        </is>
      </c>
      <c r="C163" s="30">
        <f>IF($C$162&gt;=0.25,"BUY",IF($C$162&gt;=0.1,"ADD",IF($C$162&lt;=-0.25,"SELL",IF($C$162&lt;=-0.1,"REDUCE","HOLD"))))</f>
        <v/>
      </c>
    </row>
    <row r="165">
      <c r="A165" s="1" t="inlineStr">
        <is>
          <t>12-month value vs benchmark price and IDR/USD (engine values)</t>
        </is>
      </c>
    </row>
    <row r="166">
      <c r="A166" s="5" t="inlineStr">
        <is>
          <t>rows: IDR per USD (x deck) · columns: Benchmark price (x deck)</t>
        </is>
      </c>
      <c r="D166" s="1" t="n">
        <v>0.8</v>
      </c>
      <c r="E166" s="1" t="n">
        <v>0.9</v>
      </c>
      <c r="F166" s="1" t="n">
        <v>1</v>
      </c>
      <c r="G166" s="1" t="n">
        <v>1.1</v>
      </c>
      <c r="H166" s="1" t="n">
        <v>1.2</v>
      </c>
    </row>
    <row r="167">
      <c r="C167" s="1" t="n">
        <v>0.9</v>
      </c>
      <c r="D167" s="27" t="n">
        <v>15342.191296</v>
      </c>
      <c r="E167" s="27" t="n">
        <v>16484.824749</v>
      </c>
      <c r="F167" s="27" t="n">
        <v>19134.639747</v>
      </c>
      <c r="G167" s="27" t="n">
        <v>24285.608876</v>
      </c>
      <c r="H167" s="27" t="n">
        <v>31126.577842</v>
      </c>
    </row>
    <row r="168">
      <c r="C168" s="1" t="n">
        <v>0.95</v>
      </c>
      <c r="D168" s="27" t="n">
        <v>16196.615454</v>
      </c>
      <c r="E168" s="27" t="n">
        <v>17403.003503</v>
      </c>
      <c r="F168" s="27" t="n">
        <v>20200.54882</v>
      </c>
      <c r="G168" s="27" t="n">
        <v>25638.731406</v>
      </c>
      <c r="H168" s="27" t="n">
        <v>32861.332367</v>
      </c>
    </row>
    <row r="169">
      <c r="C169" s="1" t="n">
        <v>1</v>
      </c>
      <c r="D169" s="27" t="n">
        <v>17051.25858</v>
      </c>
      <c r="E169" s="27" t="n">
        <v>18321.430147</v>
      </c>
      <c r="F169" s="27" t="n">
        <v>21266.760046</v>
      </c>
      <c r="G169" s="27" t="n">
        <v>26992.264912</v>
      </c>
      <c r="H169" s="27" t="n">
        <v>34596.660593</v>
      </c>
    </row>
    <row r="170">
      <c r="C170" s="1" t="n">
        <v>1.05</v>
      </c>
      <c r="D170" s="27" t="n">
        <v>17906.120675</v>
      </c>
      <c r="E170" s="27" t="n">
        <v>19240.10468</v>
      </c>
      <c r="F170" s="27" t="n">
        <v>22333.273376</v>
      </c>
      <c r="G170" s="27" t="n">
        <v>28346.209131</v>
      </c>
      <c r="H170" s="27" t="n">
        <v>36332.56178</v>
      </c>
    </row>
    <row r="171">
      <c r="C171" s="1" t="n">
        <v>1.1</v>
      </c>
      <c r="D171" s="27" t="n">
        <v>18761.201737</v>
      </c>
      <c r="E171" s="27" t="n">
        <v>20159.027097</v>
      </c>
      <c r="F171" s="27" t="n">
        <v>23400.088767</v>
      </c>
      <c r="G171" s="27" t="n">
        <v>29700.563805</v>
      </c>
      <c r="H171" s="27" t="n">
        <v>38069.035197</v>
      </c>
    </row>
    <row r="173">
      <c r="A173" s="1" t="inlineStr">
        <is>
          <t>12-month value vs volume and unit cost intensity (engine values)</t>
        </is>
      </c>
    </row>
    <row r="174">
      <c r="A174" s="5" t="inlineStr">
        <is>
          <t>rows: Volume (x plan) · columns: Cost intensity / strip ratio (x)</t>
        </is>
      </c>
      <c r="D174" s="1" t="n">
        <v>0.85</v>
      </c>
      <c r="E174" s="1" t="n">
        <v>0.925</v>
      </c>
      <c r="F174" s="1" t="n">
        <v>1</v>
      </c>
      <c r="G174" s="1" t="n">
        <v>1.075</v>
      </c>
      <c r="H174" s="1" t="n">
        <v>1.15</v>
      </c>
    </row>
    <row r="175">
      <c r="C175" s="1" t="n">
        <v>0.9</v>
      </c>
      <c r="D175" s="27" t="n">
        <v>28863.773497</v>
      </c>
      <c r="E175" s="27" t="n">
        <v>24806.541732</v>
      </c>
      <c r="F175" s="27" t="n">
        <v>21070.105926</v>
      </c>
      <c r="G175" s="27" t="n">
        <v>19387.348578</v>
      </c>
      <c r="H175" s="27" t="n">
        <v>18438.213546</v>
      </c>
    </row>
    <row r="176">
      <c r="C176" s="1" t="n">
        <v>0.95</v>
      </c>
      <c r="D176" s="27" t="n">
        <v>29389.156179</v>
      </c>
      <c r="E176" s="27" t="n">
        <v>25226.846445</v>
      </c>
      <c r="F176" s="27" t="n">
        <v>21248.999207</v>
      </c>
      <c r="G176" s="27" t="n">
        <v>19472.755339</v>
      </c>
      <c r="H176" s="27" t="n">
        <v>18470.890584</v>
      </c>
    </row>
    <row r="177">
      <c r="C177" s="1" t="n">
        <v>1</v>
      </c>
      <c r="D177" s="27" t="n">
        <v>29898.123736</v>
      </c>
      <c r="E177" s="27" t="n">
        <v>25637.938466</v>
      </c>
      <c r="F177" s="27" t="n">
        <v>21427.892488</v>
      </c>
      <c r="G177" s="27" t="n">
        <v>19558.162101</v>
      </c>
      <c r="H177" s="27" t="n">
        <v>18503.567621</v>
      </c>
    </row>
    <row r="178">
      <c r="C178" s="1" t="n">
        <v>1.05</v>
      </c>
      <c r="D178" s="27" t="n">
        <v>30385.455155</v>
      </c>
      <c r="E178" s="27" t="n">
        <v>26034.814583</v>
      </c>
      <c r="F178" s="27" t="n">
        <v>21684.174011</v>
      </c>
      <c r="G178" s="27" t="n">
        <v>19643.568863</v>
      </c>
      <c r="H178" s="27" t="n">
        <v>18536.244659</v>
      </c>
    </row>
    <row r="179">
      <c r="C179" s="1" t="n">
        <v>1.1</v>
      </c>
      <c r="D179" s="27" t="n">
        <v>30861.861154</v>
      </c>
      <c r="E179" s="27" t="n">
        <v>26424.771155</v>
      </c>
      <c r="F179" s="27" t="n">
        <v>21987.681155</v>
      </c>
      <c r="G179" s="27" t="n">
        <v>19728.975625</v>
      </c>
      <c r="H179" s="27" t="n">
        <v>18568.921697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 Resource Alam Indonesia Tbk (KKGI.JK) — Coal producers</t>
        </is>
      </c>
    </row>
    <row r="2">
      <c r="A2" s="5" t="inlineStr">
        <is>
          <t>Units: USD m; per-share in USD unless marked IDR. Model asof 2026-10-30 · data 2026-10-29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10</v>
      </c>
    </row>
    <row r="8">
      <c r="A8" t="inlineStr">
        <is>
          <t>ps_factor</t>
        </is>
      </c>
      <c r="C8" s="6" t="n">
        <v>1</v>
      </c>
    </row>
    <row r="9">
      <c r="A9" t="inlineStr">
        <is>
          <t>reserves</t>
        </is>
      </c>
      <c r="C9" s="6" t="n">
        <v>137.894154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2.84</v>
      </c>
      <c r="I14" s="13" t="n">
        <v>2.84</v>
      </c>
      <c r="J14" s="13" t="n">
        <v>2.84</v>
      </c>
      <c r="K14" s="13" t="n">
        <v>2.84</v>
      </c>
      <c r="L14" s="13" t="n">
        <v>2.84</v>
      </c>
      <c r="M14" s="13" t="n">
        <v>2.84</v>
      </c>
      <c r="N14" s="13" t="n">
        <v>2.84</v>
      </c>
      <c r="O14" s="13" t="n">
        <v>2.84</v>
      </c>
      <c r="P14" s="13" t="n">
        <v>2.84</v>
      </c>
      <c r="Q14" s="13" t="n">
        <v>2.84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0.38</v>
      </c>
      <c r="I15" s="14" t="n">
        <v>0.38</v>
      </c>
      <c r="J15" s="14" t="n">
        <v>0.38</v>
      </c>
      <c r="K15" s="14" t="n">
        <v>0.38</v>
      </c>
      <c r="L15" s="14" t="n">
        <v>0.38</v>
      </c>
      <c r="M15" s="14" t="n">
        <v>0.38</v>
      </c>
      <c r="N15" s="14" t="n">
        <v>0.38</v>
      </c>
      <c r="O15" s="14" t="n">
        <v>0.38</v>
      </c>
      <c r="P15" s="14" t="n">
        <v>0.38</v>
      </c>
      <c r="Q15" s="14" t="n">
        <v>0.38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7.24</v>
      </c>
      <c r="I17" s="14" t="n">
        <v>7.24</v>
      </c>
      <c r="J17" s="14" t="n">
        <v>7.24</v>
      </c>
      <c r="K17" s="14" t="n">
        <v>7.24</v>
      </c>
      <c r="L17" s="14" t="n">
        <v>7.24</v>
      </c>
      <c r="M17" s="14" t="n">
        <v>7.24</v>
      </c>
      <c r="N17" s="14" t="n">
        <v>7.24</v>
      </c>
      <c r="O17" s="14" t="n">
        <v>7.24</v>
      </c>
      <c r="P17" s="14" t="n">
        <v>7.24</v>
      </c>
      <c r="Q17" s="14" t="n">
        <v>7.24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3.345</v>
      </c>
      <c r="I18" s="3" t="n">
        <v>3.345</v>
      </c>
      <c r="J18" s="3" t="n">
        <v>3.345</v>
      </c>
      <c r="K18" s="3" t="n">
        <v>3.345</v>
      </c>
      <c r="L18" s="3" t="n">
        <v>3.345</v>
      </c>
      <c r="M18" s="3" t="n">
        <v>3.4119</v>
      </c>
      <c r="N18" s="3" t="n">
        <v>3.480138</v>
      </c>
      <c r="O18" s="3" t="n">
        <v>3.549740760000001</v>
      </c>
      <c r="P18" s="3" t="n">
        <v>3.6207355752</v>
      </c>
      <c r="Q18" s="3" t="n">
        <v>3.693150286704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0.3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4.44</v>
      </c>
      <c r="I20" s="3" t="n">
        <v>4.44</v>
      </c>
      <c r="J20" s="3" t="n">
        <v>4.44</v>
      </c>
      <c r="K20" s="3" t="n">
        <v>4.44</v>
      </c>
      <c r="L20" s="3" t="n">
        <v>4.44</v>
      </c>
      <c r="M20" s="3" t="n">
        <v>4.5288</v>
      </c>
      <c r="N20" s="3" t="n">
        <v>4.619376</v>
      </c>
      <c r="O20" s="3" t="n">
        <v>4.711763520000001</v>
      </c>
      <c r="P20" s="3" t="n">
        <v>4.8059987904</v>
      </c>
      <c r="Q20" s="3" t="n">
        <v>4.902118766208001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0.135</v>
      </c>
      <c r="I21" s="4" t="n">
        <v>0.135</v>
      </c>
      <c r="J21" s="4" t="n">
        <v>0.135</v>
      </c>
      <c r="K21" s="4" t="n">
        <v>0.135</v>
      </c>
      <c r="L21" s="4" t="n">
        <v>0.135</v>
      </c>
      <c r="M21" s="4" t="n">
        <v>0.135</v>
      </c>
      <c r="N21" s="4" t="n">
        <v>0.135</v>
      </c>
      <c r="O21" s="4" t="n">
        <v>0.135</v>
      </c>
      <c r="P21" s="4" t="n">
        <v>0.135</v>
      </c>
      <c r="Q21" s="4" t="n">
        <v>0.135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2.58</v>
      </c>
      <c r="I22" s="13" t="n">
        <v>2.58</v>
      </c>
      <c r="J22" s="13" t="n">
        <v>2.58</v>
      </c>
      <c r="K22" s="13" t="n">
        <v>2.58</v>
      </c>
      <c r="L22" s="13" t="n">
        <v>2.58</v>
      </c>
      <c r="M22" s="13" t="n">
        <v>2.6316</v>
      </c>
      <c r="N22" s="13" t="n">
        <v>2.684232</v>
      </c>
      <c r="O22" s="13" t="n">
        <v>2.73791664</v>
      </c>
      <c r="P22" s="13" t="n">
        <v>2.7926749728</v>
      </c>
      <c r="Q22" s="13" t="n">
        <v>2.848528472256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0.89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0.87</v>
      </c>
      <c r="I24" s="3" t="n">
        <v>0.87</v>
      </c>
      <c r="J24" s="3" t="n">
        <v>0.87</v>
      </c>
      <c r="K24" s="3" t="n">
        <v>0.87</v>
      </c>
      <c r="L24" s="3" t="n">
        <v>0.87</v>
      </c>
      <c r="M24" s="3" t="n">
        <v>0.8874</v>
      </c>
      <c r="N24" s="3" t="n">
        <v>0.905148</v>
      </c>
      <c r="O24" s="3" t="n">
        <v>0.9232509600000002</v>
      </c>
      <c r="P24" s="3" t="n">
        <v>0.9417159791999999</v>
      </c>
      <c r="Q24" s="3" t="n">
        <v>0.960550298784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1.15</v>
      </c>
      <c r="I25" s="3" t="n">
        <v>1.15</v>
      </c>
      <c r="J25" s="3" t="n">
        <v>1.15</v>
      </c>
      <c r="K25" s="3" t="n">
        <v>1.15</v>
      </c>
      <c r="L25" s="3" t="n">
        <v>1.15</v>
      </c>
      <c r="M25" s="3" t="n">
        <v>1.173</v>
      </c>
      <c r="N25" s="3" t="n">
        <v>1.19646</v>
      </c>
      <c r="O25" s="3" t="n">
        <v>1.2203892</v>
      </c>
      <c r="P25" s="3" t="n">
        <v>1.244796984</v>
      </c>
      <c r="Q25" s="3" t="n">
        <v>1.26969292368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0.1635</v>
      </c>
      <c r="I27" s="4" t="n">
        <v>0.1635</v>
      </c>
      <c r="J27" s="4" t="n">
        <v>0.1635</v>
      </c>
      <c r="K27" s="4" t="n">
        <v>0.1635</v>
      </c>
      <c r="L27" s="4" t="n">
        <v>0.1635</v>
      </c>
      <c r="M27" s="4" t="n">
        <v>0.1635</v>
      </c>
      <c r="N27" s="4" t="n">
        <v>0.1635</v>
      </c>
      <c r="O27" s="4" t="n">
        <v>0.1635</v>
      </c>
      <c r="P27" s="4" t="n">
        <v>0.1635</v>
      </c>
      <c r="Q27" s="4" t="n">
        <v>0.1635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0.4</v>
      </c>
      <c r="I28" s="4" t="n">
        <v>0.4</v>
      </c>
      <c r="J28" s="4" t="n">
        <v>0.4</v>
      </c>
      <c r="K28" s="4" t="n">
        <v>0.4</v>
      </c>
      <c r="L28" s="4" t="n">
        <v>0.4</v>
      </c>
      <c r="M28" s="4" t="n">
        <v>0.4</v>
      </c>
      <c r="N28" s="4" t="n">
        <v>0.4</v>
      </c>
      <c r="O28" s="4" t="n">
        <v>0.4</v>
      </c>
      <c r="P28" s="4" t="n">
        <v>0.4</v>
      </c>
      <c r="Q28" s="4" t="n">
        <v>0.4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0.115972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0.02478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-4.2</v>
      </c>
      <c r="I32" s="13" t="n">
        <v>-2</v>
      </c>
      <c r="J32" s="13" t="n">
        <v>-2</v>
      </c>
      <c r="K32" s="13" t="n">
        <v>-2</v>
      </c>
      <c r="L32" s="13" t="n">
        <v>-2</v>
      </c>
      <c r="M32" s="13" t="n">
        <v>-2.04</v>
      </c>
      <c r="N32" s="13" t="n">
        <v>-2.0808</v>
      </c>
      <c r="O32" s="13" t="n">
        <v>-2.122416</v>
      </c>
      <c r="P32" s="13" t="n">
        <v>-2.16486432</v>
      </c>
      <c r="Q32" s="13" t="n">
        <v>-2.2081616064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0.34</v>
      </c>
      <c r="I34" s="4" t="n">
        <v>0.34</v>
      </c>
      <c r="J34" s="4" t="n">
        <v>0.34</v>
      </c>
      <c r="K34" s="4" t="n">
        <v>0.34</v>
      </c>
      <c r="L34" s="4" t="n">
        <v>0.34</v>
      </c>
      <c r="M34" s="4" t="n">
        <v>0.34</v>
      </c>
      <c r="N34" s="4" t="n">
        <v>0.34</v>
      </c>
      <c r="O34" s="4" t="n">
        <v>0.34</v>
      </c>
      <c r="P34" s="4" t="n">
        <v>0.34</v>
      </c>
      <c r="Q34" s="4" t="n">
        <v>0.34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0.02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0.1263</v>
      </c>
      <c r="I37" s="4" t="n">
        <v>0.1263</v>
      </c>
      <c r="J37" s="4" t="n">
        <v>0.1263</v>
      </c>
      <c r="K37" s="4" t="n">
        <v>0.1263</v>
      </c>
      <c r="L37" s="4" t="n">
        <v>0.1263</v>
      </c>
      <c r="M37" s="4" t="n">
        <v>0.1263</v>
      </c>
      <c r="N37" s="4" t="n">
        <v>0.1263</v>
      </c>
      <c r="O37" s="4" t="n">
        <v>0.1263</v>
      </c>
      <c r="P37" s="4" t="n">
        <v>0.1263</v>
      </c>
      <c r="Q37" s="4" t="n">
        <v>0.1263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>
        <v>137.894154</v>
      </c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  <c r="P40" s="15">
        <f>MAX((O40-P41),0)</f>
        <v/>
      </c>
      <c r="Q40" s="15">
        <f>MAX((P40-Q41),0)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>
        <v>5.231561</v>
      </c>
      <c r="F41" s="13" t="n">
        <v>6.249049</v>
      </c>
      <c r="G41" s="13" t="n">
        <v>3.634008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  <c r="P41" s="15">
        <f>IF(($C$9&gt;0),MIN(P14,MAX(O40,0)),P14)</f>
        <v/>
      </c>
      <c r="Q41" s="15">
        <f>IF(($C$9&gt;0),MIN(Q14,MAX(P40,0)),Q14)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  <c r="K42" s="16">
        <f>Drivers!$O$6</f>
        <v/>
      </c>
      <c r="L42" s="16">
        <f>Drivers!$P$6</f>
        <v/>
      </c>
      <c r="M42" s="16">
        <f>Drivers!$Q$6</f>
        <v/>
      </c>
      <c r="N42" s="16">
        <f>Drivers!$R$6</f>
        <v/>
      </c>
      <c r="O42" s="16">
        <f>Drivers!$S$6</f>
        <v/>
      </c>
      <c r="P42" s="16">
        <f>Drivers!$T$6</f>
        <v/>
      </c>
      <c r="Q42" s="16">
        <f>Drivers!$U$6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>
        <v>63.09</v>
      </c>
      <c r="F43" s="3" t="n">
        <v>52.24</v>
      </c>
      <c r="G43" s="3" t="n">
        <v>41.33</v>
      </c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  <c r="K43" s="16">
        <f>(((K15*K42)*(1-K16))+(MIN(Drivers!$O$4,(K15*K42))*K16))</f>
        <v/>
      </c>
      <c r="L43" s="16">
        <f>(((L15*L42)*(1-L16))+(MIN(Drivers!$P$4,(L15*L42))*L16))</f>
        <v/>
      </c>
      <c r="M43" s="16">
        <f>(((M15*M42)*(1-M16))+(MIN(Drivers!$Q$4,(M15*M42))*M16))</f>
        <v/>
      </c>
      <c r="N43" s="16">
        <f>(((N15*N42)*(1-N16))+(MIN(Drivers!$R$4,(N15*N42))*N16))</f>
        <v/>
      </c>
      <c r="O43" s="16">
        <f>(((O15*O42)*(1-O16))+(MIN(Drivers!$S$4,(O15*O42))*O16))</f>
        <v/>
      </c>
      <c r="P43" s="16">
        <f>(((P15*P42)*(1-P16))+(MIN(Drivers!$T$4,(P15*P42))*P16))</f>
        <v/>
      </c>
      <c r="Q43" s="16">
        <f>(((Q15*Q42)*(1-Q16))+(MIN(Drivers!$U$4,(Q15*Q42))*Q16))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  <c r="L44" s="17">
        <f>IF(L42=0,0,L43/L42)</f>
        <v/>
      </c>
      <c r="M44" s="17">
        <f>IF(M42=0,0,M43/M42)</f>
        <v/>
      </c>
      <c r="N44" s="17">
        <f>IF(N42=0,0,N43/N42)</f>
        <v/>
      </c>
      <c r="O44" s="17">
        <f>IF(O42=0,0,O43/O42)</f>
        <v/>
      </c>
      <c r="P44" s="17">
        <f>IF(P42=0,0,P43/P42)</f>
        <v/>
      </c>
      <c r="Q44" s="17">
        <f>IF(Q42=0,0,Q43/Q42)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>
        <v>28.61</v>
      </c>
      <c r="G45" s="3" t="n">
        <v>27.93</v>
      </c>
      <c r="H45" s="16">
        <f>(((H17*H18)*(1+($C$19*(IF(Drivers!$J$8=0,0,Drivers!$L$8/Drivers!$J$8)-1))))+H20)</f>
        <v/>
      </c>
      <c r="I45" s="16">
        <f>(((I17*I18)*(1+($C$19*(IF(Drivers!$J$8=0,0,Drivers!$M$8/Drivers!$J$8)-1))))+I20)</f>
        <v/>
      </c>
      <c r="J45" s="16">
        <f>(((J17*J18)*(1+($C$19*(IF(Drivers!$J$8=0,0,Drivers!$N$8/Drivers!$J$8)-1))))+J20)</f>
        <v/>
      </c>
      <c r="K45" s="16">
        <f>(((K17*K18)*(1+($C$19*(IF(Drivers!$J$8=0,0,Drivers!$O$8/Drivers!$J$8)-1))))+K20)</f>
        <v/>
      </c>
      <c r="L45" s="16">
        <f>(((L17*L18)*(1+($C$19*(IF(Drivers!$J$8=0,0,Drivers!$P$8/Drivers!$J$8)-1))))+L20)</f>
        <v/>
      </c>
      <c r="M45" s="16">
        <f>(((M17*M18)*(1+($C$19*(IF(Drivers!$J$8=0,0,Drivers!$Q$8/Drivers!$J$8)-1))))+M20)</f>
        <v/>
      </c>
      <c r="N45" s="16">
        <f>(((N17*N18)*(1+($C$19*(IF(Drivers!$J$8=0,0,Drivers!$R$8/Drivers!$J$8)-1))))+N20)</f>
        <v/>
      </c>
      <c r="O45" s="16">
        <f>(((O17*O18)*(1+($C$19*(IF(Drivers!$J$8=0,0,Drivers!$S$8/Drivers!$J$8)-1))))+O20)</f>
        <v/>
      </c>
      <c r="P45" s="16">
        <f>(((P17*P18)*(1+($C$19*(IF(Drivers!$J$8=0,0,Drivers!$T$8/Drivers!$J$8)-1))))+P20)</f>
        <v/>
      </c>
      <c r="Q45" s="16">
        <f>(((Q17*Q18)*(1+($C$19*(IF(Drivers!$J$8=0,0,Drivers!$U$8/Drivers!$J$8)-1))))+Q20)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>
        <v>8.74</v>
      </c>
      <c r="F46" s="14" t="n">
        <v>7.29</v>
      </c>
      <c r="G46" s="14" t="n">
        <v>7.24</v>
      </c>
      <c r="H46" s="18">
        <f>H17</f>
        <v/>
      </c>
      <c r="I46" s="18">
        <f>I17</f>
        <v/>
      </c>
      <c r="J46" s="18">
        <f>J17</f>
        <v/>
      </c>
      <c r="K46" s="18">
        <f>K17</f>
        <v/>
      </c>
      <c r="L46" s="18">
        <f>L17</f>
        <v/>
      </c>
      <c r="M46" s="18">
        <f>M17</f>
        <v/>
      </c>
      <c r="N46" s="18">
        <f>N17</f>
        <v/>
      </c>
      <c r="O46" s="18">
        <f>O17</f>
        <v/>
      </c>
      <c r="P46" s="18">
        <f>P17</f>
        <v/>
      </c>
      <c r="Q46" s="18">
        <f>Q17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7">
        <f>H21</f>
        <v/>
      </c>
      <c r="I47" s="17">
        <f>I21</f>
        <v/>
      </c>
      <c r="J47" s="17">
        <f>J21</f>
        <v/>
      </c>
      <c r="K47" s="17">
        <f>K21</f>
        <v/>
      </c>
      <c r="L47" s="17">
        <f>L21</f>
        <v/>
      </c>
      <c r="M47" s="17">
        <f>M21</f>
        <v/>
      </c>
      <c r="N47" s="17">
        <f>N21</f>
        <v/>
      </c>
      <c r="O47" s="17">
        <f>O21</f>
        <v/>
      </c>
      <c r="P47" s="17">
        <f>P21</f>
        <v/>
      </c>
      <c r="Q47" s="17">
        <f>Q21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>
        <v>7.364088271168013</v>
      </c>
      <c r="F48" s="3" t="n">
        <v>10.77286511915653</v>
      </c>
      <c r="G48" s="3" t="n">
        <v>2.451756297729669</v>
      </c>
      <c r="H48" s="19">
        <f>IF((H41*$C$10)=0,0,H61/(H41*$C$10))</f>
        <v/>
      </c>
      <c r="I48" s="19">
        <f>IF((I41*$C$10)=0,0,I61/(I41*$C$10))</f>
        <v/>
      </c>
      <c r="J48" s="19">
        <f>IF((J41*$C$10)=0,0,J61/(J41*$C$10))</f>
        <v/>
      </c>
      <c r="K48" s="19">
        <f>IF((K41*$C$10)=0,0,K61/(K41*$C$10))</f>
        <v/>
      </c>
      <c r="L48" s="19">
        <f>IF((L41*$C$10)=0,0,L61/(L41*$C$10))</f>
        <v/>
      </c>
      <c r="M48" s="19">
        <f>IF((M41*$C$10)=0,0,M61/(M41*$C$10))</f>
        <v/>
      </c>
      <c r="N48" s="19">
        <f>IF((N41*$C$10)=0,0,N61/(N41*$C$10))</f>
        <v/>
      </c>
      <c r="O48" s="19">
        <f>IF((O41*$C$10)=0,0,O61/(O41*$C$10))</f>
        <v/>
      </c>
      <c r="P48" s="19">
        <f>IF((P41*$C$10)=0,0,P61/(P41*$C$10))</f>
        <v/>
      </c>
      <c r="Q48" s="19">
        <f>IF((Q41*$C$10)=0,0,Q61/(Q41*$C$10))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9">
        <f>IF((H41*$C$10)=0,0,(H53+H52)/(H41*$C$10))</f>
        <v/>
      </c>
      <c r="I49" s="19">
        <f>IF((I41*$C$10)=0,0,(I53+I52)/(I41*$C$10))</f>
        <v/>
      </c>
      <c r="J49" s="19">
        <f>IF((J41*$C$10)=0,0,(J53+J52)/(J41*$C$10))</f>
        <v/>
      </c>
      <c r="K49" s="19">
        <f>IF((K41*$C$10)=0,0,(K53+K52)/(K41*$C$10))</f>
        <v/>
      </c>
      <c r="L49" s="19">
        <f>IF((L41*$C$10)=0,0,(L53+L52)/(L41*$C$10))</f>
        <v/>
      </c>
      <c r="M49" s="19">
        <f>IF((M41*$C$10)=0,0,(M53+M52)/(M41*$C$10))</f>
        <v/>
      </c>
      <c r="N49" s="19">
        <f>IF((N41*$C$10)=0,0,(N53+N52)/(N41*$C$10))</f>
        <v/>
      </c>
      <c r="O49" s="19">
        <f>IF((O41*$C$10)=0,0,(O53+O52)/(O41*$C$10))</f>
        <v/>
      </c>
      <c r="P49" s="19">
        <f>IF((P41*$C$10)=0,0,(P53+P52)/(P41*$C$10))</f>
        <v/>
      </c>
      <c r="Q49" s="19">
        <f>IF((Q41*$C$10)=0,0,(Q53+Q52)/(Q41*$C$10))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15">
        <f>((H41*H43)*$C$10)</f>
        <v/>
      </c>
      <c r="I50" s="15">
        <f>((I41*I43)*$C$10)</f>
        <v/>
      </c>
      <c r="J50" s="15">
        <f>((J41*J43)*$C$10)</f>
        <v/>
      </c>
      <c r="K50" s="15">
        <f>((K41*K43)*$C$10)</f>
        <v/>
      </c>
      <c r="L50" s="15">
        <f>((L41*L43)*$C$10)</f>
        <v/>
      </c>
      <c r="M50" s="15">
        <f>((M41*M43)*$C$10)</f>
        <v/>
      </c>
      <c r="N50" s="15">
        <f>((N41*N43)*$C$10)</f>
        <v/>
      </c>
      <c r="O50" s="15">
        <f>((O41*O43)*$C$10)</f>
        <v/>
      </c>
      <c r="P50" s="15">
        <f>((P41*P43)*$C$10)</f>
        <v/>
      </c>
      <c r="Q50" s="15">
        <f>((Q41*Q43)*$C$10)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  <c r="P51" s="15">
        <f>P22</f>
        <v/>
      </c>
      <c r="Q51" s="15">
        <f>Q22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  <c r="P52" s="15">
        <f>(P50*P47)</f>
        <v/>
      </c>
      <c r="Q52" s="15">
        <f>(Q50*Q47)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((H41*H45)*$C$10)</f>
        <v/>
      </c>
      <c r="I53" s="15">
        <f>((I41*I45)*$C$10)</f>
        <v/>
      </c>
      <c r="J53" s="15">
        <f>((J41*J45)*$C$10)</f>
        <v/>
      </c>
      <c r="K53" s="15">
        <f>((K41*K45)*$C$10)</f>
        <v/>
      </c>
      <c r="L53" s="15">
        <f>((L41*L45)*$C$10)</f>
        <v/>
      </c>
      <c r="M53" s="15">
        <f>((M41*M45)*$C$10)</f>
        <v/>
      </c>
      <c r="N53" s="15">
        <f>((N41*N45)*$C$10)</f>
        <v/>
      </c>
      <c r="O53" s="15">
        <f>((O41*O45)*$C$10)</f>
        <v/>
      </c>
      <c r="P53" s="15">
        <f>((P41*P45)*$C$10)</f>
        <v/>
      </c>
      <c r="Q53" s="15">
        <f>((Q41*Q45)*$C$10)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  <c r="P54" s="15">
        <f>(P51*(1-$C$23))</f>
        <v/>
      </c>
      <c r="Q54" s="15">
        <f>(Q51*(1-$C$23))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255.241076</v>
      </c>
      <c r="E55" s="13" t="n">
        <v>294.672016</v>
      </c>
      <c r="F55" s="13" t="n">
        <v>326.804875</v>
      </c>
      <c r="G55" s="13" t="n">
        <v>153.117575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  <c r="P55" s="15">
        <f>(P50+P51)</f>
        <v/>
      </c>
      <c r="Q55" s="15">
        <f>(Q50+Q51)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181.501046</v>
      </c>
      <c r="E56" s="13" t="n">
        <v>241.887753</v>
      </c>
      <c r="F56" s="13" t="n">
        <v>223.660192</v>
      </c>
      <c r="G56" s="13" t="n">
        <v>127.039167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  <c r="P56" s="15">
        <f>(((P53+P52)+P54)+P60)</f>
        <v/>
      </c>
      <c r="Q56" s="15">
        <f>(((Q53+Q52)+Q54)+Q60)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73.74003</v>
      </c>
      <c r="E57" s="13" t="n">
        <v>52.784263</v>
      </c>
      <c r="F57" s="13" t="n">
        <v>103.144683</v>
      </c>
      <c r="G57" s="13" t="n">
        <v>26.078408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  <c r="P57" s="15">
        <f>(P55-P56)</f>
        <v/>
      </c>
      <c r="Q57" s="15">
        <f>(Q55-Q56)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13.649923</v>
      </c>
      <c r="E58" s="13" t="n">
        <v>14.709281</v>
      </c>
      <c r="F58" s="13" t="n">
        <v>38.91248400000001</v>
      </c>
      <c r="G58" s="13" t="n">
        <v>20.328894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  <c r="P58" s="15">
        <f>(P55*P37)</f>
        <v/>
      </c>
      <c r="Q58" s="15">
        <f>(Q55*Q37)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60.090107</v>
      </c>
      <c r="E59" s="13" t="n">
        <v>38.074982</v>
      </c>
      <c r="F59" s="13" t="n">
        <v>64.23219899999999</v>
      </c>
      <c r="G59" s="13" t="n">
        <v>5.749514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  <c r="P59" s="15">
        <f>(P57-P58)</f>
        <v/>
      </c>
      <c r="Q59" s="15">
        <f>(Q57-Q58)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0.220724</v>
      </c>
      <c r="E60" s="13" t="n">
        <v>0.450695</v>
      </c>
      <c r="F60" s="13" t="n">
        <v>3.087963</v>
      </c>
      <c r="G60" s="13" t="n">
        <v>3.160188</v>
      </c>
      <c r="H60" s="15">
        <f>((H41*H24)*$C$10)</f>
        <v/>
      </c>
      <c r="I60" s="15">
        <f>((I41*I24)*$C$10)</f>
        <v/>
      </c>
      <c r="J60" s="15">
        <f>((J41*J24)*$C$10)</f>
        <v/>
      </c>
      <c r="K60" s="15">
        <f>((K41*K24)*$C$10)</f>
        <v/>
      </c>
      <c r="L60" s="15">
        <f>((L41*L24)*$C$10)</f>
        <v/>
      </c>
      <c r="M60" s="15">
        <f>((M41*M24)*$C$10)</f>
        <v/>
      </c>
      <c r="N60" s="15">
        <f>((N41*N24)*$C$10)</f>
        <v/>
      </c>
      <c r="O60" s="15">
        <f>((O41*O24)*$C$10)</f>
        <v/>
      </c>
      <c r="P60" s="15">
        <f>((P41*P24)*$C$10)</f>
        <v/>
      </c>
      <c r="Q60" s="15">
        <f>((Q41*Q24)*$C$10)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60.310831</v>
      </c>
      <c r="E61" s="13" t="n">
        <v>38.525677</v>
      </c>
      <c r="F61" s="13" t="n">
        <v>67.320162</v>
      </c>
      <c r="G61" s="13" t="n">
        <v>8.909701999999999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  <c r="P61" s="15">
        <f>(P59+P60)</f>
        <v/>
      </c>
      <c r="Q61" s="15">
        <f>(Q59+Q60)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0.7346819999999999</v>
      </c>
      <c r="E62" s="13" t="n">
        <v>0.576888</v>
      </c>
      <c r="F62" s="13" t="n">
        <v>0.515363</v>
      </c>
      <c r="G62" s="13" t="n">
        <v>0.195066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  <c r="P62" s="15">
        <f>(O82*$C$29)</f>
        <v/>
      </c>
      <c r="Q62" s="15">
        <f>(P82*$C$29)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0.525289</v>
      </c>
      <c r="E63" s="13" t="n">
        <v>1.209992</v>
      </c>
      <c r="F63" s="13" t="n">
        <v>1.520747</v>
      </c>
      <c r="G63" s="13" t="n">
        <v>0.873901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  <c r="P63" s="15">
        <f>(O81*$C$30)</f>
        <v/>
      </c>
      <c r="Q63" s="15">
        <f>(P81*$C$30)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-1.821897000000006</v>
      </c>
      <c r="E64" s="13" t="n">
        <v>0.4152259999999999</v>
      </c>
      <c r="F64" s="13" t="n">
        <v>-4.941001999999991</v>
      </c>
      <c r="G64" s="13" t="n">
        <v>-0.8877789999999999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  <c r="P64" s="15">
        <f>P32</f>
        <v/>
      </c>
      <c r="Q64" s="15">
        <f>Q32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58.058817</v>
      </c>
      <c r="E65" s="13" t="n">
        <v>39.123312</v>
      </c>
      <c r="F65" s="13" t="n">
        <v>60.296581</v>
      </c>
      <c r="G65" s="13" t="n">
        <v>5.54057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  <c r="P65" s="15">
        <f>(((P59-P62)+P63)+P64)</f>
        <v/>
      </c>
      <c r="Q65" s="15">
        <f>(((Q59-Q62)+Q63)+Q64)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19.002911</v>
      </c>
      <c r="E66" s="13" t="n">
        <v>12.320751</v>
      </c>
      <c r="F66" s="13" t="n">
        <v>20.150343</v>
      </c>
      <c r="G66" s="13" t="n">
        <v>3.499847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  <c r="P66" s="15">
        <f>(MAX(P65,0)*P28)</f>
        <v/>
      </c>
      <c r="Q66" s="15">
        <f>(MAX(Q65,0)*Q28)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39.055906</v>
      </c>
      <c r="E67" s="13" t="n">
        <v>26.802561</v>
      </c>
      <c r="F67" s="13" t="n">
        <v>40.146238</v>
      </c>
      <c r="G67" s="13" t="n">
        <v>2.040723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  <c r="P67" s="15">
        <f>(P65-P66)</f>
        <v/>
      </c>
      <c r="Q67" s="15">
        <f>(Q65-Q66)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0.3867910000000023</v>
      </c>
      <c r="E68" s="13" t="n">
        <v>-0.07818999999999932</v>
      </c>
      <c r="F68" s="13" t="n">
        <v>0.0691009999999963</v>
      </c>
      <c r="G68" s="13" t="n">
        <v>-0.3808230000000004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  <c r="P68" s="15">
        <f>(P67*P33)</f>
        <v/>
      </c>
      <c r="Q68" s="15">
        <f>(Q67*Q33)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38.669115</v>
      </c>
      <c r="E69" s="13" t="n">
        <v>26.880751</v>
      </c>
      <c r="F69" s="13" t="n">
        <v>40.077137</v>
      </c>
      <c r="G69" s="13" t="n">
        <v>2.421546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  <c r="P69" s="15">
        <f>(P67-P68)</f>
        <v/>
      </c>
      <c r="Q69" s="15">
        <f>(Q67-Q68)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4861.419842</v>
      </c>
      <c r="E70" s="13" t="n">
        <v>4692.490195</v>
      </c>
      <c r="F70" s="13" t="n">
        <v>4873.320227</v>
      </c>
      <c r="G70" s="13" t="n">
        <v>4873.3294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  <c r="P70" s="15">
        <f>(O70*(1+P35))</f>
        <v/>
      </c>
      <c r="Q70" s="15">
        <f>(P70*(1+Q35))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0.007954284192021446</v>
      </c>
      <c r="E71" s="20" t="n">
        <v>0.005728461836455686</v>
      </c>
      <c r="F71" s="20" t="n">
        <v>0.008223784839329418</v>
      </c>
      <c r="G71" s="20" t="n">
        <v>0.0004968976650747229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  <c r="M71" s="21">
        <f>(IF(M70=0,0,M69/M70)*$C$8)</f>
        <v/>
      </c>
      <c r="N71" s="21">
        <f>(IF(N70=0,0,N69/N70)*$C$8)</f>
        <v/>
      </c>
      <c r="O71" s="21">
        <f>(IF(O70=0,0,O69/O70)*$C$8)</f>
        <v/>
      </c>
      <c r="P71" s="21">
        <f>(IF(P70=0,0,P69/P70)*$C$8)</f>
        <v/>
      </c>
      <c r="Q71" s="21">
        <f>(IF(Q70=0,0,Q69/Q70)*$C$8)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0.00159093670466596</v>
      </c>
      <c r="E72" s="20" t="n">
        <v>0.003045986894080901</v>
      </c>
      <c r="F72" s="20" t="n">
        <v>0.002863374432253888</v>
      </c>
      <c r="G72" s="20" t="n">
        <v>0.001797080588242018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  <c r="M72" s="21">
        <f>(MAX(M71,0)*M34)</f>
        <v/>
      </c>
      <c r="N72" s="21">
        <f>(MAX(N71,0)*N34)</f>
        <v/>
      </c>
      <c r="O72" s="21">
        <f>(MAX(O71,0)*O34)</f>
        <v/>
      </c>
      <c r="P72" s="21">
        <f>(MAX(P71,0)*P34)</f>
        <v/>
      </c>
      <c r="Q72" s="21">
        <f>(MAX(Q71,0)*Q34)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>
        <v>6.318379</v>
      </c>
      <c r="E73" s="13" t="n">
        <v>7.658665</v>
      </c>
      <c r="F73" s="13" t="n">
        <v>15.281189</v>
      </c>
      <c r="G73" s="13" t="n">
        <v>9.801574</v>
      </c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  <c r="P73" s="15">
        <f>IF($C$8=0,0,(O72*O70)/$C$8)</f>
        <v/>
      </c>
      <c r="Q73" s="15">
        <f>IF($C$8=0,0,(P72*P70)/$C$8)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1.67369</v>
      </c>
      <c r="E74" s="13" t="n">
        <v>5.352067</v>
      </c>
      <c r="F74" s="13" t="n">
        <v>3.390581</v>
      </c>
      <c r="G74" s="13" t="n">
        <v>3.202403</v>
      </c>
      <c r="H74" s="15">
        <f>(((H41*H25)*$C$10)+H26)</f>
        <v/>
      </c>
      <c r="I74" s="15">
        <f>(((I41*I25)*$C$10)+I26)</f>
        <v/>
      </c>
      <c r="J74" s="15">
        <f>(((J41*J25)*$C$10)+J26)</f>
        <v/>
      </c>
      <c r="K74" s="15">
        <f>(((K41*K25)*$C$10)+K26)</f>
        <v/>
      </c>
      <c r="L74" s="15">
        <f>(((L41*L25)*$C$10)+L26)</f>
        <v/>
      </c>
      <c r="M74" s="15">
        <f>(((M41*M25)*$C$10)+M26)</f>
        <v/>
      </c>
      <c r="N74" s="15">
        <f>(((N41*N25)*$C$10)+N26)</f>
        <v/>
      </c>
      <c r="O74" s="15">
        <f>(((O41*O25)*$C$10)+O26)</f>
        <v/>
      </c>
      <c r="P74" s="15">
        <f>(((P41*P25)*$C$10)+P26)</f>
        <v/>
      </c>
      <c r="Q74" s="15">
        <f>(((Q41*Q25)*$C$10)+Q26)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10.236613</v>
      </c>
      <c r="F75" s="13" t="n">
        <v>-7.295930999999982</v>
      </c>
      <c r="G75" s="13" t="n">
        <v>7.188342999999985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  <c r="P75" s="15">
        <f>(P80-O80)</f>
        <v/>
      </c>
      <c r="Q75" s="15">
        <f>(Q80-P80)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10.94638709070904</v>
      </c>
      <c r="F76" s="13" t="n">
        <v>49.75993600831553</v>
      </c>
      <c r="G76" s="13" t="n">
        <v>-5.112875981972598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  <c r="P76" s="15">
        <f>((((P59*(1-P28))+P60)-P74)-P75)</f>
        <v/>
      </c>
      <c r="Q76" s="15">
        <f>((((Q59*(1-Q28))+Q60)-Q74)-Q75)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2.0758</v>
      </c>
      <c r="F77" s="13" t="n">
        <v>-2.650571999999999</v>
      </c>
      <c r="G77" s="13" t="n">
        <v>0.566033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  <c r="P77" s="15">
        <f>P31</f>
        <v/>
      </c>
      <c r="Q77" s="15">
        <f>Q31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  <c r="P78" s="15">
        <f>(MAX(O68,0)*P34)</f>
        <v/>
      </c>
      <c r="Q78" s="15">
        <f>(MAX(P68,0)*Q34)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  <c r="P79" s="15">
        <f>(((((P67+P60)-P74)-P75)+P77)-P78)</f>
        <v/>
      </c>
      <c r="Q79" s="15">
        <f>(((((Q67+Q60)-Q74)-Q75)+Q77)-Q78)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14.90935199999999</v>
      </c>
      <c r="E80" s="13" t="n">
        <v>25.14596499999999</v>
      </c>
      <c r="F80" s="13" t="n">
        <v>17.85003400000001</v>
      </c>
      <c r="G80" s="13" t="n">
        <v>25.03837699999999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  <c r="P80" s="15">
        <f>(P55*P27)</f>
        <v/>
      </c>
      <c r="Q80" s="15">
        <f>(Q55*Q27)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43.517021</v>
      </c>
      <c r="E81" s="13" t="n">
        <v>45.09847</v>
      </c>
      <c r="F81" s="13" t="n">
        <v>68.20206399999999</v>
      </c>
      <c r="G81" s="13" t="n">
        <v>42.348117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  <c r="P81" s="15">
        <f>(((((((O81+P67)+P60)-P74)-P75)+P77)-P73)-P78)</f>
        <v/>
      </c>
      <c r="Q81" s="15">
        <f>(((((((P81+Q67)+Q60)-Q74)-Q75)+Q77)-Q73)-Q78)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3.242721</v>
      </c>
      <c r="E82" s="13" t="n">
        <v>5.318521</v>
      </c>
      <c r="F82" s="13" t="n">
        <v>2.667949</v>
      </c>
      <c r="G82" s="13" t="n">
        <v>3.233982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  <c r="P82" s="15">
        <f>(O82+P77)</f>
        <v/>
      </c>
      <c r="Q82" s="15">
        <f>(P82+Q77)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34.383719</v>
      </c>
      <c r="E83" s="13" t="n">
        <v>40.448071</v>
      </c>
      <c r="F83" s="13" t="n">
        <v>40.958695</v>
      </c>
      <c r="G83" s="13" t="n">
        <v>39.413366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  <c r="P83" s="15">
        <f>((O83+P74)-P60)</f>
        <v/>
      </c>
      <c r="Q83" s="15">
        <f>((P83+Q74)-Q60)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122.106297</v>
      </c>
      <c r="E84" s="13" t="n">
        <v>138.586</v>
      </c>
      <c r="F84" s="13" t="n">
        <v>160.730649</v>
      </c>
      <c r="G84" s="13" t="n">
        <v>150.494432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  <c r="P84" s="15">
        <f>((O84+P69)-P73)</f>
        <v/>
      </c>
      <c r="Q84" s="15">
        <f>((P84+Q69)-Q73)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0.832847</v>
      </c>
      <c r="E85" s="13" t="n">
        <v>0.754657</v>
      </c>
      <c r="F85" s="13" t="n">
        <v>0.12459</v>
      </c>
      <c r="G85" s="13" t="n">
        <v>0.659466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  <c r="P85" s="15">
        <f>((O85+P68)-P78)</f>
        <v/>
      </c>
      <c r="Q85" s="15">
        <f>((P85+Q68)-Q78)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33.371773</v>
      </c>
      <c r="E86" s="13" t="n">
        <v>33.96667200000005</v>
      </c>
      <c r="F86" s="13" t="n">
        <v>36.51239500000001</v>
      </c>
      <c r="G86" s="13" t="n">
        <v>47.58801999999999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  <c r="P86" s="15">
        <f>O86</f>
        <v/>
      </c>
      <c r="Q86" s="15">
        <f>P86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  <c r="P87" s="15">
        <f>((((((P81+P80)+P83)+P86)-P82)-P84)-P85)</f>
        <v/>
      </c>
      <c r="Q87" s="15">
        <f>((((((Q81+Q80)+Q83)+Q86)-Q82)-Q84)-Q85)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-40.2743</v>
      </c>
      <c r="E88" s="13" t="n">
        <v>-39.779949</v>
      </c>
      <c r="F88" s="13" t="n">
        <v>-65.53411499999999</v>
      </c>
      <c r="G88" s="13" t="n">
        <v>-39.114135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  <c r="P88" s="15">
        <f>(P82-P81)</f>
        <v/>
      </c>
      <c r="Q88" s="15">
        <f>(Q82-Q81)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0.0251174144526808</v>
      </c>
      <c r="E89" s="20" t="n">
        <v>0.0295335726322173</v>
      </c>
      <c r="F89" s="20" t="n">
        <v>0.03298175402254353</v>
      </c>
      <c r="G89" s="20" t="n">
        <v>0.03088123532138008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  <c r="M89" s="21">
        <f>(IF(M70=0,0,M84/M70)*$C$8)</f>
        <v/>
      </c>
      <c r="N89" s="21">
        <f>(IF(N70=0,0,N84/N70)*$C$8)</f>
        <v/>
      </c>
      <c r="O89" s="21">
        <f>(IF(O70=0,0,O84/O70)*$C$8)</f>
        <v/>
      </c>
      <c r="P89" s="21">
        <f>(IF(P70=0,0,P84/P70)*$C$8)</f>
        <v/>
      </c>
      <c r="Q89" s="21">
        <f>(IF(Q70=0,0,Q84/Q70)*$C$8)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0.154485087658853</v>
      </c>
      <c r="F90" s="4" t="n">
        <v>0.1090461844194937</v>
      </c>
      <c r="G90" s="4" t="n">
        <v>-0.5314709580143198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  <c r="L90" s="17">
        <f>(IF(K55=0,0,L55/K55)-1)</f>
        <v/>
      </c>
      <c r="M90" s="17">
        <f>(IF(L55=0,0,M55/L55)-1)</f>
        <v/>
      </c>
      <c r="N90" s="17">
        <f>(IF(M55=0,0,N55/M55)-1)</f>
        <v/>
      </c>
      <c r="O90" s="17">
        <f>(IF(N55=0,0,O55/N55)-1)</f>
        <v/>
      </c>
      <c r="P90" s="17">
        <f>(IF(O55=0,0,P55/O55)-1)</f>
        <v/>
      </c>
      <c r="Q90" s="17">
        <f>(IF(P55=0,0,Q55/P55)-1)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0.2889034600371298</v>
      </c>
      <c r="E91" s="4" t="n">
        <v>0.1791288623755844</v>
      </c>
      <c r="F91" s="4" t="n">
        <v>0.3156154968618507</v>
      </c>
      <c r="G91" s="4" t="n">
        <v>0.170316229211441</v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  <c r="L91" s="17">
        <f>IF(L55=0,0,L57/L55)</f>
        <v/>
      </c>
      <c r="M91" s="17">
        <f>IF(M55=0,0,M57/M55)</f>
        <v/>
      </c>
      <c r="N91" s="17">
        <f>IF(N55=0,0,N57/N55)</f>
        <v/>
      </c>
      <c r="O91" s="17">
        <f>IF(O55=0,0,O57/O55)</f>
        <v/>
      </c>
      <c r="P91" s="17">
        <f>IF(P55=0,0,P57/P55)</f>
        <v/>
      </c>
      <c r="Q91" s="17">
        <f>IF(Q55=0,0,Q57/Q55)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0.2362896754125892</v>
      </c>
      <c r="E92" s="4" t="n">
        <v>0.1307408742878387</v>
      </c>
      <c r="F92" s="4" t="n">
        <v>0.2059949748301643</v>
      </c>
      <c r="G92" s="4" t="n">
        <v>0.05818863053441122</v>
      </c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  <c r="L92" s="17">
        <f>IF(L55=0,0,L61/L55)</f>
        <v/>
      </c>
      <c r="M92" s="17">
        <f>IF(M55=0,0,M61/M55)</f>
        <v/>
      </c>
      <c r="N92" s="17">
        <f>IF(N55=0,0,N61/N55)</f>
        <v/>
      </c>
      <c r="O92" s="17">
        <f>IF(O55=0,0,O61/O55)</f>
        <v/>
      </c>
      <c r="P92" s="17">
        <f>IF(P55=0,0,P61/P55)</f>
        <v/>
      </c>
      <c r="Q92" s="17">
        <f>IF(Q55=0,0,Q61/Q55)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0.2354249086459736</v>
      </c>
      <c r="E93" s="4" t="n">
        <v>0.1292113941352341</v>
      </c>
      <c r="F93" s="4" t="n">
        <v>0.1965460245964813</v>
      </c>
      <c r="G93" s="4" t="n">
        <v>0.03754966730631673</v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  <c r="L93" s="17">
        <f>IF(L55=0,0,L59/L55)</f>
        <v/>
      </c>
      <c r="M93" s="17">
        <f>IF(M55=0,0,M59/M55)</f>
        <v/>
      </c>
      <c r="N93" s="17">
        <f>IF(N55=0,0,N59/N55)</f>
        <v/>
      </c>
      <c r="O93" s="17">
        <f>IF(O55=0,0,O59/O55)</f>
        <v/>
      </c>
      <c r="P93" s="17">
        <f>IF(P55=0,0,P59/P55)</f>
        <v/>
      </c>
      <c r="Q93" s="17">
        <f>IF(Q55=0,0,Q59/Q55)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0.1515003603887017</v>
      </c>
      <c r="E94" s="4" t="n">
        <v>0.09122261205828246</v>
      </c>
      <c r="F94" s="4" t="n">
        <v>0.1226332287729796</v>
      </c>
      <c r="G94" s="4" t="n">
        <v>0.01581494482263059</v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  <c r="L94" s="17">
        <f>IF(L55=0,0,L69/L55)</f>
        <v/>
      </c>
      <c r="M94" s="17">
        <f>IF(M55=0,0,M69/M55)</f>
        <v/>
      </c>
      <c r="N94" s="17">
        <f>IF(N55=0,0,N69/N55)</f>
        <v/>
      </c>
      <c r="O94" s="17">
        <f>IF(O55=0,0,O69/O55)</f>
        <v/>
      </c>
      <c r="P94" s="17">
        <f>IF(P55=0,0,P69/P55)</f>
        <v/>
      </c>
      <c r="Q94" s="17">
        <f>IF(Q55=0,0,Q69/Q55)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-0.2798268583109432</v>
      </c>
      <c r="F95" s="4" t="n">
        <v>0.4356008775328839</v>
      </c>
      <c r="G95" s="4" t="n">
        <v>-0.9395779832786529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  <c r="L95" s="17">
        <f>(IF(K71=0,0,L71/K71)-1)</f>
        <v/>
      </c>
      <c r="M95" s="17">
        <f>(IF(L71=0,0,M71/L71)-1)</f>
        <v/>
      </c>
      <c r="N95" s="17">
        <f>(IF(M71=0,0,N71/M71)-1)</f>
        <v/>
      </c>
      <c r="O95" s="17">
        <f>(IF(N71=0,0,O71/N71)-1)</f>
        <v/>
      </c>
      <c r="P95" s="17">
        <f>(IF(O71=0,0,P71/O71)-1)</f>
        <v/>
      </c>
      <c r="Q95" s="17">
        <f>(IF(P71=0,0,Q71/P71)-1)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0.2062258939703155</v>
      </c>
      <c r="F96" s="4" t="n">
        <v>0.2677908972581075</v>
      </c>
      <c r="G96" s="4" t="n">
        <v>0.01556138080015473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  <c r="L96" s="17">
        <f>IF(IF(2=0,0,(L84+K84)/2)=0,0,L69/IF(2=0,0,(L84+K84)/2))</f>
        <v/>
      </c>
      <c r="M96" s="17">
        <f>IF(IF(2=0,0,(M84+L84)/2)=0,0,M69/IF(2=0,0,(M84+L84)/2))</f>
        <v/>
      </c>
      <c r="N96" s="17">
        <f>IF(IF(2=0,0,(N84+M84)/2)=0,0,N69/IF(2=0,0,(N84+M84)/2))</f>
        <v/>
      </c>
      <c r="O96" s="17">
        <f>IF(IF(2=0,0,(O84+N84)/2)=0,0,O69/IF(2=0,0,(O84+N84)/2))</f>
        <v/>
      </c>
      <c r="P96" s="17">
        <f>IF(IF(2=0,0,(P84+O84)/2)=0,0,P69/IF(2=0,0,(P84+O84)/2))</f>
        <v/>
      </c>
      <c r="Q96" s="17">
        <f>IF(IF(2=0,0,(Q84+P84)/2)=0,0,Q69/IF(2=0,0,(Q84+P84)/2))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>
        <v>-0.6677788936451563</v>
      </c>
      <c r="E97" s="22" t="n">
        <v>-1.032556780248145</v>
      </c>
      <c r="F97" s="22" t="n">
        <v>-0.9734693597439648</v>
      </c>
      <c r="G97" s="22" t="n">
        <v>-4.390060969491461</v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  <c r="M97" s="23">
        <f>IF(M61=0,0,M88/M61)</f>
        <v/>
      </c>
      <c r="N97" s="23">
        <f>IF(N61=0,0,N88/N61)</f>
        <v/>
      </c>
      <c r="O97" s="23">
        <f>IF(O61=0,0,O88/O61)</f>
        <v/>
      </c>
      <c r="P97" s="23">
        <f>IF(P61=0,0,P88/P61)</f>
        <v/>
      </c>
      <c r="Q97" s="23">
        <f>IF(Q61=0,0,Q88/Q61)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0.2000100406598183</v>
      </c>
      <c r="E98" s="4" t="n">
        <v>0.5317285828276573</v>
      </c>
      <c r="F98" s="4" t="n">
        <v>0.3481820704452395</v>
      </c>
      <c r="G98" s="4" t="n">
        <v>3.616600991618214</v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  <c r="L98" s="17">
        <f>IF(L71=0,0,L72/L71)</f>
        <v/>
      </c>
      <c r="M98" s="17">
        <f>IF(M71=0,0,M72/M71)</f>
        <v/>
      </c>
      <c r="N98" s="17">
        <f>IF(N71=0,0,N72/N71)</f>
        <v/>
      </c>
      <c r="O98" s="17">
        <f>IF(O71=0,0,O72/O71)</f>
        <v/>
      </c>
      <c r="P98" s="17">
        <f>IF(P71=0,0,P72/P71)</f>
        <v/>
      </c>
      <c r="Q98" s="17">
        <f>IF(Q71=0,0,Q72/Q71)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0.006557290958920734</v>
      </c>
      <c r="E99" s="4" t="n">
        <v>0.01816279357860707</v>
      </c>
      <c r="F99" s="4" t="n">
        <v>0.01037494009231043</v>
      </c>
      <c r="G99" s="4" t="n">
        <v>0.02091466639280305</v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  <c r="L99" s="17">
        <f>IF(L55=0,0,L74/L55)</f>
        <v/>
      </c>
      <c r="M99" s="17">
        <f>IF(M55=0,0,M74/M55)</f>
        <v/>
      </c>
      <c r="N99" s="17">
        <f>IF(N55=0,0,N74/N55)</f>
        <v/>
      </c>
      <c r="O99" s="17">
        <f>IF(O55=0,0,O74/O55)</f>
        <v/>
      </c>
      <c r="P99" s="17">
        <f>IF(P55=0,0,P74/P55)</f>
        <v/>
      </c>
      <c r="Q99" s="17">
        <f>IF(Q55=0,0,Q74/Q55)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288</v>
      </c>
    </row>
    <row r="103">
      <c r="A103" t="inlineStr">
        <is>
          <t>Shares outstanding (m)</t>
        </is>
      </c>
      <c r="C103" s="13" t="n">
        <v>4873.3294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2.576074</v>
      </c>
    </row>
    <row r="106">
      <c r="A106" t="inlineStr">
        <is>
          <t>Cash at balance-sheet date</t>
        </is>
      </c>
      <c r="C106" s="13" t="n">
        <v>44.673165</v>
      </c>
    </row>
    <row r="107">
      <c r="A107" t="inlineStr">
        <is>
          <t>Minority interest (book)</t>
        </is>
      </c>
      <c r="C107" s="13" t="n">
        <v>0.338921</v>
      </c>
    </row>
    <row r="108">
      <c r="A108" t="inlineStr">
        <is>
          <t>Associates &amp; investments (book)</t>
        </is>
      </c>
      <c r="C108" s="13" t="n">
        <v>0</v>
      </c>
    </row>
    <row r="109">
      <c r="A109" t="inlineStr">
        <is>
          <t>Post-balance-sheet &amp; other items (sourced, probability-weighted)</t>
        </is>
      </c>
      <c r="C109" s="13" t="n">
        <v>38.68299999999999</v>
      </c>
    </row>
    <row r="110">
      <c r="A110" t="inlineStr">
        <is>
          <t>Parent equity at balance-sheet date</t>
        </is>
      </c>
      <c r="C110" s="13" t="n">
        <v>144.494795</v>
      </c>
    </row>
    <row r="111">
      <c r="A111" t="inlineStr">
        <is>
          <t>Per-share factor</t>
        </is>
      </c>
      <c r="C111" s="24" t="n">
        <v>1</v>
      </c>
    </row>
    <row r="112">
      <c r="A112" t="inlineStr">
        <is>
          <t>Risk-free rate</t>
        </is>
      </c>
      <c r="C112" s="9">
        <f>Drivers!$C$12</f>
        <v/>
      </c>
    </row>
    <row r="113">
      <c r="A113" t="inlineStr">
        <is>
          <t>Less: default spread (IDR only)</t>
        </is>
      </c>
      <c r="C113" s="9" t="n">
        <v>0</v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0.03329120206642849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0.02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  <c r="K126" s="6" t="n">
        <v>0.996578</v>
      </c>
      <c r="L126" s="6" t="n">
        <v>0.996578</v>
      </c>
      <c r="M126" s="6" t="n">
        <v>0.996578</v>
      </c>
      <c r="N126" s="6" t="n">
        <v>0.999316</v>
      </c>
      <c r="O126" s="6" t="n">
        <v>0.996578</v>
      </c>
      <c r="P126" s="6" t="n">
        <v>0.996578</v>
      </c>
      <c r="Q126" s="6" t="n">
        <v>0.996578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  <c r="K127" s="6" t="n">
        <v>2.672142</v>
      </c>
      <c r="L127" s="6" t="n">
        <v>3.671458</v>
      </c>
      <c r="M127" s="6" t="n">
        <v>4.670773</v>
      </c>
      <c r="N127" s="6" t="n">
        <v>5.670089</v>
      </c>
      <c r="O127" s="6" t="n">
        <v>6.672142</v>
      </c>
      <c r="P127" s="6" t="n">
        <v>7.671458</v>
      </c>
      <c r="Q127" s="6" t="n">
        <v>8.670773000000001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  <c r="P128">
        <f>1/(1+$C$122)^P127</f>
        <v/>
      </c>
      <c r="Q128">
        <f>1/(1+$C$122)^Q127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  <c r="M129" s="26">
        <f>M76*M126*M128</f>
        <v/>
      </c>
      <c r="N129" s="26">
        <f>N76*N126*N128</f>
        <v/>
      </c>
      <c r="O129" s="26">
        <f>O76*O126*O128</f>
        <v/>
      </c>
      <c r="P129" s="26">
        <f>P76*P126*P128</f>
        <v/>
      </c>
      <c r="Q129" s="26">
        <f>Q76*Q126*Q128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  <c r="M130" s="26">
        <f>L130+M129</f>
        <v/>
      </c>
      <c r="N130" s="26">
        <f>M130+N129</f>
        <v/>
      </c>
      <c r="O130" s="26">
        <f>N130+O129</f>
        <v/>
      </c>
      <c r="P130" s="26">
        <f>O130+P129</f>
        <v/>
      </c>
      <c r="Q130" s="26">
        <f>P130+Q129</f>
        <v/>
      </c>
    </row>
    <row r="131">
      <c r="A131" t="inlineStr">
        <is>
          <t>Best cumulative PV (never below zero)</t>
        </is>
      </c>
      <c r="C131" s="26">
        <f>MAX(0,MAX(H130:Q130))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MAX(0,$C$134/$C$103*$C$111*$C$104)</f>
        <v/>
      </c>
    </row>
    <row r="137">
      <c r="A137" s="1" t="inlineStr">
        <is>
          <t>TARGET</t>
        </is>
      </c>
    </row>
    <row r="138">
      <c r="A138" t="inlineStr">
        <is>
          <t>Weight: DCF to end of life (no terminal value)</t>
        </is>
      </c>
      <c r="C138" s="4" t="n">
        <v>1</v>
      </c>
    </row>
    <row r="139">
      <c r="A139" t="inlineStr">
        <is>
          <t>Value today (weighted)</t>
        </is>
      </c>
      <c r="C139" s="27">
        <f>$C$135*$C$138</f>
        <v/>
      </c>
    </row>
    <row r="140">
      <c r="A140" t="inlineStr">
        <is>
          <t>DPS expected in next 12 months (IDR)</t>
        </is>
      </c>
      <c r="C140" s="20" t="n">
        <v>11.65477525998669</v>
      </c>
    </row>
    <row r="141">
      <c r="A141" t="inlineStr">
        <is>
          <t>Base-case 12-month value</t>
        </is>
      </c>
      <c r="C141" s="27">
        <f>MAX(0,$C$139*(1+$C$120)-$C$140)</f>
        <v/>
      </c>
    </row>
    <row r="142">
      <c r="A142" t="inlineStr">
        <is>
          <t>Bear probability</t>
        </is>
      </c>
      <c r="C142" s="4" t="n">
        <v>0.25</v>
      </c>
    </row>
    <row r="143">
      <c r="A143" t="inlineStr">
        <is>
          <t>Bear 12-month value (engine)</t>
        </is>
      </c>
      <c r="C143" s="20" t="n">
        <v>331.3209765541688</v>
      </c>
    </row>
    <row r="144">
      <c r="A144" t="inlineStr">
        <is>
          <t>Base probability</t>
        </is>
      </c>
      <c r="C144" s="4" t="n">
        <v>0.65</v>
      </c>
    </row>
    <row r="145">
      <c r="A145" t="inlineStr">
        <is>
          <t>Bull probability</t>
        </is>
      </c>
      <c r="C145" s="4" t="n">
        <v>0.1</v>
      </c>
    </row>
    <row r="146">
      <c r="A146" t="inlineStr">
        <is>
          <t>Bull 12-month value (engine)</t>
        </is>
      </c>
      <c r="C146" s="20" t="n">
        <v>877.5787857199361</v>
      </c>
    </row>
    <row r="147">
      <c r="A147" t="inlineStr">
        <is>
          <t>Probability-weighted 12-month value</t>
        </is>
      </c>
      <c r="C147" s="27">
        <f>$C$142*$C$143+$C$144*$C$141+$C$145*$C$146</f>
        <v/>
      </c>
    </row>
    <row r="148">
      <c r="A148" t="inlineStr">
        <is>
          <t>Liquidity discount (limits.yaml)</t>
        </is>
      </c>
      <c r="C148" s="4" t="n">
        <v>0.1</v>
      </c>
    </row>
    <row r="149">
      <c r="A149" t="inlineStr">
        <is>
          <t>TARGET PRICE (IDR)</t>
        </is>
      </c>
      <c r="C149" s="28">
        <f>$C$147*(1-$C$148)</f>
        <v/>
      </c>
    </row>
    <row r="150">
      <c r="A150" t="inlineStr">
        <is>
          <t>Expected 12-month total return</t>
        </is>
      </c>
      <c r="C150" s="29">
        <f>($C$149+$C$140)/$C$102-1</f>
        <v/>
      </c>
    </row>
    <row r="151">
      <c r="A151" t="inlineStr">
        <is>
          <t>Rating</t>
        </is>
      </c>
      <c r="C151" s="30">
        <f>IF($C$150&gt;=0.25,"BUY",IF($C$150&gt;=0.1,"ADD",IF($C$150&lt;=-0.25,"SELL",IF($C$150&lt;=-0.1,"REDUCE","HOLD"))))</f>
        <v/>
      </c>
    </row>
    <row r="153">
      <c r="A153" s="1" t="inlineStr">
        <is>
          <t>12-month value vs benchmark price and IDR/USD (engine values)</t>
        </is>
      </c>
    </row>
    <row r="154">
      <c r="A154" s="5" t="inlineStr">
        <is>
          <t>rows: IDR per USD (x deck) · columns: Benchmark price (x deck)</t>
        </is>
      </c>
      <c r="D154" s="1" t="n">
        <v>0.8</v>
      </c>
      <c r="E154" s="1" t="n">
        <v>0.9</v>
      </c>
      <c r="F154" s="1" t="n">
        <v>1</v>
      </c>
      <c r="G154" s="1" t="n">
        <v>1.1</v>
      </c>
      <c r="H154" s="1" t="n">
        <v>1.2</v>
      </c>
    </row>
    <row r="155">
      <c r="C155" s="1" t="n">
        <v>0.9</v>
      </c>
      <c r="D155" s="27" t="n">
        <v>302.70673</v>
      </c>
      <c r="E155" s="27" t="n">
        <v>310.831207</v>
      </c>
      <c r="F155" s="27" t="n">
        <v>337.796861</v>
      </c>
      <c r="G155" s="27" t="n">
        <v>414.553813</v>
      </c>
      <c r="H155" s="27" t="n">
        <v>525.230689</v>
      </c>
    </row>
    <row r="156">
      <c r="C156" s="1" t="n">
        <v>0.95</v>
      </c>
      <c r="D156" s="27" t="n">
        <v>319.543889</v>
      </c>
      <c r="E156" s="27" t="n">
        <v>328.120492</v>
      </c>
      <c r="F156" s="27" t="n">
        <v>356.586784</v>
      </c>
      <c r="G156" s="27" t="n">
        <v>437.6157</v>
      </c>
      <c r="H156" s="27" t="n">
        <v>554.453583</v>
      </c>
    </row>
    <row r="157">
      <c r="C157" s="1" t="n">
        <v>1</v>
      </c>
      <c r="D157" s="27" t="n">
        <v>336.383166</v>
      </c>
      <c r="E157" s="27" t="n">
        <v>345.411975</v>
      </c>
      <c r="F157" s="27" t="n">
        <v>375.379172</v>
      </c>
      <c r="G157" s="27" t="n">
        <v>460.680855</v>
      </c>
      <c r="H157" s="27" t="n">
        <v>583.681025</v>
      </c>
    </row>
    <row r="158">
      <c r="C158" s="1" t="n">
        <v>1.05</v>
      </c>
      <c r="D158" s="27" t="n">
        <v>353.224561</v>
      </c>
      <c r="E158" s="27" t="n">
        <v>362.705656</v>
      </c>
      <c r="F158" s="27" t="n">
        <v>394.174025</v>
      </c>
      <c r="G158" s="27" t="n">
        <v>483.749277</v>
      </c>
      <c r="H158" s="27" t="n">
        <v>612.913011</v>
      </c>
    </row>
    <row r="159">
      <c r="C159" s="1" t="n">
        <v>1.1</v>
      </c>
      <c r="D159" s="27" t="n">
        <v>370.068073</v>
      </c>
      <c r="E159" s="27" t="n">
        <v>380.001536</v>
      </c>
      <c r="F159" s="27" t="n">
        <v>412.971343</v>
      </c>
      <c r="G159" s="27" t="n">
        <v>506.820964</v>
      </c>
      <c r="H159" s="27" t="n">
        <v>642.14954</v>
      </c>
    </row>
    <row r="161">
      <c r="A161" s="1" t="inlineStr">
        <is>
          <t>12-month value vs volume and unit cost intensity (engine values)</t>
        </is>
      </c>
    </row>
    <row r="162">
      <c r="A162" s="5" t="inlineStr">
        <is>
          <t>rows: Volume (x plan) · columns: Cost intensity / strip ratio (x)</t>
        </is>
      </c>
      <c r="D162" s="1" t="n">
        <v>0.85</v>
      </c>
      <c r="E162" s="1" t="n">
        <v>0.925</v>
      </c>
      <c r="F162" s="1" t="n">
        <v>1</v>
      </c>
      <c r="G162" s="1" t="n">
        <v>1.075</v>
      </c>
      <c r="H162" s="1" t="n">
        <v>1.15</v>
      </c>
    </row>
    <row r="163">
      <c r="C163" s="1" t="n">
        <v>0.9</v>
      </c>
      <c r="D163" s="27" t="n">
        <v>511.606981</v>
      </c>
      <c r="E163" s="27" t="n">
        <v>436.55392</v>
      </c>
      <c r="F163" s="27" t="n">
        <v>377.248175</v>
      </c>
      <c r="G163" s="27" t="n">
        <v>356.802881</v>
      </c>
      <c r="H163" s="27" t="n">
        <v>342.845675</v>
      </c>
    </row>
    <row r="164">
      <c r="C164" s="1" t="n">
        <v>0.95</v>
      </c>
      <c r="D164" s="27" t="n">
        <v>517.000863</v>
      </c>
      <c r="E164" s="27" t="n">
        <v>437.778189</v>
      </c>
      <c r="F164" s="27" t="n">
        <v>376.313673</v>
      </c>
      <c r="G164" s="27" t="n">
        <v>354.961582</v>
      </c>
      <c r="H164" s="27" t="n">
        <v>340.228976</v>
      </c>
    </row>
    <row r="165">
      <c r="C165" s="1" t="n">
        <v>1</v>
      </c>
      <c r="D165" s="27" t="n">
        <v>522.3947460000001</v>
      </c>
      <c r="E165" s="27" t="n">
        <v>439.002457</v>
      </c>
      <c r="F165" s="27" t="n">
        <v>375.379172</v>
      </c>
      <c r="G165" s="27" t="n">
        <v>353.120283</v>
      </c>
      <c r="H165" s="27" t="n">
        <v>337.612277</v>
      </c>
    </row>
    <row r="166">
      <c r="C166" s="1" t="n">
        <v>1.05</v>
      </c>
      <c r="D166" s="27" t="n">
        <v>527.788629</v>
      </c>
      <c r="E166" s="27" t="n">
        <v>440.226725</v>
      </c>
      <c r="F166" s="27" t="n">
        <v>374.44467</v>
      </c>
      <c r="G166" s="27" t="n">
        <v>351.278984</v>
      </c>
      <c r="H166" s="27" t="n">
        <v>334.995578</v>
      </c>
    </row>
    <row r="167">
      <c r="C167" s="1" t="n">
        <v>1.1</v>
      </c>
      <c r="D167" s="27" t="n">
        <v>533.182511</v>
      </c>
      <c r="E167" s="27" t="n">
        <v>441.450993</v>
      </c>
      <c r="F167" s="27" t="n">
        <v>373.510168</v>
      </c>
      <c r="G167" s="27" t="n">
        <v>349.437685</v>
      </c>
      <c r="H167" s="27" t="n">
        <v>332.378878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 Mitrabara Adiperdana Tbk (MBAP.JK) — Coal producers</t>
        </is>
      </c>
    </row>
    <row r="2">
      <c r="A2" s="5" t="inlineStr">
        <is>
          <t>Units: USD m; per-share in USD unless marked IDR. Model asof 2026-10-30 · data 2026-10-26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3</v>
      </c>
    </row>
    <row r="8">
      <c r="A8" t="inlineStr">
        <is>
          <t>ps_factor</t>
        </is>
      </c>
      <c r="C8" s="6" t="n">
        <v>1</v>
      </c>
    </row>
    <row r="9">
      <c r="A9" t="inlineStr">
        <is>
          <t>reserves</t>
        </is>
      </c>
      <c r="C9" s="6" t="n">
        <v>4.05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1.45</v>
      </c>
      <c r="I14" s="13" t="n">
        <v>1.3</v>
      </c>
      <c r="J14" s="13" t="n">
        <v>1.3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0.781</v>
      </c>
      <c r="I15" s="14" t="n">
        <v>0.781</v>
      </c>
      <c r="J15" s="14" t="n">
        <v>0.781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0.25</v>
      </c>
      <c r="I16" s="4" t="n">
        <v>0.25</v>
      </c>
      <c r="J16" s="4" t="n">
        <v>0.25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1</v>
      </c>
      <c r="I17" s="14" t="n">
        <v>1</v>
      </c>
      <c r="J17" s="14" t="n">
        <v>1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60.51</v>
      </c>
      <c r="I18" s="3" t="n">
        <v>61.7202</v>
      </c>
      <c r="J18" s="3" t="n">
        <v>62.954604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0.153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0</v>
      </c>
      <c r="I20" s="3" t="n">
        <v>0</v>
      </c>
      <c r="J20" s="3" t="n">
        <v>0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0.135</v>
      </c>
      <c r="I21" s="4" t="n">
        <v>0.135</v>
      </c>
      <c r="J21" s="4" t="n">
        <v>0.135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28.8</v>
      </c>
      <c r="I22" s="13" t="n">
        <v>28.8</v>
      </c>
      <c r="J22" s="13" t="n">
        <v>28.8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0.276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5.1127</v>
      </c>
      <c r="I24" s="3" t="n">
        <v>5.1127</v>
      </c>
      <c r="J24" s="3" t="n">
        <v>5.1127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3</v>
      </c>
      <c r="I25" s="3" t="n">
        <v>3</v>
      </c>
      <c r="J25" s="3" t="n">
        <v>3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0</v>
      </c>
      <c r="I26" s="13" t="n">
        <v>0</v>
      </c>
      <c r="J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0.211</v>
      </c>
      <c r="I27" s="4" t="n">
        <v>0.211</v>
      </c>
      <c r="J27" s="4" t="n">
        <v>0.211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0.22</v>
      </c>
      <c r="I28" s="4" t="n">
        <v>0.22</v>
      </c>
      <c r="J28" s="4" t="n">
        <v>0.22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0.035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0.035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0</v>
      </c>
      <c r="I31" s="13" t="n">
        <v>0</v>
      </c>
      <c r="J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</v>
      </c>
      <c r="I33" s="4" t="n">
        <v>0</v>
      </c>
      <c r="J33" s="4" t="n">
        <v>0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</v>
      </c>
      <c r="I34" s="4" t="n">
        <v>0</v>
      </c>
      <c r="J34" s="4" t="n">
        <v>0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0.02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0.0945</v>
      </c>
      <c r="I37" s="4" t="n">
        <v>0.0945</v>
      </c>
      <c r="J37" s="4" t="n">
        <v>0.0945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>
        <v>4.05</v>
      </c>
      <c r="H40" s="15">
        <f>MAX((G40-H41),0)</f>
        <v/>
      </c>
      <c r="I40" s="15">
        <f>MAX((H40-I41),0)</f>
        <v/>
      </c>
      <c r="J40" s="15">
        <f>MAX((I40-J41),0)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/>
      <c r="F41" s="13" t="n">
        <v>2.27</v>
      </c>
      <c r="G41" s="13" t="n">
        <v>1.68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/>
      <c r="G43" s="3" t="n">
        <v>81</v>
      </c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6">
        <f>(((H17*H18)*(1+($C$19*(IF(Drivers!$J$8=0,0,Drivers!$L$8/Drivers!$J$8)-1))))+H20)</f>
        <v/>
      </c>
      <c r="I45" s="16">
        <f>(((I17*I18)*(1+($C$19*(IF(Drivers!$J$8=0,0,Drivers!$M$8/Drivers!$J$8)-1))))+I20)</f>
        <v/>
      </c>
      <c r="J45" s="16">
        <f>(((J17*J18)*(1+($C$19*(IF(Drivers!$J$8=0,0,Drivers!$N$8/Drivers!$J$8)-1))))+J20)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/>
      <c r="H46" s="18">
        <f>H17</f>
        <v/>
      </c>
      <c r="I46" s="18">
        <f>I17</f>
        <v/>
      </c>
      <c r="J46" s="18">
        <f>J17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9">
        <f>VLOOKUP(Drivers!$L$5,Drivers!$B$20:$C$22,2,TRUE)</f>
        <v/>
      </c>
      <c r="I47" s="9">
        <f>VLOOKUP(Drivers!$M$5,Drivers!$B$20:$C$22,2,TRUE)</f>
        <v/>
      </c>
      <c r="J47" s="9">
        <f>VLOOKUP(Drivers!$N$5,Drivers!$B$20:$C$22,2,TRUE)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/>
      <c r="F48" s="3" t="n">
        <v>10.87964052863436</v>
      </c>
      <c r="G48" s="3" t="n">
        <v>5.136092857142858</v>
      </c>
      <c r="H48" s="19">
        <f>IF((H41*$C$10)=0,0,H61/(H41*$C$10))</f>
        <v/>
      </c>
      <c r="I48" s="19">
        <f>IF((I41*$C$10)=0,0,I61/(I41*$C$10))</f>
        <v/>
      </c>
      <c r="J48" s="19">
        <f>IF((J41*$C$10)=0,0,J61/(J41*$C$10))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9">
        <f>IF((H41*$C$10)=0,0,(H53+H52)/(H41*$C$10))</f>
        <v/>
      </c>
      <c r="I49" s="19">
        <f>IF((I41*$C$10)=0,0,(I53+I52)/(I41*$C$10))</f>
        <v/>
      </c>
      <c r="J49" s="19">
        <f>IF((J41*$C$10)=0,0,(J53+J52)/(J41*$C$10))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15">
        <f>((H41*H43)*$C$10)</f>
        <v/>
      </c>
      <c r="I50" s="15">
        <f>((I41*I43)*$C$10)</f>
        <v/>
      </c>
      <c r="J50" s="15">
        <f>((J41*J43)*$C$10)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((H41*H45)*$C$10)</f>
        <v/>
      </c>
      <c r="I53" s="15">
        <f>((I41*I45)*$C$10)</f>
        <v/>
      </c>
      <c r="J53" s="15">
        <f>((J41*J45)*$C$10)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449.535604</v>
      </c>
      <c r="E55" s="13" t="n">
        <v>224.833816</v>
      </c>
      <c r="F55" s="13" t="n">
        <v>217.907893</v>
      </c>
      <c r="G55" s="13" t="n">
        <v>164.869855</v>
      </c>
      <c r="H55" s="15">
        <f>(H50+H51)</f>
        <v/>
      </c>
      <c r="I55" s="15">
        <f>(I50+I51)</f>
        <v/>
      </c>
      <c r="J55" s="15">
        <f>(J50+J51)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183.758231</v>
      </c>
      <c r="E56" s="13" t="n">
        <v>178.096057</v>
      </c>
      <c r="F56" s="13" t="n">
        <v>170.696556</v>
      </c>
      <c r="G56" s="13" t="n">
        <v>146.892068</v>
      </c>
      <c r="H56" s="15">
        <f>(((H53+H52)+H54)+H60)</f>
        <v/>
      </c>
      <c r="I56" s="15">
        <f>(((I53+I52)+I54)+I60)</f>
        <v/>
      </c>
      <c r="J56" s="15">
        <f>(((J53+J52)+J54)+J60)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265.777373</v>
      </c>
      <c r="E57" s="13" t="n">
        <v>46.737759</v>
      </c>
      <c r="F57" s="13" t="n">
        <v>47.211337</v>
      </c>
      <c r="G57" s="13" t="n">
        <v>17.977787</v>
      </c>
      <c r="H57" s="15">
        <f>(H55-H56)</f>
        <v/>
      </c>
      <c r="I57" s="15">
        <f>(I55-I56)</f>
        <v/>
      </c>
      <c r="J57" s="15">
        <f>(J55-J56)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35.79036200000002</v>
      </c>
      <c r="E58" s="13" t="n">
        <v>30.915284</v>
      </c>
      <c r="F58" s="13" t="n">
        <v>27.664446</v>
      </c>
      <c r="G58" s="13" t="n">
        <v>17.602117</v>
      </c>
      <c r="H58" s="15">
        <f>(H55*H37)</f>
        <v/>
      </c>
      <c r="I58" s="15">
        <f>(I55*I37)</f>
        <v/>
      </c>
      <c r="J58" s="15">
        <f>(J55*J37)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229.987011</v>
      </c>
      <c r="E59" s="13" t="n">
        <v>15.822475</v>
      </c>
      <c r="F59" s="13" t="n">
        <v>19.546891</v>
      </c>
      <c r="G59" s="13" t="n">
        <v>0.37567</v>
      </c>
      <c r="H59" s="15">
        <f>(H57-H58)</f>
        <v/>
      </c>
      <c r="I59" s="15">
        <f>(I57-I58)</f>
        <v/>
      </c>
      <c r="J59" s="15">
        <f>(J57-J58)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/>
      <c r="E60" s="13" t="n">
        <v>0.867499</v>
      </c>
      <c r="F60" s="13" t="n">
        <v>5.149893</v>
      </c>
      <c r="G60" s="13" t="n">
        <v>8.252966000000001</v>
      </c>
      <c r="H60" s="15">
        <f>((H41*H24)*$C$10)</f>
        <v/>
      </c>
      <c r="I60" s="15">
        <f>((I41*I24)*$C$10)</f>
        <v/>
      </c>
      <c r="J60" s="15">
        <f>((J41*J24)*$C$10)</f>
        <v/>
      </c>
    </row>
    <row r="61">
      <c r="A61" t="inlineStr">
        <is>
          <t>EBITDA</t>
        </is>
      </c>
      <c r="B61" t="inlineStr">
        <is>
          <t>ebitda</t>
        </is>
      </c>
      <c r="D61" s="13" t="n"/>
      <c r="E61" s="13" t="n">
        <v>16.689974</v>
      </c>
      <c r="F61" s="13" t="n">
        <v>24.696784</v>
      </c>
      <c r="G61" s="13" t="n">
        <v>8.628636</v>
      </c>
      <c r="H61" s="15">
        <f>(H59+H60)</f>
        <v/>
      </c>
      <c r="I61" s="15">
        <f>(I59+I60)</f>
        <v/>
      </c>
      <c r="J61" s="15">
        <f>(J59+J60)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0.274215</v>
      </c>
      <c r="E62" s="13" t="n">
        <v>0.095834</v>
      </c>
      <c r="F62" s="13" t="n">
        <v>0.290823</v>
      </c>
      <c r="G62" s="13" t="n">
        <v>0.602059</v>
      </c>
      <c r="H62" s="15">
        <f>(G82*$C$29)</f>
        <v/>
      </c>
      <c r="I62" s="15">
        <f>(H82*$C$29)</f>
        <v/>
      </c>
      <c r="J62" s="15">
        <f>(I82*$C$29)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1.396837</v>
      </c>
      <c r="E63" s="13" t="n">
        <v>6.279999</v>
      </c>
      <c r="F63" s="13" t="n">
        <v>4.730412</v>
      </c>
      <c r="G63" s="13" t="n">
        <v>3.429382</v>
      </c>
      <c r="H63" s="15">
        <f>(G81*$C$30)</f>
        <v/>
      </c>
      <c r="I63" s="15">
        <f>(H81*$C$30)</f>
        <v/>
      </c>
      <c r="J63" s="15">
        <f>(I81*$C$30)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-0.4545069999999999</v>
      </c>
      <c r="E64" s="13" t="n">
        <v>8.727601999999997</v>
      </c>
      <c r="F64" s="13" t="n">
        <v>0.8908829999999996</v>
      </c>
      <c r="G64" s="13" t="n">
        <v>-0.6312899999999999</v>
      </c>
      <c r="H64" s="15">
        <f>H32</f>
        <v/>
      </c>
      <c r="I64" s="15">
        <f>I32</f>
        <v/>
      </c>
      <c r="J64" s="15">
        <f>J32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230.655126</v>
      </c>
      <c r="E65" s="13" t="n">
        <v>30.734242</v>
      </c>
      <c r="F65" s="13" t="n">
        <v>24.877363</v>
      </c>
      <c r="G65" s="13" t="n">
        <v>2.571703</v>
      </c>
      <c r="H65" s="15">
        <f>(((H59-H62)+H63)+H64)</f>
        <v/>
      </c>
      <c r="I65" s="15">
        <f>(((I59-I62)+I63)+I64)</f>
        <v/>
      </c>
      <c r="J65" s="15">
        <f>(((J59-J62)+J63)+J64)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51.263459</v>
      </c>
      <c r="E66" s="13" t="n">
        <v>9.047314999999999</v>
      </c>
      <c r="F66" s="13" t="n">
        <v>5.732216</v>
      </c>
      <c r="G66" s="13" t="n">
        <v>1.195689</v>
      </c>
      <c r="H66" s="15">
        <f>(MAX(H65,0)*H28)</f>
        <v/>
      </c>
      <c r="I66" s="15">
        <f>(MAX(I65,0)*I28)</f>
        <v/>
      </c>
      <c r="J66" s="15">
        <f>(MAX(J65,0)*J28)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179.391667</v>
      </c>
      <c r="E67" s="13" t="n">
        <v>21.686927</v>
      </c>
      <c r="F67" s="13" t="n">
        <v>19.145147</v>
      </c>
      <c r="G67" s="13" t="n">
        <v>1.376014</v>
      </c>
      <c r="H67" s="15">
        <f>(H65-H66)</f>
        <v/>
      </c>
      <c r="I67" s="15">
        <f>(I65-I66)</f>
        <v/>
      </c>
      <c r="J67" s="15">
        <f>(J65-J66)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0.0006120000000180426</v>
      </c>
      <c r="E68" s="13" t="n">
        <v>-0.007296000000000191</v>
      </c>
      <c r="F68" s="13" t="n">
        <v>0.04134200000000021</v>
      </c>
      <c r="G68" s="13" t="n">
        <v>-0.1724889999999999</v>
      </c>
      <c r="H68" s="15">
        <f>(H67*H33)</f>
        <v/>
      </c>
      <c r="I68" s="15">
        <f>(I67*I33)</f>
        <v/>
      </c>
      <c r="J68" s="15">
        <f>(J67*J33)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179.391055</v>
      </c>
      <c r="E69" s="13" t="n">
        <v>21.694223</v>
      </c>
      <c r="F69" s="13" t="n">
        <v>19.103805</v>
      </c>
      <c r="G69" s="13" t="n">
        <v>1.548503</v>
      </c>
      <c r="H69" s="15">
        <f>(H67-H68)</f>
        <v/>
      </c>
      <c r="I69" s="15">
        <f>(I67-I68)</f>
        <v/>
      </c>
      <c r="J69" s="15">
        <f>(J67-J68)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1227.271952</v>
      </c>
      <c r="E70" s="13" t="n">
        <v>1227.271952</v>
      </c>
      <c r="F70" s="13" t="n">
        <v>1227.271952</v>
      </c>
      <c r="G70" s="13" t="n">
        <v>1227.271952</v>
      </c>
      <c r="H70" s="15">
        <f>(G70*(1+H35))</f>
        <v/>
      </c>
      <c r="I70" s="15">
        <f>(H70*(1+I35))</f>
        <v/>
      </c>
      <c r="J70" s="15">
        <f>(I70*(1+J35))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0.146170581595757</v>
      </c>
      <c r="E71" s="20" t="n">
        <v>0.01767678546278714</v>
      </c>
      <c r="F71" s="20" t="n">
        <v>0.0155660731664794</v>
      </c>
      <c r="G71" s="20" t="n">
        <v>0.001261743982233532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0.07982910654959857</v>
      </c>
      <c r="E72" s="20" t="n">
        <v>0.003943800838057678</v>
      </c>
      <c r="F72" s="20" t="n">
        <v>0.002341487460718467</v>
      </c>
      <c r="G72" s="20" t="n">
        <v>0</v>
      </c>
      <c r="H72" s="21">
        <f>(MAX(H71,0)*H34)</f>
        <v/>
      </c>
      <c r="I72" s="21">
        <f>(MAX(I71,0)*I34)</f>
        <v/>
      </c>
      <c r="J72" s="21">
        <f>(MAX(J71,0)*J34)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>
        <v>129.376606</v>
      </c>
      <c r="E73" s="13" t="n">
        <v>100</v>
      </c>
      <c r="F73" s="13" t="n">
        <v>5</v>
      </c>
      <c r="G73" s="13" t="n">
        <v>2.77053</v>
      </c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4.116637</v>
      </c>
      <c r="E74" s="13" t="n">
        <v>9.338431</v>
      </c>
      <c r="F74" s="13" t="n">
        <v>22.908092</v>
      </c>
      <c r="G74" s="13" t="n">
        <v>31.123296</v>
      </c>
      <c r="H74" s="15">
        <f>(((H41*H25)*$C$10)+H26)</f>
        <v/>
      </c>
      <c r="I74" s="15">
        <f>(((I41*I25)*$C$10)+I26)</f>
        <v/>
      </c>
      <c r="J74" s="15">
        <f>(((J41*J25)*$C$10)+J26)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16.16160800000002</v>
      </c>
      <c r="F75" s="13" t="n">
        <v>-10.53476500000002</v>
      </c>
      <c r="G75" s="13" t="n">
        <v>23.059199</v>
      </c>
      <c r="H75" s="15">
        <f>(H80-G80)</f>
        <v/>
      </c>
      <c r="I75" s="15">
        <f>(I80-H80)</f>
        <v/>
      </c>
      <c r="J75" s="15">
        <f>(J80-I80)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-13.46776618568812</v>
      </c>
      <c r="F76" s="13" t="n">
        <v>7.819482790978912</v>
      </c>
      <c r="G76" s="13" t="n">
        <v>-45.72852321535846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0.177967</v>
      </c>
      <c r="F77" s="13" t="n">
        <v>4.025007</v>
      </c>
      <c r="G77" s="13" t="n">
        <v>29.187962</v>
      </c>
      <c r="H77" s="15">
        <f>H31</f>
        <v/>
      </c>
      <c r="I77" s="15">
        <f>I31</f>
        <v/>
      </c>
      <c r="J77" s="15">
        <f>J31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6.146014000000001</v>
      </c>
      <c r="E80" s="13" t="n">
        <v>22.30762200000002</v>
      </c>
      <c r="F80" s="13" t="n">
        <v>11.772857</v>
      </c>
      <c r="G80" s="13" t="n">
        <v>34.832056</v>
      </c>
      <c r="H80" s="15">
        <f>(H55*H27)</f>
        <v/>
      </c>
      <c r="I80" s="15">
        <f>(I55*I27)</f>
        <v/>
      </c>
      <c r="J80" s="15">
        <f>(J55*J27)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207.243681</v>
      </c>
      <c r="E81" s="13" t="n">
        <v>116.259864</v>
      </c>
      <c r="F81" s="13" t="n">
        <v>124.208374</v>
      </c>
      <c r="G81" s="13" t="n">
        <v>104.373246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0</v>
      </c>
      <c r="E82" s="13" t="n">
        <v>0.177967</v>
      </c>
      <c r="F82" s="13" t="n">
        <v>4.202974</v>
      </c>
      <c r="G82" s="13" t="n">
        <v>33.390936</v>
      </c>
      <c r="H82" s="15">
        <f>(G82+H77)</f>
        <v/>
      </c>
      <c r="I82" s="15">
        <f>(H82+I77)</f>
        <v/>
      </c>
      <c r="J82" s="15">
        <f>(I82+J77)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17.352285</v>
      </c>
      <c r="E83" s="13" t="n">
        <v>15.019276</v>
      </c>
      <c r="F83" s="13" t="n">
        <v>33.602759</v>
      </c>
      <c r="G83" s="13" t="n">
        <v>60.345993</v>
      </c>
      <c r="H83" s="15">
        <f>((G83+H74)-H60)</f>
        <v/>
      </c>
      <c r="I83" s="15">
        <f>((H83+I74)-I60)</f>
        <v/>
      </c>
      <c r="J83" s="15">
        <f>((I83+J74)-J60)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249.79604</v>
      </c>
      <c r="E84" s="13" t="n">
        <v>171.348242</v>
      </c>
      <c r="F84" s="13" t="n">
        <v>184.838161</v>
      </c>
      <c r="G84" s="13" t="n">
        <v>182.996192</v>
      </c>
      <c r="H84" s="15">
        <f>((G84+H69)-H73)</f>
        <v/>
      </c>
      <c r="I84" s="15">
        <f>((H84+I69)-I73)</f>
        <v/>
      </c>
      <c r="J84" s="15">
        <f>((I84+J69)-J73)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0.46972</v>
      </c>
      <c r="E85" s="13" t="n">
        <v>1.439555</v>
      </c>
      <c r="F85" s="13" t="n">
        <v>1.416799</v>
      </c>
      <c r="G85" s="13" t="n">
        <v>1.203991</v>
      </c>
      <c r="H85" s="15">
        <f>((G85+H68)-H78)</f>
        <v/>
      </c>
      <c r="I85" s="15">
        <f>((H85+I68)-I78)</f>
        <v/>
      </c>
      <c r="J85" s="15">
        <f>((I85+J68)-J78)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19.52377999999999</v>
      </c>
      <c r="E86" s="13" t="n">
        <v>19.37900199999999</v>
      </c>
      <c r="F86" s="13" t="n">
        <v>20.87394400000002</v>
      </c>
      <c r="G86" s="13" t="n">
        <v>18.03982400000003</v>
      </c>
      <c r="H86" s="15">
        <f>G86</f>
        <v/>
      </c>
      <c r="I86" s="15">
        <f>H86</f>
        <v/>
      </c>
      <c r="J86" s="15">
        <f>I86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-207.243681</v>
      </c>
      <c r="E88" s="13" t="n">
        <v>-116.081897</v>
      </c>
      <c r="F88" s="13" t="n">
        <v>-120.0054</v>
      </c>
      <c r="G88" s="13" t="n">
        <v>-70.98230999999998</v>
      </c>
      <c r="H88" s="15">
        <f>(H82-H81)</f>
        <v/>
      </c>
      <c r="I88" s="15">
        <f>(I82-I81)</f>
        <v/>
      </c>
      <c r="J88" s="15">
        <f>(J82-J81)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0.2035376426495568</v>
      </c>
      <c r="E89" s="20" t="n">
        <v>0.1396171742707601</v>
      </c>
      <c r="F89" s="20" t="n">
        <v>0.1506089670661682</v>
      </c>
      <c r="G89" s="20" t="n">
        <v>0.1491081024884369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-0.4998531506750241</v>
      </c>
      <c r="F90" s="4" t="n">
        <v>-0.03080463216440721</v>
      </c>
      <c r="G90" s="4" t="n">
        <v>-0.2433965895856741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0.5912265249628593</v>
      </c>
      <c r="E91" s="4" t="n">
        <v>0.2078769102953801</v>
      </c>
      <c r="F91" s="4" t="n">
        <v>0.2166573057544088</v>
      </c>
      <c r="G91" s="4" t="n">
        <v>0.1090422927829954</v>
      </c>
      <c r="H91" s="17">
        <f>IF(H55=0,0,H57/H55)</f>
        <v/>
      </c>
      <c r="I91" s="17">
        <f>IF(I55=0,0,I57/I55)</f>
        <v/>
      </c>
      <c r="J91" s="17">
        <f>IF(J55=0,0,J57/J55)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/>
      <c r="E92" s="4" t="n">
        <v>0.07423249000942099</v>
      </c>
      <c r="F92" s="4" t="n">
        <v>0.113335885451382</v>
      </c>
      <c r="G92" s="4" t="n">
        <v>0.05233604408762293</v>
      </c>
      <c r="H92" s="17">
        <f>IF(H55=0,0,H61/H55)</f>
        <v/>
      </c>
      <c r="I92" s="17">
        <f>IF(I55=0,0,I61/I55)</f>
        <v/>
      </c>
      <c r="J92" s="17">
        <f>IF(J55=0,0,J61/J55)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0.5116102238700542</v>
      </c>
      <c r="E93" s="4" t="n">
        <v>0.07037408910054704</v>
      </c>
      <c r="F93" s="4" t="n">
        <v>0.08970253775984149</v>
      </c>
      <c r="G93" s="4" t="n">
        <v>0.002278585130071231</v>
      </c>
      <c r="H93" s="17">
        <f>IF(H55=0,0,H59/H55)</f>
        <v/>
      </c>
      <c r="I93" s="17">
        <f>IF(I55=0,0,I59/I55)</f>
        <v/>
      </c>
      <c r="J93" s="17">
        <f>IF(J55=0,0,J59/J55)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0.399058613831175</v>
      </c>
      <c r="E94" s="4" t="n">
        <v>0.09649003600063435</v>
      </c>
      <c r="F94" s="4" t="n">
        <v>0.08766917405786674</v>
      </c>
      <c r="G94" s="4" t="n">
        <v>0.009392274894643414</v>
      </c>
      <c r="H94" s="17">
        <f>IF(H55=0,0,H69/H55)</f>
        <v/>
      </c>
      <c r="I94" s="17">
        <f>IF(I55=0,0,I69/I55)</f>
        <v/>
      </c>
      <c r="J94" s="17">
        <f>IF(J55=0,0,J69/J55)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-0.8790674206135863</v>
      </c>
      <c r="F95" s="4" t="n">
        <v>-0.1194058897615278</v>
      </c>
      <c r="G95" s="4" t="n">
        <v>-0.918942692306585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0.1030251337948832</v>
      </c>
      <c r="F96" s="4" t="n">
        <v>0.1072685809401882</v>
      </c>
      <c r="G96" s="4" t="n">
        <v>0.008419567054412668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/>
      <c r="E97" s="22" t="n">
        <v>-6.955187407721546</v>
      </c>
      <c r="F97" s="22" t="n">
        <v>-4.85915089187321</v>
      </c>
      <c r="G97" s="22" t="n">
        <v>-8.226365094089029</v>
      </c>
      <c r="H97" s="23">
        <f>IF(H61=0,0,H88/H61)</f>
        <v/>
      </c>
      <c r="I97" s="23">
        <f>IF(I61=0,0,I88/I61)</f>
        <v/>
      </c>
      <c r="J97" s="23">
        <f>IF(J61=0,0,J88/J61)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0.5461366143453575</v>
      </c>
      <c r="E98" s="4" t="n">
        <v>0.2231062229249825</v>
      </c>
      <c r="F98" s="4" t="n">
        <v>0.1504224884257077</v>
      </c>
      <c r="G98" s="4" t="n">
        <v>0</v>
      </c>
      <c r="H98" s="17">
        <f>IF(H71=0,0,H72/H71)</f>
        <v/>
      </c>
      <c r="I98" s="17">
        <f>IF(I71=0,0,I72/I71)</f>
        <v/>
      </c>
      <c r="J98" s="17">
        <f>IF(J71=0,0,J72/J71)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0.009157532714583382</v>
      </c>
      <c r="E99" s="4" t="n">
        <v>0.041534815207691</v>
      </c>
      <c r="F99" s="4" t="n">
        <v>0.1051274081200904</v>
      </c>
      <c r="G99" s="4" t="n">
        <v>0.1887749340229601</v>
      </c>
      <c r="H99" s="17">
        <f>IF(H55=0,0,H74/H55)</f>
        <v/>
      </c>
      <c r="I99" s="17">
        <f>IF(I55=0,0,I74/I55)</f>
        <v/>
      </c>
      <c r="J99" s="17">
        <f>IF(J55=0,0,J74/J55)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1695</v>
      </c>
    </row>
    <row r="103">
      <c r="A103" t="inlineStr">
        <is>
          <t>Shares outstanding (m)</t>
        </is>
      </c>
      <c r="C103" s="13" t="n">
        <v>1227.271952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39.994275</v>
      </c>
    </row>
    <row r="106">
      <c r="A106" t="inlineStr">
        <is>
          <t>Cash at balance-sheet date</t>
        </is>
      </c>
      <c r="C106" s="13" t="n">
        <v>113.435211</v>
      </c>
    </row>
    <row r="107">
      <c r="A107" t="inlineStr">
        <is>
          <t>Minority interest (book)</t>
        </is>
      </c>
      <c r="C107" s="13" t="n">
        <v>1.158401</v>
      </c>
    </row>
    <row r="108">
      <c r="A108" t="inlineStr">
        <is>
          <t>Associates &amp; investments (book)</t>
        </is>
      </c>
      <c r="C108" s="13" t="n">
        <v>11.713024</v>
      </c>
    </row>
    <row r="109">
      <c r="A109" t="inlineStr">
        <is>
          <t>Post-balance-sheet &amp; other items (sourced, probability-weighted)</t>
        </is>
      </c>
      <c r="C109" s="13" t="n">
        <v>8.930532000000003</v>
      </c>
    </row>
    <row r="110">
      <c r="A110" t="inlineStr">
        <is>
          <t>Parent equity at balance-sheet date</t>
        </is>
      </c>
      <c r="C110" s="13" t="n">
        <v>186.372566</v>
      </c>
    </row>
    <row r="111">
      <c r="A111" t="inlineStr">
        <is>
          <t>Per-share factor</t>
        </is>
      </c>
      <c r="C111" s="24" t="n">
        <v>1</v>
      </c>
    </row>
    <row r="112">
      <c r="A112" t="inlineStr">
        <is>
          <t>Risk-free rate</t>
        </is>
      </c>
      <c r="C112" s="9">
        <f>Drivers!$C$12</f>
        <v/>
      </c>
    </row>
    <row r="113">
      <c r="A113" t="inlineStr">
        <is>
          <t>Less: default spread (IDR only)</t>
        </is>
      </c>
      <c r="C113" s="9" t="n">
        <v>0</v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0.3487198863840056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0.02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</row>
    <row r="131">
      <c r="A131" t="inlineStr">
        <is>
          <t>Best cumulative PV (never below zero)</t>
        </is>
      </c>
      <c r="C131" s="26">
        <f>MAX(0,MAX(H130:J130))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MAX(0,$C$134/$C$103*$C$111*$C$104)</f>
        <v/>
      </c>
    </row>
    <row r="137">
      <c r="A137" s="1" t="inlineStr">
        <is>
          <t>EV/EBITDA</t>
        </is>
      </c>
    </row>
    <row r="138">
      <c r="A138" t="inlineStr">
        <is>
          <t>Target multiple (peer median)</t>
        </is>
      </c>
      <c r="C138" s="22" t="n">
        <v>6.291633</v>
      </c>
    </row>
    <row r="139">
      <c r="A139" t="inlineStr">
        <is>
          <t>Metric (LTM, or next-12m DPS for yield)</t>
        </is>
      </c>
      <c r="C139" s="13" t="n">
        <v>8.628636</v>
      </c>
    </row>
    <row r="140">
      <c r="A140" t="inlineStr">
        <is>
          <t>Value per share (IDR) — EV/EBITDA</t>
        </is>
      </c>
      <c r="C140" s="27">
        <f>MAX(0,($C$138*$C$139-($C$105-$C$106)-$C$107+$C$108+$C$109)/$C$103*$C$111*$C$104)</f>
        <v/>
      </c>
    </row>
    <row r="142">
      <c r="A142" s="1" t="inlineStr">
        <is>
          <t>TARGET</t>
        </is>
      </c>
    </row>
    <row r="143">
      <c r="A143" t="inlineStr">
        <is>
          <t>Weight: DCF to end of life (no terminal value)</t>
        </is>
      </c>
      <c r="C143" s="4" t="n">
        <v>0.705882</v>
      </c>
    </row>
    <row r="144">
      <c r="A144" t="inlineStr">
        <is>
          <t>Weight: EV/EBITDA</t>
        </is>
      </c>
      <c r="C144" s="4" t="n">
        <v>0.294118</v>
      </c>
    </row>
    <row r="145">
      <c r="A145" t="inlineStr">
        <is>
          <t>Value today (weighted)</t>
        </is>
      </c>
      <c r="C145" s="27">
        <f>$C$135*$C$143+$C$140*$C$144</f>
        <v/>
      </c>
    </row>
    <row r="146">
      <c r="A146" t="inlineStr">
        <is>
          <t>DPS expected in next 12 months (IDR)</t>
        </is>
      </c>
      <c r="C146" s="20" t="n">
        <v>0</v>
      </c>
    </row>
    <row r="147">
      <c r="A147" t="inlineStr">
        <is>
          <t>Base-case 12-month value</t>
        </is>
      </c>
      <c r="C147" s="27">
        <f>MAX(0,$C$145*(1+$C$120)-$C$146)</f>
        <v/>
      </c>
    </row>
    <row r="148">
      <c r="A148" t="inlineStr">
        <is>
          <t>Bear probability</t>
        </is>
      </c>
      <c r="C148" s="4" t="n">
        <v>0.25</v>
      </c>
    </row>
    <row r="149">
      <c r="A149" t="inlineStr">
        <is>
          <t>Bear 12-month value (engine)</t>
        </is>
      </c>
      <c r="C149" s="20" t="n">
        <v>1868.958158568264</v>
      </c>
    </row>
    <row r="150">
      <c r="A150" t="inlineStr">
        <is>
          <t>Base probability</t>
        </is>
      </c>
      <c r="C150" s="4" t="n">
        <v>0.5</v>
      </c>
    </row>
    <row r="151">
      <c r="A151" t="inlineStr">
        <is>
          <t>Bull probability</t>
        </is>
      </c>
      <c r="C151" s="4" t="n">
        <v>0.25</v>
      </c>
    </row>
    <row r="152">
      <c r="A152" t="inlineStr">
        <is>
          <t>Bull 12-month value (engine)</t>
        </is>
      </c>
      <c r="C152" s="20" t="n">
        <v>2445.141725415832</v>
      </c>
    </row>
    <row r="153">
      <c r="A153" t="inlineStr">
        <is>
          <t>Probability-weighted 12-month value</t>
        </is>
      </c>
      <c r="C153" s="27">
        <f>$C$148*$C$149+$C$150*$C$147+$C$151*$C$152</f>
        <v/>
      </c>
    </row>
    <row r="154">
      <c r="A154" t="inlineStr">
        <is>
          <t>Liquidity discount (limits.yaml)</t>
        </is>
      </c>
      <c r="C154" s="4" t="n">
        <v>0.2</v>
      </c>
    </row>
    <row r="155">
      <c r="A155" t="inlineStr">
        <is>
          <t>TARGET PRICE (IDR)</t>
        </is>
      </c>
      <c r="C155" s="28">
        <f>$C$153*(1-$C$154)</f>
        <v/>
      </c>
    </row>
    <row r="156">
      <c r="A156" t="inlineStr">
        <is>
          <t>Expected 12-month total return</t>
        </is>
      </c>
      <c r="C156" s="29">
        <f>($C$155+$C$146)/$C$102-1</f>
        <v/>
      </c>
    </row>
    <row r="157">
      <c r="A157" t="inlineStr">
        <is>
          <t>Rating</t>
        </is>
      </c>
      <c r="C157" s="30">
        <f>IF($C$156&gt;=0.25,"BUY",IF($C$156&gt;=0.1,"ADD",IF($C$156&lt;=-0.25,"SELL",IF($C$156&lt;=-0.1,"REDUCE","HOLD"))))</f>
        <v/>
      </c>
    </row>
    <row r="159">
      <c r="A159" s="1" t="inlineStr">
        <is>
          <t>12-month value vs benchmark price and IDR/USD (engine values)</t>
        </is>
      </c>
    </row>
    <row r="160">
      <c r="A160" s="5" t="inlineStr">
        <is>
          <t>rows: IDR per USD (x deck) · columns: Benchmark price (x deck)</t>
        </is>
      </c>
      <c r="D160" s="1" t="n">
        <v>0.8</v>
      </c>
      <c r="E160" s="1" t="n">
        <v>0.9</v>
      </c>
      <c r="F160" s="1" t="n">
        <v>1</v>
      </c>
      <c r="G160" s="1" t="n">
        <v>1.1</v>
      </c>
      <c r="H160" s="1" t="n">
        <v>1.2</v>
      </c>
    </row>
    <row r="161">
      <c r="C161" s="1" t="n">
        <v>0.9</v>
      </c>
      <c r="D161" s="27" t="n">
        <v>1636.204933</v>
      </c>
      <c r="E161" s="27" t="n">
        <v>1705.996613</v>
      </c>
      <c r="F161" s="27" t="n">
        <v>1800.739474</v>
      </c>
      <c r="G161" s="27" t="n">
        <v>1929.053666</v>
      </c>
      <c r="H161" s="27" t="n">
        <v>2057.367857</v>
      </c>
    </row>
    <row r="162">
      <c r="C162" s="1" t="n">
        <v>0.95</v>
      </c>
      <c r="D162" s="27" t="n">
        <v>1728.2322</v>
      </c>
      <c r="E162" s="27" t="n">
        <v>1801.95137</v>
      </c>
      <c r="F162" s="27" t="n">
        <v>1902.027081</v>
      </c>
      <c r="G162" s="27" t="n">
        <v>2037.566158</v>
      </c>
      <c r="H162" s="27" t="n">
        <v>2173.105235</v>
      </c>
    </row>
    <row r="163">
      <c r="C163" s="1" t="n">
        <v>1</v>
      </c>
      <c r="D163" s="27" t="n">
        <v>1820.378098</v>
      </c>
      <c r="E163" s="27" t="n">
        <v>1898.029986</v>
      </c>
      <c r="F163" s="27" t="n">
        <v>2003.445742</v>
      </c>
      <c r="G163" s="27" t="n">
        <v>2146.219639</v>
      </c>
      <c r="H163" s="27" t="n">
        <v>2288.993535</v>
      </c>
    </row>
    <row r="164">
      <c r="C164" s="1" t="n">
        <v>1.05</v>
      </c>
      <c r="D164" s="27" t="n">
        <v>1912.642626</v>
      </c>
      <c r="E164" s="27" t="n">
        <v>1994.232455</v>
      </c>
      <c r="F164" s="27" t="n">
        <v>2104.995439</v>
      </c>
      <c r="G164" s="27" t="n">
        <v>2255.014068</v>
      </c>
      <c r="H164" s="27" t="n">
        <v>2405.032697</v>
      </c>
    </row>
    <row r="165">
      <c r="C165" s="1" t="n">
        <v>1.1</v>
      </c>
      <c r="D165" s="27" t="n">
        <v>2005.025785</v>
      </c>
      <c r="E165" s="27" t="n">
        <v>2090.558769</v>
      </c>
      <c r="F165" s="27" t="n">
        <v>2206.676156</v>
      </c>
      <c r="G165" s="27" t="n">
        <v>2363.949407</v>
      </c>
      <c r="H165" s="27" t="n">
        <v>2521.222659</v>
      </c>
    </row>
    <row r="167">
      <c r="A167" s="1" t="inlineStr">
        <is>
          <t>12-month value vs volume and unit cost intensity (engine values)</t>
        </is>
      </c>
    </row>
    <row r="168">
      <c r="A168" s="5" t="inlineStr">
        <is>
          <t>rows: Volume (x plan) · columns: Cost intensity / strip ratio (x)</t>
        </is>
      </c>
      <c r="D168" s="1" t="n">
        <v>0.85</v>
      </c>
      <c r="E168" s="1" t="n">
        <v>0.925</v>
      </c>
      <c r="F168" s="1" t="n">
        <v>1</v>
      </c>
      <c r="G168" s="1" t="n">
        <v>1.075</v>
      </c>
      <c r="H168" s="1" t="n">
        <v>1.15</v>
      </c>
    </row>
    <row r="169">
      <c r="C169" s="1" t="n">
        <v>0.9</v>
      </c>
      <c r="D169" s="27" t="n">
        <v>2251.560407</v>
      </c>
      <c r="E169" s="27" t="n">
        <v>2131.184112</v>
      </c>
      <c r="F169" s="27" t="n">
        <v>2010.807817</v>
      </c>
      <c r="G169" s="27" t="n">
        <v>1917.807433</v>
      </c>
      <c r="H169" s="27" t="n">
        <v>1841.301776</v>
      </c>
    </row>
    <row r="170">
      <c r="C170" s="1" t="n">
        <v>0.95</v>
      </c>
      <c r="D170" s="27" t="n">
        <v>2261.254514</v>
      </c>
      <c r="E170" s="27" t="n">
        <v>2134.190647</v>
      </c>
      <c r="F170" s="27" t="n">
        <v>2007.12678</v>
      </c>
      <c r="G170" s="27" t="n">
        <v>1911.205859</v>
      </c>
      <c r="H170" s="27" t="n">
        <v>1830.449888</v>
      </c>
    </row>
    <row r="171">
      <c r="C171" s="1" t="n">
        <v>1</v>
      </c>
      <c r="D171" s="27" t="n">
        <v>2270.948621</v>
      </c>
      <c r="E171" s="27" t="n">
        <v>2137.197182</v>
      </c>
      <c r="F171" s="27" t="n">
        <v>2003.445742</v>
      </c>
      <c r="G171" s="27" t="n">
        <v>1904.604284</v>
      </c>
      <c r="H171" s="27" t="n">
        <v>1819.597999</v>
      </c>
    </row>
    <row r="172">
      <c r="C172" s="1" t="n">
        <v>1.05</v>
      </c>
      <c r="D172" s="27" t="n">
        <v>2306.299491</v>
      </c>
      <c r="E172" s="27" t="n">
        <v>2173.453475</v>
      </c>
      <c r="F172" s="27" t="n">
        <v>2040.607459</v>
      </c>
      <c r="G172" s="27" t="n">
        <v>1907.761443</v>
      </c>
      <c r="H172" s="27" t="n">
        <v>1808.746111</v>
      </c>
    </row>
    <row r="173">
      <c r="C173" s="1" t="n">
        <v>1.1</v>
      </c>
      <c r="D173" s="27" t="n">
        <v>2341.650361</v>
      </c>
      <c r="E173" s="27" t="n">
        <v>2209.709768</v>
      </c>
      <c r="F173" s="27" t="n">
        <v>2077.769175</v>
      </c>
      <c r="G173" s="27" t="n">
        <v>1945.828582</v>
      </c>
      <c r="H173" s="27" t="n">
        <v>1813.887989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8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 Prima Andalan Mandiri Tbk (MCOL.JK) — Coal producers</t>
        </is>
      </c>
    </row>
    <row r="2">
      <c r="A2" s="5" t="inlineStr">
        <is>
          <t>Units: USD m; per-share in USD unless marked IDR. Model asof 2026-10-30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9</v>
      </c>
    </row>
    <row r="8">
      <c r="A8" t="inlineStr">
        <is>
          <t>ps_factor</t>
        </is>
      </c>
      <c r="C8" s="6" t="n">
        <v>1</v>
      </c>
    </row>
    <row r="9">
      <c r="A9" t="inlineStr">
        <is>
          <t>reserves</t>
        </is>
      </c>
      <c r="C9" s="6" t="n">
        <v>147.3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9.283808000000001</v>
      </c>
      <c r="I14" s="13" t="n">
        <v>9.283808000000001</v>
      </c>
      <c r="J14" s="13" t="n">
        <v>9.283808000000001</v>
      </c>
      <c r="K14" s="13" t="n">
        <v>9.283808000000001</v>
      </c>
      <c r="L14" s="13" t="n">
        <v>9.283808000000001</v>
      </c>
      <c r="M14" s="13" t="n">
        <v>9.283808000000001</v>
      </c>
      <c r="N14" s="13" t="n">
        <v>9.283808000000001</v>
      </c>
      <c r="O14" s="13" t="n">
        <v>9.283808000000001</v>
      </c>
      <c r="P14" s="13" t="n">
        <v>9.283808000000001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0.5423</v>
      </c>
      <c r="I15" s="14" t="n">
        <v>0.5423</v>
      </c>
      <c r="J15" s="14" t="n">
        <v>0.5423</v>
      </c>
      <c r="K15" s="14" t="n">
        <v>0.5423</v>
      </c>
      <c r="L15" s="14" t="n">
        <v>0.5423</v>
      </c>
      <c r="M15" s="14" t="n">
        <v>0.5423</v>
      </c>
      <c r="N15" s="14" t="n">
        <v>0.5423</v>
      </c>
      <c r="O15" s="14" t="n">
        <v>0.5423</v>
      </c>
      <c r="P15" s="14" t="n">
        <v>0.5423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0.0765</v>
      </c>
      <c r="I16" s="4" t="n">
        <v>0.0765</v>
      </c>
      <c r="J16" s="4" t="n">
        <v>0.0765</v>
      </c>
      <c r="K16" s="4" t="n">
        <v>0.0765</v>
      </c>
      <c r="L16" s="4" t="n">
        <v>0.0765</v>
      </c>
      <c r="M16" s="4" t="n">
        <v>0.0765</v>
      </c>
      <c r="N16" s="4" t="n">
        <v>0.0765</v>
      </c>
      <c r="O16" s="4" t="n">
        <v>0.0765</v>
      </c>
      <c r="P16" s="4" t="n">
        <v>0.0765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9.76</v>
      </c>
      <c r="I17" s="14" t="n">
        <v>9.76</v>
      </c>
      <c r="J17" s="14" t="n">
        <v>9.76</v>
      </c>
      <c r="K17" s="14" t="n">
        <v>9.76</v>
      </c>
      <c r="L17" s="14" t="n">
        <v>9.76</v>
      </c>
      <c r="M17" s="14" t="n">
        <v>9.76</v>
      </c>
      <c r="N17" s="14" t="n">
        <v>9.76</v>
      </c>
      <c r="O17" s="14" t="n">
        <v>9.76</v>
      </c>
      <c r="P17" s="14" t="n">
        <v>9.76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3.375</v>
      </c>
      <c r="I18" s="3" t="n">
        <v>3.375</v>
      </c>
      <c r="J18" s="3" t="n">
        <v>3.375</v>
      </c>
      <c r="K18" s="3" t="n">
        <v>3.375</v>
      </c>
      <c r="L18" s="3" t="n">
        <v>3.375</v>
      </c>
      <c r="M18" s="3" t="n">
        <v>3.4425</v>
      </c>
      <c r="N18" s="3" t="n">
        <v>3.51135</v>
      </c>
      <c r="O18" s="3" t="n">
        <v>3.581577000000001</v>
      </c>
      <c r="P18" s="3" t="n">
        <v>3.65320854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0.425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8.960000000000001</v>
      </c>
      <c r="I20" s="3" t="n">
        <v>8.960000000000001</v>
      </c>
      <c r="J20" s="3" t="n">
        <v>8.960000000000001</v>
      </c>
      <c r="K20" s="3" t="n">
        <v>8.960000000000001</v>
      </c>
      <c r="L20" s="3" t="n">
        <v>8.960000000000001</v>
      </c>
      <c r="M20" s="3" t="n">
        <v>9.139200000000001</v>
      </c>
      <c r="N20" s="3" t="n">
        <v>9.321984</v>
      </c>
      <c r="O20" s="3" t="n">
        <v>9.508423680000002</v>
      </c>
      <c r="P20" s="3" t="n">
        <v>9.6985921536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0.1284</v>
      </c>
      <c r="I21" s="4" t="n">
        <v>0.1284</v>
      </c>
      <c r="J21" s="4" t="n">
        <v>0.1284</v>
      </c>
      <c r="K21" s="4" t="n">
        <v>0.1284</v>
      </c>
      <c r="L21" s="4" t="n">
        <v>0.1284</v>
      </c>
      <c r="M21" s="4" t="n">
        <v>0.1284</v>
      </c>
      <c r="N21" s="4" t="n">
        <v>0.1284</v>
      </c>
      <c r="O21" s="4" t="n">
        <v>0.1284</v>
      </c>
      <c r="P21" s="4" t="n">
        <v>0.1284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121.088615</v>
      </c>
      <c r="I22" s="13" t="n">
        <v>121.088615</v>
      </c>
      <c r="J22" s="13" t="n">
        <v>121.088615</v>
      </c>
      <c r="K22" s="13" t="n">
        <v>121.088615</v>
      </c>
      <c r="L22" s="13" t="n">
        <v>121.088615</v>
      </c>
      <c r="M22" s="13" t="n">
        <v>123.5103873</v>
      </c>
      <c r="N22" s="13" t="n">
        <v>125.980595046</v>
      </c>
      <c r="O22" s="13" t="n">
        <v>128.50020694692</v>
      </c>
      <c r="P22" s="13" t="n">
        <v>131.0702110858584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1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7.0442</v>
      </c>
      <c r="I24" s="3" t="n">
        <v>7.0442</v>
      </c>
      <c r="J24" s="3" t="n">
        <v>7.0442</v>
      </c>
      <c r="K24" s="3" t="n">
        <v>7.0442</v>
      </c>
      <c r="L24" s="3" t="n">
        <v>7.0442</v>
      </c>
      <c r="M24" s="3" t="n">
        <v>7.185084</v>
      </c>
      <c r="N24" s="3" t="n">
        <v>7.32878568</v>
      </c>
      <c r="O24" s="3" t="n">
        <v>7.475361393600001</v>
      </c>
      <c r="P24" s="3" t="n">
        <v>7.624868621472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1.3721</v>
      </c>
      <c r="I25" s="3" t="n">
        <v>1.3721</v>
      </c>
      <c r="J25" s="3" t="n">
        <v>1.3721</v>
      </c>
      <c r="K25" s="3" t="n">
        <v>1.3721</v>
      </c>
      <c r="L25" s="3" t="n">
        <v>1.3721</v>
      </c>
      <c r="M25" s="3" t="n">
        <v>1.399542</v>
      </c>
      <c r="N25" s="3" t="n">
        <v>1.42753284</v>
      </c>
      <c r="O25" s="3" t="n">
        <v>1.4560834968</v>
      </c>
      <c r="P25" s="3" t="n">
        <v>1.485205166736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0.09167599999999999</v>
      </c>
      <c r="I27" s="4" t="n">
        <v>0.09167599999999999</v>
      </c>
      <c r="J27" s="4" t="n">
        <v>0.09167599999999999</v>
      </c>
      <c r="K27" s="4" t="n">
        <v>0.09167599999999999</v>
      </c>
      <c r="L27" s="4" t="n">
        <v>0.09167599999999999</v>
      </c>
      <c r="M27" s="4" t="n">
        <v>0.09167599999999999</v>
      </c>
      <c r="N27" s="4" t="n">
        <v>0.09167599999999999</v>
      </c>
      <c r="O27" s="4" t="n">
        <v>0.09167599999999999</v>
      </c>
      <c r="P27" s="4" t="n">
        <v>0.09167599999999999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0.210733</v>
      </c>
      <c r="I28" s="4" t="n">
        <v>0.210733</v>
      </c>
      <c r="J28" s="4" t="n">
        <v>0.210733</v>
      </c>
      <c r="K28" s="4" t="n">
        <v>0.210733</v>
      </c>
      <c r="L28" s="4" t="n">
        <v>0.210733</v>
      </c>
      <c r="M28" s="4" t="n">
        <v>0.210733</v>
      </c>
      <c r="N28" s="4" t="n">
        <v>0.210733</v>
      </c>
      <c r="O28" s="4" t="n">
        <v>0.210733</v>
      </c>
      <c r="P28" s="4" t="n">
        <v>0.210733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0.086672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0.03494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0.040068</v>
      </c>
      <c r="I33" s="4" t="n">
        <v>0.040068</v>
      </c>
      <c r="J33" s="4" t="n">
        <v>0.040068</v>
      </c>
      <c r="K33" s="4" t="n">
        <v>0.040068</v>
      </c>
      <c r="L33" s="4" t="n">
        <v>0.040068</v>
      </c>
      <c r="M33" s="4" t="n">
        <v>0.040068</v>
      </c>
      <c r="N33" s="4" t="n">
        <v>0.040068</v>
      </c>
      <c r="O33" s="4" t="n">
        <v>0.040068</v>
      </c>
      <c r="P33" s="4" t="n">
        <v>0.040068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0.565132</v>
      </c>
      <c r="I34" s="4" t="n">
        <v>0.565132</v>
      </c>
      <c r="J34" s="4" t="n">
        <v>0.565132</v>
      </c>
      <c r="K34" s="4" t="n">
        <v>0.565132</v>
      </c>
      <c r="L34" s="4" t="n">
        <v>0.565132</v>
      </c>
      <c r="M34" s="4" t="n">
        <v>0.565132</v>
      </c>
      <c r="N34" s="4" t="n">
        <v>0.565132</v>
      </c>
      <c r="O34" s="4" t="n">
        <v>0.565132</v>
      </c>
      <c r="P34" s="4" t="n">
        <v>0.565132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0.07976900000000001</v>
      </c>
      <c r="I37" s="4" t="n">
        <v>0.07976900000000001</v>
      </c>
      <c r="J37" s="4" t="n">
        <v>0.07976900000000001</v>
      </c>
      <c r="K37" s="4" t="n">
        <v>0.07976900000000001</v>
      </c>
      <c r="L37" s="4" t="n">
        <v>0.07976900000000001</v>
      </c>
      <c r="M37" s="4" t="n">
        <v>0.07976900000000001</v>
      </c>
      <c r="N37" s="4" t="n">
        <v>0.07976900000000001</v>
      </c>
      <c r="O37" s="4" t="n">
        <v>0.07976900000000001</v>
      </c>
      <c r="P37" s="4" t="n">
        <v>0.07976900000000001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>
        <v>147.3</v>
      </c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  <c r="P40" s="15">
        <f>MAX((O40-P41),0)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>
        <v>10.078324</v>
      </c>
      <c r="F41" s="13" t="n">
        <v>9.200944</v>
      </c>
      <c r="G41" s="13" t="n">
        <v>9.283808000000001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  <c r="P41" s="15">
        <f>IF(($C$9&gt;0),MIN(P14,MAX(O40,0)),P14)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  <c r="K42" s="16">
        <f>Drivers!$O$6</f>
        <v/>
      </c>
      <c r="L42" s="16">
        <f>Drivers!$P$6</f>
        <v/>
      </c>
      <c r="M42" s="16">
        <f>Drivers!$Q$6</f>
        <v/>
      </c>
      <c r="N42" s="16">
        <f>Drivers!$R$6</f>
        <v/>
      </c>
      <c r="O42" s="16">
        <f>Drivers!$S$6</f>
        <v/>
      </c>
      <c r="P42" s="16">
        <f>Drivers!$T$6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/>
      <c r="G43" s="3" t="n"/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  <c r="K43" s="16">
        <f>(((K15*K42)*(1-K16))+(MIN(Drivers!$O$4,(K15*K42))*K16))</f>
        <v/>
      </c>
      <c r="L43" s="16">
        <f>(((L15*L42)*(1-L16))+(MIN(Drivers!$P$4,(L15*L42))*L16))</f>
        <v/>
      </c>
      <c r="M43" s="16">
        <f>(((M15*M42)*(1-M16))+(MIN(Drivers!$Q$4,(M15*M42))*M16))</f>
        <v/>
      </c>
      <c r="N43" s="16">
        <f>(((N15*N42)*(1-N16))+(MIN(Drivers!$R$4,(N15*N42))*N16))</f>
        <v/>
      </c>
      <c r="O43" s="16">
        <f>(((O15*O42)*(1-O16))+(MIN(Drivers!$S$4,(O15*O42))*O16))</f>
        <v/>
      </c>
      <c r="P43" s="16">
        <f>(((P15*P42)*(1-P16))+(MIN(Drivers!$T$4,(P15*P42))*P16))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  <c r="L44" s="17">
        <f>IF(L42=0,0,L43/L42)</f>
        <v/>
      </c>
      <c r="M44" s="17">
        <f>IF(M42=0,0,M43/M42)</f>
        <v/>
      </c>
      <c r="N44" s="17">
        <f>IF(N42=0,0,N43/N42)</f>
        <v/>
      </c>
      <c r="O44" s="17">
        <f>IF(O42=0,0,O43/O42)</f>
        <v/>
      </c>
      <c r="P44" s="17">
        <f>IF(P42=0,0,P43/P42)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6">
        <f>(((H17*H18)*(1+($C$19*(IF(Drivers!$J$8=0,0,Drivers!$L$8/Drivers!$J$8)-1))))+H20)</f>
        <v/>
      </c>
      <c r="I45" s="16">
        <f>(((I17*I18)*(1+($C$19*(IF(Drivers!$J$8=0,0,Drivers!$M$8/Drivers!$J$8)-1))))+I20)</f>
        <v/>
      </c>
      <c r="J45" s="16">
        <f>(((J17*J18)*(1+($C$19*(IF(Drivers!$J$8=0,0,Drivers!$N$8/Drivers!$J$8)-1))))+J20)</f>
        <v/>
      </c>
      <c r="K45" s="16">
        <f>(((K17*K18)*(1+($C$19*(IF(Drivers!$J$8=0,0,Drivers!$O$8/Drivers!$J$8)-1))))+K20)</f>
        <v/>
      </c>
      <c r="L45" s="16">
        <f>(((L17*L18)*(1+($C$19*(IF(Drivers!$J$8=0,0,Drivers!$P$8/Drivers!$J$8)-1))))+L20)</f>
        <v/>
      </c>
      <c r="M45" s="16">
        <f>(((M17*M18)*(1+($C$19*(IF(Drivers!$J$8=0,0,Drivers!$Q$8/Drivers!$J$8)-1))))+M20)</f>
        <v/>
      </c>
      <c r="N45" s="16">
        <f>(((N17*N18)*(1+($C$19*(IF(Drivers!$J$8=0,0,Drivers!$R$8/Drivers!$J$8)-1))))+N20)</f>
        <v/>
      </c>
      <c r="O45" s="16">
        <f>(((O17*O18)*(1+($C$19*(IF(Drivers!$J$8=0,0,Drivers!$S$8/Drivers!$J$8)-1))))+O20)</f>
        <v/>
      </c>
      <c r="P45" s="16">
        <f>(((P17*P18)*(1+($C$19*(IF(Drivers!$J$8=0,0,Drivers!$T$8/Drivers!$J$8)-1))))+P20)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/>
      <c r="H46" s="18">
        <f>H17</f>
        <v/>
      </c>
      <c r="I46" s="18">
        <f>I17</f>
        <v/>
      </c>
      <c r="J46" s="18">
        <f>J17</f>
        <v/>
      </c>
      <c r="K46" s="18">
        <f>K17</f>
        <v/>
      </c>
      <c r="L46" s="18">
        <f>L17</f>
        <v/>
      </c>
      <c r="M46" s="18">
        <f>M17</f>
        <v/>
      </c>
      <c r="N46" s="18">
        <f>N17</f>
        <v/>
      </c>
      <c r="O46" s="18">
        <f>O17</f>
        <v/>
      </c>
      <c r="P46" s="18">
        <f>P17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7">
        <f>H21</f>
        <v/>
      </c>
      <c r="I47" s="17">
        <f>I21</f>
        <v/>
      </c>
      <c r="J47" s="17">
        <f>J21</f>
        <v/>
      </c>
      <c r="K47" s="17">
        <f>K21</f>
        <v/>
      </c>
      <c r="L47" s="17">
        <f>L21</f>
        <v/>
      </c>
      <c r="M47" s="17">
        <f>M21</f>
        <v/>
      </c>
      <c r="N47" s="17">
        <f>N21</f>
        <v/>
      </c>
      <c r="O47" s="17">
        <f>O21</f>
        <v/>
      </c>
      <c r="P47" s="17">
        <f>P21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>
        <v>28.20087705058897</v>
      </c>
      <c r="F48" s="3" t="n">
        <v>22.54332468494537</v>
      </c>
      <c r="G48" s="3" t="n">
        <v>16.65606462348209</v>
      </c>
      <c r="H48" s="19">
        <f>IF((H41*$C$10)=0,0,H61/(H41*$C$10))</f>
        <v/>
      </c>
      <c r="I48" s="19">
        <f>IF((I41*$C$10)=0,0,I61/(I41*$C$10))</f>
        <v/>
      </c>
      <c r="J48" s="19">
        <f>IF((J41*$C$10)=0,0,J61/(J41*$C$10))</f>
        <v/>
      </c>
      <c r="K48" s="19">
        <f>IF((K41*$C$10)=0,0,K61/(K41*$C$10))</f>
        <v/>
      </c>
      <c r="L48" s="19">
        <f>IF((L41*$C$10)=0,0,L61/(L41*$C$10))</f>
        <v/>
      </c>
      <c r="M48" s="19">
        <f>IF((M41*$C$10)=0,0,M61/(M41*$C$10))</f>
        <v/>
      </c>
      <c r="N48" s="19">
        <f>IF((N41*$C$10)=0,0,N61/(N41*$C$10))</f>
        <v/>
      </c>
      <c r="O48" s="19">
        <f>IF((O41*$C$10)=0,0,O61/(O41*$C$10))</f>
        <v/>
      </c>
      <c r="P48" s="19">
        <f>IF((P41*$C$10)=0,0,P61/(P41*$C$10))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9">
        <f>IF((H41*$C$10)=0,0,(H53+H52)/(H41*$C$10))</f>
        <v/>
      </c>
      <c r="I49" s="19">
        <f>IF((I41*$C$10)=0,0,(I53+I52)/(I41*$C$10))</f>
        <v/>
      </c>
      <c r="J49" s="19">
        <f>IF((J41*$C$10)=0,0,(J53+J52)/(J41*$C$10))</f>
        <v/>
      </c>
      <c r="K49" s="19">
        <f>IF((K41*$C$10)=0,0,(K53+K52)/(K41*$C$10))</f>
        <v/>
      </c>
      <c r="L49" s="19">
        <f>IF((L41*$C$10)=0,0,(L53+L52)/(L41*$C$10))</f>
        <v/>
      </c>
      <c r="M49" s="19">
        <f>IF((M41*$C$10)=0,0,(M53+M52)/(M41*$C$10))</f>
        <v/>
      </c>
      <c r="N49" s="19">
        <f>IF((N41*$C$10)=0,0,(N53+N52)/(N41*$C$10))</f>
        <v/>
      </c>
      <c r="O49" s="19">
        <f>IF((O41*$C$10)=0,0,(O53+O52)/(O41*$C$10))</f>
        <v/>
      </c>
      <c r="P49" s="19">
        <f>IF((P41*$C$10)=0,0,(P53+P52)/(P41*$C$10))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15">
        <f>((H41*H43)*$C$10)</f>
        <v/>
      </c>
      <c r="I50" s="15">
        <f>((I41*I43)*$C$10)</f>
        <v/>
      </c>
      <c r="J50" s="15">
        <f>((J41*J43)*$C$10)</f>
        <v/>
      </c>
      <c r="K50" s="15">
        <f>((K41*K43)*$C$10)</f>
        <v/>
      </c>
      <c r="L50" s="15">
        <f>((L41*L43)*$C$10)</f>
        <v/>
      </c>
      <c r="M50" s="15">
        <f>((M41*M43)*$C$10)</f>
        <v/>
      </c>
      <c r="N50" s="15">
        <f>((N41*N43)*$C$10)</f>
        <v/>
      </c>
      <c r="O50" s="15">
        <f>((O41*O43)*$C$10)</f>
        <v/>
      </c>
      <c r="P50" s="15">
        <f>((P41*P43)*$C$10)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  <c r="P51" s="15">
        <f>P22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  <c r="P52" s="15">
        <f>(P50*P47)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((H41*H45)*$C$10)</f>
        <v/>
      </c>
      <c r="I53" s="15">
        <f>((I41*I45)*$C$10)</f>
        <v/>
      </c>
      <c r="J53" s="15">
        <f>((J41*J45)*$C$10)</f>
        <v/>
      </c>
      <c r="K53" s="15">
        <f>((K41*K45)*$C$10)</f>
        <v/>
      </c>
      <c r="L53" s="15">
        <f>((L41*L45)*$C$10)</f>
        <v/>
      </c>
      <c r="M53" s="15">
        <f>((M41*M45)*$C$10)</f>
        <v/>
      </c>
      <c r="N53" s="15">
        <f>((N41*N45)*$C$10)</f>
        <v/>
      </c>
      <c r="O53" s="15">
        <f>((O41*O45)*$C$10)</f>
        <v/>
      </c>
      <c r="P53" s="15">
        <f>((P41*P45)*$C$10)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  <c r="P54" s="15">
        <f>(P51*(1-$C$23))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1064.724374</v>
      </c>
      <c r="E55" s="13" t="n">
        <v>917.0506350000001</v>
      </c>
      <c r="F55" s="13" t="n">
        <v>766.734814</v>
      </c>
      <c r="G55" s="13" t="n">
        <v>666.874493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  <c r="P55" s="15">
        <f>(P50+P51)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534.544763</v>
      </c>
      <c r="E56" s="13" t="n">
        <v>580.9707529999999</v>
      </c>
      <c r="F56" s="13" t="n">
        <v>564.149628</v>
      </c>
      <c r="G56" s="13" t="n">
        <v>524.444879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  <c r="P56" s="15">
        <f>(((P53+P52)+P54)+P60)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530.179611</v>
      </c>
      <c r="E57" s="13" t="n">
        <v>336.079882</v>
      </c>
      <c r="F57" s="13" t="n">
        <v>202.585186</v>
      </c>
      <c r="G57" s="13" t="n">
        <v>142.429614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  <c r="P57" s="15">
        <f>(P55-P56)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53.870046</v>
      </c>
      <c r="E58" s="13" t="n">
        <v>59.27749699999998</v>
      </c>
      <c r="F58" s="13" t="n">
        <v>57.68899199999998</v>
      </c>
      <c r="G58" s="13" t="n">
        <v>53.19560599999998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  <c r="P58" s="15">
        <f>(P55*P37)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476.309565</v>
      </c>
      <c r="E59" s="13" t="n">
        <v>276.802385</v>
      </c>
      <c r="F59" s="13" t="n">
        <v>144.896194</v>
      </c>
      <c r="G59" s="13" t="n">
        <v>89.234008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  <c r="P59" s="15">
        <f>(P57-P58)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7.383237</v>
      </c>
      <c r="E60" s="13" t="n">
        <v>7.415191</v>
      </c>
      <c r="F60" s="13" t="n">
        <v>62.523674</v>
      </c>
      <c r="G60" s="13" t="n">
        <v>65.39769800000001</v>
      </c>
      <c r="H60" s="15">
        <f>((H41*H24)*$C$10)</f>
        <v/>
      </c>
      <c r="I60" s="15">
        <f>((I41*I24)*$C$10)</f>
        <v/>
      </c>
      <c r="J60" s="15">
        <f>((J41*J24)*$C$10)</f>
        <v/>
      </c>
      <c r="K60" s="15">
        <f>((K41*K24)*$C$10)</f>
        <v/>
      </c>
      <c r="L60" s="15">
        <f>((L41*L24)*$C$10)</f>
        <v/>
      </c>
      <c r="M60" s="15">
        <f>((M41*M24)*$C$10)</f>
        <v/>
      </c>
      <c r="N60" s="15">
        <f>((N41*N24)*$C$10)</f>
        <v/>
      </c>
      <c r="O60" s="15">
        <f>((O41*O24)*$C$10)</f>
        <v/>
      </c>
      <c r="P60" s="15">
        <f>((P41*P24)*$C$10)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483.692802</v>
      </c>
      <c r="E61" s="13" t="n">
        <v>284.217576</v>
      </c>
      <c r="F61" s="13" t="n">
        <v>207.419868</v>
      </c>
      <c r="G61" s="13" t="n">
        <v>154.631706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  <c r="P61" s="15">
        <f>(P59+P60)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6.447956</v>
      </c>
      <c r="E62" s="13" t="n">
        <v>6.973945</v>
      </c>
      <c r="F62" s="13" t="n">
        <v>6.826494</v>
      </c>
      <c r="G62" s="13" t="n">
        <v>5.868537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  <c r="P62" s="15">
        <f>(O82*$C$29)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5.163864</v>
      </c>
      <c r="E63" s="13" t="n">
        <v>9.125645</v>
      </c>
      <c r="F63" s="13" t="n">
        <v>7.433258</v>
      </c>
      <c r="G63" s="13" t="n">
        <v>6.471745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  <c r="P63" s="15">
        <f>(O81*$C$30)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-17.11310899999999</v>
      </c>
      <c r="E64" s="13" t="n">
        <v>16.04473099999996</v>
      </c>
      <c r="F64" s="13" t="n">
        <v>1.395978999999981</v>
      </c>
      <c r="G64" s="13" t="n">
        <v>1.106271000000001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  <c r="P64" s="15">
        <f>P32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457.912364</v>
      </c>
      <c r="E65" s="13" t="n">
        <v>294.998816</v>
      </c>
      <c r="F65" s="13" t="n">
        <v>146.898937</v>
      </c>
      <c r="G65" s="13" t="n">
        <v>90.943487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  <c r="P65" s="15">
        <f>(((P59-P62)+P63)+P64)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99.607079</v>
      </c>
      <c r="E66" s="13" t="n">
        <v>60.087032</v>
      </c>
      <c r="F66" s="13" t="n">
        <v>29.983369</v>
      </c>
      <c r="G66" s="13" t="n">
        <v>20.408221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  <c r="P66" s="15">
        <f>(MAX(P65,0)*P28)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358.305285</v>
      </c>
      <c r="E67" s="13" t="n">
        <v>234.911784</v>
      </c>
      <c r="F67" s="13" t="n">
        <v>116.915568</v>
      </c>
      <c r="G67" s="13" t="n">
        <v>70.53526599999999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  <c r="P67" s="15">
        <f>(P65-P66)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5.961833000000013</v>
      </c>
      <c r="E68" s="13" t="n">
        <v>7.081937000000011</v>
      </c>
      <c r="F68" s="13" t="n">
        <v>4.149541999999997</v>
      </c>
      <c r="G68" s="13" t="n">
        <v>3.848851999999994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  <c r="P68" s="15">
        <f>(P67*P33)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352.343452</v>
      </c>
      <c r="E69" s="13" t="n">
        <v>227.829847</v>
      </c>
      <c r="F69" s="13" t="n">
        <v>112.766026</v>
      </c>
      <c r="G69" s="13" t="n">
        <v>66.686414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  <c r="P69" s="15">
        <f>(P67-P68)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3555.56</v>
      </c>
      <c r="E70" s="13" t="n">
        <v>3555.56</v>
      </c>
      <c r="F70" s="13" t="n">
        <v>3555.56</v>
      </c>
      <c r="G70" s="13" t="n">
        <v>3555.56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  <c r="P70" s="15">
        <f>(O70*(1+P35))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0.09909647200441001</v>
      </c>
      <c r="E71" s="20" t="n">
        <v>0.06407706437241953</v>
      </c>
      <c r="F71" s="20" t="n">
        <v>0.03171540516824354</v>
      </c>
      <c r="G71" s="20" t="n">
        <v>0.01875553049308688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  <c r="M71" s="21">
        <f>(IF(M70=0,0,M69/M70)*$C$8)</f>
        <v/>
      </c>
      <c r="N71" s="21">
        <f>(IF(N70=0,0,N69/N70)*$C$8)</f>
        <v/>
      </c>
      <c r="O71" s="21">
        <f>(IF(O70=0,0,O69/O70)*$C$8)</f>
        <v/>
      </c>
      <c r="P71" s="21">
        <f>(IF(P70=0,0,P69/P70)*$C$8)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0.05962047565408127</v>
      </c>
      <c r="E72" s="20" t="n">
        <v>0.03344668220731573</v>
      </c>
      <c r="F72" s="20" t="n">
        <v>0.01672867119546732</v>
      </c>
      <c r="G72" s="20" t="n">
        <v>0.01122586439155815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  <c r="M72" s="21">
        <f>(MAX(M71,0)*M34)</f>
        <v/>
      </c>
      <c r="N72" s="21">
        <f>(MAX(N71,0)*N34)</f>
        <v/>
      </c>
      <c r="O72" s="21">
        <f>(MAX(O71,0)*O34)</f>
        <v/>
      </c>
      <c r="P72" s="21">
        <f>(MAX(P71,0)*P34)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>
        <v>194.164763</v>
      </c>
      <c r="E73" s="13" t="n">
        <v>215.989817</v>
      </c>
      <c r="F73" s="13" t="n">
        <v>120.550332</v>
      </c>
      <c r="G73" s="13" t="n">
        <v>62.389253</v>
      </c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  <c r="P73" s="15">
        <f>IF($C$8=0,0,(O72*O70)/$C$8)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61.809528</v>
      </c>
      <c r="E74" s="13" t="n">
        <v>46.601178</v>
      </c>
      <c r="F74" s="13" t="n">
        <v>27.2292</v>
      </c>
      <c r="G74" s="13" t="n">
        <v>12.738172</v>
      </c>
      <c r="H74" s="15">
        <f>(((H41*H25)*$C$10)+H26)</f>
        <v/>
      </c>
      <c r="I74" s="15">
        <f>(((I41*I25)*$C$10)+I26)</f>
        <v/>
      </c>
      <c r="J74" s="15">
        <f>(((J41*J25)*$C$10)+J26)</f>
        <v/>
      </c>
      <c r="K74" s="15">
        <f>(((K41*K25)*$C$10)+K26)</f>
        <v/>
      </c>
      <c r="L74" s="15">
        <f>(((L41*L25)*$C$10)+L26)</f>
        <v/>
      </c>
      <c r="M74" s="15">
        <f>(((M41*M25)*$C$10)+M26)</f>
        <v/>
      </c>
      <c r="N74" s="15">
        <f>(((N41*N25)*$C$10)+N26)</f>
        <v/>
      </c>
      <c r="O74" s="15">
        <f>(((O41*O25)*$C$10)+O26)</f>
        <v/>
      </c>
      <c r="P74" s="15">
        <f>(((P41*P25)*$C$10)+P26)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33.26192999999996</v>
      </c>
      <c r="F75" s="13" t="n">
        <v>13.14397599999999</v>
      </c>
      <c r="G75" s="13" t="n">
        <v>2.784519000000003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  <c r="P75" s="15">
        <f>(P80-O80)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147.9737882715386</v>
      </c>
      <c r="F76" s="13" t="n">
        <v>137.4721005147152</v>
      </c>
      <c r="G76" s="13" t="n">
        <v>119.0844105334947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  <c r="P76" s="15">
        <f>((((P59*(1-P28))+P60)-P74)-P75)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-0.3101660000000095</v>
      </c>
      <c r="F77" s="13" t="n">
        <v>19.511174</v>
      </c>
      <c r="G77" s="13" t="n">
        <v>-37.659102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  <c r="P77" s="15">
        <f>P31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  <c r="P78" s="15">
        <f>(MAX(O68,0)*P34)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  <c r="P79" s="15">
        <f>(((((P67+P60)-P74)-P75)+P77)-P78)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26.82730100000002</v>
      </c>
      <c r="E80" s="13" t="n">
        <v>60.08923099999998</v>
      </c>
      <c r="F80" s="13" t="n">
        <v>73.23320699999998</v>
      </c>
      <c r="G80" s="13" t="n">
        <v>76.01772599999998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  <c r="P80" s="15">
        <f>(P55*P27)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288.827254</v>
      </c>
      <c r="E81" s="13" t="n">
        <v>228.066396</v>
      </c>
      <c r="F81" s="13" t="n">
        <v>159.273084</v>
      </c>
      <c r="G81" s="13" t="n">
        <v>126.612197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  <c r="P81" s="15">
        <f>(((((((O81+P67)+P60)-P74)-P75)+P77)-P73)-P78)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70.95398900000001</v>
      </c>
      <c r="E82" s="13" t="n">
        <v>70.643823</v>
      </c>
      <c r="F82" s="13" t="n">
        <v>90.15499699999999</v>
      </c>
      <c r="G82" s="13" t="n">
        <v>52.495895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  <c r="P82" s="15">
        <f>(O82+P77)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307.534567</v>
      </c>
      <c r="E83" s="13" t="n">
        <v>320.807419</v>
      </c>
      <c r="F83" s="13" t="n">
        <v>349.932873</v>
      </c>
      <c r="G83" s="13" t="n">
        <v>313.566658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  <c r="P83" s="15">
        <f>((O83+P74)-P60)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542.005815</v>
      </c>
      <c r="E84" s="13" t="n">
        <v>556.563631</v>
      </c>
      <c r="F84" s="13" t="n">
        <v>550.100716</v>
      </c>
      <c r="G84" s="13" t="n">
        <v>558.3889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  <c r="P84" s="15">
        <f>((O84+P69)-P73)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24.685648</v>
      </c>
      <c r="E85" s="13" t="n">
        <v>29.098772</v>
      </c>
      <c r="F85" s="13" t="n">
        <v>31.598844</v>
      </c>
      <c r="G85" s="13" t="n">
        <v>31.25943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  <c r="P85" s="15">
        <f>((O85+P68)-P78)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14.45632999999998</v>
      </c>
      <c r="E86" s="13" t="n">
        <v>47.34318000000007</v>
      </c>
      <c r="F86" s="13" t="n">
        <v>89.41539299999999</v>
      </c>
      <c r="G86" s="13" t="n">
        <v>125.947644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  <c r="P86" s="15">
        <f>O86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  <c r="P87" s="15">
        <f>((((((P81+P80)+P83)+P86)-P82)-P84)-P85)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-217.873265</v>
      </c>
      <c r="E88" s="13" t="n">
        <v>-157.422573</v>
      </c>
      <c r="F88" s="13" t="n">
        <v>-69.11808700000002</v>
      </c>
      <c r="G88" s="13" t="n">
        <v>-74.11630199999999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  <c r="P88" s="15">
        <f>(P82-P81)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0.1524389449200688</v>
      </c>
      <c r="E89" s="20" t="n">
        <v>0.1565333255520931</v>
      </c>
      <c r="F89" s="20" t="n">
        <v>0.1547156329804588</v>
      </c>
      <c r="G89" s="20" t="n">
        <v>0.1570466818166477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  <c r="M89" s="21">
        <f>(IF(M70=0,0,M84/M70)*$C$8)</f>
        <v/>
      </c>
      <c r="N89" s="21">
        <f>(IF(N70=0,0,N84/N70)*$C$8)</f>
        <v/>
      </c>
      <c r="O89" s="21">
        <f>(IF(O70=0,0,O84/O70)*$C$8)</f>
        <v/>
      </c>
      <c r="P89" s="21">
        <f>(IF(P70=0,0,P84/P70)*$C$8)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-0.1386966830159181</v>
      </c>
      <c r="F90" s="4" t="n">
        <v>-0.1639122369726074</v>
      </c>
      <c r="G90" s="4" t="n">
        <v>-0.1302410157679367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  <c r="L90" s="17">
        <f>(IF(K55=0,0,L55/K55)-1)</f>
        <v/>
      </c>
      <c r="M90" s="17">
        <f>(IF(L55=0,0,M55/L55)-1)</f>
        <v/>
      </c>
      <c r="N90" s="17">
        <f>(IF(M55=0,0,N55/M55)-1)</f>
        <v/>
      </c>
      <c r="O90" s="17">
        <f>(IF(N55=0,0,O55/N55)-1)</f>
        <v/>
      </c>
      <c r="P90" s="17">
        <f>(IF(O55=0,0,P55/O55)-1)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0.497950102342637</v>
      </c>
      <c r="E91" s="4" t="n">
        <v>0.366479089783303</v>
      </c>
      <c r="F91" s="4" t="n">
        <v>0.2642180611874498</v>
      </c>
      <c r="G91" s="4" t="n">
        <v>0.2135778403508379</v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  <c r="L91" s="17">
        <f>IF(L55=0,0,L57/L55)</f>
        <v/>
      </c>
      <c r="M91" s="17">
        <f>IF(M55=0,0,M57/M55)</f>
        <v/>
      </c>
      <c r="N91" s="17">
        <f>IF(N55=0,0,N57/N55)</f>
        <v/>
      </c>
      <c r="O91" s="17">
        <f>IF(O55=0,0,O57/O55)</f>
        <v/>
      </c>
      <c r="P91" s="17">
        <f>IF(P55=0,0,P57/P55)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0.4542892168259878</v>
      </c>
      <c r="E92" s="4" t="n">
        <v>0.3099257174605195</v>
      </c>
      <c r="F92" s="4" t="n">
        <v>0.2705236076576536</v>
      </c>
      <c r="G92" s="4" t="n">
        <v>0.2318752743179218</v>
      </c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  <c r="L92" s="17">
        <f>IF(L55=0,0,L61/L55)</f>
        <v/>
      </c>
      <c r="M92" s="17">
        <f>IF(M55=0,0,M61/M55)</f>
        <v/>
      </c>
      <c r="N92" s="17">
        <f>IF(N55=0,0,N61/N55)</f>
        <v/>
      </c>
      <c r="O92" s="17">
        <f>IF(O55=0,0,O61/O55)</f>
        <v/>
      </c>
      <c r="P92" s="17">
        <f>IF(P55=0,0,P61/P55)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0.4473548052728246</v>
      </c>
      <c r="E93" s="4" t="n">
        <v>0.3018398051706273</v>
      </c>
      <c r="F93" s="4" t="n">
        <v>0.1889782377874392</v>
      </c>
      <c r="G93" s="4" t="n">
        <v>0.1338092983562351</v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  <c r="L93" s="17">
        <f>IF(L55=0,0,L59/L55)</f>
        <v/>
      </c>
      <c r="M93" s="17">
        <f>IF(M55=0,0,M59/M55)</f>
        <v/>
      </c>
      <c r="N93" s="17">
        <f>IF(N55=0,0,N59/N55)</f>
        <v/>
      </c>
      <c r="O93" s="17">
        <f>IF(O55=0,0,O59/O55)</f>
        <v/>
      </c>
      <c r="P93" s="17">
        <f>IF(P55=0,0,P59/P55)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0.3309245665864695</v>
      </c>
      <c r="E94" s="4" t="n">
        <v>0.2484375870913605</v>
      </c>
      <c r="F94" s="4" t="n">
        <v>0.1470730478660644</v>
      </c>
      <c r="G94" s="4" t="n">
        <v>0.09999844753396497</v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  <c r="L94" s="17">
        <f>IF(L55=0,0,L69/L55)</f>
        <v/>
      </c>
      <c r="M94" s="17">
        <f>IF(M55=0,0,M69/M55)</f>
        <v/>
      </c>
      <c r="N94" s="17">
        <f>IF(N55=0,0,N69/N55)</f>
        <v/>
      </c>
      <c r="O94" s="17">
        <f>IF(O55=0,0,O69/O55)</f>
        <v/>
      </c>
      <c r="P94" s="17">
        <f>IF(P55=0,0,P69/P55)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-0.3533870270420125</v>
      </c>
      <c r="F95" s="4" t="n">
        <v>-0.5050427874799037</v>
      </c>
      <c r="G95" s="4" t="n">
        <v>-0.408630273093068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  <c r="L95" s="17">
        <f>(IF(K71=0,0,L71/K71)-1)</f>
        <v/>
      </c>
      <c r="M95" s="17">
        <f>(IF(L71=0,0,M71/L71)-1)</f>
        <v/>
      </c>
      <c r="N95" s="17">
        <f>(IF(M71=0,0,N71/M71)-1)</f>
        <v/>
      </c>
      <c r="O95" s="17">
        <f>(IF(N71=0,0,O71/N71)-1)</f>
        <v/>
      </c>
      <c r="P95" s="17">
        <f>(IF(O71=0,0,P71/O71)-1)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0.4147755025038262</v>
      </c>
      <c r="F96" s="4" t="n">
        <v>0.2037944500619211</v>
      </c>
      <c r="G96" s="4" t="n">
        <v>0.1203194202948672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  <c r="L96" s="17">
        <f>IF(IF(2=0,0,(L84+K84)/2)=0,0,L69/IF(2=0,0,(L84+K84)/2))</f>
        <v/>
      </c>
      <c r="M96" s="17">
        <f>IF(IF(2=0,0,(M84+L84)/2)=0,0,M69/IF(2=0,0,(M84+L84)/2))</f>
        <v/>
      </c>
      <c r="N96" s="17">
        <f>IF(IF(2=0,0,(N84+M84)/2)=0,0,N69/IF(2=0,0,(N84+M84)/2))</f>
        <v/>
      </c>
      <c r="O96" s="17">
        <f>IF(IF(2=0,0,(O84+N84)/2)=0,0,O69/IF(2=0,0,(O84+N84)/2))</f>
        <v/>
      </c>
      <c r="P96" s="17">
        <f>IF(IF(2=0,0,(P84+O84)/2)=0,0,P69/IF(2=0,0,(P84+O84)/2))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>
        <v>-0.4504372694799786</v>
      </c>
      <c r="E97" s="22" t="n">
        <v>-0.5538804996352512</v>
      </c>
      <c r="F97" s="22" t="n">
        <v>-0.3332278998461228</v>
      </c>
      <c r="G97" s="22" t="n">
        <v>-0.4793085707791389</v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  <c r="M97" s="23">
        <f>IF(M61=0,0,M88/M61)</f>
        <v/>
      </c>
      <c r="N97" s="23">
        <f>IF(N61=0,0,N88/N61)</f>
        <v/>
      </c>
      <c r="O97" s="23">
        <f>IF(O61=0,0,O88/O61)</f>
        <v/>
      </c>
      <c r="P97" s="23">
        <f>IF(P61=0,0,P88/P61)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0.6016407491421897</v>
      </c>
      <c r="E98" s="4" t="n">
        <v>0.5219758822426964</v>
      </c>
      <c r="F98" s="4" t="n">
        <v>0.5274620048750833</v>
      </c>
      <c r="G98" s="4" t="n">
        <v>0.5985362235259569</v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  <c r="L98" s="17">
        <f>IF(L71=0,0,L72/L71)</f>
        <v/>
      </c>
      <c r="M98" s="17">
        <f>IF(M71=0,0,M72/M71)</f>
        <v/>
      </c>
      <c r="N98" s="17">
        <f>IF(N71=0,0,N72/N71)</f>
        <v/>
      </c>
      <c r="O98" s="17">
        <f>IF(O71=0,0,O72/O71)</f>
        <v/>
      </c>
      <c r="P98" s="17">
        <f>IF(P71=0,0,P72/P71)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0.05805213960472366</v>
      </c>
      <c r="E99" s="4" t="n">
        <v>0.05081636304630005</v>
      </c>
      <c r="F99" s="4" t="n">
        <v>0.03551319113572949</v>
      </c>
      <c r="G99" s="4" t="n">
        <v>0.01910130336923832</v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  <c r="L99" s="17">
        <f>IF(L55=0,0,L74/L55)</f>
        <v/>
      </c>
      <c r="M99" s="17">
        <f>IF(M55=0,0,M74/M55)</f>
        <v/>
      </c>
      <c r="N99" s="17">
        <f>IF(N55=0,0,N74/N55)</f>
        <v/>
      </c>
      <c r="O99" s="17">
        <f>IF(O55=0,0,O74/O55)</f>
        <v/>
      </c>
      <c r="P99" s="17">
        <f>IF(P55=0,0,P74/P55)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3610</v>
      </c>
    </row>
    <row r="103">
      <c r="A103" t="inlineStr">
        <is>
          <t>Shares outstanding (m)</t>
        </is>
      </c>
      <c r="C103" s="13" t="n">
        <v>3555.56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58.118461</v>
      </c>
    </row>
    <row r="106">
      <c r="A106" t="inlineStr">
        <is>
          <t>Cash at balance-sheet date</t>
        </is>
      </c>
      <c r="C106" s="13" t="n">
        <v>159.311629</v>
      </c>
    </row>
    <row r="107">
      <c r="A107" t="inlineStr">
        <is>
          <t>Minority interest (book)</t>
        </is>
      </c>
      <c r="C107" s="13" t="n">
        <v>30.650231</v>
      </c>
    </row>
    <row r="108">
      <c r="A108" t="inlineStr">
        <is>
          <t>Associates &amp; investments (book)</t>
        </is>
      </c>
      <c r="C108" s="13" t="n">
        <v>1.608717</v>
      </c>
    </row>
    <row r="109">
      <c r="A109" t="inlineStr">
        <is>
          <t>Post-balance-sheet &amp; other items (sourced, probability-weighted)</t>
        </is>
      </c>
      <c r="C109" s="13" t="n">
        <v>171.975</v>
      </c>
    </row>
    <row r="110">
      <c r="A110" t="inlineStr">
        <is>
          <t>Parent equity at balance-sheet date</t>
        </is>
      </c>
      <c r="C110" s="13" t="n">
        <v>553.175125</v>
      </c>
    </row>
    <row r="111">
      <c r="A111" t="inlineStr">
        <is>
          <t>Per-share factor</t>
        </is>
      </c>
      <c r="C111" s="24" t="n">
        <v>1</v>
      </c>
    </row>
    <row r="112">
      <c r="A112" t="inlineStr">
        <is>
          <t>Risk-free rate</t>
        </is>
      </c>
      <c r="C112" s="9">
        <f>Drivers!$C$12</f>
        <v/>
      </c>
    </row>
    <row r="113">
      <c r="A113" t="inlineStr">
        <is>
          <t>Less: default spread (IDR only)</t>
        </is>
      </c>
      <c r="C113" s="9" t="n">
        <v>0</v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0.08212744071467765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  <c r="K126" s="6" t="n">
        <v>0.996578</v>
      </c>
      <c r="L126" s="6" t="n">
        <v>0.996578</v>
      </c>
      <c r="M126" s="6" t="n">
        <v>0.996578</v>
      </c>
      <c r="N126" s="6" t="n">
        <v>0.999316</v>
      </c>
      <c r="O126" s="6" t="n">
        <v>0.996578</v>
      </c>
      <c r="P126" s="6" t="n">
        <v>0.996578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  <c r="K127" s="6" t="n">
        <v>2.672142</v>
      </c>
      <c r="L127" s="6" t="n">
        <v>3.671458</v>
      </c>
      <c r="M127" s="6" t="n">
        <v>4.670773</v>
      </c>
      <c r="N127" s="6" t="n">
        <v>5.670089</v>
      </c>
      <c r="O127" s="6" t="n">
        <v>6.672142</v>
      </c>
      <c r="P127" s="6" t="n">
        <v>7.671458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  <c r="P128">
        <f>1/(1+$C$122)^P127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  <c r="M129" s="26">
        <f>M76*M126*M128</f>
        <v/>
      </c>
      <c r="N129" s="26">
        <f>N76*N126*N128</f>
        <v/>
      </c>
      <c r="O129" s="26">
        <f>O76*O126*O128</f>
        <v/>
      </c>
      <c r="P129" s="26">
        <f>P76*P126*P128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  <c r="M130" s="26">
        <f>L130+M129</f>
        <v/>
      </c>
      <c r="N130" s="26">
        <f>M130+N129</f>
        <v/>
      </c>
      <c r="O130" s="26">
        <f>N130+O129</f>
        <v/>
      </c>
      <c r="P130" s="26">
        <f>O130+P129</f>
        <v/>
      </c>
    </row>
    <row r="131">
      <c r="A131" t="inlineStr">
        <is>
          <t>Best cumulative PV (never below zero)</t>
        </is>
      </c>
      <c r="C131" s="26">
        <f>MAX(0,MAX(H130:P130))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MAX(0,$C$134/$C$103*$C$111*$C$104)</f>
        <v/>
      </c>
    </row>
    <row r="137">
      <c r="A137" s="1" t="inlineStr">
        <is>
          <t>EV/EBITDA</t>
        </is>
      </c>
    </row>
    <row r="138">
      <c r="A138" t="inlineStr">
        <is>
          <t>Target multiple (average of peer median and own five-year average)</t>
        </is>
      </c>
      <c r="C138" s="22" t="n">
        <v>5.901951</v>
      </c>
    </row>
    <row r="139">
      <c r="A139" t="inlineStr">
        <is>
          <t>Metric (LTM, or next-12m DPS for yield)</t>
        </is>
      </c>
      <c r="C139" s="13" t="n">
        <v>98.418502</v>
      </c>
    </row>
    <row r="140">
      <c r="A140" t="inlineStr">
        <is>
          <t>Value per share (IDR) — EV/EBITDA</t>
        </is>
      </c>
      <c r="C140" s="27">
        <f>MAX(0,($C$138*$C$139-($C$105-$C$106)-$C$107+$C$108+$C$109)/$C$103*$C$111*$C$104)</f>
        <v/>
      </c>
    </row>
    <row r="142">
      <c r="A142" s="1" t="inlineStr">
        <is>
          <t>Dividend yield</t>
        </is>
      </c>
    </row>
    <row r="143">
      <c r="A143" t="inlineStr">
        <is>
          <t>Target multiple (average of peer median and own five-year average)</t>
        </is>
      </c>
      <c r="C143" s="4" t="n">
        <v>0.090351</v>
      </c>
    </row>
    <row r="144">
      <c r="A144" t="inlineStr">
        <is>
          <t>Metric (LTM, or next-12m DPS for yield)</t>
        </is>
      </c>
      <c r="C144" s="13" t="n">
        <v>0.017752</v>
      </c>
    </row>
    <row r="145">
      <c r="A145" t="inlineStr">
        <is>
          <t>Value per share (IDR) — Dividend yield</t>
        </is>
      </c>
      <c r="C145" s="27">
        <f>MAX(0,$C$144/$C$143*$C$104)</f>
        <v/>
      </c>
    </row>
    <row r="147">
      <c r="A147" s="1" t="inlineStr">
        <is>
          <t>TARGET</t>
        </is>
      </c>
    </row>
    <row r="148">
      <c r="A148" t="inlineStr">
        <is>
          <t>Weight: DCF to end of life (no terminal value)</t>
        </is>
      </c>
      <c r="C148" s="4" t="n">
        <v>0.6</v>
      </c>
    </row>
    <row r="149">
      <c r="A149" t="inlineStr">
        <is>
          <t>Weight: EV/EBITDA</t>
        </is>
      </c>
      <c r="C149" s="4" t="n">
        <v>0.25</v>
      </c>
    </row>
    <row r="150">
      <c r="A150" t="inlineStr">
        <is>
          <t>Weight: Dividend yield</t>
        </is>
      </c>
      <c r="C150" s="4" t="n">
        <v>0.15</v>
      </c>
    </row>
    <row r="151">
      <c r="A151" t="inlineStr">
        <is>
          <t>Value today (weighted)</t>
        </is>
      </c>
      <c r="C151" s="27">
        <f>$C$135*$C$148+$C$140*$C$149+$C$145*$C$150</f>
        <v/>
      </c>
    </row>
    <row r="152">
      <c r="A152" t="inlineStr">
        <is>
          <t>DPS expected in next 12 months (IDR)</t>
        </is>
      </c>
      <c r="C152" s="20" t="n">
        <v>321.9863749050472</v>
      </c>
    </row>
    <row r="153">
      <c r="A153" t="inlineStr">
        <is>
          <t>Base-case 12-month value</t>
        </is>
      </c>
      <c r="C153" s="27">
        <f>MAX(0,$C$151*(1+$C$120)-$C$152)</f>
        <v/>
      </c>
    </row>
    <row r="154">
      <c r="A154" t="inlineStr">
        <is>
          <t>Bear probability</t>
        </is>
      </c>
      <c r="C154" s="4" t="n">
        <v>0.25</v>
      </c>
    </row>
    <row r="155">
      <c r="A155" t="inlineStr">
        <is>
          <t>Bear 12-month value (engine)</t>
        </is>
      </c>
      <c r="C155" s="20" t="n">
        <v>2696.883630366074</v>
      </c>
    </row>
    <row r="156">
      <c r="A156" t="inlineStr">
        <is>
          <t>Base probability</t>
        </is>
      </c>
      <c r="C156" s="4" t="n">
        <v>0.5</v>
      </c>
    </row>
    <row r="157">
      <c r="A157" t="inlineStr">
        <is>
          <t>Bull probability</t>
        </is>
      </c>
      <c r="C157" s="4" t="n">
        <v>0.25</v>
      </c>
    </row>
    <row r="158">
      <c r="A158" t="inlineStr">
        <is>
          <t>Bull 12-month value (engine)</t>
        </is>
      </c>
      <c r="C158" s="20" t="n">
        <v>6681.01263614559</v>
      </c>
    </row>
    <row r="159">
      <c r="A159" t="inlineStr">
        <is>
          <t>Probability-weighted 12-month value</t>
        </is>
      </c>
      <c r="C159" s="27">
        <f>$C$154*$C$155+$C$156*$C$153+$C$157*$C$158</f>
        <v/>
      </c>
    </row>
    <row r="160">
      <c r="A160" t="inlineStr">
        <is>
          <t>Liquidity discount (limits.yaml)</t>
        </is>
      </c>
      <c r="C160" s="4" t="n">
        <v>0.2</v>
      </c>
    </row>
    <row r="161">
      <c r="A161" t="inlineStr">
        <is>
          <t>Fundamental 12-month value (after liquidity discount)</t>
        </is>
      </c>
      <c r="C161" s="27">
        <f>$C$159*(1-$C$160)</f>
        <v/>
      </c>
    </row>
    <row r="162">
      <c r="A162" t="inlineStr">
        <is>
          <t>Konglo lens: price / fundamental value today (engine)</t>
        </is>
      </c>
      <c r="C162" s="22" t="n">
        <v>1.003302</v>
      </c>
    </row>
    <row r="163">
      <c r="A163" t="inlineStr">
        <is>
          <t>Regime bear: probability (konglo deck)</t>
        </is>
      </c>
      <c r="C163" s="4" t="n">
        <v>0.25</v>
      </c>
    </row>
    <row r="164">
      <c r="A164" t="inlineStr">
        <is>
          <t>Regime bear: share of the log gap closed in 12 months</t>
        </is>
      </c>
      <c r="C164" s="4" t="n">
        <v>0.8</v>
      </c>
    </row>
    <row r="165">
      <c r="A165" t="inlineStr">
        <is>
          <t>Regime base: probability (konglo deck)</t>
        </is>
      </c>
      <c r="C165" s="4" t="n">
        <v>0.5</v>
      </c>
    </row>
    <row r="166">
      <c r="A166" t="inlineStr">
        <is>
          <t>Regime base: share of the log gap closed in 12 months</t>
        </is>
      </c>
      <c r="C166" s="4" t="n">
        <v>0.4</v>
      </c>
    </row>
    <row r="167">
      <c r="A167" t="inlineStr">
        <is>
          <t>Regime bull: probability (konglo deck)</t>
        </is>
      </c>
      <c r="C167" s="4" t="n">
        <v>0.25</v>
      </c>
    </row>
    <row r="168">
      <c r="A168" t="inlineStr">
        <is>
          <t>Regime bull: share of the log gap closed in 12 months</t>
        </is>
      </c>
      <c r="C168" s="4" t="n">
        <v>-0.05</v>
      </c>
    </row>
    <row r="169">
      <c r="A169" t="inlineStr">
        <is>
          <t>Share of today's premium kept (probability-weighted)</t>
        </is>
      </c>
      <c r="C169" s="32">
        <f>$C$163*$C$162^(1-$C$164)+$C$165*$C$162^(1-$C$166)+$C$167*$C$162^(1-$C$168)</f>
        <v/>
      </c>
    </row>
    <row r="170">
      <c r="A170" t="inlineStr">
        <is>
          <t>TARGET PRICE (IDR) — konglo lens</t>
        </is>
      </c>
      <c r="C170" s="28">
        <f>$C$161*$C$169</f>
        <v/>
      </c>
    </row>
    <row r="171">
      <c r="A171" t="inlineStr">
        <is>
          <t>Expected 12-month total return</t>
        </is>
      </c>
      <c r="C171" s="29">
        <f>($C$170+$C$152)/$C$102-1</f>
        <v/>
      </c>
    </row>
    <row r="172">
      <c r="A172" t="inlineStr">
        <is>
          <t>Rating</t>
        </is>
      </c>
      <c r="C172" s="30">
        <f>IF($C$171&gt;=0.25,"BUY",IF($C$171&gt;=0.1,"ADD",IF($C$171&lt;=-0.25,"SELL",IF($C$171&lt;=-0.1,"REDUCE","HOLD"))))</f>
        <v/>
      </c>
    </row>
    <row r="174">
      <c r="A174" s="1" t="inlineStr">
        <is>
          <t>12-month value vs benchmark price and IDR/USD (engine values)</t>
        </is>
      </c>
    </row>
    <row r="175">
      <c r="A175" s="5" t="inlineStr">
        <is>
          <t>rows: IDR per USD (x deck) · columns: Benchmark price (x deck)</t>
        </is>
      </c>
      <c r="D175" s="1" t="n">
        <v>0.8</v>
      </c>
      <c r="E175" s="1" t="n">
        <v>0.9</v>
      </c>
      <c r="F175" s="1" t="n">
        <v>1</v>
      </c>
      <c r="G175" s="1" t="n">
        <v>1.1</v>
      </c>
      <c r="H175" s="1" t="n">
        <v>1.2</v>
      </c>
    </row>
    <row r="176">
      <c r="C176" s="1" t="n">
        <v>0.9</v>
      </c>
      <c r="D176" s="27" t="n">
        <v>2603.773</v>
      </c>
      <c r="E176" s="27" t="n">
        <v>3322.862826</v>
      </c>
      <c r="F176" s="27" t="n">
        <v>4034.684411</v>
      </c>
      <c r="G176" s="27" t="n">
        <v>4740.715382</v>
      </c>
      <c r="H176" s="27" t="n">
        <v>5437.468968</v>
      </c>
    </row>
    <row r="177">
      <c r="C177" s="1" t="n">
        <v>0.95</v>
      </c>
      <c r="D177" s="27" t="n">
        <v>2748.905788</v>
      </c>
      <c r="E177" s="27" t="n">
        <v>3508.130295</v>
      </c>
      <c r="F177" s="27" t="n">
        <v>4259.680789</v>
      </c>
      <c r="G177" s="27" t="n">
        <v>5005.117434</v>
      </c>
      <c r="H177" s="27" t="n">
        <v>5740.75954</v>
      </c>
    </row>
    <row r="178">
      <c r="C178" s="1" t="n">
        <v>1</v>
      </c>
      <c r="D178" s="27" t="n">
        <v>2894.088672</v>
      </c>
      <c r="E178" s="27" t="n">
        <v>3693.466982</v>
      </c>
      <c r="F178" s="27" t="n">
        <v>4484.765301</v>
      </c>
      <c r="G178" s="27" t="n">
        <v>5269.626375</v>
      </c>
      <c r="H178" s="27" t="n">
        <v>6044.175574</v>
      </c>
    </row>
    <row r="179">
      <c r="C179" s="1" t="n">
        <v>1.05</v>
      </c>
      <c r="D179" s="27" t="n">
        <v>3039.321609</v>
      </c>
      <c r="E179" s="27" t="n">
        <v>3878.872796</v>
      </c>
      <c r="F179" s="27" t="n">
        <v>4709.937803</v>
      </c>
      <c r="G179" s="27" t="n">
        <v>5534.242008</v>
      </c>
      <c r="H179" s="27" t="n">
        <v>6347.71682</v>
      </c>
    </row>
    <row r="180">
      <c r="C180" s="1" t="n">
        <v>1.1</v>
      </c>
      <c r="D180" s="27" t="n">
        <v>3184.60456</v>
      </c>
      <c r="E180" s="27" t="n">
        <v>4064.347644</v>
      </c>
      <c r="F180" s="27" t="n">
        <v>4935.198152</v>
      </c>
      <c r="G180" s="27" t="n">
        <v>5798.964139</v>
      </c>
      <c r="H180" s="27" t="n">
        <v>6651.383034</v>
      </c>
    </row>
    <row r="182">
      <c r="A182" s="1" t="inlineStr">
        <is>
          <t>12-month value vs volume and unit cost intensity (engine values)</t>
        </is>
      </c>
    </row>
    <row r="183">
      <c r="A183" s="5" t="inlineStr">
        <is>
          <t>rows: Volume (x plan) · columns: Cost intensity / strip ratio (x)</t>
        </is>
      </c>
      <c r="D183" s="1" t="n">
        <v>0.85</v>
      </c>
      <c r="E183" s="1" t="n">
        <v>0.925</v>
      </c>
      <c r="F183" s="1" t="n">
        <v>1</v>
      </c>
      <c r="G183" s="1" t="n">
        <v>1.075</v>
      </c>
      <c r="H183" s="1" t="n">
        <v>1.15</v>
      </c>
    </row>
    <row r="184">
      <c r="C184" s="1" t="n">
        <v>0.9</v>
      </c>
      <c r="D184" s="27" t="n">
        <v>5360.860197</v>
      </c>
      <c r="E184" s="27" t="n">
        <v>4955.07598</v>
      </c>
      <c r="F184" s="27" t="n">
        <v>4549.291762</v>
      </c>
      <c r="G184" s="27" t="n">
        <v>4143.507545</v>
      </c>
      <c r="H184" s="27" t="n">
        <v>3737.723328</v>
      </c>
    </row>
    <row r="185">
      <c r="C185" s="1" t="n">
        <v>0.95</v>
      </c>
      <c r="D185" s="27" t="n">
        <v>5430.565436</v>
      </c>
      <c r="E185" s="27" t="n">
        <v>5002.237652</v>
      </c>
      <c r="F185" s="27" t="n">
        <v>4573.909867</v>
      </c>
      <c r="G185" s="27" t="n">
        <v>4145.582082</v>
      </c>
      <c r="H185" s="27" t="n">
        <v>3717.254297</v>
      </c>
    </row>
    <row r="186">
      <c r="C186" s="1" t="n">
        <v>1</v>
      </c>
      <c r="D186" s="27" t="n">
        <v>5500.270676</v>
      </c>
      <c r="E186" s="27" t="n">
        <v>5049.399323</v>
      </c>
      <c r="F186" s="27" t="n">
        <v>4598.527971</v>
      </c>
      <c r="G186" s="27" t="n">
        <v>4147.656619</v>
      </c>
      <c r="H186" s="27" t="n">
        <v>3696.785266</v>
      </c>
    </row>
    <row r="187">
      <c r="C187" s="1" t="n">
        <v>1.05</v>
      </c>
      <c r="D187" s="27" t="n">
        <v>5569.975915</v>
      </c>
      <c r="E187" s="27" t="n">
        <v>5096.560995</v>
      </c>
      <c r="F187" s="27" t="n">
        <v>4623.146075</v>
      </c>
      <c r="G187" s="27" t="n">
        <v>4149.731155</v>
      </c>
      <c r="H187" s="27" t="n">
        <v>3676.316235</v>
      </c>
    </row>
    <row r="188">
      <c r="C188" s="1" t="n">
        <v>1.1</v>
      </c>
      <c r="D188" s="27" t="n">
        <v>5639.681155</v>
      </c>
      <c r="E188" s="27" t="n">
        <v>5143.722667</v>
      </c>
      <c r="F188" s="27" t="n">
        <v>4647.76418</v>
      </c>
      <c r="G188" s="27" t="n">
        <v>4151.805692</v>
      </c>
      <c r="H188" s="27" t="n">
        <v>3655.847204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Y17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 Bukit Asam (Persero) Tbk (PTBA.JK) — Coal producers</t>
        </is>
      </c>
    </row>
    <row r="2">
      <c r="A2" s="5" t="inlineStr">
        <is>
          <t>Units: IDR bn; per-share in IDR unless marked IDR. Model asof 2026-10-30 · data 2026-10-29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  <c r="R4" s="1" t="inlineStr">
        <is>
          <t>FY2036E</t>
        </is>
      </c>
      <c r="S4" s="1" t="inlineStr">
        <is>
          <t>FY2037E</t>
        </is>
      </c>
      <c r="T4" s="1" t="inlineStr">
        <is>
          <t>FY2038E</t>
        </is>
      </c>
      <c r="U4" s="1" t="inlineStr">
        <is>
          <t>FY2039E</t>
        </is>
      </c>
      <c r="V4" s="1" t="inlineStr">
        <is>
          <t>FY2040E</t>
        </is>
      </c>
      <c r="W4" s="1" t="inlineStr">
        <is>
          <t>FY2041E</t>
        </is>
      </c>
      <c r="X4" s="1" t="inlineStr">
        <is>
          <t>FY2042E</t>
        </is>
      </c>
      <c r="Y4" s="1" t="inlineStr">
        <is>
          <t>FY2043E</t>
        </is>
      </c>
      <c r="Z4" s="1" t="inlineStr">
        <is>
          <t>FY2044E</t>
        </is>
      </c>
      <c r="AA4" s="1" t="inlineStr">
        <is>
          <t>FY2045E</t>
        </is>
      </c>
      <c r="AB4" s="1" t="inlineStr">
        <is>
          <t>FY2046E</t>
        </is>
      </c>
      <c r="AC4" s="1" t="inlineStr">
        <is>
          <t>FY2047E</t>
        </is>
      </c>
      <c r="AD4" s="1" t="inlineStr">
        <is>
          <t>FY2048E</t>
        </is>
      </c>
      <c r="AE4" s="1" t="inlineStr">
        <is>
          <t>FY2049E</t>
        </is>
      </c>
      <c r="AF4" s="1" t="inlineStr">
        <is>
          <t>FY2050E</t>
        </is>
      </c>
      <c r="AG4" s="1" t="inlineStr">
        <is>
          <t>FY2051E</t>
        </is>
      </c>
      <c r="AH4" s="1" t="inlineStr">
        <is>
          <t>FY2052E</t>
        </is>
      </c>
      <c r="AI4" s="1" t="inlineStr">
        <is>
          <t>FY2053E</t>
        </is>
      </c>
      <c r="AJ4" s="1" t="inlineStr">
        <is>
          <t>FY2054E</t>
        </is>
      </c>
      <c r="AK4" s="1" t="inlineStr">
        <is>
          <t>FY2055E</t>
        </is>
      </c>
      <c r="AL4" s="1" t="inlineStr">
        <is>
          <t>FY2056E</t>
        </is>
      </c>
      <c r="AM4" s="1" t="inlineStr">
        <is>
          <t>FY2057E</t>
        </is>
      </c>
      <c r="AN4" s="1" t="inlineStr">
        <is>
          <t>FY2058E</t>
        </is>
      </c>
      <c r="AO4" s="1" t="inlineStr">
        <is>
          <t>FY2059E</t>
        </is>
      </c>
      <c r="AP4" s="1" t="inlineStr">
        <is>
          <t>FY2060E</t>
        </is>
      </c>
      <c r="AQ4" s="1" t="inlineStr">
        <is>
          <t>FY2061E</t>
        </is>
      </c>
      <c r="AR4" s="1" t="inlineStr">
        <is>
          <t>FY2062E</t>
        </is>
      </c>
      <c r="AS4" s="1" t="inlineStr">
        <is>
          <t>FY2063E</t>
        </is>
      </c>
      <c r="AT4" s="1" t="inlineStr">
        <is>
          <t>FY2064E</t>
        </is>
      </c>
      <c r="AU4" s="1" t="inlineStr">
        <is>
          <t>FY2065E</t>
        </is>
      </c>
      <c r="AV4" s="1" t="inlineStr">
        <is>
          <t>FY2066E</t>
        </is>
      </c>
      <c r="AW4" s="1" t="inlineStr">
        <is>
          <t>FY2067E</t>
        </is>
      </c>
      <c r="AX4" s="1" t="inlineStr">
        <is>
          <t>FY2068E</t>
        </is>
      </c>
      <c r="AY4" s="1" t="inlineStr">
        <is>
          <t>FY2069E</t>
        </is>
      </c>
      <c r="AZ4" s="1" t="inlineStr">
        <is>
          <t>FY2070E</t>
        </is>
      </c>
      <c r="BA4" s="1" t="inlineStr">
        <is>
          <t>FY2071E</t>
        </is>
      </c>
      <c r="BB4" s="1" t="inlineStr">
        <is>
          <t>FY2072E</t>
        </is>
      </c>
      <c r="BC4" s="1" t="inlineStr">
        <is>
          <t>FY2073E</t>
        </is>
      </c>
      <c r="BD4" s="1" t="inlineStr">
        <is>
          <t>FY2074E</t>
        </is>
      </c>
      <c r="BE4" s="1" t="inlineStr">
        <is>
          <t>FY2075E</t>
        </is>
      </c>
      <c r="BF4" s="1" t="inlineStr">
        <is>
          <t>FY2076E</t>
        </is>
      </c>
      <c r="BG4" s="1" t="inlineStr">
        <is>
          <t>FY2077E</t>
        </is>
      </c>
      <c r="BH4" s="1" t="inlineStr">
        <is>
          <t>FY2078E</t>
        </is>
      </c>
      <c r="BI4" s="1" t="inlineStr">
        <is>
          <t>FY2079E</t>
        </is>
      </c>
      <c r="BJ4" s="1" t="inlineStr">
        <is>
          <t>FY2080E</t>
        </is>
      </c>
      <c r="BK4" s="1" t="inlineStr">
        <is>
          <t>FY2081E</t>
        </is>
      </c>
      <c r="BL4" s="1" t="inlineStr">
        <is>
          <t>FY2082E</t>
        </is>
      </c>
      <c r="BM4" s="1" t="inlineStr">
        <is>
          <t>FY2083E</t>
        </is>
      </c>
      <c r="BN4" s="1" t="inlineStr">
        <is>
          <t>FY2084E</t>
        </is>
      </c>
      <c r="BO4" s="1" t="inlineStr">
        <is>
          <t>FY2085E</t>
        </is>
      </c>
      <c r="BP4" s="1" t="inlineStr">
        <is>
          <t>FY2086E</t>
        </is>
      </c>
      <c r="BQ4" s="1" t="inlineStr">
        <is>
          <t>FY2087E</t>
        </is>
      </c>
      <c r="BR4" s="1" t="inlineStr">
        <is>
          <t>FY2088E</t>
        </is>
      </c>
      <c r="BS4" s="1" t="inlineStr">
        <is>
          <t>FY2089E</t>
        </is>
      </c>
      <c r="BT4" s="1" t="inlineStr">
        <is>
          <t>FY2090E</t>
        </is>
      </c>
      <c r="BU4" s="1" t="inlineStr">
        <is>
          <t>FY2091E</t>
        </is>
      </c>
      <c r="BV4" s="1" t="inlineStr">
        <is>
          <t>FY2092E</t>
        </is>
      </c>
      <c r="BW4" s="1" t="inlineStr">
        <is>
          <t>FY2093E</t>
        </is>
      </c>
      <c r="BX4" s="1" t="inlineStr">
        <is>
          <t>FY2094E</t>
        </is>
      </c>
      <c r="BY4" s="1" t="inlineStr">
        <is>
          <t>FY2095E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70</v>
      </c>
    </row>
    <row r="8">
      <c r="A8" t="inlineStr">
        <is>
          <t>ps_factor</t>
        </is>
      </c>
      <c r="C8" s="6" t="n">
        <v>1000</v>
      </c>
    </row>
    <row r="9">
      <c r="A9" t="inlineStr">
        <is>
          <t>reserves</t>
        </is>
      </c>
      <c r="C9" s="6" t="n">
        <v>2883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44</v>
      </c>
      <c r="I14" s="13" t="n">
        <v>49.5</v>
      </c>
      <c r="J14" s="13" t="n">
        <v>49.5</v>
      </c>
      <c r="K14" s="13" t="n">
        <v>49.5</v>
      </c>
      <c r="L14" s="13" t="n">
        <v>49.5</v>
      </c>
      <c r="M14" s="13" t="n">
        <v>49.5</v>
      </c>
      <c r="N14" s="13" t="n">
        <v>49.5</v>
      </c>
      <c r="O14" s="13" t="n">
        <v>49.5</v>
      </c>
      <c r="P14" s="13" t="n">
        <v>49.5</v>
      </c>
      <c r="Q14" s="13" t="n">
        <v>49.5</v>
      </c>
      <c r="R14" s="13" t="n">
        <v>49.5</v>
      </c>
      <c r="S14" s="13" t="n">
        <v>49.5</v>
      </c>
      <c r="T14" s="13" t="n">
        <v>49.5</v>
      </c>
      <c r="U14" s="13" t="n">
        <v>49.5</v>
      </c>
      <c r="V14" s="13" t="n">
        <v>49.5</v>
      </c>
      <c r="W14" s="13" t="n">
        <v>49.5</v>
      </c>
      <c r="X14" s="13" t="n">
        <v>49.5</v>
      </c>
      <c r="Y14" s="13" t="n">
        <v>49.5</v>
      </c>
      <c r="Z14" s="13" t="n">
        <v>49.5</v>
      </c>
      <c r="AA14" s="13" t="n">
        <v>49.5</v>
      </c>
      <c r="AB14" s="13" t="n">
        <v>49.5</v>
      </c>
      <c r="AC14" s="13" t="n">
        <v>49.5</v>
      </c>
      <c r="AD14" s="13" t="n">
        <v>49.5</v>
      </c>
      <c r="AE14" s="13" t="n">
        <v>49.5</v>
      </c>
      <c r="AF14" s="13" t="n">
        <v>49.5</v>
      </c>
      <c r="AG14" s="13" t="n">
        <v>49.5</v>
      </c>
      <c r="AH14" s="13" t="n">
        <v>49.5</v>
      </c>
      <c r="AI14" s="13" t="n">
        <v>49.5</v>
      </c>
      <c r="AJ14" s="13" t="n">
        <v>49.5</v>
      </c>
      <c r="AK14" s="13" t="n">
        <v>49.5</v>
      </c>
      <c r="AL14" s="13" t="n">
        <v>49.5</v>
      </c>
      <c r="AM14" s="13" t="n">
        <v>49.5</v>
      </c>
      <c r="AN14" s="13" t="n">
        <v>49.5</v>
      </c>
      <c r="AO14" s="13" t="n">
        <v>49.5</v>
      </c>
      <c r="AP14" s="13" t="n">
        <v>49.5</v>
      </c>
      <c r="AQ14" s="13" t="n">
        <v>49.5</v>
      </c>
      <c r="AR14" s="13" t="n">
        <v>49.5</v>
      </c>
      <c r="AS14" s="13" t="n">
        <v>49.5</v>
      </c>
      <c r="AT14" s="13" t="n">
        <v>49.5</v>
      </c>
      <c r="AU14" s="13" t="n">
        <v>49.5</v>
      </c>
      <c r="AV14" s="13" t="n">
        <v>49.5</v>
      </c>
      <c r="AW14" s="13" t="n">
        <v>49.5</v>
      </c>
      <c r="AX14" s="13" t="n">
        <v>49.5</v>
      </c>
      <c r="AY14" s="13" t="n">
        <v>49.5</v>
      </c>
      <c r="AZ14" s="13" t="n">
        <v>49.5</v>
      </c>
      <c r="BA14" s="13" t="n">
        <v>49.5</v>
      </c>
      <c r="BB14" s="13" t="n">
        <v>49.5</v>
      </c>
      <c r="BC14" s="13" t="n">
        <v>49.5</v>
      </c>
      <c r="BD14" s="13" t="n">
        <v>49.5</v>
      </c>
      <c r="BE14" s="13" t="n">
        <v>49.5</v>
      </c>
      <c r="BF14" s="13" t="n">
        <v>49.5</v>
      </c>
      <c r="BG14" s="13" t="n">
        <v>49.5</v>
      </c>
      <c r="BH14" s="13" t="n">
        <v>49.5</v>
      </c>
      <c r="BI14" s="13" t="n">
        <v>49.5</v>
      </c>
      <c r="BJ14" s="13" t="n">
        <v>49.5</v>
      </c>
      <c r="BK14" s="13" t="n">
        <v>49.5</v>
      </c>
      <c r="BL14" s="13" t="n">
        <v>49.5</v>
      </c>
      <c r="BM14" s="13" t="n">
        <v>49.5</v>
      </c>
      <c r="BN14" s="13" t="n">
        <v>49.5</v>
      </c>
      <c r="BO14" s="13" t="n">
        <v>49.5</v>
      </c>
      <c r="BP14" s="13" t="n">
        <v>49.5</v>
      </c>
      <c r="BQ14" s="13" t="n">
        <v>49.5</v>
      </c>
      <c r="BR14" s="13" t="n">
        <v>49.5</v>
      </c>
      <c r="BS14" s="13" t="n">
        <v>49.5</v>
      </c>
      <c r="BT14" s="13" t="n">
        <v>49.5</v>
      </c>
      <c r="BU14" s="13" t="n">
        <v>49.5</v>
      </c>
      <c r="BV14" s="13" t="n">
        <v>49.5</v>
      </c>
      <c r="BW14" s="13" t="n">
        <v>49.5</v>
      </c>
      <c r="BX14" s="13" t="n">
        <v>49.5</v>
      </c>
      <c r="BY14" s="13" t="n">
        <v>49.5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0.471</v>
      </c>
      <c r="I15" s="14" t="n">
        <v>0.497</v>
      </c>
      <c r="J15" s="14" t="n">
        <v>0.5175</v>
      </c>
      <c r="K15" s="14" t="n">
        <v>0.5175</v>
      </c>
      <c r="L15" s="14" t="n">
        <v>0.5175</v>
      </c>
      <c r="M15" s="14" t="n">
        <v>0.5175</v>
      </c>
      <c r="N15" s="14" t="n">
        <v>0.5175</v>
      </c>
      <c r="O15" s="14" t="n">
        <v>0.5175</v>
      </c>
      <c r="P15" s="14" t="n">
        <v>0.5175</v>
      </c>
      <c r="Q15" s="14" t="n">
        <v>0.5175</v>
      </c>
      <c r="R15" s="14" t="n">
        <v>0.5175</v>
      </c>
      <c r="S15" s="14" t="n">
        <v>0.5175</v>
      </c>
      <c r="T15" s="14" t="n">
        <v>0.5175</v>
      </c>
      <c r="U15" s="14" t="n">
        <v>0.5175</v>
      </c>
      <c r="V15" s="14" t="n">
        <v>0.5175</v>
      </c>
      <c r="W15" s="14" t="n">
        <v>0.5175</v>
      </c>
      <c r="X15" s="14" t="n">
        <v>0.5175</v>
      </c>
      <c r="Y15" s="14" t="n">
        <v>0.5175</v>
      </c>
      <c r="Z15" s="14" t="n">
        <v>0.5175</v>
      </c>
      <c r="AA15" s="14" t="n">
        <v>0.5175</v>
      </c>
      <c r="AB15" s="14" t="n">
        <v>0.5175</v>
      </c>
      <c r="AC15" s="14" t="n">
        <v>0.5175</v>
      </c>
      <c r="AD15" s="14" t="n">
        <v>0.5175</v>
      </c>
      <c r="AE15" s="14" t="n">
        <v>0.5175</v>
      </c>
      <c r="AF15" s="14" t="n">
        <v>0.5175</v>
      </c>
      <c r="AG15" s="14" t="n">
        <v>0.5175</v>
      </c>
      <c r="AH15" s="14" t="n">
        <v>0.5175</v>
      </c>
      <c r="AI15" s="14" t="n">
        <v>0.5175</v>
      </c>
      <c r="AJ15" s="14" t="n">
        <v>0.5175</v>
      </c>
      <c r="AK15" s="14" t="n">
        <v>0.5175</v>
      </c>
      <c r="AL15" s="14" t="n">
        <v>0.5175</v>
      </c>
      <c r="AM15" s="14" t="n">
        <v>0.5175</v>
      </c>
      <c r="AN15" s="14" t="n">
        <v>0.5175</v>
      </c>
      <c r="AO15" s="14" t="n">
        <v>0.5175</v>
      </c>
      <c r="AP15" s="14" t="n">
        <v>0.5175</v>
      </c>
      <c r="AQ15" s="14" t="n">
        <v>0.5175</v>
      </c>
      <c r="AR15" s="14" t="n">
        <v>0.5175</v>
      </c>
      <c r="AS15" s="14" t="n">
        <v>0.5175</v>
      </c>
      <c r="AT15" s="14" t="n">
        <v>0.5175</v>
      </c>
      <c r="AU15" s="14" t="n">
        <v>0.5175</v>
      </c>
      <c r="AV15" s="14" t="n">
        <v>0.5175</v>
      </c>
      <c r="AW15" s="14" t="n">
        <v>0.5175</v>
      </c>
      <c r="AX15" s="14" t="n">
        <v>0.5175</v>
      </c>
      <c r="AY15" s="14" t="n">
        <v>0.5175</v>
      </c>
      <c r="AZ15" s="14" t="n">
        <v>0.5175</v>
      </c>
      <c r="BA15" s="14" t="n">
        <v>0.5175</v>
      </c>
      <c r="BB15" s="14" t="n">
        <v>0.5175</v>
      </c>
      <c r="BC15" s="14" t="n">
        <v>0.5175</v>
      </c>
      <c r="BD15" s="14" t="n">
        <v>0.5175</v>
      </c>
      <c r="BE15" s="14" t="n">
        <v>0.5175</v>
      </c>
      <c r="BF15" s="14" t="n">
        <v>0.5175</v>
      </c>
      <c r="BG15" s="14" t="n">
        <v>0.5175</v>
      </c>
      <c r="BH15" s="14" t="n">
        <v>0.5175</v>
      </c>
      <c r="BI15" s="14" t="n">
        <v>0.5175</v>
      </c>
      <c r="BJ15" s="14" t="n">
        <v>0.5175</v>
      </c>
      <c r="BK15" s="14" t="n">
        <v>0.5175</v>
      </c>
      <c r="BL15" s="14" t="n">
        <v>0.5175</v>
      </c>
      <c r="BM15" s="14" t="n">
        <v>0.5175</v>
      </c>
      <c r="BN15" s="14" t="n">
        <v>0.5175</v>
      </c>
      <c r="BO15" s="14" t="n">
        <v>0.5175</v>
      </c>
      <c r="BP15" s="14" t="n">
        <v>0.5175</v>
      </c>
      <c r="BQ15" s="14" t="n">
        <v>0.5175</v>
      </c>
      <c r="BR15" s="14" t="n">
        <v>0.5175</v>
      </c>
      <c r="BS15" s="14" t="n">
        <v>0.5175</v>
      </c>
      <c r="BT15" s="14" t="n">
        <v>0.5175</v>
      </c>
      <c r="BU15" s="14" t="n">
        <v>0.5175</v>
      </c>
      <c r="BV15" s="14" t="n">
        <v>0.5175</v>
      </c>
      <c r="BW15" s="14" t="n">
        <v>0.5175</v>
      </c>
      <c r="BX15" s="14" t="n">
        <v>0.5175</v>
      </c>
      <c r="BY15" s="14" t="n">
        <v>0.5175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0.27</v>
      </c>
      <c r="I16" s="4" t="n">
        <v>0.27</v>
      </c>
      <c r="J16" s="4" t="n">
        <v>0.27</v>
      </c>
      <c r="K16" s="4" t="n">
        <v>0.27</v>
      </c>
      <c r="L16" s="4" t="n">
        <v>0.27</v>
      </c>
      <c r="M16" s="4" t="n">
        <v>0.27</v>
      </c>
      <c r="N16" s="4" t="n">
        <v>0.27</v>
      </c>
      <c r="O16" s="4" t="n">
        <v>0.27</v>
      </c>
      <c r="P16" s="4" t="n">
        <v>0.27</v>
      </c>
      <c r="Q16" s="4" t="n">
        <v>0.27</v>
      </c>
      <c r="R16" s="4" t="n">
        <v>0.27</v>
      </c>
      <c r="S16" s="4" t="n">
        <v>0.27</v>
      </c>
      <c r="T16" s="4" t="n">
        <v>0.27</v>
      </c>
      <c r="U16" s="4" t="n">
        <v>0.27</v>
      </c>
      <c r="V16" s="4" t="n">
        <v>0.27</v>
      </c>
      <c r="W16" s="4" t="n">
        <v>0.27</v>
      </c>
      <c r="X16" s="4" t="n">
        <v>0.27</v>
      </c>
      <c r="Y16" s="4" t="n">
        <v>0.27</v>
      </c>
      <c r="Z16" s="4" t="n">
        <v>0.27</v>
      </c>
      <c r="AA16" s="4" t="n">
        <v>0.27</v>
      </c>
      <c r="AB16" s="4" t="n">
        <v>0.27</v>
      </c>
      <c r="AC16" s="4" t="n">
        <v>0.27</v>
      </c>
      <c r="AD16" s="4" t="n">
        <v>0.27</v>
      </c>
      <c r="AE16" s="4" t="n">
        <v>0.27</v>
      </c>
      <c r="AF16" s="4" t="n">
        <v>0.27</v>
      </c>
      <c r="AG16" s="4" t="n">
        <v>0.27</v>
      </c>
      <c r="AH16" s="4" t="n">
        <v>0.27</v>
      </c>
      <c r="AI16" s="4" t="n">
        <v>0.27</v>
      </c>
      <c r="AJ16" s="4" t="n">
        <v>0.27</v>
      </c>
      <c r="AK16" s="4" t="n">
        <v>0.27</v>
      </c>
      <c r="AL16" s="4" t="n">
        <v>0.27</v>
      </c>
      <c r="AM16" s="4" t="n">
        <v>0.27</v>
      </c>
      <c r="AN16" s="4" t="n">
        <v>0.27</v>
      </c>
      <c r="AO16" s="4" t="n">
        <v>0.27</v>
      </c>
      <c r="AP16" s="4" t="n">
        <v>0.27</v>
      </c>
      <c r="AQ16" s="4" t="n">
        <v>0.27</v>
      </c>
      <c r="AR16" s="4" t="n">
        <v>0.27</v>
      </c>
      <c r="AS16" s="4" t="n">
        <v>0.27</v>
      </c>
      <c r="AT16" s="4" t="n">
        <v>0.27</v>
      </c>
      <c r="AU16" s="4" t="n">
        <v>0.27</v>
      </c>
      <c r="AV16" s="4" t="n">
        <v>0.27</v>
      </c>
      <c r="AW16" s="4" t="n">
        <v>0.27</v>
      </c>
      <c r="AX16" s="4" t="n">
        <v>0.27</v>
      </c>
      <c r="AY16" s="4" t="n">
        <v>0.27</v>
      </c>
      <c r="AZ16" s="4" t="n">
        <v>0.27</v>
      </c>
      <c r="BA16" s="4" t="n">
        <v>0.27</v>
      </c>
      <c r="BB16" s="4" t="n">
        <v>0.27</v>
      </c>
      <c r="BC16" s="4" t="n">
        <v>0.27</v>
      </c>
      <c r="BD16" s="4" t="n">
        <v>0.27</v>
      </c>
      <c r="BE16" s="4" t="n">
        <v>0.27</v>
      </c>
      <c r="BF16" s="4" t="n">
        <v>0.27</v>
      </c>
      <c r="BG16" s="4" t="n">
        <v>0.27</v>
      </c>
      <c r="BH16" s="4" t="n">
        <v>0.27</v>
      </c>
      <c r="BI16" s="4" t="n">
        <v>0.27</v>
      </c>
      <c r="BJ16" s="4" t="n">
        <v>0.27</v>
      </c>
      <c r="BK16" s="4" t="n">
        <v>0.27</v>
      </c>
      <c r="BL16" s="4" t="n">
        <v>0.27</v>
      </c>
      <c r="BM16" s="4" t="n">
        <v>0.27</v>
      </c>
      <c r="BN16" s="4" t="n">
        <v>0.27</v>
      </c>
      <c r="BO16" s="4" t="n">
        <v>0.27</v>
      </c>
      <c r="BP16" s="4" t="n">
        <v>0.27</v>
      </c>
      <c r="BQ16" s="4" t="n">
        <v>0.27</v>
      </c>
      <c r="BR16" s="4" t="n">
        <v>0.27</v>
      </c>
      <c r="BS16" s="4" t="n">
        <v>0.27</v>
      </c>
      <c r="BT16" s="4" t="n">
        <v>0.27</v>
      </c>
      <c r="BU16" s="4" t="n">
        <v>0.27</v>
      </c>
      <c r="BV16" s="4" t="n">
        <v>0.27</v>
      </c>
      <c r="BW16" s="4" t="n">
        <v>0.27</v>
      </c>
      <c r="BX16" s="4" t="n">
        <v>0.27</v>
      </c>
      <c r="BY16" s="4" t="n">
        <v>0.27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5.63</v>
      </c>
      <c r="I17" s="14" t="n">
        <v>5.63</v>
      </c>
      <c r="J17" s="14" t="n">
        <v>5.63</v>
      </c>
      <c r="K17" s="14" t="n">
        <v>5.63</v>
      </c>
      <c r="L17" s="14" t="n">
        <v>5.63</v>
      </c>
      <c r="M17" s="14" t="n">
        <v>5.63</v>
      </c>
      <c r="N17" s="14" t="n">
        <v>5.63</v>
      </c>
      <c r="O17" s="14" t="n">
        <v>5.63</v>
      </c>
      <c r="P17" s="14" t="n">
        <v>5.63</v>
      </c>
      <c r="Q17" s="14" t="n">
        <v>5.63</v>
      </c>
      <c r="R17" s="14" t="n">
        <v>5.63</v>
      </c>
      <c r="S17" s="14" t="n">
        <v>5.63</v>
      </c>
      <c r="T17" s="14" t="n">
        <v>5.63</v>
      </c>
      <c r="U17" s="14" t="n">
        <v>5.63</v>
      </c>
      <c r="V17" s="14" t="n">
        <v>5.63</v>
      </c>
      <c r="W17" s="14" t="n">
        <v>5.63</v>
      </c>
      <c r="X17" s="14" t="n">
        <v>5.63</v>
      </c>
      <c r="Y17" s="14" t="n">
        <v>5.63</v>
      </c>
      <c r="Z17" s="14" t="n">
        <v>5.63</v>
      </c>
      <c r="AA17" s="14" t="n">
        <v>5.63</v>
      </c>
      <c r="AB17" s="14" t="n">
        <v>5.63</v>
      </c>
      <c r="AC17" s="14" t="n">
        <v>5.63</v>
      </c>
      <c r="AD17" s="14" t="n">
        <v>5.63</v>
      </c>
      <c r="AE17" s="14" t="n">
        <v>5.63</v>
      </c>
      <c r="AF17" s="14" t="n">
        <v>5.63</v>
      </c>
      <c r="AG17" s="14" t="n">
        <v>5.63</v>
      </c>
      <c r="AH17" s="14" t="n">
        <v>5.63</v>
      </c>
      <c r="AI17" s="14" t="n">
        <v>5.63</v>
      </c>
      <c r="AJ17" s="14" t="n">
        <v>5.63</v>
      </c>
      <c r="AK17" s="14" t="n">
        <v>5.63</v>
      </c>
      <c r="AL17" s="14" t="n">
        <v>5.63</v>
      </c>
      <c r="AM17" s="14" t="n">
        <v>5.63</v>
      </c>
      <c r="AN17" s="14" t="n">
        <v>5.63</v>
      </c>
      <c r="AO17" s="14" t="n">
        <v>5.63</v>
      </c>
      <c r="AP17" s="14" t="n">
        <v>5.63</v>
      </c>
      <c r="AQ17" s="14" t="n">
        <v>5.63</v>
      </c>
      <c r="AR17" s="14" t="n">
        <v>5.63</v>
      </c>
      <c r="AS17" s="14" t="n">
        <v>5.63</v>
      </c>
      <c r="AT17" s="14" t="n">
        <v>5.63</v>
      </c>
      <c r="AU17" s="14" t="n">
        <v>5.63</v>
      </c>
      <c r="AV17" s="14" t="n">
        <v>5.63</v>
      </c>
      <c r="AW17" s="14" t="n">
        <v>5.63</v>
      </c>
      <c r="AX17" s="14" t="n">
        <v>5.63</v>
      </c>
      <c r="AY17" s="14" t="n">
        <v>5.63</v>
      </c>
      <c r="AZ17" s="14" t="n">
        <v>5.63</v>
      </c>
      <c r="BA17" s="14" t="n">
        <v>5.63</v>
      </c>
      <c r="BB17" s="14" t="n">
        <v>5.63</v>
      </c>
      <c r="BC17" s="14" t="n">
        <v>5.63</v>
      </c>
      <c r="BD17" s="14" t="n">
        <v>5.63</v>
      </c>
      <c r="BE17" s="14" t="n">
        <v>5.63</v>
      </c>
      <c r="BF17" s="14" t="n">
        <v>5.63</v>
      </c>
      <c r="BG17" s="14" t="n">
        <v>5.63</v>
      </c>
      <c r="BH17" s="14" t="n">
        <v>5.63</v>
      </c>
      <c r="BI17" s="14" t="n">
        <v>5.63</v>
      </c>
      <c r="BJ17" s="14" t="n">
        <v>5.63</v>
      </c>
      <c r="BK17" s="14" t="n">
        <v>5.63</v>
      </c>
      <c r="BL17" s="14" t="n">
        <v>5.63</v>
      </c>
      <c r="BM17" s="14" t="n">
        <v>5.63</v>
      </c>
      <c r="BN17" s="14" t="n">
        <v>5.63</v>
      </c>
      <c r="BO17" s="14" t="n">
        <v>5.63</v>
      </c>
      <c r="BP17" s="14" t="n">
        <v>5.63</v>
      </c>
      <c r="BQ17" s="14" t="n">
        <v>5.63</v>
      </c>
      <c r="BR17" s="14" t="n">
        <v>5.63</v>
      </c>
      <c r="BS17" s="14" t="n">
        <v>5.63</v>
      </c>
      <c r="BT17" s="14" t="n">
        <v>5.63</v>
      </c>
      <c r="BU17" s="14" t="n">
        <v>5.63</v>
      </c>
      <c r="BV17" s="14" t="n">
        <v>5.63</v>
      </c>
      <c r="BW17" s="14" t="n">
        <v>5.63</v>
      </c>
      <c r="BX17" s="14" t="n">
        <v>5.63</v>
      </c>
      <c r="BY17" s="14" t="n">
        <v>5.63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50000</v>
      </c>
      <c r="I18" s="3" t="n">
        <v>50000</v>
      </c>
      <c r="J18" s="3" t="n">
        <v>50000</v>
      </c>
      <c r="K18" s="3" t="n">
        <v>50000</v>
      </c>
      <c r="L18" s="3" t="n">
        <v>50000</v>
      </c>
      <c r="M18" s="3" t="n">
        <v>51249.99999999999</v>
      </c>
      <c r="N18" s="3" t="n">
        <v>52531.24999999999</v>
      </c>
      <c r="O18" s="3" t="n">
        <v>53844.53124999999</v>
      </c>
      <c r="P18" s="3" t="n">
        <v>55190.64453124998</v>
      </c>
      <c r="Q18" s="3" t="n">
        <v>56570.41064453122</v>
      </c>
      <c r="R18" s="3" t="n">
        <v>57984.6709106445</v>
      </c>
      <c r="S18" s="3" t="n">
        <v>59434.28768341061</v>
      </c>
      <c r="T18" s="3" t="n">
        <v>60920.14487549586</v>
      </c>
      <c r="U18" s="3" t="n">
        <v>62443.14849738326</v>
      </c>
      <c r="V18" s="3" t="n">
        <v>64004.22720981783</v>
      </c>
      <c r="W18" s="3" t="n">
        <v>65604.33289006328</v>
      </c>
      <c r="X18" s="3" t="n">
        <v>67244.44121231485</v>
      </c>
      <c r="Y18" s="3" t="n">
        <v>68925.55224262271</v>
      </c>
      <c r="Z18" s="3" t="n">
        <v>70648.69104868828</v>
      </c>
      <c r="AA18" s="3" t="n">
        <v>72414.90832490548</v>
      </c>
      <c r="AB18" s="3" t="n">
        <v>74225.28103302811</v>
      </c>
      <c r="AC18" s="3" t="n">
        <v>76080.91305885381</v>
      </c>
      <c r="AD18" s="3" t="n">
        <v>77982.93588532515</v>
      </c>
      <c r="AE18" s="3" t="n">
        <v>79932.50928245827</v>
      </c>
      <c r="AF18" s="3" t="n">
        <v>81930.82201451971</v>
      </c>
      <c r="AG18" s="3" t="n">
        <v>83979.09256488271</v>
      </c>
      <c r="AH18" s="3" t="n">
        <v>86078.56987900476</v>
      </c>
      <c r="AI18" s="3" t="n">
        <v>88230.53412597987</v>
      </c>
      <c r="AJ18" s="3" t="n">
        <v>90436.29747912935</v>
      </c>
      <c r="AK18" s="3" t="n">
        <v>92697.20491610758</v>
      </c>
      <c r="AL18" s="3" t="n">
        <v>95014.63503901026</v>
      </c>
      <c r="AM18" s="3" t="n">
        <v>97390.00091498552</v>
      </c>
      <c r="AN18" s="3" t="n">
        <v>99824.75093786015</v>
      </c>
      <c r="AO18" s="3" t="n">
        <v>102320.3697113066</v>
      </c>
      <c r="AP18" s="3" t="n">
        <v>104878.3789540893</v>
      </c>
      <c r="AQ18" s="3" t="n">
        <v>107500.3384279415</v>
      </c>
      <c r="AR18" s="3" t="n">
        <v>110187.8468886401</v>
      </c>
      <c r="AS18" s="3" t="n">
        <v>112942.543060856</v>
      </c>
      <c r="AT18" s="3" t="n">
        <v>115766.1066373774</v>
      </c>
      <c r="AU18" s="3" t="n">
        <v>118660.2593033119</v>
      </c>
      <c r="AV18" s="3" t="n">
        <v>121626.7657858946</v>
      </c>
      <c r="AW18" s="3" t="n">
        <v>124667.434930542</v>
      </c>
      <c r="AX18" s="3" t="n">
        <v>127784.1208038055</v>
      </c>
      <c r="AY18" s="3" t="n">
        <v>130978.7238239007</v>
      </c>
      <c r="AZ18" s="3" t="n">
        <v>134253.1919194982</v>
      </c>
      <c r="BA18" s="3" t="n">
        <v>137609.5217174856</v>
      </c>
      <c r="BB18" s="3" t="n">
        <v>141049.7597604227</v>
      </c>
      <c r="BC18" s="3" t="n">
        <v>144576.0037544333</v>
      </c>
      <c r="BD18" s="3" t="n">
        <v>148190.4038482941</v>
      </c>
      <c r="BE18" s="3" t="n">
        <v>151895.1639445015</v>
      </c>
      <c r="BF18" s="3" t="n">
        <v>155692.543043114</v>
      </c>
      <c r="BG18" s="3" t="n">
        <v>159584.8566191918</v>
      </c>
      <c r="BH18" s="3" t="n">
        <v>163574.4780346716</v>
      </c>
      <c r="BI18" s="3" t="n">
        <v>167663.8399855384</v>
      </c>
      <c r="BJ18" s="3" t="n">
        <v>171855.4359851768</v>
      </c>
      <c r="BK18" s="3" t="n">
        <v>176151.8218848062</v>
      </c>
      <c r="BL18" s="3" t="n">
        <v>180555.6174319264</v>
      </c>
      <c r="BM18" s="3" t="n">
        <v>185069.5078677245</v>
      </c>
      <c r="BN18" s="3" t="n">
        <v>189696.2455644176</v>
      </c>
      <c r="BO18" s="3" t="n">
        <v>194438.651703528</v>
      </c>
      <c r="BP18" s="3" t="n">
        <v>199299.6179961162</v>
      </c>
      <c r="BQ18" s="3" t="n">
        <v>204282.1084460191</v>
      </c>
      <c r="BR18" s="3" t="n">
        <v>209389.1611571696</v>
      </c>
      <c r="BS18" s="3" t="n">
        <v>214623.8901860988</v>
      </c>
      <c r="BT18" s="3" t="n">
        <v>219989.4874407512</v>
      </c>
      <c r="BU18" s="3" t="n">
        <v>225489.22462677</v>
      </c>
      <c r="BV18" s="3" t="n">
        <v>231126.4552424392</v>
      </c>
      <c r="BW18" s="3" t="n">
        <v>236904.6166235002</v>
      </c>
      <c r="BX18" s="3" t="n">
        <v>242827.2320390877</v>
      </c>
      <c r="BY18" s="3" t="n">
        <v>248897.9128400648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0.3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374738</v>
      </c>
      <c r="I20" s="3" t="n">
        <v>374738</v>
      </c>
      <c r="J20" s="3" t="n">
        <v>374738</v>
      </c>
      <c r="K20" s="3" t="n">
        <v>374738</v>
      </c>
      <c r="L20" s="3" t="n">
        <v>374738</v>
      </c>
      <c r="M20" s="3" t="n">
        <v>384106.45</v>
      </c>
      <c r="N20" s="3" t="n">
        <v>393709.11125</v>
      </c>
      <c r="O20" s="3" t="n">
        <v>403551.8390312499</v>
      </c>
      <c r="P20" s="3" t="n">
        <v>413640.6350070311</v>
      </c>
      <c r="Q20" s="3" t="n">
        <v>423981.6508822068</v>
      </c>
      <c r="R20" s="3" t="n">
        <v>434581.192154262</v>
      </c>
      <c r="S20" s="3" t="n">
        <v>445445.7219581185</v>
      </c>
      <c r="T20" s="3" t="n">
        <v>456581.8650070713</v>
      </c>
      <c r="U20" s="3" t="n">
        <v>467996.4116322481</v>
      </c>
      <c r="V20" s="3" t="n">
        <v>479696.3219230543</v>
      </c>
      <c r="W20" s="3" t="n">
        <v>491688.7299711307</v>
      </c>
      <c r="X20" s="3" t="n">
        <v>503980.9482204089</v>
      </c>
      <c r="Y20" s="3" t="n">
        <v>516580.471925919</v>
      </c>
      <c r="Z20" s="3" t="n">
        <v>529494.983724067</v>
      </c>
      <c r="AA20" s="3" t="n">
        <v>542732.3583171685</v>
      </c>
      <c r="AB20" s="3" t="n">
        <v>556300.6672750978</v>
      </c>
      <c r="AC20" s="3" t="n">
        <v>570208.1839569751</v>
      </c>
      <c r="AD20" s="3" t="n">
        <v>584463.3885558995</v>
      </c>
      <c r="AE20" s="3" t="n">
        <v>599074.9732697969</v>
      </c>
      <c r="AF20" s="3" t="n">
        <v>614051.8476015418</v>
      </c>
      <c r="AG20" s="3" t="n">
        <v>629403.1437915803</v>
      </c>
      <c r="AH20" s="3" t="n">
        <v>645138.2223863697</v>
      </c>
      <c r="AI20" s="3" t="n">
        <v>661266.6779460289</v>
      </c>
      <c r="AJ20" s="3" t="n">
        <v>677798.3448946795</v>
      </c>
      <c r="AK20" s="3" t="n">
        <v>694743.3035170465</v>
      </c>
      <c r="AL20" s="3" t="n">
        <v>712111.8861049726</v>
      </c>
      <c r="AM20" s="3" t="n">
        <v>729914.6832575969</v>
      </c>
      <c r="AN20" s="3" t="n">
        <v>748162.5503390367</v>
      </c>
      <c r="AO20" s="3" t="n">
        <v>766866.6140975126</v>
      </c>
      <c r="AP20" s="3" t="n">
        <v>786038.2794499502</v>
      </c>
      <c r="AQ20" s="3" t="n">
        <v>805689.236436199</v>
      </c>
      <c r="AR20" s="3" t="n">
        <v>825831.4673471039</v>
      </c>
      <c r="AS20" s="3" t="n">
        <v>846477.2540307814</v>
      </c>
      <c r="AT20" s="3" t="n">
        <v>867639.1853815509</v>
      </c>
      <c r="AU20" s="3" t="n">
        <v>889330.1650160896</v>
      </c>
      <c r="AV20" s="3" t="n">
        <v>911563.4191414918</v>
      </c>
      <c r="AW20" s="3" t="n">
        <v>934352.5046200289</v>
      </c>
      <c r="AX20" s="3" t="n">
        <v>957711.3172355297</v>
      </c>
      <c r="AY20" s="3" t="n">
        <v>981654.1001664177</v>
      </c>
      <c r="AZ20" s="3" t="n">
        <v>1006195.452670578</v>
      </c>
      <c r="BA20" s="3" t="n">
        <v>1031350.338987343</v>
      </c>
      <c r="BB20" s="3" t="n">
        <v>1057134.097462026</v>
      </c>
      <c r="BC20" s="3" t="n">
        <v>1083562.449898576</v>
      </c>
      <c r="BD20" s="3" t="n">
        <v>1110651.511146041</v>
      </c>
      <c r="BE20" s="3" t="n">
        <v>1138417.798924692</v>
      </c>
      <c r="BF20" s="3" t="n">
        <v>1166878.243897809</v>
      </c>
      <c r="BG20" s="3" t="n">
        <v>1196050.199995254</v>
      </c>
      <c r="BH20" s="3" t="n">
        <v>1225951.454995135</v>
      </c>
      <c r="BI20" s="3" t="n">
        <v>1256600.241370014</v>
      </c>
      <c r="BJ20" s="3" t="n">
        <v>1288015.247404264</v>
      </c>
      <c r="BK20" s="3" t="n">
        <v>1320215.62858937</v>
      </c>
      <c r="BL20" s="3" t="n">
        <v>1353221.019304104</v>
      </c>
      <c r="BM20" s="3" t="n">
        <v>1387051.544786707</v>
      </c>
      <c r="BN20" s="3" t="n">
        <v>1421727.833406374</v>
      </c>
      <c r="BO20" s="3" t="n">
        <v>1457271.029241534</v>
      </c>
      <c r="BP20" s="3" t="n">
        <v>1493702.804972572</v>
      </c>
      <c r="BQ20" s="3" t="n">
        <v>1531045.375096886</v>
      </c>
      <c r="BR20" s="3" t="n">
        <v>1569321.509474308</v>
      </c>
      <c r="BS20" s="3" t="n">
        <v>1608554.547211166</v>
      </c>
      <c r="BT20" s="3" t="n">
        <v>1648768.410891445</v>
      </c>
      <c r="BU20" s="3" t="n">
        <v>1689987.621163731</v>
      </c>
      <c r="BV20" s="3" t="n">
        <v>1732237.311692824</v>
      </c>
      <c r="BW20" s="3" t="n">
        <v>1775543.244485144</v>
      </c>
      <c r="BX20" s="3" t="n">
        <v>1819931.825597273</v>
      </c>
      <c r="BY20" s="3" t="n">
        <v>1865430.121237204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0.1031</v>
      </c>
      <c r="I21" s="4" t="n">
        <v>0.1031</v>
      </c>
      <c r="J21" s="4" t="n">
        <v>0.1031</v>
      </c>
      <c r="K21" s="4" t="n">
        <v>0.1031</v>
      </c>
      <c r="L21" s="4" t="n">
        <v>0.1031</v>
      </c>
      <c r="M21" s="4" t="n">
        <v>0.1031</v>
      </c>
      <c r="N21" s="4" t="n">
        <v>0.1031</v>
      </c>
      <c r="O21" s="4" t="n">
        <v>0.1031</v>
      </c>
      <c r="P21" s="4" t="n">
        <v>0.1031</v>
      </c>
      <c r="Q21" s="4" t="n">
        <v>0.1031</v>
      </c>
      <c r="R21" s="4" t="n">
        <v>0.1031</v>
      </c>
      <c r="S21" s="4" t="n">
        <v>0.1031</v>
      </c>
      <c r="T21" s="4" t="n">
        <v>0.1031</v>
      </c>
      <c r="U21" s="4" t="n">
        <v>0.1031</v>
      </c>
      <c r="V21" s="4" t="n">
        <v>0.1031</v>
      </c>
      <c r="W21" s="4" t="n">
        <v>0.1031</v>
      </c>
      <c r="X21" s="4" t="n">
        <v>0.1031</v>
      </c>
      <c r="Y21" s="4" t="n">
        <v>0.1031</v>
      </c>
      <c r="Z21" s="4" t="n">
        <v>0.1031</v>
      </c>
      <c r="AA21" s="4" t="n">
        <v>0.1031</v>
      </c>
      <c r="AB21" s="4" t="n">
        <v>0.1031</v>
      </c>
      <c r="AC21" s="4" t="n">
        <v>0.1031</v>
      </c>
      <c r="AD21" s="4" t="n">
        <v>0.1031</v>
      </c>
      <c r="AE21" s="4" t="n">
        <v>0.1031</v>
      </c>
      <c r="AF21" s="4" t="n">
        <v>0.1031</v>
      </c>
      <c r="AG21" s="4" t="n">
        <v>0.1031</v>
      </c>
      <c r="AH21" s="4" t="n">
        <v>0.1031</v>
      </c>
      <c r="AI21" s="4" t="n">
        <v>0.1031</v>
      </c>
      <c r="AJ21" s="4" t="n">
        <v>0.1031</v>
      </c>
      <c r="AK21" s="4" t="n">
        <v>0.1031</v>
      </c>
      <c r="AL21" s="4" t="n">
        <v>0.1031</v>
      </c>
      <c r="AM21" s="4" t="n">
        <v>0.1031</v>
      </c>
      <c r="AN21" s="4" t="n">
        <v>0.1031</v>
      </c>
      <c r="AO21" s="4" t="n">
        <v>0.1031</v>
      </c>
      <c r="AP21" s="4" t="n">
        <v>0.1031</v>
      </c>
      <c r="AQ21" s="4" t="n">
        <v>0.1031</v>
      </c>
      <c r="AR21" s="4" t="n">
        <v>0.1031</v>
      </c>
      <c r="AS21" s="4" t="n">
        <v>0.1031</v>
      </c>
      <c r="AT21" s="4" t="n">
        <v>0.1031</v>
      </c>
      <c r="AU21" s="4" t="n">
        <v>0.1031</v>
      </c>
      <c r="AV21" s="4" t="n">
        <v>0.1031</v>
      </c>
      <c r="AW21" s="4" t="n">
        <v>0.1031</v>
      </c>
      <c r="AX21" s="4" t="n">
        <v>0.1031</v>
      </c>
      <c r="AY21" s="4" t="n">
        <v>0.1031</v>
      </c>
      <c r="AZ21" s="4" t="n">
        <v>0.1031</v>
      </c>
      <c r="BA21" s="4" t="n">
        <v>0.1031</v>
      </c>
      <c r="BB21" s="4" t="n">
        <v>0.1031</v>
      </c>
      <c r="BC21" s="4" t="n">
        <v>0.1031</v>
      </c>
      <c r="BD21" s="4" t="n">
        <v>0.1031</v>
      </c>
      <c r="BE21" s="4" t="n">
        <v>0.1031</v>
      </c>
      <c r="BF21" s="4" t="n">
        <v>0.1031</v>
      </c>
      <c r="BG21" s="4" t="n">
        <v>0.1031</v>
      </c>
      <c r="BH21" s="4" t="n">
        <v>0.1031</v>
      </c>
      <c r="BI21" s="4" t="n">
        <v>0.1031</v>
      </c>
      <c r="BJ21" s="4" t="n">
        <v>0.1031</v>
      </c>
      <c r="BK21" s="4" t="n">
        <v>0.1031</v>
      </c>
      <c r="BL21" s="4" t="n">
        <v>0.1031</v>
      </c>
      <c r="BM21" s="4" t="n">
        <v>0.1031</v>
      </c>
      <c r="BN21" s="4" t="n">
        <v>0.1031</v>
      </c>
      <c r="BO21" s="4" t="n">
        <v>0.1031</v>
      </c>
      <c r="BP21" s="4" t="n">
        <v>0.1031</v>
      </c>
      <c r="BQ21" s="4" t="n">
        <v>0.1031</v>
      </c>
      <c r="BR21" s="4" t="n">
        <v>0.1031</v>
      </c>
      <c r="BS21" s="4" t="n">
        <v>0.1031</v>
      </c>
      <c r="BT21" s="4" t="n">
        <v>0.1031</v>
      </c>
      <c r="BU21" s="4" t="n">
        <v>0.1031</v>
      </c>
      <c r="BV21" s="4" t="n">
        <v>0.1031</v>
      </c>
      <c r="BW21" s="4" t="n">
        <v>0.1031</v>
      </c>
      <c r="BX21" s="4" t="n">
        <v>0.1031</v>
      </c>
      <c r="BY21" s="4" t="n">
        <v>0.1031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742.638</v>
      </c>
      <c r="I22" s="13" t="n">
        <v>742.638</v>
      </c>
      <c r="J22" s="13" t="n">
        <v>742.638</v>
      </c>
      <c r="K22" s="13" t="n">
        <v>742.638</v>
      </c>
      <c r="L22" s="13" t="n">
        <v>742.638</v>
      </c>
      <c r="M22" s="13" t="n">
        <v>761.20395</v>
      </c>
      <c r="N22" s="13" t="n">
        <v>780.2340487499999</v>
      </c>
      <c r="O22" s="13" t="n">
        <v>799.7398999687498</v>
      </c>
      <c r="P22" s="13" t="n">
        <v>819.7333974679684</v>
      </c>
      <c r="Q22" s="13" t="n">
        <v>840.2267324046676</v>
      </c>
      <c r="R22" s="13" t="n">
        <v>861.2324007147843</v>
      </c>
      <c r="S22" s="13" t="n">
        <v>882.7632107326539</v>
      </c>
      <c r="T22" s="13" t="n">
        <v>904.83229100097</v>
      </c>
      <c r="U22" s="13" t="n">
        <v>927.4530982759942</v>
      </c>
      <c r="V22" s="13" t="n">
        <v>950.639425732894</v>
      </c>
      <c r="W22" s="13" t="n">
        <v>974.4054113762163</v>
      </c>
      <c r="X22" s="13" t="n">
        <v>998.7655466606216</v>
      </c>
      <c r="Y22" s="13" t="n">
        <v>1023.734685327137</v>
      </c>
      <c r="Z22" s="13" t="n">
        <v>1049.328052460315</v>
      </c>
      <c r="AA22" s="13" t="n">
        <v>1075.561253771823</v>
      </c>
      <c r="AB22" s="13" t="n">
        <v>1102.450285116119</v>
      </c>
      <c r="AC22" s="13" t="n">
        <v>1130.011542244021</v>
      </c>
      <c r="AD22" s="13" t="n">
        <v>1158.261830800122</v>
      </c>
      <c r="AE22" s="13" t="n">
        <v>1187.218376570125</v>
      </c>
      <c r="AF22" s="13" t="n">
        <v>1216.898835984378</v>
      </c>
      <c r="AG22" s="13" t="n">
        <v>1247.321306883987</v>
      </c>
      <c r="AH22" s="13" t="n">
        <v>1278.504339556087</v>
      </c>
      <c r="AI22" s="13" t="n">
        <v>1310.466948044989</v>
      </c>
      <c r="AJ22" s="13" t="n">
        <v>1343.228621746114</v>
      </c>
      <c r="AK22" s="13" t="n">
        <v>1376.809337289766</v>
      </c>
      <c r="AL22" s="13" t="n">
        <v>1411.22957072201</v>
      </c>
      <c r="AM22" s="13" t="n">
        <v>1446.51030999006</v>
      </c>
      <c r="AN22" s="13" t="n">
        <v>1482.673067739812</v>
      </c>
      <c r="AO22" s="13" t="n">
        <v>1519.739894433307</v>
      </c>
      <c r="AP22" s="13" t="n">
        <v>1557.733391794139</v>
      </c>
      <c r="AQ22" s="13" t="n">
        <v>1596.676726588993</v>
      </c>
      <c r="AR22" s="13" t="n">
        <v>1636.593644753717</v>
      </c>
      <c r="AS22" s="13" t="n">
        <v>1677.50848587256</v>
      </c>
      <c r="AT22" s="13" t="n">
        <v>1719.446198019374</v>
      </c>
      <c r="AU22" s="13" t="n">
        <v>1762.432352969858</v>
      </c>
      <c r="AV22" s="13" t="n">
        <v>1806.493161794104</v>
      </c>
      <c r="AW22" s="13" t="n">
        <v>1851.655490838957</v>
      </c>
      <c r="AX22" s="13" t="n">
        <v>1897.946878109931</v>
      </c>
      <c r="AY22" s="13" t="n">
        <v>1945.395550062679</v>
      </c>
      <c r="AZ22" s="13" t="n">
        <v>1994.030438814246</v>
      </c>
      <c r="BA22" s="13" t="n">
        <v>2043.881199784602</v>
      </c>
      <c r="BB22" s="13" t="n">
        <v>2094.978229779216</v>
      </c>
      <c r="BC22" s="13" t="n">
        <v>2147.352685523697</v>
      </c>
      <c r="BD22" s="13" t="n">
        <v>2201.036502661789</v>
      </c>
      <c r="BE22" s="13" t="n">
        <v>2256.062415228334</v>
      </c>
      <c r="BF22" s="13" t="n">
        <v>2312.463975609041</v>
      </c>
      <c r="BG22" s="13" t="n">
        <v>2370.275574999268</v>
      </c>
      <c r="BH22" s="13" t="n">
        <v>2429.532464374249</v>
      </c>
      <c r="BI22" s="13" t="n">
        <v>2490.270775983605</v>
      </c>
      <c r="BJ22" s="13" t="n">
        <v>2552.527545383195</v>
      </c>
      <c r="BK22" s="13" t="n">
        <v>2616.340734017775</v>
      </c>
      <c r="BL22" s="13" t="n">
        <v>2681.749252368219</v>
      </c>
      <c r="BM22" s="13" t="n">
        <v>2748.792983677424</v>
      </c>
      <c r="BN22" s="13" t="n">
        <v>2817.512808269359</v>
      </c>
      <c r="BO22" s="13" t="n">
        <v>2887.950628476093</v>
      </c>
      <c r="BP22" s="13" t="n">
        <v>2960.149394187995</v>
      </c>
      <c r="BQ22" s="13" t="n">
        <v>3034.153129042695</v>
      </c>
      <c r="BR22" s="13" t="n">
        <v>3110.006957268762</v>
      </c>
      <c r="BS22" s="13" t="n">
        <v>3187.75713120048</v>
      </c>
      <c r="BT22" s="13" t="n">
        <v>3267.451059480492</v>
      </c>
      <c r="BU22" s="13" t="n">
        <v>3349.137335967504</v>
      </c>
      <c r="BV22" s="13" t="n">
        <v>3432.865769366691</v>
      </c>
      <c r="BW22" s="13" t="n">
        <v>3518.687413600859</v>
      </c>
      <c r="BX22" s="13" t="n">
        <v>3606.65459894088</v>
      </c>
      <c r="BY22" s="13" t="n">
        <v>3696.820963914402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0.1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44334</v>
      </c>
      <c r="I24" s="3" t="n">
        <v>44334</v>
      </c>
      <c r="J24" s="3" t="n">
        <v>44334</v>
      </c>
      <c r="K24" s="3" t="n">
        <v>44334</v>
      </c>
      <c r="L24" s="3" t="n">
        <v>44334</v>
      </c>
      <c r="M24" s="3" t="n">
        <v>45442.35</v>
      </c>
      <c r="N24" s="3" t="n">
        <v>46578.40875</v>
      </c>
      <c r="O24" s="3" t="n">
        <v>47742.86896874999</v>
      </c>
      <c r="P24" s="3" t="n">
        <v>48936.44069296873</v>
      </c>
      <c r="Q24" s="3" t="n">
        <v>50159.85171029294</v>
      </c>
      <c r="R24" s="3" t="n">
        <v>51413.84800305026</v>
      </c>
      <c r="S24" s="3" t="n">
        <v>52699.19420312652</v>
      </c>
      <c r="T24" s="3" t="n">
        <v>54016.67405820467</v>
      </c>
      <c r="U24" s="3" t="n">
        <v>55367.09090965979</v>
      </c>
      <c r="V24" s="3" t="n">
        <v>56751.26818240128</v>
      </c>
      <c r="W24" s="3" t="n">
        <v>58170.04988696131</v>
      </c>
      <c r="X24" s="3" t="n">
        <v>59624.30113413533</v>
      </c>
      <c r="Y24" s="3" t="n">
        <v>61114.90866248871</v>
      </c>
      <c r="Z24" s="3" t="n">
        <v>62642.78137905092</v>
      </c>
      <c r="AA24" s="3" t="n">
        <v>64208.85091352719</v>
      </c>
      <c r="AB24" s="3" t="n">
        <v>65814.07218636536</v>
      </c>
      <c r="AC24" s="3" t="n">
        <v>67459.42399102449</v>
      </c>
      <c r="AD24" s="3" t="n">
        <v>69145.9095908001</v>
      </c>
      <c r="AE24" s="3" t="n">
        <v>70874.5573305701</v>
      </c>
      <c r="AF24" s="3" t="n">
        <v>72646.42126383433</v>
      </c>
      <c r="AG24" s="3" t="n">
        <v>74462.5817954302</v>
      </c>
      <c r="AH24" s="3" t="n">
        <v>76324.14634031594</v>
      </c>
      <c r="AI24" s="3" t="n">
        <v>78232.24999882384</v>
      </c>
      <c r="AJ24" s="3" t="n">
        <v>80188.05624879441</v>
      </c>
      <c r="AK24" s="3" t="n">
        <v>82192.75765501428</v>
      </c>
      <c r="AL24" s="3" t="n">
        <v>84247.57659638963</v>
      </c>
      <c r="AM24" s="3" t="n">
        <v>86353.76601129936</v>
      </c>
      <c r="AN24" s="3" t="n">
        <v>88512.61016158183</v>
      </c>
      <c r="AO24" s="3" t="n">
        <v>90725.42541562137</v>
      </c>
      <c r="AP24" s="3" t="n">
        <v>92993.56105101189</v>
      </c>
      <c r="AQ24" s="3" t="n">
        <v>95318.4000772872</v>
      </c>
      <c r="AR24" s="3" t="n">
        <v>97701.36007921936</v>
      </c>
      <c r="AS24" s="3" t="n">
        <v>100143.8940811998</v>
      </c>
      <c r="AT24" s="3" t="n">
        <v>102647.4914332298</v>
      </c>
      <c r="AU24" s="3" t="n">
        <v>105213.6787190606</v>
      </c>
      <c r="AV24" s="3" t="n">
        <v>107844.0206870371</v>
      </c>
      <c r="AW24" s="3" t="n">
        <v>110540.121204213</v>
      </c>
      <c r="AX24" s="3" t="n">
        <v>113303.6242343183</v>
      </c>
      <c r="AY24" s="3" t="n">
        <v>116136.2148401762</v>
      </c>
      <c r="AZ24" s="3" t="n">
        <v>119039.6202111806</v>
      </c>
      <c r="BA24" s="3" t="n">
        <v>122015.6107164601</v>
      </c>
      <c r="BB24" s="3" t="n">
        <v>125066.0009843716</v>
      </c>
      <c r="BC24" s="3" t="n">
        <v>128192.6510089809</v>
      </c>
      <c r="BD24" s="3" t="n">
        <v>131397.4672842054</v>
      </c>
      <c r="BE24" s="3" t="n">
        <v>134682.4039663106</v>
      </c>
      <c r="BF24" s="3" t="n">
        <v>138049.4640654683</v>
      </c>
      <c r="BG24" s="3" t="n">
        <v>141500.700667105</v>
      </c>
      <c r="BH24" s="3" t="n">
        <v>145038.2181837826</v>
      </c>
      <c r="BI24" s="3" t="n">
        <v>148664.1736383772</v>
      </c>
      <c r="BJ24" s="3" t="n">
        <v>152380.7779793366</v>
      </c>
      <c r="BK24" s="3" t="n">
        <v>156190.29742882</v>
      </c>
      <c r="BL24" s="3" t="n">
        <v>160095.0548645405</v>
      </c>
      <c r="BM24" s="3" t="n">
        <v>164097.431236154</v>
      </c>
      <c r="BN24" s="3" t="n">
        <v>168199.8670170578</v>
      </c>
      <c r="BO24" s="3" t="n">
        <v>172404.8636924842</v>
      </c>
      <c r="BP24" s="3" t="n">
        <v>176714.9852847963</v>
      </c>
      <c r="BQ24" s="3" t="n">
        <v>181132.8599169162</v>
      </c>
      <c r="BR24" s="3" t="n">
        <v>185661.1814148391</v>
      </c>
      <c r="BS24" s="3" t="n">
        <v>190302.7109502101</v>
      </c>
      <c r="BT24" s="3" t="n">
        <v>195060.2787239653</v>
      </c>
      <c r="BU24" s="3" t="n">
        <v>199936.7856920644</v>
      </c>
      <c r="BV24" s="3" t="n">
        <v>204935.205334366</v>
      </c>
      <c r="BW24" s="3" t="n">
        <v>210058.5854677251</v>
      </c>
      <c r="BX24" s="3" t="n">
        <v>215310.0501044182</v>
      </c>
      <c r="BY24" s="3" t="n">
        <v>220692.8013570287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77159</v>
      </c>
      <c r="I25" s="3" t="n">
        <v>77159</v>
      </c>
      <c r="J25" s="3" t="n">
        <v>77159</v>
      </c>
      <c r="K25" s="3" t="n">
        <v>77159</v>
      </c>
      <c r="L25" s="3" t="n">
        <v>77159</v>
      </c>
      <c r="M25" s="3" t="n">
        <v>79087.97499999999</v>
      </c>
      <c r="N25" s="3" t="n">
        <v>81065.17437499999</v>
      </c>
      <c r="O25" s="3" t="n">
        <v>83091.80373437497</v>
      </c>
      <c r="P25" s="3" t="n">
        <v>85169.09882773434</v>
      </c>
      <c r="Q25" s="3" t="n">
        <v>87298.3262984277</v>
      </c>
      <c r="R25" s="3" t="n">
        <v>89480.78445588838</v>
      </c>
      <c r="S25" s="3" t="n">
        <v>91717.80406728559</v>
      </c>
      <c r="T25" s="3" t="n">
        <v>94010.74916896771</v>
      </c>
      <c r="U25" s="3" t="n">
        <v>96361.0178981919</v>
      </c>
      <c r="V25" s="3" t="n">
        <v>98770.04334564669</v>
      </c>
      <c r="W25" s="3" t="n">
        <v>101239.2944292879</v>
      </c>
      <c r="X25" s="3" t="n">
        <v>103770.27679002</v>
      </c>
      <c r="Y25" s="3" t="n">
        <v>106364.5337097705</v>
      </c>
      <c r="Z25" s="3" t="n">
        <v>109023.6470525148</v>
      </c>
      <c r="AA25" s="3" t="n">
        <v>111749.2382288276</v>
      </c>
      <c r="AB25" s="3" t="n">
        <v>114542.9691845483</v>
      </c>
      <c r="AC25" s="3" t="n">
        <v>117406.543414162</v>
      </c>
      <c r="AD25" s="3" t="n">
        <v>120341.7069995161</v>
      </c>
      <c r="AE25" s="3" t="n">
        <v>123350.2496745039</v>
      </c>
      <c r="AF25" s="3" t="n">
        <v>126434.0059163665</v>
      </c>
      <c r="AG25" s="3" t="n">
        <v>129594.8560642757</v>
      </c>
      <c r="AH25" s="3" t="n">
        <v>132834.7274658826</v>
      </c>
      <c r="AI25" s="3" t="n">
        <v>136155.5956525296</v>
      </c>
      <c r="AJ25" s="3" t="n">
        <v>139559.4855438428</v>
      </c>
      <c r="AK25" s="3" t="n">
        <v>143048.4726824389</v>
      </c>
      <c r="AL25" s="3" t="n">
        <v>146624.6844994999</v>
      </c>
      <c r="AM25" s="3" t="n">
        <v>150290.3016119874</v>
      </c>
      <c r="AN25" s="3" t="n">
        <v>154047.559152287</v>
      </c>
      <c r="AO25" s="3" t="n">
        <v>157898.7481310942</v>
      </c>
      <c r="AP25" s="3" t="n">
        <v>161846.2168343715</v>
      </c>
      <c r="AQ25" s="3" t="n">
        <v>165892.3722552308</v>
      </c>
      <c r="AR25" s="3" t="n">
        <v>170039.6815616116</v>
      </c>
      <c r="AS25" s="3" t="n">
        <v>174290.6736006518</v>
      </c>
      <c r="AT25" s="3" t="n">
        <v>178647.9404406681</v>
      </c>
      <c r="AU25" s="3" t="n">
        <v>183114.1389516848</v>
      </c>
      <c r="AV25" s="3" t="n">
        <v>187691.9924254769</v>
      </c>
      <c r="AW25" s="3" t="n">
        <v>192384.2922361138</v>
      </c>
      <c r="AX25" s="3" t="n">
        <v>197193.8995420166</v>
      </c>
      <c r="AY25" s="3" t="n">
        <v>202123.747030567</v>
      </c>
      <c r="AZ25" s="3" t="n">
        <v>207176.8407063312</v>
      </c>
      <c r="BA25" s="3" t="n">
        <v>212356.2617239894</v>
      </c>
      <c r="BB25" s="3" t="n">
        <v>217665.1682670891</v>
      </c>
      <c r="BC25" s="3" t="n">
        <v>223106.7974737664</v>
      </c>
      <c r="BD25" s="3" t="n">
        <v>228684.4674106105</v>
      </c>
      <c r="BE25" s="3" t="n">
        <v>234401.5790958758</v>
      </c>
      <c r="BF25" s="3" t="n">
        <v>240261.6185732726</v>
      </c>
      <c r="BG25" s="3" t="n">
        <v>246268.1590376044</v>
      </c>
      <c r="BH25" s="3" t="n">
        <v>252424.8630135445</v>
      </c>
      <c r="BI25" s="3" t="n">
        <v>258735.4845888831</v>
      </c>
      <c r="BJ25" s="3" t="n">
        <v>265203.8717036052</v>
      </c>
      <c r="BK25" s="3" t="n">
        <v>271833.9684961953</v>
      </c>
      <c r="BL25" s="3" t="n">
        <v>278629.8177086001</v>
      </c>
      <c r="BM25" s="3" t="n">
        <v>285595.5631513151</v>
      </c>
      <c r="BN25" s="3" t="n">
        <v>292735.452230098</v>
      </c>
      <c r="BO25" s="3" t="n">
        <v>300053.8385358504</v>
      </c>
      <c r="BP25" s="3" t="n">
        <v>307555.1844992467</v>
      </c>
      <c r="BQ25" s="3" t="n">
        <v>315244.0641117278</v>
      </c>
      <c r="BR25" s="3" t="n">
        <v>323125.165714521</v>
      </c>
      <c r="BS25" s="3" t="n">
        <v>331203.2948573839</v>
      </c>
      <c r="BT25" s="3" t="n">
        <v>339483.3772288185</v>
      </c>
      <c r="BU25" s="3" t="n">
        <v>347970.4616595389</v>
      </c>
      <c r="BV25" s="3" t="n">
        <v>356669.7232010273</v>
      </c>
      <c r="BW25" s="3" t="n">
        <v>365586.466281053</v>
      </c>
      <c r="BX25" s="3" t="n">
        <v>374726.1279380793</v>
      </c>
      <c r="BY25" s="3" t="n">
        <v>384094.2811365313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245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0</v>
      </c>
      <c r="AD26" s="13" t="n">
        <v>0</v>
      </c>
      <c r="AE26" s="13" t="n">
        <v>0</v>
      </c>
      <c r="AF26" s="13" t="n">
        <v>0</v>
      </c>
      <c r="AG26" s="13" t="n">
        <v>0</v>
      </c>
      <c r="AH26" s="13" t="n">
        <v>0</v>
      </c>
      <c r="AI26" s="13" t="n">
        <v>0</v>
      </c>
      <c r="AJ26" s="13" t="n">
        <v>0</v>
      </c>
      <c r="AK26" s="13" t="n">
        <v>0</v>
      </c>
      <c r="AL26" s="13" t="n">
        <v>0</v>
      </c>
      <c r="AM26" s="13" t="n">
        <v>0</v>
      </c>
      <c r="AN26" s="13" t="n">
        <v>0</v>
      </c>
      <c r="AO26" s="13" t="n">
        <v>0</v>
      </c>
      <c r="AP26" s="13" t="n">
        <v>0</v>
      </c>
      <c r="AQ26" s="13" t="n">
        <v>0</v>
      </c>
      <c r="AR26" s="13" t="n">
        <v>0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</v>
      </c>
      <c r="BJ26" s="13" t="n">
        <v>0</v>
      </c>
      <c r="BK26" s="13" t="n">
        <v>0</v>
      </c>
      <c r="BL26" s="13" t="n">
        <v>0</v>
      </c>
      <c r="BM26" s="13" t="n">
        <v>0</v>
      </c>
      <c r="BN26" s="13" t="n">
        <v>0</v>
      </c>
      <c r="BO26" s="13" t="n">
        <v>0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-0.004775</v>
      </c>
      <c r="I27" s="4" t="n">
        <v>-0.004775</v>
      </c>
      <c r="J27" s="4" t="n">
        <v>-0.004775</v>
      </c>
      <c r="K27" s="4" t="n">
        <v>-0.004775</v>
      </c>
      <c r="L27" s="4" t="n">
        <v>-0.004775</v>
      </c>
      <c r="M27" s="4" t="n">
        <v>-0.004775</v>
      </c>
      <c r="N27" s="4" t="n">
        <v>-0.004775</v>
      </c>
      <c r="O27" s="4" t="n">
        <v>-0.004775</v>
      </c>
      <c r="P27" s="4" t="n">
        <v>-0.004775</v>
      </c>
      <c r="Q27" s="4" t="n">
        <v>-0.004775</v>
      </c>
      <c r="R27" s="4" t="n">
        <v>-0.004775</v>
      </c>
      <c r="S27" s="4" t="n">
        <v>-0.004775</v>
      </c>
      <c r="T27" s="4" t="n">
        <v>-0.004775</v>
      </c>
      <c r="U27" s="4" t="n">
        <v>-0.004775</v>
      </c>
      <c r="V27" s="4" t="n">
        <v>-0.004775</v>
      </c>
      <c r="W27" s="4" t="n">
        <v>-0.004775</v>
      </c>
      <c r="X27" s="4" t="n">
        <v>-0.004775</v>
      </c>
      <c r="Y27" s="4" t="n">
        <v>-0.004775</v>
      </c>
      <c r="Z27" s="4" t="n">
        <v>-0.004775</v>
      </c>
      <c r="AA27" s="4" t="n">
        <v>-0.004775</v>
      </c>
      <c r="AB27" s="4" t="n">
        <v>-0.004775</v>
      </c>
      <c r="AC27" s="4" t="n">
        <v>-0.004775</v>
      </c>
      <c r="AD27" s="4" t="n">
        <v>-0.004775</v>
      </c>
      <c r="AE27" s="4" t="n">
        <v>-0.004775</v>
      </c>
      <c r="AF27" s="4" t="n">
        <v>-0.004775</v>
      </c>
      <c r="AG27" s="4" t="n">
        <v>-0.004775</v>
      </c>
      <c r="AH27" s="4" t="n">
        <v>-0.004775</v>
      </c>
      <c r="AI27" s="4" t="n">
        <v>-0.004775</v>
      </c>
      <c r="AJ27" s="4" t="n">
        <v>-0.004775</v>
      </c>
      <c r="AK27" s="4" t="n">
        <v>-0.004775</v>
      </c>
      <c r="AL27" s="4" t="n">
        <v>-0.004775</v>
      </c>
      <c r="AM27" s="4" t="n">
        <v>-0.004775</v>
      </c>
      <c r="AN27" s="4" t="n">
        <v>-0.004775</v>
      </c>
      <c r="AO27" s="4" t="n">
        <v>-0.004775</v>
      </c>
      <c r="AP27" s="4" t="n">
        <v>-0.004775</v>
      </c>
      <c r="AQ27" s="4" t="n">
        <v>-0.004775</v>
      </c>
      <c r="AR27" s="4" t="n">
        <v>-0.004775</v>
      </c>
      <c r="AS27" s="4" t="n">
        <v>-0.004775</v>
      </c>
      <c r="AT27" s="4" t="n">
        <v>-0.004775</v>
      </c>
      <c r="AU27" s="4" t="n">
        <v>-0.004775</v>
      </c>
      <c r="AV27" s="4" t="n">
        <v>-0.004775</v>
      </c>
      <c r="AW27" s="4" t="n">
        <v>-0.004775</v>
      </c>
      <c r="AX27" s="4" t="n">
        <v>-0.004775</v>
      </c>
      <c r="AY27" s="4" t="n">
        <v>-0.004775</v>
      </c>
      <c r="AZ27" s="4" t="n">
        <v>-0.004775</v>
      </c>
      <c r="BA27" s="4" t="n">
        <v>-0.004775</v>
      </c>
      <c r="BB27" s="4" t="n">
        <v>-0.004775</v>
      </c>
      <c r="BC27" s="4" t="n">
        <v>-0.004775</v>
      </c>
      <c r="BD27" s="4" t="n">
        <v>-0.004775</v>
      </c>
      <c r="BE27" s="4" t="n">
        <v>-0.004775</v>
      </c>
      <c r="BF27" s="4" t="n">
        <v>-0.004775</v>
      </c>
      <c r="BG27" s="4" t="n">
        <v>-0.004775</v>
      </c>
      <c r="BH27" s="4" t="n">
        <v>-0.004775</v>
      </c>
      <c r="BI27" s="4" t="n">
        <v>-0.004775</v>
      </c>
      <c r="BJ27" s="4" t="n">
        <v>-0.004775</v>
      </c>
      <c r="BK27" s="4" t="n">
        <v>-0.004775</v>
      </c>
      <c r="BL27" s="4" t="n">
        <v>-0.004775</v>
      </c>
      <c r="BM27" s="4" t="n">
        <v>-0.004775</v>
      </c>
      <c r="BN27" s="4" t="n">
        <v>-0.004775</v>
      </c>
      <c r="BO27" s="4" t="n">
        <v>-0.004775</v>
      </c>
      <c r="BP27" s="4" t="n">
        <v>-0.004775</v>
      </c>
      <c r="BQ27" s="4" t="n">
        <v>-0.004775</v>
      </c>
      <c r="BR27" s="4" t="n">
        <v>-0.004775</v>
      </c>
      <c r="BS27" s="4" t="n">
        <v>-0.004775</v>
      </c>
      <c r="BT27" s="4" t="n">
        <v>-0.004775</v>
      </c>
      <c r="BU27" s="4" t="n">
        <v>-0.004775</v>
      </c>
      <c r="BV27" s="4" t="n">
        <v>-0.004775</v>
      </c>
      <c r="BW27" s="4" t="n">
        <v>-0.004775</v>
      </c>
      <c r="BX27" s="4" t="n">
        <v>-0.004775</v>
      </c>
      <c r="BY27" s="4" t="n">
        <v>-0.004775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0.20765</v>
      </c>
      <c r="I28" s="4" t="n">
        <v>0.20765</v>
      </c>
      <c r="J28" s="4" t="n">
        <v>0.20765</v>
      </c>
      <c r="K28" s="4" t="n">
        <v>0.20765</v>
      </c>
      <c r="L28" s="4" t="n">
        <v>0.20765</v>
      </c>
      <c r="M28" s="4" t="n">
        <v>0.20765</v>
      </c>
      <c r="N28" s="4" t="n">
        <v>0.20765</v>
      </c>
      <c r="O28" s="4" t="n">
        <v>0.20765</v>
      </c>
      <c r="P28" s="4" t="n">
        <v>0.20765</v>
      </c>
      <c r="Q28" s="4" t="n">
        <v>0.20765</v>
      </c>
      <c r="R28" s="4" t="n">
        <v>0.20765</v>
      </c>
      <c r="S28" s="4" t="n">
        <v>0.20765</v>
      </c>
      <c r="T28" s="4" t="n">
        <v>0.20765</v>
      </c>
      <c r="U28" s="4" t="n">
        <v>0.20765</v>
      </c>
      <c r="V28" s="4" t="n">
        <v>0.20765</v>
      </c>
      <c r="W28" s="4" t="n">
        <v>0.20765</v>
      </c>
      <c r="X28" s="4" t="n">
        <v>0.20765</v>
      </c>
      <c r="Y28" s="4" t="n">
        <v>0.20765</v>
      </c>
      <c r="Z28" s="4" t="n">
        <v>0.20765</v>
      </c>
      <c r="AA28" s="4" t="n">
        <v>0.20765</v>
      </c>
      <c r="AB28" s="4" t="n">
        <v>0.20765</v>
      </c>
      <c r="AC28" s="4" t="n">
        <v>0.20765</v>
      </c>
      <c r="AD28" s="4" t="n">
        <v>0.20765</v>
      </c>
      <c r="AE28" s="4" t="n">
        <v>0.20765</v>
      </c>
      <c r="AF28" s="4" t="n">
        <v>0.20765</v>
      </c>
      <c r="AG28" s="4" t="n">
        <v>0.20765</v>
      </c>
      <c r="AH28" s="4" t="n">
        <v>0.20765</v>
      </c>
      <c r="AI28" s="4" t="n">
        <v>0.20765</v>
      </c>
      <c r="AJ28" s="4" t="n">
        <v>0.20765</v>
      </c>
      <c r="AK28" s="4" t="n">
        <v>0.20765</v>
      </c>
      <c r="AL28" s="4" t="n">
        <v>0.20765</v>
      </c>
      <c r="AM28" s="4" t="n">
        <v>0.20765</v>
      </c>
      <c r="AN28" s="4" t="n">
        <v>0.20765</v>
      </c>
      <c r="AO28" s="4" t="n">
        <v>0.20765</v>
      </c>
      <c r="AP28" s="4" t="n">
        <v>0.20765</v>
      </c>
      <c r="AQ28" s="4" t="n">
        <v>0.20765</v>
      </c>
      <c r="AR28" s="4" t="n">
        <v>0.20765</v>
      </c>
      <c r="AS28" s="4" t="n">
        <v>0.20765</v>
      </c>
      <c r="AT28" s="4" t="n">
        <v>0.20765</v>
      </c>
      <c r="AU28" s="4" t="n">
        <v>0.20765</v>
      </c>
      <c r="AV28" s="4" t="n">
        <v>0.20765</v>
      </c>
      <c r="AW28" s="4" t="n">
        <v>0.20765</v>
      </c>
      <c r="AX28" s="4" t="n">
        <v>0.20765</v>
      </c>
      <c r="AY28" s="4" t="n">
        <v>0.20765</v>
      </c>
      <c r="AZ28" s="4" t="n">
        <v>0.20765</v>
      </c>
      <c r="BA28" s="4" t="n">
        <v>0.20765</v>
      </c>
      <c r="BB28" s="4" t="n">
        <v>0.20765</v>
      </c>
      <c r="BC28" s="4" t="n">
        <v>0.20765</v>
      </c>
      <c r="BD28" s="4" t="n">
        <v>0.20765</v>
      </c>
      <c r="BE28" s="4" t="n">
        <v>0.20765</v>
      </c>
      <c r="BF28" s="4" t="n">
        <v>0.20765</v>
      </c>
      <c r="BG28" s="4" t="n">
        <v>0.20765</v>
      </c>
      <c r="BH28" s="4" t="n">
        <v>0.20765</v>
      </c>
      <c r="BI28" s="4" t="n">
        <v>0.20765</v>
      </c>
      <c r="BJ28" s="4" t="n">
        <v>0.20765</v>
      </c>
      <c r="BK28" s="4" t="n">
        <v>0.20765</v>
      </c>
      <c r="BL28" s="4" t="n">
        <v>0.20765</v>
      </c>
      <c r="BM28" s="4" t="n">
        <v>0.20765</v>
      </c>
      <c r="BN28" s="4" t="n">
        <v>0.20765</v>
      </c>
      <c r="BO28" s="4" t="n">
        <v>0.20765</v>
      </c>
      <c r="BP28" s="4" t="n">
        <v>0.20765</v>
      </c>
      <c r="BQ28" s="4" t="n">
        <v>0.20765</v>
      </c>
      <c r="BR28" s="4" t="n">
        <v>0.20765</v>
      </c>
      <c r="BS28" s="4" t="n">
        <v>0.20765</v>
      </c>
      <c r="BT28" s="4" t="n">
        <v>0.20765</v>
      </c>
      <c r="BU28" s="4" t="n">
        <v>0.20765</v>
      </c>
      <c r="BV28" s="4" t="n">
        <v>0.20765</v>
      </c>
      <c r="BW28" s="4" t="n">
        <v>0.20765</v>
      </c>
      <c r="BX28" s="4" t="n">
        <v>0.20765</v>
      </c>
      <c r="BY28" s="4" t="n">
        <v>0.20765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0.105979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0.041884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  <c r="AG31" s="13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3" t="n">
        <v>0</v>
      </c>
      <c r="AO31" s="13" t="n">
        <v>0</v>
      </c>
      <c r="AP31" s="13" t="n">
        <v>0</v>
      </c>
      <c r="AQ31" s="13" t="n">
        <v>0</v>
      </c>
      <c r="AR31" s="13" t="n">
        <v>0</v>
      </c>
      <c r="AS31" s="13" t="n">
        <v>0</v>
      </c>
      <c r="AT31" s="13" t="n">
        <v>0</v>
      </c>
      <c r="AU31" s="13" t="n">
        <v>0</v>
      </c>
      <c r="AV31" s="13" t="n">
        <v>0</v>
      </c>
      <c r="AW31" s="13" t="n">
        <v>0</v>
      </c>
      <c r="AX31" s="13" t="n">
        <v>0</v>
      </c>
      <c r="AY31" s="13" t="n">
        <v>0</v>
      </c>
      <c r="AZ31" s="13" t="n">
        <v>0</v>
      </c>
      <c r="BA31" s="13" t="n">
        <v>0</v>
      </c>
      <c r="BB31" s="13" t="n">
        <v>0</v>
      </c>
      <c r="BC31" s="13" t="n">
        <v>0</v>
      </c>
      <c r="BD31" s="13" t="n">
        <v>0</v>
      </c>
      <c r="BE31" s="13" t="n">
        <v>0</v>
      </c>
      <c r="BF31" s="13" t="n">
        <v>0</v>
      </c>
      <c r="BG31" s="13" t="n">
        <v>0</v>
      </c>
      <c r="BH31" s="13" t="n">
        <v>0</v>
      </c>
      <c r="BI31" s="13" t="n">
        <v>0</v>
      </c>
      <c r="BJ31" s="13" t="n">
        <v>0</v>
      </c>
      <c r="BK31" s="13" t="n">
        <v>0</v>
      </c>
      <c r="BL31" s="13" t="n">
        <v>0</v>
      </c>
      <c r="BM31" s="13" t="n">
        <v>0</v>
      </c>
      <c r="BN31" s="13" t="n">
        <v>0</v>
      </c>
      <c r="BO31" s="13" t="n">
        <v>0</v>
      </c>
      <c r="BP31" s="13" t="n">
        <v>0</v>
      </c>
      <c r="BQ31" s="13" t="n">
        <v>0</v>
      </c>
      <c r="BR31" s="13" t="n">
        <v>0</v>
      </c>
      <c r="BS31" s="13" t="n">
        <v>0</v>
      </c>
      <c r="BT31" s="13" t="n">
        <v>0</v>
      </c>
      <c r="BU31" s="13" t="n">
        <v>0</v>
      </c>
      <c r="BV31" s="13" t="n">
        <v>0</v>
      </c>
      <c r="BW31" s="13" t="n">
        <v>0</v>
      </c>
      <c r="BX31" s="13" t="n">
        <v>0</v>
      </c>
      <c r="BY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775.08</v>
      </c>
      <c r="I32" s="13" t="n">
        <v>775.08</v>
      </c>
      <c r="J32" s="13" t="n">
        <v>775.08</v>
      </c>
      <c r="K32" s="13" t="n">
        <v>775.08</v>
      </c>
      <c r="L32" s="13" t="n">
        <v>775.08</v>
      </c>
      <c r="M32" s="13" t="n">
        <v>794.457</v>
      </c>
      <c r="N32" s="13" t="n">
        <v>814.3184249999999</v>
      </c>
      <c r="O32" s="13" t="n">
        <v>834.6763856249997</v>
      </c>
      <c r="P32" s="13" t="n">
        <v>855.5432952656247</v>
      </c>
      <c r="Q32" s="13" t="n">
        <v>876.9318776472652</v>
      </c>
      <c r="R32" s="13" t="n">
        <v>898.8551745884467</v>
      </c>
      <c r="S32" s="13" t="n">
        <v>921.3265539531581</v>
      </c>
      <c r="T32" s="13" t="n">
        <v>944.3597178019867</v>
      </c>
      <c r="U32" s="13" t="n">
        <v>967.9687107470364</v>
      </c>
      <c r="V32" s="13" t="n">
        <v>992.1679285157121</v>
      </c>
      <c r="W32" s="13" t="n">
        <v>1016.972126728605</v>
      </c>
      <c r="X32" s="13" t="n">
        <v>1042.39642989682</v>
      </c>
      <c r="Y32" s="13" t="n">
        <v>1068.45634064424</v>
      </c>
      <c r="Z32" s="13" t="n">
        <v>1095.167749160346</v>
      </c>
      <c r="AA32" s="13" t="n">
        <v>1122.546942889355</v>
      </c>
      <c r="AB32" s="13" t="n">
        <v>1150.610616461589</v>
      </c>
      <c r="AC32" s="13" t="n">
        <v>1179.375881873128</v>
      </c>
      <c r="AD32" s="13" t="n">
        <v>1208.860278919956</v>
      </c>
      <c r="AE32" s="13" t="n">
        <v>1239.081785892955</v>
      </c>
      <c r="AF32" s="13" t="n">
        <v>1270.058830540279</v>
      </c>
      <c r="AG32" s="13" t="n">
        <v>1301.810301303786</v>
      </c>
      <c r="AH32" s="13" t="n">
        <v>1334.35555883638</v>
      </c>
      <c r="AI32" s="13" t="n">
        <v>1367.71444780729</v>
      </c>
      <c r="AJ32" s="13" t="n">
        <v>1401.907309002472</v>
      </c>
      <c r="AK32" s="13" t="n">
        <v>1436.954991727534</v>
      </c>
      <c r="AL32" s="13" t="n">
        <v>1472.878866520722</v>
      </c>
      <c r="AM32" s="13" t="n">
        <v>1509.70083818374</v>
      </c>
      <c r="AN32" s="13" t="n">
        <v>1547.443359138333</v>
      </c>
      <c r="AO32" s="13" t="n">
        <v>1586.129443116791</v>
      </c>
      <c r="AP32" s="13" t="n">
        <v>1625.782679194711</v>
      </c>
      <c r="AQ32" s="13" t="n">
        <v>1666.427246174579</v>
      </c>
      <c r="AR32" s="13" t="n">
        <v>1708.087927328943</v>
      </c>
      <c r="AS32" s="13" t="n">
        <v>1750.790125512166</v>
      </c>
      <c r="AT32" s="13" t="n">
        <v>1794.55987864997</v>
      </c>
      <c r="AU32" s="13" t="n">
        <v>1839.423875616219</v>
      </c>
      <c r="AV32" s="13" t="n">
        <v>1885.409472506625</v>
      </c>
      <c r="AW32" s="13" t="n">
        <v>1932.54470931929</v>
      </c>
      <c r="AX32" s="13" t="n">
        <v>1980.858327052272</v>
      </c>
      <c r="AY32" s="13" t="n">
        <v>2030.379785228579</v>
      </c>
      <c r="AZ32" s="13" t="n">
        <v>2081.139279859293</v>
      </c>
      <c r="BA32" s="13" t="n">
        <v>2133.167761855775</v>
      </c>
      <c r="BB32" s="13" t="n">
        <v>2186.496955902169</v>
      </c>
      <c r="BC32" s="13" t="n">
        <v>2241.159379799723</v>
      </c>
      <c r="BD32" s="13" t="n">
        <v>2297.188364294716</v>
      </c>
      <c r="BE32" s="13" t="n">
        <v>2354.618073402084</v>
      </c>
      <c r="BF32" s="13" t="n">
        <v>2413.483525237136</v>
      </c>
      <c r="BG32" s="13" t="n">
        <v>2473.820613368064</v>
      </c>
      <c r="BH32" s="13" t="n">
        <v>2535.666128702265</v>
      </c>
      <c r="BI32" s="13" t="n">
        <v>2599.057781919822</v>
      </c>
      <c r="BJ32" s="13" t="n">
        <v>2664.034226467817</v>
      </c>
      <c r="BK32" s="13" t="n">
        <v>2730.635082129512</v>
      </c>
      <c r="BL32" s="13" t="n">
        <v>2798.90095918275</v>
      </c>
      <c r="BM32" s="13" t="n">
        <v>2868.873483162318</v>
      </c>
      <c r="BN32" s="13" t="n">
        <v>2940.595320241376</v>
      </c>
      <c r="BO32" s="13" t="n">
        <v>3014.11020324741</v>
      </c>
      <c r="BP32" s="13" t="n">
        <v>3089.462958328596</v>
      </c>
      <c r="BQ32" s="13" t="n">
        <v>3166.69953228681</v>
      </c>
      <c r="BR32" s="13" t="n">
        <v>3245.86702059398</v>
      </c>
      <c r="BS32" s="13" t="n">
        <v>3327.013696108829</v>
      </c>
      <c r="BT32" s="13" t="n">
        <v>3410.189038511549</v>
      </c>
      <c r="BU32" s="13" t="n">
        <v>3495.443764474338</v>
      </c>
      <c r="BV32" s="13" t="n">
        <v>3582.829858586196</v>
      </c>
      <c r="BW32" s="13" t="n">
        <v>3672.400605050851</v>
      </c>
      <c r="BX32" s="13" t="n">
        <v>3764.210620177122</v>
      </c>
      <c r="BY32" s="13" t="n">
        <v>3858.315885681549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0.015502</v>
      </c>
      <c r="I33" s="4" t="n">
        <v>0.015502</v>
      </c>
      <c r="J33" s="4" t="n">
        <v>0.015502</v>
      </c>
      <c r="K33" s="4" t="n">
        <v>0.015502</v>
      </c>
      <c r="L33" s="4" t="n">
        <v>0.015502</v>
      </c>
      <c r="M33" s="4" t="n">
        <v>0.015502</v>
      </c>
      <c r="N33" s="4" t="n">
        <v>0.015502</v>
      </c>
      <c r="O33" s="4" t="n">
        <v>0.015502</v>
      </c>
      <c r="P33" s="4" t="n">
        <v>0.015502</v>
      </c>
      <c r="Q33" s="4" t="n">
        <v>0.015502</v>
      </c>
      <c r="R33" s="4" t="n">
        <v>0.015502</v>
      </c>
      <c r="S33" s="4" t="n">
        <v>0.015502</v>
      </c>
      <c r="T33" s="4" t="n">
        <v>0.015502</v>
      </c>
      <c r="U33" s="4" t="n">
        <v>0.015502</v>
      </c>
      <c r="V33" s="4" t="n">
        <v>0.015502</v>
      </c>
      <c r="W33" s="4" t="n">
        <v>0.015502</v>
      </c>
      <c r="X33" s="4" t="n">
        <v>0.015502</v>
      </c>
      <c r="Y33" s="4" t="n">
        <v>0.015502</v>
      </c>
      <c r="Z33" s="4" t="n">
        <v>0.015502</v>
      </c>
      <c r="AA33" s="4" t="n">
        <v>0.015502</v>
      </c>
      <c r="AB33" s="4" t="n">
        <v>0.015502</v>
      </c>
      <c r="AC33" s="4" t="n">
        <v>0.015502</v>
      </c>
      <c r="AD33" s="4" t="n">
        <v>0.015502</v>
      </c>
      <c r="AE33" s="4" t="n">
        <v>0.015502</v>
      </c>
      <c r="AF33" s="4" t="n">
        <v>0.015502</v>
      </c>
      <c r="AG33" s="4" t="n">
        <v>0.015502</v>
      </c>
      <c r="AH33" s="4" t="n">
        <v>0.015502</v>
      </c>
      <c r="AI33" s="4" t="n">
        <v>0.015502</v>
      </c>
      <c r="AJ33" s="4" t="n">
        <v>0.015502</v>
      </c>
      <c r="AK33" s="4" t="n">
        <v>0.015502</v>
      </c>
      <c r="AL33" s="4" t="n">
        <v>0.015502</v>
      </c>
      <c r="AM33" s="4" t="n">
        <v>0.015502</v>
      </c>
      <c r="AN33" s="4" t="n">
        <v>0.015502</v>
      </c>
      <c r="AO33" s="4" t="n">
        <v>0.015502</v>
      </c>
      <c r="AP33" s="4" t="n">
        <v>0.015502</v>
      </c>
      <c r="AQ33" s="4" t="n">
        <v>0.015502</v>
      </c>
      <c r="AR33" s="4" t="n">
        <v>0.015502</v>
      </c>
      <c r="AS33" s="4" t="n">
        <v>0.015502</v>
      </c>
      <c r="AT33" s="4" t="n">
        <v>0.015502</v>
      </c>
      <c r="AU33" s="4" t="n">
        <v>0.015502</v>
      </c>
      <c r="AV33" s="4" t="n">
        <v>0.015502</v>
      </c>
      <c r="AW33" s="4" t="n">
        <v>0.015502</v>
      </c>
      <c r="AX33" s="4" t="n">
        <v>0.015502</v>
      </c>
      <c r="AY33" s="4" t="n">
        <v>0.015502</v>
      </c>
      <c r="AZ33" s="4" t="n">
        <v>0.015502</v>
      </c>
      <c r="BA33" s="4" t="n">
        <v>0.015502</v>
      </c>
      <c r="BB33" s="4" t="n">
        <v>0.015502</v>
      </c>
      <c r="BC33" s="4" t="n">
        <v>0.015502</v>
      </c>
      <c r="BD33" s="4" t="n">
        <v>0.015502</v>
      </c>
      <c r="BE33" s="4" t="n">
        <v>0.015502</v>
      </c>
      <c r="BF33" s="4" t="n">
        <v>0.015502</v>
      </c>
      <c r="BG33" s="4" t="n">
        <v>0.015502</v>
      </c>
      <c r="BH33" s="4" t="n">
        <v>0.015502</v>
      </c>
      <c r="BI33" s="4" t="n">
        <v>0.015502</v>
      </c>
      <c r="BJ33" s="4" t="n">
        <v>0.015502</v>
      </c>
      <c r="BK33" s="4" t="n">
        <v>0.015502</v>
      </c>
      <c r="BL33" s="4" t="n">
        <v>0.015502</v>
      </c>
      <c r="BM33" s="4" t="n">
        <v>0.015502</v>
      </c>
      <c r="BN33" s="4" t="n">
        <v>0.015502</v>
      </c>
      <c r="BO33" s="4" t="n">
        <v>0.015502</v>
      </c>
      <c r="BP33" s="4" t="n">
        <v>0.015502</v>
      </c>
      <c r="BQ33" s="4" t="n">
        <v>0.015502</v>
      </c>
      <c r="BR33" s="4" t="n">
        <v>0.015502</v>
      </c>
      <c r="BS33" s="4" t="n">
        <v>0.015502</v>
      </c>
      <c r="BT33" s="4" t="n">
        <v>0.015502</v>
      </c>
      <c r="BU33" s="4" t="n">
        <v>0.015502</v>
      </c>
      <c r="BV33" s="4" t="n">
        <v>0.015502</v>
      </c>
      <c r="BW33" s="4" t="n">
        <v>0.015502</v>
      </c>
      <c r="BX33" s="4" t="n">
        <v>0.015502</v>
      </c>
      <c r="BY33" s="4" t="n">
        <v>0.015502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0.6</v>
      </c>
      <c r="I34" s="4" t="n">
        <v>0.6</v>
      </c>
      <c r="J34" s="4" t="n">
        <v>0.6</v>
      </c>
      <c r="K34" s="4" t="n">
        <v>0.6</v>
      </c>
      <c r="L34" s="4" t="n">
        <v>0.6</v>
      </c>
      <c r="M34" s="4" t="n">
        <v>0.6</v>
      </c>
      <c r="N34" s="4" t="n">
        <v>0.6</v>
      </c>
      <c r="O34" s="4" t="n">
        <v>0.6</v>
      </c>
      <c r="P34" s="4" t="n">
        <v>0.6</v>
      </c>
      <c r="Q34" s="4" t="n">
        <v>0.6</v>
      </c>
      <c r="R34" s="4" t="n">
        <v>0.6</v>
      </c>
      <c r="S34" s="4" t="n">
        <v>0.6</v>
      </c>
      <c r="T34" s="4" t="n">
        <v>0.6</v>
      </c>
      <c r="U34" s="4" t="n">
        <v>0.6</v>
      </c>
      <c r="V34" s="4" t="n">
        <v>0.6</v>
      </c>
      <c r="W34" s="4" t="n">
        <v>0.6</v>
      </c>
      <c r="X34" s="4" t="n">
        <v>0.6</v>
      </c>
      <c r="Y34" s="4" t="n">
        <v>0.6</v>
      </c>
      <c r="Z34" s="4" t="n">
        <v>0.6</v>
      </c>
      <c r="AA34" s="4" t="n">
        <v>0.6</v>
      </c>
      <c r="AB34" s="4" t="n">
        <v>0.6</v>
      </c>
      <c r="AC34" s="4" t="n">
        <v>0.6</v>
      </c>
      <c r="AD34" s="4" t="n">
        <v>0.6</v>
      </c>
      <c r="AE34" s="4" t="n">
        <v>0.6</v>
      </c>
      <c r="AF34" s="4" t="n">
        <v>0.6</v>
      </c>
      <c r="AG34" s="4" t="n">
        <v>0.6</v>
      </c>
      <c r="AH34" s="4" t="n">
        <v>0.6</v>
      </c>
      <c r="AI34" s="4" t="n">
        <v>0.6</v>
      </c>
      <c r="AJ34" s="4" t="n">
        <v>0.6</v>
      </c>
      <c r="AK34" s="4" t="n">
        <v>0.6</v>
      </c>
      <c r="AL34" s="4" t="n">
        <v>0.6</v>
      </c>
      <c r="AM34" s="4" t="n">
        <v>0.6</v>
      </c>
      <c r="AN34" s="4" t="n">
        <v>0.6</v>
      </c>
      <c r="AO34" s="4" t="n">
        <v>0.6</v>
      </c>
      <c r="AP34" s="4" t="n">
        <v>0.6</v>
      </c>
      <c r="AQ34" s="4" t="n">
        <v>0.6</v>
      </c>
      <c r="AR34" s="4" t="n">
        <v>0.6</v>
      </c>
      <c r="AS34" s="4" t="n">
        <v>0.6</v>
      </c>
      <c r="AT34" s="4" t="n">
        <v>0.6</v>
      </c>
      <c r="AU34" s="4" t="n">
        <v>0.6</v>
      </c>
      <c r="AV34" s="4" t="n">
        <v>0.6</v>
      </c>
      <c r="AW34" s="4" t="n">
        <v>0.6</v>
      </c>
      <c r="AX34" s="4" t="n">
        <v>0.6</v>
      </c>
      <c r="AY34" s="4" t="n">
        <v>0.6</v>
      </c>
      <c r="AZ34" s="4" t="n">
        <v>0.6</v>
      </c>
      <c r="BA34" s="4" t="n">
        <v>0.6</v>
      </c>
      <c r="BB34" s="4" t="n">
        <v>0.6</v>
      </c>
      <c r="BC34" s="4" t="n">
        <v>0.6</v>
      </c>
      <c r="BD34" s="4" t="n">
        <v>0.6</v>
      </c>
      <c r="BE34" s="4" t="n">
        <v>0.6</v>
      </c>
      <c r="BF34" s="4" t="n">
        <v>0.6</v>
      </c>
      <c r="BG34" s="4" t="n">
        <v>0.6</v>
      </c>
      <c r="BH34" s="4" t="n">
        <v>0.6</v>
      </c>
      <c r="BI34" s="4" t="n">
        <v>0.6</v>
      </c>
      <c r="BJ34" s="4" t="n">
        <v>0.6</v>
      </c>
      <c r="BK34" s="4" t="n">
        <v>0.6</v>
      </c>
      <c r="BL34" s="4" t="n">
        <v>0.6</v>
      </c>
      <c r="BM34" s="4" t="n">
        <v>0.6</v>
      </c>
      <c r="BN34" s="4" t="n">
        <v>0.6</v>
      </c>
      <c r="BO34" s="4" t="n">
        <v>0.6</v>
      </c>
      <c r="BP34" s="4" t="n">
        <v>0.6</v>
      </c>
      <c r="BQ34" s="4" t="n">
        <v>0.6</v>
      </c>
      <c r="BR34" s="4" t="n">
        <v>0.6</v>
      </c>
      <c r="BS34" s="4" t="n">
        <v>0.6</v>
      </c>
      <c r="BT34" s="4" t="n">
        <v>0.6</v>
      </c>
      <c r="BU34" s="4" t="n">
        <v>0.6</v>
      </c>
      <c r="BV34" s="4" t="n">
        <v>0.6</v>
      </c>
      <c r="BW34" s="4" t="n">
        <v>0.6</v>
      </c>
      <c r="BX34" s="4" t="n">
        <v>0.6</v>
      </c>
      <c r="BY34" s="4" t="n">
        <v>0.6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0</v>
      </c>
      <c r="BR35" s="4" t="n">
        <v>0</v>
      </c>
      <c r="BS35" s="4" t="n">
        <v>0</v>
      </c>
      <c r="BT35" s="4" t="n">
        <v>0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0.0644497</v>
      </c>
      <c r="I37" s="4" t="n">
        <v>0.0644497</v>
      </c>
      <c r="J37" s="4" t="n">
        <v>0.0644497</v>
      </c>
      <c r="K37" s="4" t="n">
        <v>0.0644497</v>
      </c>
      <c r="L37" s="4" t="n">
        <v>0.0644497</v>
      </c>
      <c r="M37" s="4" t="n">
        <v>0.0644497</v>
      </c>
      <c r="N37" s="4" t="n">
        <v>0.0644497</v>
      </c>
      <c r="O37" s="4" t="n">
        <v>0.0644497</v>
      </c>
      <c r="P37" s="4" t="n">
        <v>0.0644497</v>
      </c>
      <c r="Q37" s="4" t="n">
        <v>0.0644497</v>
      </c>
      <c r="R37" s="4" t="n">
        <v>0.0644497</v>
      </c>
      <c r="S37" s="4" t="n">
        <v>0.0644497</v>
      </c>
      <c r="T37" s="4" t="n">
        <v>0.0644497</v>
      </c>
      <c r="U37" s="4" t="n">
        <v>0.0644497</v>
      </c>
      <c r="V37" s="4" t="n">
        <v>0.0644497</v>
      </c>
      <c r="W37" s="4" t="n">
        <v>0.0644497</v>
      </c>
      <c r="X37" s="4" t="n">
        <v>0.0644497</v>
      </c>
      <c r="Y37" s="4" t="n">
        <v>0.0644497</v>
      </c>
      <c r="Z37" s="4" t="n">
        <v>0.0644497</v>
      </c>
      <c r="AA37" s="4" t="n">
        <v>0.0644497</v>
      </c>
      <c r="AB37" s="4" t="n">
        <v>0.0644497</v>
      </c>
      <c r="AC37" s="4" t="n">
        <v>0.0644497</v>
      </c>
      <c r="AD37" s="4" t="n">
        <v>0.0644497</v>
      </c>
      <c r="AE37" s="4" t="n">
        <v>0.0644497</v>
      </c>
      <c r="AF37" s="4" t="n">
        <v>0.0644497</v>
      </c>
      <c r="AG37" s="4" t="n">
        <v>0.0644497</v>
      </c>
      <c r="AH37" s="4" t="n">
        <v>0.0644497</v>
      </c>
      <c r="AI37" s="4" t="n">
        <v>0.0644497</v>
      </c>
      <c r="AJ37" s="4" t="n">
        <v>0.0644497</v>
      </c>
      <c r="AK37" s="4" t="n">
        <v>0.0644497</v>
      </c>
      <c r="AL37" s="4" t="n">
        <v>0.0644497</v>
      </c>
      <c r="AM37" s="4" t="n">
        <v>0.0644497</v>
      </c>
      <c r="AN37" s="4" t="n">
        <v>0.0644497</v>
      </c>
      <c r="AO37" s="4" t="n">
        <v>0.0644497</v>
      </c>
      <c r="AP37" s="4" t="n">
        <v>0.0644497</v>
      </c>
      <c r="AQ37" s="4" t="n">
        <v>0.0644497</v>
      </c>
      <c r="AR37" s="4" t="n">
        <v>0.0644497</v>
      </c>
      <c r="AS37" s="4" t="n">
        <v>0.0644497</v>
      </c>
      <c r="AT37" s="4" t="n">
        <v>0.0644497</v>
      </c>
      <c r="AU37" s="4" t="n">
        <v>0.0644497</v>
      </c>
      <c r="AV37" s="4" t="n">
        <v>0.0644497</v>
      </c>
      <c r="AW37" s="4" t="n">
        <v>0.0644497</v>
      </c>
      <c r="AX37" s="4" t="n">
        <v>0.0644497</v>
      </c>
      <c r="AY37" s="4" t="n">
        <v>0.0644497</v>
      </c>
      <c r="AZ37" s="4" t="n">
        <v>0.0644497</v>
      </c>
      <c r="BA37" s="4" t="n">
        <v>0.0644497</v>
      </c>
      <c r="BB37" s="4" t="n">
        <v>0.0644497</v>
      </c>
      <c r="BC37" s="4" t="n">
        <v>0.0644497</v>
      </c>
      <c r="BD37" s="4" t="n">
        <v>0.0644497</v>
      </c>
      <c r="BE37" s="4" t="n">
        <v>0.0644497</v>
      </c>
      <c r="BF37" s="4" t="n">
        <v>0.0644497</v>
      </c>
      <c r="BG37" s="4" t="n">
        <v>0.0644497</v>
      </c>
      <c r="BH37" s="4" t="n">
        <v>0.0644497</v>
      </c>
      <c r="BI37" s="4" t="n">
        <v>0.0644497</v>
      </c>
      <c r="BJ37" s="4" t="n">
        <v>0.0644497</v>
      </c>
      <c r="BK37" s="4" t="n">
        <v>0.0644497</v>
      </c>
      <c r="BL37" s="4" t="n">
        <v>0.0644497</v>
      </c>
      <c r="BM37" s="4" t="n">
        <v>0.0644497</v>
      </c>
      <c r="BN37" s="4" t="n">
        <v>0.0644497</v>
      </c>
      <c r="BO37" s="4" t="n">
        <v>0.0644497</v>
      </c>
      <c r="BP37" s="4" t="n">
        <v>0.0644497</v>
      </c>
      <c r="BQ37" s="4" t="n">
        <v>0.0644497</v>
      </c>
      <c r="BR37" s="4" t="n">
        <v>0.0644497</v>
      </c>
      <c r="BS37" s="4" t="n">
        <v>0.0644497</v>
      </c>
      <c r="BT37" s="4" t="n">
        <v>0.0644497</v>
      </c>
      <c r="BU37" s="4" t="n">
        <v>0.0644497</v>
      </c>
      <c r="BV37" s="4" t="n">
        <v>0.0644497</v>
      </c>
      <c r="BW37" s="4" t="n">
        <v>0.0644497</v>
      </c>
      <c r="BX37" s="4" t="n">
        <v>0.0644497</v>
      </c>
      <c r="BY37" s="4" t="n">
        <v>0.0644497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>
        <v>2932</v>
      </c>
      <c r="G40" s="13" t="n">
        <v>2883</v>
      </c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  <c r="P40" s="15">
        <f>MAX((O40-P41),0)</f>
        <v/>
      </c>
      <c r="Q40" s="15">
        <f>MAX((P40-Q41),0)</f>
        <v/>
      </c>
      <c r="R40" s="15">
        <f>MAX((Q40-R41),0)</f>
        <v/>
      </c>
      <c r="S40" s="15">
        <f>MAX((R40-S41),0)</f>
        <v/>
      </c>
      <c r="T40" s="15">
        <f>MAX((S40-T41),0)</f>
        <v/>
      </c>
      <c r="U40" s="15">
        <f>MAX((T40-U41),0)</f>
        <v/>
      </c>
      <c r="V40" s="15">
        <f>MAX((U40-V41),0)</f>
        <v/>
      </c>
      <c r="W40" s="15">
        <f>MAX((V40-W41),0)</f>
        <v/>
      </c>
      <c r="X40" s="15">
        <f>MAX((W40-X41),0)</f>
        <v/>
      </c>
      <c r="Y40" s="15">
        <f>MAX((X40-Y41),0)</f>
        <v/>
      </c>
      <c r="Z40" s="15">
        <f>MAX((Y40-Z41),0)</f>
        <v/>
      </c>
      <c r="AA40" s="15">
        <f>MAX((Z40-AA41),0)</f>
        <v/>
      </c>
      <c r="AB40" s="15">
        <f>MAX((AA40-AB41),0)</f>
        <v/>
      </c>
      <c r="AC40" s="15">
        <f>MAX((AB40-AC41),0)</f>
        <v/>
      </c>
      <c r="AD40" s="15">
        <f>MAX((AC40-AD41),0)</f>
        <v/>
      </c>
      <c r="AE40" s="15">
        <f>MAX((AD40-AE41),0)</f>
        <v/>
      </c>
      <c r="AF40" s="15">
        <f>MAX((AE40-AF41),0)</f>
        <v/>
      </c>
      <c r="AG40" s="15">
        <f>MAX((AF40-AG41),0)</f>
        <v/>
      </c>
      <c r="AH40" s="15">
        <f>MAX((AG40-AH41),0)</f>
        <v/>
      </c>
      <c r="AI40" s="15">
        <f>MAX((AH40-AI41),0)</f>
        <v/>
      </c>
      <c r="AJ40" s="15">
        <f>MAX((AI40-AJ41),0)</f>
        <v/>
      </c>
      <c r="AK40" s="15">
        <f>MAX((AJ40-AK41),0)</f>
        <v/>
      </c>
      <c r="AL40" s="15">
        <f>MAX((AK40-AL41),0)</f>
        <v/>
      </c>
      <c r="AM40" s="15">
        <f>MAX((AL40-AM41),0)</f>
        <v/>
      </c>
      <c r="AN40" s="15">
        <f>MAX((AM40-AN41),0)</f>
        <v/>
      </c>
      <c r="AO40" s="15">
        <f>MAX((AN40-AO41),0)</f>
        <v/>
      </c>
      <c r="AP40" s="15">
        <f>MAX((AO40-AP41),0)</f>
        <v/>
      </c>
      <c r="AQ40" s="15">
        <f>MAX((AP40-AQ41),0)</f>
        <v/>
      </c>
      <c r="AR40" s="15">
        <f>MAX((AQ40-AR41),0)</f>
        <v/>
      </c>
      <c r="AS40" s="15">
        <f>MAX((AR40-AS41),0)</f>
        <v/>
      </c>
      <c r="AT40" s="15">
        <f>MAX((AS40-AT41),0)</f>
        <v/>
      </c>
      <c r="AU40" s="15">
        <f>MAX((AT40-AU41),0)</f>
        <v/>
      </c>
      <c r="AV40" s="15">
        <f>MAX((AU40-AV41),0)</f>
        <v/>
      </c>
      <c r="AW40" s="15">
        <f>MAX((AV40-AW41),0)</f>
        <v/>
      </c>
      <c r="AX40" s="15">
        <f>MAX((AW40-AX41),0)</f>
        <v/>
      </c>
      <c r="AY40" s="15">
        <f>MAX((AX40-AY41),0)</f>
        <v/>
      </c>
      <c r="AZ40" s="15">
        <f>MAX((AY40-AZ41),0)</f>
        <v/>
      </c>
      <c r="BA40" s="15">
        <f>MAX((AZ40-BA41),0)</f>
        <v/>
      </c>
      <c r="BB40" s="15">
        <f>MAX((BA40-BB41),0)</f>
        <v/>
      </c>
      <c r="BC40" s="15">
        <f>MAX((BB40-BC41),0)</f>
        <v/>
      </c>
      <c r="BD40" s="15">
        <f>MAX((BC40-BD41),0)</f>
        <v/>
      </c>
      <c r="BE40" s="15">
        <f>MAX((BD40-BE41),0)</f>
        <v/>
      </c>
      <c r="BF40" s="15">
        <f>MAX((BE40-BF41),0)</f>
        <v/>
      </c>
      <c r="BG40" s="15">
        <f>MAX((BF40-BG41),0)</f>
        <v/>
      </c>
      <c r="BH40" s="15">
        <f>MAX((BG40-BH41),0)</f>
        <v/>
      </c>
      <c r="BI40" s="15">
        <f>MAX((BH40-BI41),0)</f>
        <v/>
      </c>
      <c r="BJ40" s="15">
        <f>MAX((BI40-BJ41),0)</f>
        <v/>
      </c>
      <c r="BK40" s="15">
        <f>MAX((BJ40-BK41),0)</f>
        <v/>
      </c>
      <c r="BL40" s="15">
        <f>MAX((BK40-BL41),0)</f>
        <v/>
      </c>
      <c r="BM40" s="15">
        <f>MAX((BL40-BM41),0)</f>
        <v/>
      </c>
      <c r="BN40" s="15">
        <f>MAX((BM40-BN41),0)</f>
        <v/>
      </c>
      <c r="BO40" s="15">
        <f>MAX((BN40-BO41),0)</f>
        <v/>
      </c>
      <c r="BP40" s="15">
        <f>MAX((BO40-BP41),0)</f>
        <v/>
      </c>
      <c r="BQ40" s="15">
        <f>MAX((BP40-BQ41),0)</f>
        <v/>
      </c>
      <c r="BR40" s="15">
        <f>MAX((BQ40-BR41),0)</f>
        <v/>
      </c>
      <c r="BS40" s="15">
        <f>MAX((BR40-BS41),0)</f>
        <v/>
      </c>
      <c r="BT40" s="15">
        <f>MAX((BS40-BT41),0)</f>
        <v/>
      </c>
      <c r="BU40" s="15">
        <f>MAX((BT40-BU41),0)</f>
        <v/>
      </c>
      <c r="BV40" s="15">
        <f>MAX((BU40-BV41),0)</f>
        <v/>
      </c>
      <c r="BW40" s="15">
        <f>MAX((BV40-BW41),0)</f>
        <v/>
      </c>
      <c r="BX40" s="15">
        <f>MAX((BW40-BX41),0)</f>
        <v/>
      </c>
      <c r="BY40" s="15">
        <f>MAX((BX40-BY41),0)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/>
      <c r="F41" s="13" t="n">
        <v>42.89</v>
      </c>
      <c r="G41" s="13" t="n">
        <v>45.43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  <c r="P41" s="15">
        <f>IF(($C$9&gt;0),MIN(P14,MAX(O40,0)),P14)</f>
        <v/>
      </c>
      <c r="Q41" s="15">
        <f>IF(($C$9&gt;0),MIN(Q14,MAX(P40,0)),Q14)</f>
        <v/>
      </c>
      <c r="R41" s="15">
        <f>IF(($C$9&gt;0),MIN(R14,MAX(Q40,0)),R14)</f>
        <v/>
      </c>
      <c r="S41" s="15">
        <f>IF(($C$9&gt;0),MIN(S14,MAX(R40,0)),S14)</f>
        <v/>
      </c>
      <c r="T41" s="15">
        <f>IF(($C$9&gt;0),MIN(T14,MAX(S40,0)),T14)</f>
        <v/>
      </c>
      <c r="U41" s="15">
        <f>IF(($C$9&gt;0),MIN(U14,MAX(T40,0)),U14)</f>
        <v/>
      </c>
      <c r="V41" s="15">
        <f>IF(($C$9&gt;0),MIN(V14,MAX(U40,0)),V14)</f>
        <v/>
      </c>
      <c r="W41" s="15">
        <f>IF(($C$9&gt;0),MIN(W14,MAX(V40,0)),W14)</f>
        <v/>
      </c>
      <c r="X41" s="15">
        <f>IF(($C$9&gt;0),MIN(X14,MAX(W40,0)),X14)</f>
        <v/>
      </c>
      <c r="Y41" s="15">
        <f>IF(($C$9&gt;0),MIN(Y14,MAX(X40,0)),Y14)</f>
        <v/>
      </c>
      <c r="Z41" s="15">
        <f>IF(($C$9&gt;0),MIN(Z14,MAX(Y40,0)),Z14)</f>
        <v/>
      </c>
      <c r="AA41" s="15">
        <f>IF(($C$9&gt;0),MIN(AA14,MAX(Z40,0)),AA14)</f>
        <v/>
      </c>
      <c r="AB41" s="15">
        <f>IF(($C$9&gt;0),MIN(AB14,MAX(AA40,0)),AB14)</f>
        <v/>
      </c>
      <c r="AC41" s="15">
        <f>IF(($C$9&gt;0),MIN(AC14,MAX(AB40,0)),AC14)</f>
        <v/>
      </c>
      <c r="AD41" s="15">
        <f>IF(($C$9&gt;0),MIN(AD14,MAX(AC40,0)),AD14)</f>
        <v/>
      </c>
      <c r="AE41" s="15">
        <f>IF(($C$9&gt;0),MIN(AE14,MAX(AD40,0)),AE14)</f>
        <v/>
      </c>
      <c r="AF41" s="15">
        <f>IF(($C$9&gt;0),MIN(AF14,MAX(AE40,0)),AF14)</f>
        <v/>
      </c>
      <c r="AG41" s="15">
        <f>IF(($C$9&gt;0),MIN(AG14,MAX(AF40,0)),AG14)</f>
        <v/>
      </c>
      <c r="AH41" s="15">
        <f>IF(($C$9&gt;0),MIN(AH14,MAX(AG40,0)),AH14)</f>
        <v/>
      </c>
      <c r="AI41" s="15">
        <f>IF(($C$9&gt;0),MIN(AI14,MAX(AH40,0)),AI14)</f>
        <v/>
      </c>
      <c r="AJ41" s="15">
        <f>IF(($C$9&gt;0),MIN(AJ14,MAX(AI40,0)),AJ14)</f>
        <v/>
      </c>
      <c r="AK41" s="15">
        <f>IF(($C$9&gt;0),MIN(AK14,MAX(AJ40,0)),AK14)</f>
        <v/>
      </c>
      <c r="AL41" s="15">
        <f>IF(($C$9&gt;0),MIN(AL14,MAX(AK40,0)),AL14)</f>
        <v/>
      </c>
      <c r="AM41" s="15">
        <f>IF(($C$9&gt;0),MIN(AM14,MAX(AL40,0)),AM14)</f>
        <v/>
      </c>
      <c r="AN41" s="15">
        <f>IF(($C$9&gt;0),MIN(AN14,MAX(AM40,0)),AN14)</f>
        <v/>
      </c>
      <c r="AO41" s="15">
        <f>IF(($C$9&gt;0),MIN(AO14,MAX(AN40,0)),AO14)</f>
        <v/>
      </c>
      <c r="AP41" s="15">
        <f>IF(($C$9&gt;0),MIN(AP14,MAX(AO40,0)),AP14)</f>
        <v/>
      </c>
      <c r="AQ41" s="15">
        <f>IF(($C$9&gt;0),MIN(AQ14,MAX(AP40,0)),AQ14)</f>
        <v/>
      </c>
      <c r="AR41" s="15">
        <f>IF(($C$9&gt;0),MIN(AR14,MAX(AQ40,0)),AR14)</f>
        <v/>
      </c>
      <c r="AS41" s="15">
        <f>IF(($C$9&gt;0),MIN(AS14,MAX(AR40,0)),AS14)</f>
        <v/>
      </c>
      <c r="AT41" s="15">
        <f>IF(($C$9&gt;0),MIN(AT14,MAX(AS40,0)),AT14)</f>
        <v/>
      </c>
      <c r="AU41" s="15">
        <f>IF(($C$9&gt;0),MIN(AU14,MAX(AT40,0)),AU14)</f>
        <v/>
      </c>
      <c r="AV41" s="15">
        <f>IF(($C$9&gt;0),MIN(AV14,MAX(AU40,0)),AV14)</f>
        <v/>
      </c>
      <c r="AW41" s="15">
        <f>IF(($C$9&gt;0),MIN(AW14,MAX(AV40,0)),AW14)</f>
        <v/>
      </c>
      <c r="AX41" s="15">
        <f>IF(($C$9&gt;0),MIN(AX14,MAX(AW40,0)),AX14)</f>
        <v/>
      </c>
      <c r="AY41" s="15">
        <f>IF(($C$9&gt;0),MIN(AY14,MAX(AX40,0)),AY14)</f>
        <v/>
      </c>
      <c r="AZ41" s="15">
        <f>IF(($C$9&gt;0),MIN(AZ14,MAX(AY40,0)),AZ14)</f>
        <v/>
      </c>
      <c r="BA41" s="15">
        <f>IF(($C$9&gt;0),MIN(BA14,MAX(AZ40,0)),BA14)</f>
        <v/>
      </c>
      <c r="BB41" s="15">
        <f>IF(($C$9&gt;0),MIN(BB14,MAX(BA40,0)),BB14)</f>
        <v/>
      </c>
      <c r="BC41" s="15">
        <f>IF(($C$9&gt;0),MIN(BC14,MAX(BB40,0)),BC14)</f>
        <v/>
      </c>
      <c r="BD41" s="15">
        <f>IF(($C$9&gt;0),MIN(BD14,MAX(BC40,0)),BD14)</f>
        <v/>
      </c>
      <c r="BE41" s="15">
        <f>IF(($C$9&gt;0),MIN(BE14,MAX(BD40,0)),BE14)</f>
        <v/>
      </c>
      <c r="BF41" s="15">
        <f>IF(($C$9&gt;0),MIN(BF14,MAX(BE40,0)),BF14)</f>
        <v/>
      </c>
      <c r="BG41" s="15">
        <f>IF(($C$9&gt;0),MIN(BG14,MAX(BF40,0)),BG14)</f>
        <v/>
      </c>
      <c r="BH41" s="15">
        <f>IF(($C$9&gt;0),MIN(BH14,MAX(BG40,0)),BH14)</f>
        <v/>
      </c>
      <c r="BI41" s="15">
        <f>IF(($C$9&gt;0),MIN(BI14,MAX(BH40,0)),BI14)</f>
        <v/>
      </c>
      <c r="BJ41" s="15">
        <f>IF(($C$9&gt;0),MIN(BJ14,MAX(BI40,0)),BJ14)</f>
        <v/>
      </c>
      <c r="BK41" s="15">
        <f>IF(($C$9&gt;0),MIN(BK14,MAX(BJ40,0)),BK14)</f>
        <v/>
      </c>
      <c r="BL41" s="15">
        <f>IF(($C$9&gt;0),MIN(BL14,MAX(BK40,0)),BL14)</f>
        <v/>
      </c>
      <c r="BM41" s="15">
        <f>IF(($C$9&gt;0),MIN(BM14,MAX(BL40,0)),BM14)</f>
        <v/>
      </c>
      <c r="BN41" s="15">
        <f>IF(($C$9&gt;0),MIN(BN14,MAX(BM40,0)),BN14)</f>
        <v/>
      </c>
      <c r="BO41" s="15">
        <f>IF(($C$9&gt;0),MIN(BO14,MAX(BN40,0)),BO14)</f>
        <v/>
      </c>
      <c r="BP41" s="15">
        <f>IF(($C$9&gt;0),MIN(BP14,MAX(BO40,0)),BP14)</f>
        <v/>
      </c>
      <c r="BQ41" s="15">
        <f>IF(($C$9&gt;0),MIN(BQ14,MAX(BP40,0)),BQ14)</f>
        <v/>
      </c>
      <c r="BR41" s="15">
        <f>IF(($C$9&gt;0),MIN(BR14,MAX(BQ40,0)),BR14)</f>
        <v/>
      </c>
      <c r="BS41" s="15">
        <f>IF(($C$9&gt;0),MIN(BS14,MAX(BR40,0)),BS14)</f>
        <v/>
      </c>
      <c r="BT41" s="15">
        <f>IF(($C$9&gt;0),MIN(BT14,MAX(BS40,0)),BT14)</f>
        <v/>
      </c>
      <c r="BU41" s="15">
        <f>IF(($C$9&gt;0),MIN(BU14,MAX(BT40,0)),BU14)</f>
        <v/>
      </c>
      <c r="BV41" s="15">
        <f>IF(($C$9&gt;0),MIN(BV14,MAX(BU40,0)),BV14)</f>
        <v/>
      </c>
      <c r="BW41" s="15">
        <f>IF(($C$9&gt;0),MIN(BW14,MAX(BV40,0)),BW14)</f>
        <v/>
      </c>
      <c r="BX41" s="15">
        <f>IF(($C$9&gt;0),MIN(BX14,MAX(BW40,0)),BX14)</f>
        <v/>
      </c>
      <c r="BY41" s="15">
        <f>IF(($C$9&gt;0),MIN(BY14,MAX(BX40,0)),BY14)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  <c r="K42" s="16">
        <f>Drivers!$O$6</f>
        <v/>
      </c>
      <c r="L42" s="16">
        <f>Drivers!$P$6</f>
        <v/>
      </c>
      <c r="M42" s="16">
        <f>Drivers!$Q$6</f>
        <v/>
      </c>
      <c r="N42" s="16">
        <f>Drivers!$R$6</f>
        <v/>
      </c>
      <c r="O42" s="16">
        <f>Drivers!$S$6</f>
        <v/>
      </c>
      <c r="P42" s="16">
        <f>Drivers!$T$6</f>
        <v/>
      </c>
      <c r="Q42" s="16">
        <f>Drivers!$U$6</f>
        <v/>
      </c>
      <c r="R42" s="16">
        <f>Drivers!$V$6</f>
        <v/>
      </c>
      <c r="S42" s="16">
        <f>Drivers!$W$6</f>
        <v/>
      </c>
      <c r="T42" s="16">
        <f>Drivers!$X$6</f>
        <v/>
      </c>
      <c r="U42" s="16">
        <f>Drivers!$Y$6</f>
        <v/>
      </c>
      <c r="V42" s="16">
        <f>Drivers!$Z$6</f>
        <v/>
      </c>
      <c r="W42" s="16">
        <f>Drivers!$AA$6</f>
        <v/>
      </c>
      <c r="X42" s="16">
        <f>Drivers!$AB$6</f>
        <v/>
      </c>
      <c r="Y42" s="16">
        <f>Drivers!$AC$6</f>
        <v/>
      </c>
      <c r="Z42" s="16">
        <f>Drivers!$AD$6</f>
        <v/>
      </c>
      <c r="AA42" s="16">
        <f>Drivers!$AE$6</f>
        <v/>
      </c>
      <c r="AB42" s="16">
        <f>Drivers!$AF$6</f>
        <v/>
      </c>
      <c r="AC42" s="16">
        <f>Drivers!$AG$6</f>
        <v/>
      </c>
      <c r="AD42" s="16">
        <f>Drivers!$AH$6</f>
        <v/>
      </c>
      <c r="AE42" s="16">
        <f>Drivers!$AI$6</f>
        <v/>
      </c>
      <c r="AF42" s="16">
        <f>Drivers!$AJ$6</f>
        <v/>
      </c>
      <c r="AG42" s="16">
        <f>Drivers!$AK$6</f>
        <v/>
      </c>
      <c r="AH42" s="16">
        <f>Drivers!$AL$6</f>
        <v/>
      </c>
      <c r="AI42" s="16">
        <f>Drivers!$AM$6</f>
        <v/>
      </c>
      <c r="AJ42" s="16">
        <f>Drivers!$AN$6</f>
        <v/>
      </c>
      <c r="AK42" s="16">
        <f>Drivers!$AO$6</f>
        <v/>
      </c>
      <c r="AL42" s="16">
        <f>Drivers!$AP$6</f>
        <v/>
      </c>
      <c r="AM42" s="16">
        <f>Drivers!$AQ$6</f>
        <v/>
      </c>
      <c r="AN42" s="16">
        <f>Drivers!$AR$6</f>
        <v/>
      </c>
      <c r="AO42" s="16">
        <f>Drivers!$AS$6</f>
        <v/>
      </c>
      <c r="AP42" s="16">
        <f>Drivers!$AT$6</f>
        <v/>
      </c>
      <c r="AQ42" s="16">
        <f>Drivers!$AU$6</f>
        <v/>
      </c>
      <c r="AR42" s="16">
        <f>Drivers!$AV$6</f>
        <v/>
      </c>
      <c r="AS42" s="16">
        <f>Drivers!$AW$6</f>
        <v/>
      </c>
      <c r="AT42" s="16">
        <f>Drivers!$AX$6</f>
        <v/>
      </c>
      <c r="AU42" s="16">
        <f>Drivers!$AY$6</f>
        <v/>
      </c>
      <c r="AV42" s="16">
        <f>Drivers!$AZ$6</f>
        <v/>
      </c>
      <c r="AW42" s="16">
        <f>Drivers!$BA$6</f>
        <v/>
      </c>
      <c r="AX42" s="16">
        <f>Drivers!$BB$6</f>
        <v/>
      </c>
      <c r="AY42" s="16">
        <f>Drivers!$BC$6</f>
        <v/>
      </c>
      <c r="AZ42" s="16">
        <f>Drivers!$BD$6</f>
        <v/>
      </c>
      <c r="BA42" s="16">
        <f>Drivers!$BE$6</f>
        <v/>
      </c>
      <c r="BB42" s="16">
        <f>Drivers!$BF$6</f>
        <v/>
      </c>
      <c r="BC42" s="16">
        <f>Drivers!$BG$6</f>
        <v/>
      </c>
      <c r="BD42" s="16">
        <f>Drivers!$BH$6</f>
        <v/>
      </c>
      <c r="BE42" s="16">
        <f>Drivers!$BI$6</f>
        <v/>
      </c>
      <c r="BF42" s="16">
        <f>Drivers!$BJ$6</f>
        <v/>
      </c>
      <c r="BG42" s="16">
        <f>Drivers!$BK$6</f>
        <v/>
      </c>
      <c r="BH42" s="16">
        <f>Drivers!$BL$6</f>
        <v/>
      </c>
      <c r="BI42" s="16">
        <f>Drivers!$BM$6</f>
        <v/>
      </c>
      <c r="BJ42" s="16">
        <f>Drivers!$BN$6</f>
        <v/>
      </c>
      <c r="BK42" s="16">
        <f>Drivers!$BO$6</f>
        <v/>
      </c>
      <c r="BL42" s="16">
        <f>Drivers!$BP$6</f>
        <v/>
      </c>
      <c r="BM42" s="16">
        <f>Drivers!$BQ$6</f>
        <v/>
      </c>
      <c r="BN42" s="16">
        <f>Drivers!$BR$6</f>
        <v/>
      </c>
      <c r="BO42" s="16">
        <f>Drivers!$BS$6</f>
        <v/>
      </c>
      <c r="BP42" s="16">
        <f>Drivers!$BT$6</f>
        <v/>
      </c>
      <c r="BQ42" s="16">
        <f>Drivers!$BU$6</f>
        <v/>
      </c>
      <c r="BR42" s="16">
        <f>Drivers!$BV$6</f>
        <v/>
      </c>
      <c r="BS42" s="16">
        <f>Drivers!$BW$6</f>
        <v/>
      </c>
      <c r="BT42" s="16">
        <f>Drivers!$BX$6</f>
        <v/>
      </c>
      <c r="BU42" s="16">
        <f>Drivers!$BY$6</f>
        <v/>
      </c>
      <c r="BV42" s="16">
        <f>Drivers!$BZ$6</f>
        <v/>
      </c>
      <c r="BW42" s="16">
        <f>Drivers!$CA$6</f>
        <v/>
      </c>
      <c r="BX42" s="16">
        <f>Drivers!$CB$6</f>
        <v/>
      </c>
      <c r="BY42" s="16">
        <f>Drivers!$CC$6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/>
      <c r="G43" s="3" t="n"/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  <c r="K43" s="16">
        <f>(((K15*K42)*(1-K16))+(MIN(Drivers!$O$4,(K15*K42))*K16))</f>
        <v/>
      </c>
      <c r="L43" s="16">
        <f>(((L15*L42)*(1-L16))+(MIN(Drivers!$P$4,(L15*L42))*L16))</f>
        <v/>
      </c>
      <c r="M43" s="16">
        <f>(((M15*M42)*(1-M16))+(MIN(Drivers!$Q$4,(M15*M42))*M16))</f>
        <v/>
      </c>
      <c r="N43" s="16">
        <f>(((N15*N42)*(1-N16))+(MIN(Drivers!$R$4,(N15*N42))*N16))</f>
        <v/>
      </c>
      <c r="O43" s="16">
        <f>(((O15*O42)*(1-O16))+(MIN(Drivers!$S$4,(O15*O42))*O16))</f>
        <v/>
      </c>
      <c r="P43" s="16">
        <f>(((P15*P42)*(1-P16))+(MIN(Drivers!$T$4,(P15*P42))*P16))</f>
        <v/>
      </c>
      <c r="Q43" s="16">
        <f>(((Q15*Q42)*(1-Q16))+(MIN(Drivers!$U$4,(Q15*Q42))*Q16))</f>
        <v/>
      </c>
      <c r="R43" s="16">
        <f>(((R15*R42)*(1-R16))+(MIN(Drivers!$V$4,(R15*R42))*R16))</f>
        <v/>
      </c>
      <c r="S43" s="16">
        <f>(((S15*S42)*(1-S16))+(MIN(Drivers!$W$4,(S15*S42))*S16))</f>
        <v/>
      </c>
      <c r="T43" s="16">
        <f>(((T15*T42)*(1-T16))+(MIN(Drivers!$X$4,(T15*T42))*T16))</f>
        <v/>
      </c>
      <c r="U43" s="16">
        <f>(((U15*U42)*(1-U16))+(MIN(Drivers!$Y$4,(U15*U42))*U16))</f>
        <v/>
      </c>
      <c r="V43" s="16">
        <f>(((V15*V42)*(1-V16))+(MIN(Drivers!$Z$4,(V15*V42))*V16))</f>
        <v/>
      </c>
      <c r="W43" s="16">
        <f>(((W15*W42)*(1-W16))+(MIN(Drivers!$AA$4,(W15*W42))*W16))</f>
        <v/>
      </c>
      <c r="X43" s="16">
        <f>(((X15*X42)*(1-X16))+(MIN(Drivers!$AB$4,(X15*X42))*X16))</f>
        <v/>
      </c>
      <c r="Y43" s="16">
        <f>(((Y15*Y42)*(1-Y16))+(MIN(Drivers!$AC$4,(Y15*Y42))*Y16))</f>
        <v/>
      </c>
      <c r="Z43" s="16">
        <f>(((Z15*Z42)*(1-Z16))+(MIN(Drivers!$AD$4,(Z15*Z42))*Z16))</f>
        <v/>
      </c>
      <c r="AA43" s="16">
        <f>(((AA15*AA42)*(1-AA16))+(MIN(Drivers!$AE$4,(AA15*AA42))*AA16))</f>
        <v/>
      </c>
      <c r="AB43" s="16">
        <f>(((AB15*AB42)*(1-AB16))+(MIN(Drivers!$AF$4,(AB15*AB42))*AB16))</f>
        <v/>
      </c>
      <c r="AC43" s="16">
        <f>(((AC15*AC42)*(1-AC16))+(MIN(Drivers!$AG$4,(AC15*AC42))*AC16))</f>
        <v/>
      </c>
      <c r="AD43" s="16">
        <f>(((AD15*AD42)*(1-AD16))+(MIN(Drivers!$AH$4,(AD15*AD42))*AD16))</f>
        <v/>
      </c>
      <c r="AE43" s="16">
        <f>(((AE15*AE42)*(1-AE16))+(MIN(Drivers!$AI$4,(AE15*AE42))*AE16))</f>
        <v/>
      </c>
      <c r="AF43" s="16">
        <f>(((AF15*AF42)*(1-AF16))+(MIN(Drivers!$AJ$4,(AF15*AF42))*AF16))</f>
        <v/>
      </c>
      <c r="AG43" s="16">
        <f>(((AG15*AG42)*(1-AG16))+(MIN(Drivers!$AK$4,(AG15*AG42))*AG16))</f>
        <v/>
      </c>
      <c r="AH43" s="16">
        <f>(((AH15*AH42)*(1-AH16))+(MIN(Drivers!$AL$4,(AH15*AH42))*AH16))</f>
        <v/>
      </c>
      <c r="AI43" s="16">
        <f>(((AI15*AI42)*(1-AI16))+(MIN(Drivers!$AM$4,(AI15*AI42))*AI16))</f>
        <v/>
      </c>
      <c r="AJ43" s="16">
        <f>(((AJ15*AJ42)*(1-AJ16))+(MIN(Drivers!$AN$4,(AJ15*AJ42))*AJ16))</f>
        <v/>
      </c>
      <c r="AK43" s="16">
        <f>(((AK15*AK42)*(1-AK16))+(MIN(Drivers!$AO$4,(AK15*AK42))*AK16))</f>
        <v/>
      </c>
      <c r="AL43" s="16">
        <f>(((AL15*AL42)*(1-AL16))+(MIN(Drivers!$AP$4,(AL15*AL42))*AL16))</f>
        <v/>
      </c>
      <c r="AM43" s="16">
        <f>(((AM15*AM42)*(1-AM16))+(MIN(Drivers!$AQ$4,(AM15*AM42))*AM16))</f>
        <v/>
      </c>
      <c r="AN43" s="16">
        <f>(((AN15*AN42)*(1-AN16))+(MIN(Drivers!$AR$4,(AN15*AN42))*AN16))</f>
        <v/>
      </c>
      <c r="AO43" s="16">
        <f>(((AO15*AO42)*(1-AO16))+(MIN(Drivers!$AS$4,(AO15*AO42))*AO16))</f>
        <v/>
      </c>
      <c r="AP43" s="16">
        <f>(((AP15*AP42)*(1-AP16))+(MIN(Drivers!$AT$4,(AP15*AP42))*AP16))</f>
        <v/>
      </c>
      <c r="AQ43" s="16">
        <f>(((AQ15*AQ42)*(1-AQ16))+(MIN(Drivers!$AU$4,(AQ15*AQ42))*AQ16))</f>
        <v/>
      </c>
      <c r="AR43" s="16">
        <f>(((AR15*AR42)*(1-AR16))+(MIN(Drivers!$AV$4,(AR15*AR42))*AR16))</f>
        <v/>
      </c>
      <c r="AS43" s="16">
        <f>(((AS15*AS42)*(1-AS16))+(MIN(Drivers!$AW$4,(AS15*AS42))*AS16))</f>
        <v/>
      </c>
      <c r="AT43" s="16">
        <f>(((AT15*AT42)*(1-AT16))+(MIN(Drivers!$AX$4,(AT15*AT42))*AT16))</f>
        <v/>
      </c>
      <c r="AU43" s="16">
        <f>(((AU15*AU42)*(1-AU16))+(MIN(Drivers!$AY$4,(AU15*AU42))*AU16))</f>
        <v/>
      </c>
      <c r="AV43" s="16">
        <f>(((AV15*AV42)*(1-AV16))+(MIN(Drivers!$AZ$4,(AV15*AV42))*AV16))</f>
        <v/>
      </c>
      <c r="AW43" s="16">
        <f>(((AW15*AW42)*(1-AW16))+(MIN(Drivers!$BA$4,(AW15*AW42))*AW16))</f>
        <v/>
      </c>
      <c r="AX43" s="16">
        <f>(((AX15*AX42)*(1-AX16))+(MIN(Drivers!$BB$4,(AX15*AX42))*AX16))</f>
        <v/>
      </c>
      <c r="AY43" s="16">
        <f>(((AY15*AY42)*(1-AY16))+(MIN(Drivers!$BC$4,(AY15*AY42))*AY16))</f>
        <v/>
      </c>
      <c r="AZ43" s="16">
        <f>(((AZ15*AZ42)*(1-AZ16))+(MIN(Drivers!$BD$4,(AZ15*AZ42))*AZ16))</f>
        <v/>
      </c>
      <c r="BA43" s="16">
        <f>(((BA15*BA42)*(1-BA16))+(MIN(Drivers!$BE$4,(BA15*BA42))*BA16))</f>
        <v/>
      </c>
      <c r="BB43" s="16">
        <f>(((BB15*BB42)*(1-BB16))+(MIN(Drivers!$BF$4,(BB15*BB42))*BB16))</f>
        <v/>
      </c>
      <c r="BC43" s="16">
        <f>(((BC15*BC42)*(1-BC16))+(MIN(Drivers!$BG$4,(BC15*BC42))*BC16))</f>
        <v/>
      </c>
      <c r="BD43" s="16">
        <f>(((BD15*BD42)*(1-BD16))+(MIN(Drivers!$BH$4,(BD15*BD42))*BD16))</f>
        <v/>
      </c>
      <c r="BE43" s="16">
        <f>(((BE15*BE42)*(1-BE16))+(MIN(Drivers!$BI$4,(BE15*BE42))*BE16))</f>
        <v/>
      </c>
      <c r="BF43" s="16">
        <f>(((BF15*BF42)*(1-BF16))+(MIN(Drivers!$BJ$4,(BF15*BF42))*BF16))</f>
        <v/>
      </c>
      <c r="BG43" s="16">
        <f>(((BG15*BG42)*(1-BG16))+(MIN(Drivers!$BK$4,(BG15*BG42))*BG16))</f>
        <v/>
      </c>
      <c r="BH43" s="16">
        <f>(((BH15*BH42)*(1-BH16))+(MIN(Drivers!$BL$4,(BH15*BH42))*BH16))</f>
        <v/>
      </c>
      <c r="BI43" s="16">
        <f>(((BI15*BI42)*(1-BI16))+(MIN(Drivers!$BM$4,(BI15*BI42))*BI16))</f>
        <v/>
      </c>
      <c r="BJ43" s="16">
        <f>(((BJ15*BJ42)*(1-BJ16))+(MIN(Drivers!$BN$4,(BJ15*BJ42))*BJ16))</f>
        <v/>
      </c>
      <c r="BK43" s="16">
        <f>(((BK15*BK42)*(1-BK16))+(MIN(Drivers!$BO$4,(BK15*BK42))*BK16))</f>
        <v/>
      </c>
      <c r="BL43" s="16">
        <f>(((BL15*BL42)*(1-BL16))+(MIN(Drivers!$BP$4,(BL15*BL42))*BL16))</f>
        <v/>
      </c>
      <c r="BM43" s="16">
        <f>(((BM15*BM42)*(1-BM16))+(MIN(Drivers!$BQ$4,(BM15*BM42))*BM16))</f>
        <v/>
      </c>
      <c r="BN43" s="16">
        <f>(((BN15*BN42)*(1-BN16))+(MIN(Drivers!$BR$4,(BN15*BN42))*BN16))</f>
        <v/>
      </c>
      <c r="BO43" s="16">
        <f>(((BO15*BO42)*(1-BO16))+(MIN(Drivers!$BS$4,(BO15*BO42))*BO16))</f>
        <v/>
      </c>
      <c r="BP43" s="16">
        <f>(((BP15*BP42)*(1-BP16))+(MIN(Drivers!$BT$4,(BP15*BP42))*BP16))</f>
        <v/>
      </c>
      <c r="BQ43" s="16">
        <f>(((BQ15*BQ42)*(1-BQ16))+(MIN(Drivers!$BU$4,(BQ15*BQ42))*BQ16))</f>
        <v/>
      </c>
      <c r="BR43" s="16">
        <f>(((BR15*BR42)*(1-BR16))+(MIN(Drivers!$BV$4,(BR15*BR42))*BR16))</f>
        <v/>
      </c>
      <c r="BS43" s="16">
        <f>(((BS15*BS42)*(1-BS16))+(MIN(Drivers!$BW$4,(BS15*BS42))*BS16))</f>
        <v/>
      </c>
      <c r="BT43" s="16">
        <f>(((BT15*BT42)*(1-BT16))+(MIN(Drivers!$BX$4,(BT15*BT42))*BT16))</f>
        <v/>
      </c>
      <c r="BU43" s="16">
        <f>(((BU15*BU42)*(1-BU16))+(MIN(Drivers!$BY$4,(BU15*BU42))*BU16))</f>
        <v/>
      </c>
      <c r="BV43" s="16">
        <f>(((BV15*BV42)*(1-BV16))+(MIN(Drivers!$BZ$4,(BV15*BV42))*BV16))</f>
        <v/>
      </c>
      <c r="BW43" s="16">
        <f>(((BW15*BW42)*(1-BW16))+(MIN(Drivers!$CA$4,(BW15*BW42))*BW16))</f>
        <v/>
      </c>
      <c r="BX43" s="16">
        <f>(((BX15*BX42)*(1-BX16))+(MIN(Drivers!$CB$4,(BX15*BX42))*BX16))</f>
        <v/>
      </c>
      <c r="BY43" s="16">
        <f>(((BY15*BY42)*(1-BY16))+(MIN(Drivers!$CC$4,(BY15*BY42))*BY16))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  <c r="L44" s="17">
        <f>IF(L42=0,0,L43/L42)</f>
        <v/>
      </c>
      <c r="M44" s="17">
        <f>IF(M42=0,0,M43/M42)</f>
        <v/>
      </c>
      <c r="N44" s="17">
        <f>IF(N42=0,0,N43/N42)</f>
        <v/>
      </c>
      <c r="O44" s="17">
        <f>IF(O42=0,0,O43/O42)</f>
        <v/>
      </c>
      <c r="P44" s="17">
        <f>IF(P42=0,0,P43/P42)</f>
        <v/>
      </c>
      <c r="Q44" s="17">
        <f>IF(Q42=0,0,Q43/Q42)</f>
        <v/>
      </c>
      <c r="R44" s="17">
        <f>IF(R42=0,0,R43/R42)</f>
        <v/>
      </c>
      <c r="S44" s="17">
        <f>IF(S42=0,0,S43/S42)</f>
        <v/>
      </c>
      <c r="T44" s="17">
        <f>IF(T42=0,0,T43/T42)</f>
        <v/>
      </c>
      <c r="U44" s="17">
        <f>IF(U42=0,0,U43/U42)</f>
        <v/>
      </c>
      <c r="V44" s="17">
        <f>IF(V42=0,0,V43/V42)</f>
        <v/>
      </c>
      <c r="W44" s="17">
        <f>IF(W42=0,0,W43/W42)</f>
        <v/>
      </c>
      <c r="X44" s="17">
        <f>IF(X42=0,0,X43/X42)</f>
        <v/>
      </c>
      <c r="Y44" s="17">
        <f>IF(Y42=0,0,Y43/Y42)</f>
        <v/>
      </c>
      <c r="Z44" s="17">
        <f>IF(Z42=0,0,Z43/Z42)</f>
        <v/>
      </c>
      <c r="AA44" s="17">
        <f>IF(AA42=0,0,AA43/AA42)</f>
        <v/>
      </c>
      <c r="AB44" s="17">
        <f>IF(AB42=0,0,AB43/AB42)</f>
        <v/>
      </c>
      <c r="AC44" s="17">
        <f>IF(AC42=0,0,AC43/AC42)</f>
        <v/>
      </c>
      <c r="AD44" s="17">
        <f>IF(AD42=0,0,AD43/AD42)</f>
        <v/>
      </c>
      <c r="AE44" s="17">
        <f>IF(AE42=0,0,AE43/AE42)</f>
        <v/>
      </c>
      <c r="AF44" s="17">
        <f>IF(AF42=0,0,AF43/AF42)</f>
        <v/>
      </c>
      <c r="AG44" s="17">
        <f>IF(AG42=0,0,AG43/AG42)</f>
        <v/>
      </c>
      <c r="AH44" s="17">
        <f>IF(AH42=0,0,AH43/AH42)</f>
        <v/>
      </c>
      <c r="AI44" s="17">
        <f>IF(AI42=0,0,AI43/AI42)</f>
        <v/>
      </c>
      <c r="AJ44" s="17">
        <f>IF(AJ42=0,0,AJ43/AJ42)</f>
        <v/>
      </c>
      <c r="AK44" s="17">
        <f>IF(AK42=0,0,AK43/AK42)</f>
        <v/>
      </c>
      <c r="AL44" s="17">
        <f>IF(AL42=0,0,AL43/AL42)</f>
        <v/>
      </c>
      <c r="AM44" s="17">
        <f>IF(AM42=0,0,AM43/AM42)</f>
        <v/>
      </c>
      <c r="AN44" s="17">
        <f>IF(AN42=0,0,AN43/AN42)</f>
        <v/>
      </c>
      <c r="AO44" s="17">
        <f>IF(AO42=0,0,AO43/AO42)</f>
        <v/>
      </c>
      <c r="AP44" s="17">
        <f>IF(AP42=0,0,AP43/AP42)</f>
        <v/>
      </c>
      <c r="AQ44" s="17">
        <f>IF(AQ42=0,0,AQ43/AQ42)</f>
        <v/>
      </c>
      <c r="AR44" s="17">
        <f>IF(AR42=0,0,AR43/AR42)</f>
        <v/>
      </c>
      <c r="AS44" s="17">
        <f>IF(AS42=0,0,AS43/AS42)</f>
        <v/>
      </c>
      <c r="AT44" s="17">
        <f>IF(AT42=0,0,AT43/AT42)</f>
        <v/>
      </c>
      <c r="AU44" s="17">
        <f>IF(AU42=0,0,AU43/AU42)</f>
        <v/>
      </c>
      <c r="AV44" s="17">
        <f>IF(AV42=0,0,AV43/AV42)</f>
        <v/>
      </c>
      <c r="AW44" s="17">
        <f>IF(AW42=0,0,AW43/AW42)</f>
        <v/>
      </c>
      <c r="AX44" s="17">
        <f>IF(AX42=0,0,AX43/AX42)</f>
        <v/>
      </c>
      <c r="AY44" s="17">
        <f>IF(AY42=0,0,AY43/AY42)</f>
        <v/>
      </c>
      <c r="AZ44" s="17">
        <f>IF(AZ42=0,0,AZ43/AZ42)</f>
        <v/>
      </c>
      <c r="BA44" s="17">
        <f>IF(BA42=0,0,BA43/BA42)</f>
        <v/>
      </c>
      <c r="BB44" s="17">
        <f>IF(BB42=0,0,BB43/BB42)</f>
        <v/>
      </c>
      <c r="BC44" s="17">
        <f>IF(BC42=0,0,BC43/BC42)</f>
        <v/>
      </c>
      <c r="BD44" s="17">
        <f>IF(BD42=0,0,BD43/BD42)</f>
        <v/>
      </c>
      <c r="BE44" s="17">
        <f>IF(BE42=0,0,BE43/BE42)</f>
        <v/>
      </c>
      <c r="BF44" s="17">
        <f>IF(BF42=0,0,BF43/BF42)</f>
        <v/>
      </c>
      <c r="BG44" s="17">
        <f>IF(BG42=0,0,BG43/BG42)</f>
        <v/>
      </c>
      <c r="BH44" s="17">
        <f>IF(BH42=0,0,BH43/BH42)</f>
        <v/>
      </c>
      <c r="BI44" s="17">
        <f>IF(BI42=0,0,BI43/BI42)</f>
        <v/>
      </c>
      <c r="BJ44" s="17">
        <f>IF(BJ42=0,0,BJ43/BJ42)</f>
        <v/>
      </c>
      <c r="BK44" s="17">
        <f>IF(BK42=0,0,BK43/BK42)</f>
        <v/>
      </c>
      <c r="BL44" s="17">
        <f>IF(BL42=0,0,BL43/BL42)</f>
        <v/>
      </c>
      <c r="BM44" s="17">
        <f>IF(BM42=0,0,BM43/BM42)</f>
        <v/>
      </c>
      <c r="BN44" s="17">
        <f>IF(BN42=0,0,BN43/BN42)</f>
        <v/>
      </c>
      <c r="BO44" s="17">
        <f>IF(BO42=0,0,BO43/BO42)</f>
        <v/>
      </c>
      <c r="BP44" s="17">
        <f>IF(BP42=0,0,BP43/BP42)</f>
        <v/>
      </c>
      <c r="BQ44" s="17">
        <f>IF(BQ42=0,0,BQ43/BQ42)</f>
        <v/>
      </c>
      <c r="BR44" s="17">
        <f>IF(BR42=0,0,BR43/BR42)</f>
        <v/>
      </c>
      <c r="BS44" s="17">
        <f>IF(BS42=0,0,BS43/BS42)</f>
        <v/>
      </c>
      <c r="BT44" s="17">
        <f>IF(BT42=0,0,BT43/BT42)</f>
        <v/>
      </c>
      <c r="BU44" s="17">
        <f>IF(BU42=0,0,BU43/BU42)</f>
        <v/>
      </c>
      <c r="BV44" s="17">
        <f>IF(BV42=0,0,BV43/BV42)</f>
        <v/>
      </c>
      <c r="BW44" s="17">
        <f>IF(BW42=0,0,BW43/BW42)</f>
        <v/>
      </c>
      <c r="BX44" s="17">
        <f>IF(BX42=0,0,BX43/BX42)</f>
        <v/>
      </c>
      <c r="BY44" s="17">
        <f>IF(BY42=0,0,BY43/BY42)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6">
        <f>(((H17*H18)*(1+($C$19*(IF(Drivers!$J$8=0,0,Drivers!$L$8/Drivers!$J$8)-1))))+H20)</f>
        <v/>
      </c>
      <c r="I45" s="16">
        <f>(((I17*I18)*(1+($C$19*(IF(Drivers!$J$8=0,0,Drivers!$M$8/Drivers!$J$8)-1))))+I20)</f>
        <v/>
      </c>
      <c r="J45" s="16">
        <f>(((J17*J18)*(1+($C$19*(IF(Drivers!$J$8=0,0,Drivers!$N$8/Drivers!$J$8)-1))))+J20)</f>
        <v/>
      </c>
      <c r="K45" s="16">
        <f>(((K17*K18)*(1+($C$19*(IF(Drivers!$J$8=0,0,Drivers!$O$8/Drivers!$J$8)-1))))+K20)</f>
        <v/>
      </c>
      <c r="L45" s="16">
        <f>(((L17*L18)*(1+($C$19*(IF(Drivers!$J$8=0,0,Drivers!$P$8/Drivers!$J$8)-1))))+L20)</f>
        <v/>
      </c>
      <c r="M45" s="16">
        <f>(((M17*M18)*(1+($C$19*(IF(Drivers!$J$8=0,0,Drivers!$Q$8/Drivers!$J$8)-1))))+M20)</f>
        <v/>
      </c>
      <c r="N45" s="16">
        <f>(((N17*N18)*(1+($C$19*(IF(Drivers!$J$8=0,0,Drivers!$R$8/Drivers!$J$8)-1))))+N20)</f>
        <v/>
      </c>
      <c r="O45" s="16">
        <f>(((O17*O18)*(1+($C$19*(IF(Drivers!$J$8=0,0,Drivers!$S$8/Drivers!$J$8)-1))))+O20)</f>
        <v/>
      </c>
      <c r="P45" s="16">
        <f>(((P17*P18)*(1+($C$19*(IF(Drivers!$J$8=0,0,Drivers!$T$8/Drivers!$J$8)-1))))+P20)</f>
        <v/>
      </c>
      <c r="Q45" s="16">
        <f>(((Q17*Q18)*(1+($C$19*(IF(Drivers!$J$8=0,0,Drivers!$U$8/Drivers!$J$8)-1))))+Q20)</f>
        <v/>
      </c>
      <c r="R45" s="16">
        <f>(((R17*R18)*(1+($C$19*(IF(Drivers!$J$8=0,0,Drivers!$V$8/Drivers!$J$8)-1))))+R20)</f>
        <v/>
      </c>
      <c r="S45" s="16">
        <f>(((S17*S18)*(1+($C$19*(IF(Drivers!$J$8=0,0,Drivers!$W$8/Drivers!$J$8)-1))))+S20)</f>
        <v/>
      </c>
      <c r="T45" s="16">
        <f>(((T17*T18)*(1+($C$19*(IF(Drivers!$J$8=0,0,Drivers!$X$8/Drivers!$J$8)-1))))+T20)</f>
        <v/>
      </c>
      <c r="U45" s="16">
        <f>(((U17*U18)*(1+($C$19*(IF(Drivers!$J$8=0,0,Drivers!$Y$8/Drivers!$J$8)-1))))+U20)</f>
        <v/>
      </c>
      <c r="V45" s="16">
        <f>(((V17*V18)*(1+($C$19*(IF(Drivers!$J$8=0,0,Drivers!$Z$8/Drivers!$J$8)-1))))+V20)</f>
        <v/>
      </c>
      <c r="W45" s="16">
        <f>(((W17*W18)*(1+($C$19*(IF(Drivers!$J$8=0,0,Drivers!$AA$8/Drivers!$J$8)-1))))+W20)</f>
        <v/>
      </c>
      <c r="X45" s="16">
        <f>(((X17*X18)*(1+($C$19*(IF(Drivers!$J$8=0,0,Drivers!$AB$8/Drivers!$J$8)-1))))+X20)</f>
        <v/>
      </c>
      <c r="Y45" s="16">
        <f>(((Y17*Y18)*(1+($C$19*(IF(Drivers!$J$8=0,0,Drivers!$AC$8/Drivers!$J$8)-1))))+Y20)</f>
        <v/>
      </c>
      <c r="Z45" s="16">
        <f>(((Z17*Z18)*(1+($C$19*(IF(Drivers!$J$8=0,0,Drivers!$AD$8/Drivers!$J$8)-1))))+Z20)</f>
        <v/>
      </c>
      <c r="AA45" s="16">
        <f>(((AA17*AA18)*(1+($C$19*(IF(Drivers!$J$8=0,0,Drivers!$AE$8/Drivers!$J$8)-1))))+AA20)</f>
        <v/>
      </c>
      <c r="AB45" s="16">
        <f>(((AB17*AB18)*(1+($C$19*(IF(Drivers!$J$8=0,0,Drivers!$AF$8/Drivers!$J$8)-1))))+AB20)</f>
        <v/>
      </c>
      <c r="AC45" s="16">
        <f>(((AC17*AC18)*(1+($C$19*(IF(Drivers!$J$8=0,0,Drivers!$AG$8/Drivers!$J$8)-1))))+AC20)</f>
        <v/>
      </c>
      <c r="AD45" s="16">
        <f>(((AD17*AD18)*(1+($C$19*(IF(Drivers!$J$8=0,0,Drivers!$AH$8/Drivers!$J$8)-1))))+AD20)</f>
        <v/>
      </c>
      <c r="AE45" s="16">
        <f>(((AE17*AE18)*(1+($C$19*(IF(Drivers!$J$8=0,0,Drivers!$AI$8/Drivers!$J$8)-1))))+AE20)</f>
        <v/>
      </c>
      <c r="AF45" s="16">
        <f>(((AF17*AF18)*(1+($C$19*(IF(Drivers!$J$8=0,0,Drivers!$AJ$8/Drivers!$J$8)-1))))+AF20)</f>
        <v/>
      </c>
      <c r="AG45" s="16">
        <f>(((AG17*AG18)*(1+($C$19*(IF(Drivers!$J$8=0,0,Drivers!$AK$8/Drivers!$J$8)-1))))+AG20)</f>
        <v/>
      </c>
      <c r="AH45" s="16">
        <f>(((AH17*AH18)*(1+($C$19*(IF(Drivers!$J$8=0,0,Drivers!$AL$8/Drivers!$J$8)-1))))+AH20)</f>
        <v/>
      </c>
      <c r="AI45" s="16">
        <f>(((AI17*AI18)*(1+($C$19*(IF(Drivers!$J$8=0,0,Drivers!$AM$8/Drivers!$J$8)-1))))+AI20)</f>
        <v/>
      </c>
      <c r="AJ45" s="16">
        <f>(((AJ17*AJ18)*(1+($C$19*(IF(Drivers!$J$8=0,0,Drivers!$AN$8/Drivers!$J$8)-1))))+AJ20)</f>
        <v/>
      </c>
      <c r="AK45" s="16">
        <f>(((AK17*AK18)*(1+($C$19*(IF(Drivers!$J$8=0,0,Drivers!$AO$8/Drivers!$J$8)-1))))+AK20)</f>
        <v/>
      </c>
      <c r="AL45" s="16">
        <f>(((AL17*AL18)*(1+($C$19*(IF(Drivers!$J$8=0,0,Drivers!$AP$8/Drivers!$J$8)-1))))+AL20)</f>
        <v/>
      </c>
      <c r="AM45" s="16">
        <f>(((AM17*AM18)*(1+($C$19*(IF(Drivers!$J$8=0,0,Drivers!$AQ$8/Drivers!$J$8)-1))))+AM20)</f>
        <v/>
      </c>
      <c r="AN45" s="16">
        <f>(((AN17*AN18)*(1+($C$19*(IF(Drivers!$J$8=0,0,Drivers!$AR$8/Drivers!$J$8)-1))))+AN20)</f>
        <v/>
      </c>
      <c r="AO45" s="16">
        <f>(((AO17*AO18)*(1+($C$19*(IF(Drivers!$J$8=0,0,Drivers!$AS$8/Drivers!$J$8)-1))))+AO20)</f>
        <v/>
      </c>
      <c r="AP45" s="16">
        <f>(((AP17*AP18)*(1+($C$19*(IF(Drivers!$J$8=0,0,Drivers!$AT$8/Drivers!$J$8)-1))))+AP20)</f>
        <v/>
      </c>
      <c r="AQ45" s="16">
        <f>(((AQ17*AQ18)*(1+($C$19*(IF(Drivers!$J$8=0,0,Drivers!$AU$8/Drivers!$J$8)-1))))+AQ20)</f>
        <v/>
      </c>
      <c r="AR45" s="16">
        <f>(((AR17*AR18)*(1+($C$19*(IF(Drivers!$J$8=0,0,Drivers!$AV$8/Drivers!$J$8)-1))))+AR20)</f>
        <v/>
      </c>
      <c r="AS45" s="16">
        <f>(((AS17*AS18)*(1+($C$19*(IF(Drivers!$J$8=0,0,Drivers!$AW$8/Drivers!$J$8)-1))))+AS20)</f>
        <v/>
      </c>
      <c r="AT45" s="16">
        <f>(((AT17*AT18)*(1+($C$19*(IF(Drivers!$J$8=0,0,Drivers!$AX$8/Drivers!$J$8)-1))))+AT20)</f>
        <v/>
      </c>
      <c r="AU45" s="16">
        <f>(((AU17*AU18)*(1+($C$19*(IF(Drivers!$J$8=0,0,Drivers!$AY$8/Drivers!$J$8)-1))))+AU20)</f>
        <v/>
      </c>
      <c r="AV45" s="16">
        <f>(((AV17*AV18)*(1+($C$19*(IF(Drivers!$J$8=0,0,Drivers!$AZ$8/Drivers!$J$8)-1))))+AV20)</f>
        <v/>
      </c>
      <c r="AW45" s="16">
        <f>(((AW17*AW18)*(1+($C$19*(IF(Drivers!$J$8=0,0,Drivers!$BA$8/Drivers!$J$8)-1))))+AW20)</f>
        <v/>
      </c>
      <c r="AX45" s="16">
        <f>(((AX17*AX18)*(1+($C$19*(IF(Drivers!$J$8=0,0,Drivers!$BB$8/Drivers!$J$8)-1))))+AX20)</f>
        <v/>
      </c>
      <c r="AY45" s="16">
        <f>(((AY17*AY18)*(1+($C$19*(IF(Drivers!$J$8=0,0,Drivers!$BC$8/Drivers!$J$8)-1))))+AY20)</f>
        <v/>
      </c>
      <c r="AZ45" s="16">
        <f>(((AZ17*AZ18)*(1+($C$19*(IF(Drivers!$J$8=0,0,Drivers!$BD$8/Drivers!$J$8)-1))))+AZ20)</f>
        <v/>
      </c>
      <c r="BA45" s="16">
        <f>(((BA17*BA18)*(1+($C$19*(IF(Drivers!$J$8=0,0,Drivers!$BE$8/Drivers!$J$8)-1))))+BA20)</f>
        <v/>
      </c>
      <c r="BB45" s="16">
        <f>(((BB17*BB18)*(1+($C$19*(IF(Drivers!$J$8=0,0,Drivers!$BF$8/Drivers!$J$8)-1))))+BB20)</f>
        <v/>
      </c>
      <c r="BC45" s="16">
        <f>(((BC17*BC18)*(1+($C$19*(IF(Drivers!$J$8=0,0,Drivers!$BG$8/Drivers!$J$8)-1))))+BC20)</f>
        <v/>
      </c>
      <c r="BD45" s="16">
        <f>(((BD17*BD18)*(1+($C$19*(IF(Drivers!$J$8=0,0,Drivers!$BH$8/Drivers!$J$8)-1))))+BD20)</f>
        <v/>
      </c>
      <c r="BE45" s="16">
        <f>(((BE17*BE18)*(1+($C$19*(IF(Drivers!$J$8=0,0,Drivers!$BI$8/Drivers!$J$8)-1))))+BE20)</f>
        <v/>
      </c>
      <c r="BF45" s="16">
        <f>(((BF17*BF18)*(1+($C$19*(IF(Drivers!$J$8=0,0,Drivers!$BJ$8/Drivers!$J$8)-1))))+BF20)</f>
        <v/>
      </c>
      <c r="BG45" s="16">
        <f>(((BG17*BG18)*(1+($C$19*(IF(Drivers!$J$8=0,0,Drivers!$BK$8/Drivers!$J$8)-1))))+BG20)</f>
        <v/>
      </c>
      <c r="BH45" s="16">
        <f>(((BH17*BH18)*(1+($C$19*(IF(Drivers!$J$8=0,0,Drivers!$BL$8/Drivers!$J$8)-1))))+BH20)</f>
        <v/>
      </c>
      <c r="BI45" s="16">
        <f>(((BI17*BI18)*(1+($C$19*(IF(Drivers!$J$8=0,0,Drivers!$BM$8/Drivers!$J$8)-1))))+BI20)</f>
        <v/>
      </c>
      <c r="BJ45" s="16">
        <f>(((BJ17*BJ18)*(1+($C$19*(IF(Drivers!$J$8=0,0,Drivers!$BN$8/Drivers!$J$8)-1))))+BJ20)</f>
        <v/>
      </c>
      <c r="BK45" s="16">
        <f>(((BK17*BK18)*(1+($C$19*(IF(Drivers!$J$8=0,0,Drivers!$BO$8/Drivers!$J$8)-1))))+BK20)</f>
        <v/>
      </c>
      <c r="BL45" s="16">
        <f>(((BL17*BL18)*(1+($C$19*(IF(Drivers!$J$8=0,0,Drivers!$BP$8/Drivers!$J$8)-1))))+BL20)</f>
        <v/>
      </c>
      <c r="BM45" s="16">
        <f>(((BM17*BM18)*(1+($C$19*(IF(Drivers!$J$8=0,0,Drivers!$BQ$8/Drivers!$J$8)-1))))+BM20)</f>
        <v/>
      </c>
      <c r="BN45" s="16">
        <f>(((BN17*BN18)*(1+($C$19*(IF(Drivers!$J$8=0,0,Drivers!$BR$8/Drivers!$J$8)-1))))+BN20)</f>
        <v/>
      </c>
      <c r="BO45" s="16">
        <f>(((BO17*BO18)*(1+($C$19*(IF(Drivers!$J$8=0,0,Drivers!$BS$8/Drivers!$J$8)-1))))+BO20)</f>
        <v/>
      </c>
      <c r="BP45" s="16">
        <f>(((BP17*BP18)*(1+($C$19*(IF(Drivers!$J$8=0,0,Drivers!$BT$8/Drivers!$J$8)-1))))+BP20)</f>
        <v/>
      </c>
      <c r="BQ45" s="16">
        <f>(((BQ17*BQ18)*(1+($C$19*(IF(Drivers!$J$8=0,0,Drivers!$BU$8/Drivers!$J$8)-1))))+BQ20)</f>
        <v/>
      </c>
      <c r="BR45" s="16">
        <f>(((BR17*BR18)*(1+($C$19*(IF(Drivers!$J$8=0,0,Drivers!$BV$8/Drivers!$J$8)-1))))+BR20)</f>
        <v/>
      </c>
      <c r="BS45" s="16">
        <f>(((BS17*BS18)*(1+($C$19*(IF(Drivers!$J$8=0,0,Drivers!$BW$8/Drivers!$J$8)-1))))+BS20)</f>
        <v/>
      </c>
      <c r="BT45" s="16">
        <f>(((BT17*BT18)*(1+($C$19*(IF(Drivers!$J$8=0,0,Drivers!$BX$8/Drivers!$J$8)-1))))+BT20)</f>
        <v/>
      </c>
      <c r="BU45" s="16">
        <f>(((BU17*BU18)*(1+($C$19*(IF(Drivers!$J$8=0,0,Drivers!$BY$8/Drivers!$J$8)-1))))+BU20)</f>
        <v/>
      </c>
      <c r="BV45" s="16">
        <f>(((BV17*BV18)*(1+($C$19*(IF(Drivers!$J$8=0,0,Drivers!$BZ$8/Drivers!$J$8)-1))))+BV20)</f>
        <v/>
      </c>
      <c r="BW45" s="16">
        <f>(((BW17*BW18)*(1+($C$19*(IF(Drivers!$J$8=0,0,Drivers!$CA$8/Drivers!$J$8)-1))))+BW20)</f>
        <v/>
      </c>
      <c r="BX45" s="16">
        <f>(((BX17*BX18)*(1+($C$19*(IF(Drivers!$J$8=0,0,Drivers!$CB$8/Drivers!$J$8)-1))))+BX20)</f>
        <v/>
      </c>
      <c r="BY45" s="16">
        <f>(((BY17*BY18)*(1+($C$19*(IF(Drivers!$J$8=0,0,Drivers!$CC$8/Drivers!$J$8)-1))))+BY20)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>
        <v>6.06</v>
      </c>
      <c r="H46" s="18">
        <f>H17</f>
        <v/>
      </c>
      <c r="I46" s="18">
        <f>I17</f>
        <v/>
      </c>
      <c r="J46" s="18">
        <f>J17</f>
        <v/>
      </c>
      <c r="K46" s="18">
        <f>K17</f>
        <v/>
      </c>
      <c r="L46" s="18">
        <f>L17</f>
        <v/>
      </c>
      <c r="M46" s="18">
        <f>M17</f>
        <v/>
      </c>
      <c r="N46" s="18">
        <f>N17</f>
        <v/>
      </c>
      <c r="O46" s="18">
        <f>O17</f>
        <v/>
      </c>
      <c r="P46" s="18">
        <f>P17</f>
        <v/>
      </c>
      <c r="Q46" s="18">
        <f>Q17</f>
        <v/>
      </c>
      <c r="R46" s="18">
        <f>R17</f>
        <v/>
      </c>
      <c r="S46" s="18">
        <f>S17</f>
        <v/>
      </c>
      <c r="T46" s="18">
        <f>T17</f>
        <v/>
      </c>
      <c r="U46" s="18">
        <f>U17</f>
        <v/>
      </c>
      <c r="V46" s="18">
        <f>V17</f>
        <v/>
      </c>
      <c r="W46" s="18">
        <f>W17</f>
        <v/>
      </c>
      <c r="X46" s="18">
        <f>X17</f>
        <v/>
      </c>
      <c r="Y46" s="18">
        <f>Y17</f>
        <v/>
      </c>
      <c r="Z46" s="18">
        <f>Z17</f>
        <v/>
      </c>
      <c r="AA46" s="18">
        <f>AA17</f>
        <v/>
      </c>
      <c r="AB46" s="18">
        <f>AB17</f>
        <v/>
      </c>
      <c r="AC46" s="18">
        <f>AC17</f>
        <v/>
      </c>
      <c r="AD46" s="18">
        <f>AD17</f>
        <v/>
      </c>
      <c r="AE46" s="18">
        <f>AE17</f>
        <v/>
      </c>
      <c r="AF46" s="18">
        <f>AF17</f>
        <v/>
      </c>
      <c r="AG46" s="18">
        <f>AG17</f>
        <v/>
      </c>
      <c r="AH46" s="18">
        <f>AH17</f>
        <v/>
      </c>
      <c r="AI46" s="18">
        <f>AI17</f>
        <v/>
      </c>
      <c r="AJ46" s="18">
        <f>AJ17</f>
        <v/>
      </c>
      <c r="AK46" s="18">
        <f>AK17</f>
        <v/>
      </c>
      <c r="AL46" s="18">
        <f>AL17</f>
        <v/>
      </c>
      <c r="AM46" s="18">
        <f>AM17</f>
        <v/>
      </c>
      <c r="AN46" s="18">
        <f>AN17</f>
        <v/>
      </c>
      <c r="AO46" s="18">
        <f>AO17</f>
        <v/>
      </c>
      <c r="AP46" s="18">
        <f>AP17</f>
        <v/>
      </c>
      <c r="AQ46" s="18">
        <f>AQ17</f>
        <v/>
      </c>
      <c r="AR46" s="18">
        <f>AR17</f>
        <v/>
      </c>
      <c r="AS46" s="18">
        <f>AS17</f>
        <v/>
      </c>
      <c r="AT46" s="18">
        <f>AT17</f>
        <v/>
      </c>
      <c r="AU46" s="18">
        <f>AU17</f>
        <v/>
      </c>
      <c r="AV46" s="18">
        <f>AV17</f>
        <v/>
      </c>
      <c r="AW46" s="18">
        <f>AW17</f>
        <v/>
      </c>
      <c r="AX46" s="18">
        <f>AX17</f>
        <v/>
      </c>
      <c r="AY46" s="18">
        <f>AY17</f>
        <v/>
      </c>
      <c r="AZ46" s="18">
        <f>AZ17</f>
        <v/>
      </c>
      <c r="BA46" s="18">
        <f>BA17</f>
        <v/>
      </c>
      <c r="BB46" s="18">
        <f>BB17</f>
        <v/>
      </c>
      <c r="BC46" s="18">
        <f>BC17</f>
        <v/>
      </c>
      <c r="BD46" s="18">
        <f>BD17</f>
        <v/>
      </c>
      <c r="BE46" s="18">
        <f>BE17</f>
        <v/>
      </c>
      <c r="BF46" s="18">
        <f>BF17</f>
        <v/>
      </c>
      <c r="BG46" s="18">
        <f>BG17</f>
        <v/>
      </c>
      <c r="BH46" s="18">
        <f>BH17</f>
        <v/>
      </c>
      <c r="BI46" s="18">
        <f>BI17</f>
        <v/>
      </c>
      <c r="BJ46" s="18">
        <f>BJ17</f>
        <v/>
      </c>
      <c r="BK46" s="18">
        <f>BK17</f>
        <v/>
      </c>
      <c r="BL46" s="18">
        <f>BL17</f>
        <v/>
      </c>
      <c r="BM46" s="18">
        <f>BM17</f>
        <v/>
      </c>
      <c r="BN46" s="18">
        <f>BN17</f>
        <v/>
      </c>
      <c r="BO46" s="18">
        <f>BO17</f>
        <v/>
      </c>
      <c r="BP46" s="18">
        <f>BP17</f>
        <v/>
      </c>
      <c r="BQ46" s="18">
        <f>BQ17</f>
        <v/>
      </c>
      <c r="BR46" s="18">
        <f>BR17</f>
        <v/>
      </c>
      <c r="BS46" s="18">
        <f>BS17</f>
        <v/>
      </c>
      <c r="BT46" s="18">
        <f>BT17</f>
        <v/>
      </c>
      <c r="BU46" s="18">
        <f>BU17</f>
        <v/>
      </c>
      <c r="BV46" s="18">
        <f>BV17</f>
        <v/>
      </c>
      <c r="BW46" s="18">
        <f>BW17</f>
        <v/>
      </c>
      <c r="BX46" s="18">
        <f>BX17</f>
        <v/>
      </c>
      <c r="BY46" s="18">
        <f>BY17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7">
        <f>H21</f>
        <v/>
      </c>
      <c r="I47" s="17">
        <f>I21</f>
        <v/>
      </c>
      <c r="J47" s="17">
        <f>J21</f>
        <v/>
      </c>
      <c r="K47" s="17">
        <f>K21</f>
        <v/>
      </c>
      <c r="L47" s="17">
        <f>L21</f>
        <v/>
      </c>
      <c r="M47" s="17">
        <f>M21</f>
        <v/>
      </c>
      <c r="N47" s="17">
        <f>N21</f>
        <v/>
      </c>
      <c r="O47" s="17">
        <f>O21</f>
        <v/>
      </c>
      <c r="P47" s="17">
        <f>P21</f>
        <v/>
      </c>
      <c r="Q47" s="17">
        <f>Q21</f>
        <v/>
      </c>
      <c r="R47" s="17">
        <f>R21</f>
        <v/>
      </c>
      <c r="S47" s="17">
        <f>S21</f>
        <v/>
      </c>
      <c r="T47" s="17">
        <f>T21</f>
        <v/>
      </c>
      <c r="U47" s="17">
        <f>U21</f>
        <v/>
      </c>
      <c r="V47" s="17">
        <f>V21</f>
        <v/>
      </c>
      <c r="W47" s="17">
        <f>W21</f>
        <v/>
      </c>
      <c r="X47" s="17">
        <f>X21</f>
        <v/>
      </c>
      <c r="Y47" s="17">
        <f>Y21</f>
        <v/>
      </c>
      <c r="Z47" s="17">
        <f>Z21</f>
        <v/>
      </c>
      <c r="AA47" s="17">
        <f>AA21</f>
        <v/>
      </c>
      <c r="AB47" s="17">
        <f>AB21</f>
        <v/>
      </c>
      <c r="AC47" s="17">
        <f>AC21</f>
        <v/>
      </c>
      <c r="AD47" s="17">
        <f>AD21</f>
        <v/>
      </c>
      <c r="AE47" s="17">
        <f>AE21</f>
        <v/>
      </c>
      <c r="AF47" s="17">
        <f>AF21</f>
        <v/>
      </c>
      <c r="AG47" s="17">
        <f>AG21</f>
        <v/>
      </c>
      <c r="AH47" s="17">
        <f>AH21</f>
        <v/>
      </c>
      <c r="AI47" s="17">
        <f>AI21</f>
        <v/>
      </c>
      <c r="AJ47" s="17">
        <f>AJ21</f>
        <v/>
      </c>
      <c r="AK47" s="17">
        <f>AK21</f>
        <v/>
      </c>
      <c r="AL47" s="17">
        <f>AL21</f>
        <v/>
      </c>
      <c r="AM47" s="17">
        <f>AM21</f>
        <v/>
      </c>
      <c r="AN47" s="17">
        <f>AN21</f>
        <v/>
      </c>
      <c r="AO47" s="17">
        <f>AO21</f>
        <v/>
      </c>
      <c r="AP47" s="17">
        <f>AP21</f>
        <v/>
      </c>
      <c r="AQ47" s="17">
        <f>AQ21</f>
        <v/>
      </c>
      <c r="AR47" s="17">
        <f>AR21</f>
        <v/>
      </c>
      <c r="AS47" s="17">
        <f>AS21</f>
        <v/>
      </c>
      <c r="AT47" s="17">
        <f>AT21</f>
        <v/>
      </c>
      <c r="AU47" s="17">
        <f>AU21</f>
        <v/>
      </c>
      <c r="AV47" s="17">
        <f>AV21</f>
        <v/>
      </c>
      <c r="AW47" s="17">
        <f>AW21</f>
        <v/>
      </c>
      <c r="AX47" s="17">
        <f>AX21</f>
        <v/>
      </c>
      <c r="AY47" s="17">
        <f>AY21</f>
        <v/>
      </c>
      <c r="AZ47" s="17">
        <f>AZ21</f>
        <v/>
      </c>
      <c r="BA47" s="17">
        <f>BA21</f>
        <v/>
      </c>
      <c r="BB47" s="17">
        <f>BB21</f>
        <v/>
      </c>
      <c r="BC47" s="17">
        <f>BC21</f>
        <v/>
      </c>
      <c r="BD47" s="17">
        <f>BD21</f>
        <v/>
      </c>
      <c r="BE47" s="17">
        <f>BE21</f>
        <v/>
      </c>
      <c r="BF47" s="17">
        <f>BF21</f>
        <v/>
      </c>
      <c r="BG47" s="17">
        <f>BG21</f>
        <v/>
      </c>
      <c r="BH47" s="17">
        <f>BH21</f>
        <v/>
      </c>
      <c r="BI47" s="17">
        <f>BI21</f>
        <v/>
      </c>
      <c r="BJ47" s="17">
        <f>BJ21</f>
        <v/>
      </c>
      <c r="BK47" s="17">
        <f>BK21</f>
        <v/>
      </c>
      <c r="BL47" s="17">
        <f>BL21</f>
        <v/>
      </c>
      <c r="BM47" s="17">
        <f>BM21</f>
        <v/>
      </c>
      <c r="BN47" s="17">
        <f>BN21</f>
        <v/>
      </c>
      <c r="BO47" s="17">
        <f>BO21</f>
        <v/>
      </c>
      <c r="BP47" s="17">
        <f>BP21</f>
        <v/>
      </c>
      <c r="BQ47" s="17">
        <f>BQ21</f>
        <v/>
      </c>
      <c r="BR47" s="17">
        <f>BR21</f>
        <v/>
      </c>
      <c r="BS47" s="17">
        <f>BS21</f>
        <v/>
      </c>
      <c r="BT47" s="17">
        <f>BT21</f>
        <v/>
      </c>
      <c r="BU47" s="17">
        <f>BU21</f>
        <v/>
      </c>
      <c r="BV47" s="17">
        <f>BV21</f>
        <v/>
      </c>
      <c r="BW47" s="17">
        <f>BW21</f>
        <v/>
      </c>
      <c r="BX47" s="17">
        <f>BX21</f>
        <v/>
      </c>
      <c r="BY47" s="17">
        <f>BY21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/>
      <c r="F48" s="3" t="n">
        <v>10.96079346393661</v>
      </c>
      <c r="G48" s="3" t="n">
        <v>6.988647477690106</v>
      </c>
      <c r="H48" s="16">
        <f>IF(IF(1000=0,0,((H41*$C$10)*Drivers!$L$7)/1000)=0,0,H61/IF(1000=0,0,((H41*$C$10)*Drivers!$L$7)/1000))</f>
        <v/>
      </c>
      <c r="I48" s="16">
        <f>IF(IF(1000=0,0,((I41*$C$10)*Drivers!$M$7)/1000)=0,0,I61/IF(1000=0,0,((I41*$C$10)*Drivers!$M$7)/1000))</f>
        <v/>
      </c>
      <c r="J48" s="16">
        <f>IF(IF(1000=0,0,((J41*$C$10)*Drivers!$N$7)/1000)=0,0,J61/IF(1000=0,0,((J41*$C$10)*Drivers!$N$7)/1000))</f>
        <v/>
      </c>
      <c r="K48" s="16">
        <f>IF(IF(1000=0,0,((K41*$C$10)*Drivers!$O$7)/1000)=0,0,K61/IF(1000=0,0,((K41*$C$10)*Drivers!$O$7)/1000))</f>
        <v/>
      </c>
      <c r="L48" s="16">
        <f>IF(IF(1000=0,0,((L41*$C$10)*Drivers!$P$7)/1000)=0,0,L61/IF(1000=0,0,((L41*$C$10)*Drivers!$P$7)/1000))</f>
        <v/>
      </c>
      <c r="M48" s="16">
        <f>IF(IF(1000=0,0,((M41*$C$10)*Drivers!$Q$7)/1000)=0,0,M61/IF(1000=0,0,((M41*$C$10)*Drivers!$Q$7)/1000))</f>
        <v/>
      </c>
      <c r="N48" s="16">
        <f>IF(IF(1000=0,0,((N41*$C$10)*Drivers!$R$7)/1000)=0,0,N61/IF(1000=0,0,((N41*$C$10)*Drivers!$R$7)/1000))</f>
        <v/>
      </c>
      <c r="O48" s="16">
        <f>IF(IF(1000=0,0,((O41*$C$10)*Drivers!$S$7)/1000)=0,0,O61/IF(1000=0,0,((O41*$C$10)*Drivers!$S$7)/1000))</f>
        <v/>
      </c>
      <c r="P48" s="16">
        <f>IF(IF(1000=0,0,((P41*$C$10)*Drivers!$T$7)/1000)=0,0,P61/IF(1000=0,0,((P41*$C$10)*Drivers!$T$7)/1000))</f>
        <v/>
      </c>
      <c r="Q48" s="16">
        <f>IF(IF(1000=0,0,((Q41*$C$10)*Drivers!$U$7)/1000)=0,0,Q61/IF(1000=0,0,((Q41*$C$10)*Drivers!$U$7)/1000))</f>
        <v/>
      </c>
      <c r="R48" s="16">
        <f>IF(IF(1000=0,0,((R41*$C$10)*Drivers!$V$7)/1000)=0,0,R61/IF(1000=0,0,((R41*$C$10)*Drivers!$V$7)/1000))</f>
        <v/>
      </c>
      <c r="S48" s="16">
        <f>IF(IF(1000=0,0,((S41*$C$10)*Drivers!$W$7)/1000)=0,0,S61/IF(1000=0,0,((S41*$C$10)*Drivers!$W$7)/1000))</f>
        <v/>
      </c>
      <c r="T48" s="16">
        <f>IF(IF(1000=0,0,((T41*$C$10)*Drivers!$X$7)/1000)=0,0,T61/IF(1000=0,0,((T41*$C$10)*Drivers!$X$7)/1000))</f>
        <v/>
      </c>
      <c r="U48" s="16">
        <f>IF(IF(1000=0,0,((U41*$C$10)*Drivers!$Y$7)/1000)=0,0,U61/IF(1000=0,0,((U41*$C$10)*Drivers!$Y$7)/1000))</f>
        <v/>
      </c>
      <c r="V48" s="16">
        <f>IF(IF(1000=0,0,((V41*$C$10)*Drivers!$Z$7)/1000)=0,0,V61/IF(1000=0,0,((V41*$C$10)*Drivers!$Z$7)/1000))</f>
        <v/>
      </c>
      <c r="W48" s="16">
        <f>IF(IF(1000=0,0,((W41*$C$10)*Drivers!$AA$7)/1000)=0,0,W61/IF(1000=0,0,((W41*$C$10)*Drivers!$AA$7)/1000))</f>
        <v/>
      </c>
      <c r="X48" s="16">
        <f>IF(IF(1000=0,0,((X41*$C$10)*Drivers!$AB$7)/1000)=0,0,X61/IF(1000=0,0,((X41*$C$10)*Drivers!$AB$7)/1000))</f>
        <v/>
      </c>
      <c r="Y48" s="16">
        <f>IF(IF(1000=0,0,((Y41*$C$10)*Drivers!$AC$7)/1000)=0,0,Y61/IF(1000=0,0,((Y41*$C$10)*Drivers!$AC$7)/1000))</f>
        <v/>
      </c>
      <c r="Z48" s="16">
        <f>IF(IF(1000=0,0,((Z41*$C$10)*Drivers!$AD$7)/1000)=0,0,Z61/IF(1000=0,0,((Z41*$C$10)*Drivers!$AD$7)/1000))</f>
        <v/>
      </c>
      <c r="AA48" s="16">
        <f>IF(IF(1000=0,0,((AA41*$C$10)*Drivers!$AE$7)/1000)=0,0,AA61/IF(1000=0,0,((AA41*$C$10)*Drivers!$AE$7)/1000))</f>
        <v/>
      </c>
      <c r="AB48" s="16">
        <f>IF(IF(1000=0,0,((AB41*$C$10)*Drivers!$AF$7)/1000)=0,0,AB61/IF(1000=0,0,((AB41*$C$10)*Drivers!$AF$7)/1000))</f>
        <v/>
      </c>
      <c r="AC48" s="16">
        <f>IF(IF(1000=0,0,((AC41*$C$10)*Drivers!$AG$7)/1000)=0,0,AC61/IF(1000=0,0,((AC41*$C$10)*Drivers!$AG$7)/1000))</f>
        <v/>
      </c>
      <c r="AD48" s="16">
        <f>IF(IF(1000=0,0,((AD41*$C$10)*Drivers!$AH$7)/1000)=0,0,AD61/IF(1000=0,0,((AD41*$C$10)*Drivers!$AH$7)/1000))</f>
        <v/>
      </c>
      <c r="AE48" s="16">
        <f>IF(IF(1000=0,0,((AE41*$C$10)*Drivers!$AI$7)/1000)=0,0,AE61/IF(1000=0,0,((AE41*$C$10)*Drivers!$AI$7)/1000))</f>
        <v/>
      </c>
      <c r="AF48" s="16">
        <f>IF(IF(1000=0,0,((AF41*$C$10)*Drivers!$AJ$7)/1000)=0,0,AF61/IF(1000=0,0,((AF41*$C$10)*Drivers!$AJ$7)/1000))</f>
        <v/>
      </c>
      <c r="AG48" s="16">
        <f>IF(IF(1000=0,0,((AG41*$C$10)*Drivers!$AK$7)/1000)=0,0,AG61/IF(1000=0,0,((AG41*$C$10)*Drivers!$AK$7)/1000))</f>
        <v/>
      </c>
      <c r="AH48" s="16">
        <f>IF(IF(1000=0,0,((AH41*$C$10)*Drivers!$AL$7)/1000)=0,0,AH61/IF(1000=0,0,((AH41*$C$10)*Drivers!$AL$7)/1000))</f>
        <v/>
      </c>
      <c r="AI48" s="16">
        <f>IF(IF(1000=0,0,((AI41*$C$10)*Drivers!$AM$7)/1000)=0,0,AI61/IF(1000=0,0,((AI41*$C$10)*Drivers!$AM$7)/1000))</f>
        <v/>
      </c>
      <c r="AJ48" s="16">
        <f>IF(IF(1000=0,0,((AJ41*$C$10)*Drivers!$AN$7)/1000)=0,0,AJ61/IF(1000=0,0,((AJ41*$C$10)*Drivers!$AN$7)/1000))</f>
        <v/>
      </c>
      <c r="AK48" s="16">
        <f>IF(IF(1000=0,0,((AK41*$C$10)*Drivers!$AO$7)/1000)=0,0,AK61/IF(1000=0,0,((AK41*$C$10)*Drivers!$AO$7)/1000))</f>
        <v/>
      </c>
      <c r="AL48" s="16">
        <f>IF(IF(1000=0,0,((AL41*$C$10)*Drivers!$AP$7)/1000)=0,0,AL61/IF(1000=0,0,((AL41*$C$10)*Drivers!$AP$7)/1000))</f>
        <v/>
      </c>
      <c r="AM48" s="16">
        <f>IF(IF(1000=0,0,((AM41*$C$10)*Drivers!$AQ$7)/1000)=0,0,AM61/IF(1000=0,0,((AM41*$C$10)*Drivers!$AQ$7)/1000))</f>
        <v/>
      </c>
      <c r="AN48" s="16">
        <f>IF(IF(1000=0,0,((AN41*$C$10)*Drivers!$AR$7)/1000)=0,0,AN61/IF(1000=0,0,((AN41*$C$10)*Drivers!$AR$7)/1000))</f>
        <v/>
      </c>
      <c r="AO48" s="16">
        <f>IF(IF(1000=0,0,((AO41*$C$10)*Drivers!$AS$7)/1000)=0,0,AO61/IF(1000=0,0,((AO41*$C$10)*Drivers!$AS$7)/1000))</f>
        <v/>
      </c>
      <c r="AP48" s="16">
        <f>IF(IF(1000=0,0,((AP41*$C$10)*Drivers!$AT$7)/1000)=0,0,AP61/IF(1000=0,0,((AP41*$C$10)*Drivers!$AT$7)/1000))</f>
        <v/>
      </c>
      <c r="AQ48" s="16">
        <f>IF(IF(1000=0,0,((AQ41*$C$10)*Drivers!$AU$7)/1000)=0,0,AQ61/IF(1000=0,0,((AQ41*$C$10)*Drivers!$AU$7)/1000))</f>
        <v/>
      </c>
      <c r="AR48" s="16">
        <f>IF(IF(1000=0,0,((AR41*$C$10)*Drivers!$AV$7)/1000)=0,0,AR61/IF(1000=0,0,((AR41*$C$10)*Drivers!$AV$7)/1000))</f>
        <v/>
      </c>
      <c r="AS48" s="16">
        <f>IF(IF(1000=0,0,((AS41*$C$10)*Drivers!$AW$7)/1000)=0,0,AS61/IF(1000=0,0,((AS41*$C$10)*Drivers!$AW$7)/1000))</f>
        <v/>
      </c>
      <c r="AT48" s="16">
        <f>IF(IF(1000=0,0,((AT41*$C$10)*Drivers!$AX$7)/1000)=0,0,AT61/IF(1000=0,0,((AT41*$C$10)*Drivers!$AX$7)/1000))</f>
        <v/>
      </c>
      <c r="AU48" s="16">
        <f>IF(IF(1000=0,0,((AU41*$C$10)*Drivers!$AY$7)/1000)=0,0,AU61/IF(1000=0,0,((AU41*$C$10)*Drivers!$AY$7)/1000))</f>
        <v/>
      </c>
      <c r="AV48" s="16">
        <f>IF(IF(1000=0,0,((AV41*$C$10)*Drivers!$AZ$7)/1000)=0,0,AV61/IF(1000=0,0,((AV41*$C$10)*Drivers!$AZ$7)/1000))</f>
        <v/>
      </c>
      <c r="AW48" s="16">
        <f>IF(IF(1000=0,0,((AW41*$C$10)*Drivers!$BA$7)/1000)=0,0,AW61/IF(1000=0,0,((AW41*$C$10)*Drivers!$BA$7)/1000))</f>
        <v/>
      </c>
      <c r="AX48" s="16">
        <f>IF(IF(1000=0,0,((AX41*$C$10)*Drivers!$BB$7)/1000)=0,0,AX61/IF(1000=0,0,((AX41*$C$10)*Drivers!$BB$7)/1000))</f>
        <v/>
      </c>
      <c r="AY48" s="16">
        <f>IF(IF(1000=0,0,((AY41*$C$10)*Drivers!$BC$7)/1000)=0,0,AY61/IF(1000=0,0,((AY41*$C$10)*Drivers!$BC$7)/1000))</f>
        <v/>
      </c>
      <c r="AZ48" s="16">
        <f>IF(IF(1000=0,0,((AZ41*$C$10)*Drivers!$BD$7)/1000)=0,0,AZ61/IF(1000=0,0,((AZ41*$C$10)*Drivers!$BD$7)/1000))</f>
        <v/>
      </c>
      <c r="BA48" s="16">
        <f>IF(IF(1000=0,0,((BA41*$C$10)*Drivers!$BE$7)/1000)=0,0,BA61/IF(1000=0,0,((BA41*$C$10)*Drivers!$BE$7)/1000))</f>
        <v/>
      </c>
      <c r="BB48" s="16">
        <f>IF(IF(1000=0,0,((BB41*$C$10)*Drivers!$BF$7)/1000)=0,0,BB61/IF(1000=0,0,((BB41*$C$10)*Drivers!$BF$7)/1000))</f>
        <v/>
      </c>
      <c r="BC48" s="16">
        <f>IF(IF(1000=0,0,((BC41*$C$10)*Drivers!$BG$7)/1000)=0,0,BC61/IF(1000=0,0,((BC41*$C$10)*Drivers!$BG$7)/1000))</f>
        <v/>
      </c>
      <c r="BD48" s="16">
        <f>IF(IF(1000=0,0,((BD41*$C$10)*Drivers!$BH$7)/1000)=0,0,BD61/IF(1000=0,0,((BD41*$C$10)*Drivers!$BH$7)/1000))</f>
        <v/>
      </c>
      <c r="BE48" s="16">
        <f>IF(IF(1000=0,0,((BE41*$C$10)*Drivers!$BI$7)/1000)=0,0,BE61/IF(1000=0,0,((BE41*$C$10)*Drivers!$BI$7)/1000))</f>
        <v/>
      </c>
      <c r="BF48" s="16">
        <f>IF(IF(1000=0,0,((BF41*$C$10)*Drivers!$BJ$7)/1000)=0,0,BF61/IF(1000=0,0,((BF41*$C$10)*Drivers!$BJ$7)/1000))</f>
        <v/>
      </c>
      <c r="BG48" s="16">
        <f>IF(IF(1000=0,0,((BG41*$C$10)*Drivers!$BK$7)/1000)=0,0,BG61/IF(1000=0,0,((BG41*$C$10)*Drivers!$BK$7)/1000))</f>
        <v/>
      </c>
      <c r="BH48" s="16">
        <f>IF(IF(1000=0,0,((BH41*$C$10)*Drivers!$BL$7)/1000)=0,0,BH61/IF(1000=0,0,((BH41*$C$10)*Drivers!$BL$7)/1000))</f>
        <v/>
      </c>
      <c r="BI48" s="16">
        <f>IF(IF(1000=0,0,((BI41*$C$10)*Drivers!$BM$7)/1000)=0,0,BI61/IF(1000=0,0,((BI41*$C$10)*Drivers!$BM$7)/1000))</f>
        <v/>
      </c>
      <c r="BJ48" s="16">
        <f>IF(IF(1000=0,0,((BJ41*$C$10)*Drivers!$BN$7)/1000)=0,0,BJ61/IF(1000=0,0,((BJ41*$C$10)*Drivers!$BN$7)/1000))</f>
        <v/>
      </c>
      <c r="BK48" s="16">
        <f>IF(IF(1000=0,0,((BK41*$C$10)*Drivers!$BO$7)/1000)=0,0,BK61/IF(1000=0,0,((BK41*$C$10)*Drivers!$BO$7)/1000))</f>
        <v/>
      </c>
      <c r="BL48" s="16">
        <f>IF(IF(1000=0,0,((BL41*$C$10)*Drivers!$BP$7)/1000)=0,0,BL61/IF(1000=0,0,((BL41*$C$10)*Drivers!$BP$7)/1000))</f>
        <v/>
      </c>
      <c r="BM48" s="16">
        <f>IF(IF(1000=0,0,((BM41*$C$10)*Drivers!$BQ$7)/1000)=0,0,BM61/IF(1000=0,0,((BM41*$C$10)*Drivers!$BQ$7)/1000))</f>
        <v/>
      </c>
      <c r="BN48" s="16">
        <f>IF(IF(1000=0,0,((BN41*$C$10)*Drivers!$BR$7)/1000)=0,0,BN61/IF(1000=0,0,((BN41*$C$10)*Drivers!$BR$7)/1000))</f>
        <v/>
      </c>
      <c r="BO48" s="16">
        <f>IF(IF(1000=0,0,((BO41*$C$10)*Drivers!$BS$7)/1000)=0,0,BO61/IF(1000=0,0,((BO41*$C$10)*Drivers!$BS$7)/1000))</f>
        <v/>
      </c>
      <c r="BP48" s="16">
        <f>IF(IF(1000=0,0,((BP41*$C$10)*Drivers!$BT$7)/1000)=0,0,BP61/IF(1000=0,0,((BP41*$C$10)*Drivers!$BT$7)/1000))</f>
        <v/>
      </c>
      <c r="BQ48" s="16">
        <f>IF(IF(1000=0,0,((BQ41*$C$10)*Drivers!$BU$7)/1000)=0,0,BQ61/IF(1000=0,0,((BQ41*$C$10)*Drivers!$BU$7)/1000))</f>
        <v/>
      </c>
      <c r="BR48" s="16">
        <f>IF(IF(1000=0,0,((BR41*$C$10)*Drivers!$BV$7)/1000)=0,0,BR61/IF(1000=0,0,((BR41*$C$10)*Drivers!$BV$7)/1000))</f>
        <v/>
      </c>
      <c r="BS48" s="16">
        <f>IF(IF(1000=0,0,((BS41*$C$10)*Drivers!$BW$7)/1000)=0,0,BS61/IF(1000=0,0,((BS41*$C$10)*Drivers!$BW$7)/1000))</f>
        <v/>
      </c>
      <c r="BT48" s="16">
        <f>IF(IF(1000=0,0,((BT41*$C$10)*Drivers!$BX$7)/1000)=0,0,BT61/IF(1000=0,0,((BT41*$C$10)*Drivers!$BX$7)/1000))</f>
        <v/>
      </c>
      <c r="BU48" s="16">
        <f>IF(IF(1000=0,0,((BU41*$C$10)*Drivers!$BY$7)/1000)=0,0,BU61/IF(1000=0,0,((BU41*$C$10)*Drivers!$BY$7)/1000))</f>
        <v/>
      </c>
      <c r="BV48" s="16">
        <f>IF(IF(1000=0,0,((BV41*$C$10)*Drivers!$BZ$7)/1000)=0,0,BV61/IF(1000=0,0,((BV41*$C$10)*Drivers!$BZ$7)/1000))</f>
        <v/>
      </c>
      <c r="BW48" s="16">
        <f>IF(IF(1000=0,0,((BW41*$C$10)*Drivers!$CA$7)/1000)=0,0,BW61/IF(1000=0,0,((BW41*$C$10)*Drivers!$CA$7)/1000))</f>
        <v/>
      </c>
      <c r="BX48" s="16">
        <f>IF(IF(1000=0,0,((BX41*$C$10)*Drivers!$CB$7)/1000)=0,0,BX61/IF(1000=0,0,((BX41*$C$10)*Drivers!$CB$7)/1000))</f>
        <v/>
      </c>
      <c r="BY48" s="16">
        <f>IF(IF(1000=0,0,((BY41*$C$10)*Drivers!$CC$7)/1000)=0,0,BY61/IF(1000=0,0,((BY41*$C$10)*Drivers!$CC$7)/1000))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6">
        <f>IF(IF(1000=0,0,((H41*$C$10)*Drivers!$L$7)/1000)=0,0,(H53+H52)/IF(1000=0,0,((H41*$C$10)*Drivers!$L$7)/1000))</f>
        <v/>
      </c>
      <c r="I49" s="16">
        <f>IF(IF(1000=0,0,((I41*$C$10)*Drivers!$M$7)/1000)=0,0,(I53+I52)/IF(1000=0,0,((I41*$C$10)*Drivers!$M$7)/1000))</f>
        <v/>
      </c>
      <c r="J49" s="16">
        <f>IF(IF(1000=0,0,((J41*$C$10)*Drivers!$N$7)/1000)=0,0,(J53+J52)/IF(1000=0,0,((J41*$C$10)*Drivers!$N$7)/1000))</f>
        <v/>
      </c>
      <c r="K49" s="16">
        <f>IF(IF(1000=0,0,((K41*$C$10)*Drivers!$O$7)/1000)=0,0,(K53+K52)/IF(1000=0,0,((K41*$C$10)*Drivers!$O$7)/1000))</f>
        <v/>
      </c>
      <c r="L49" s="16">
        <f>IF(IF(1000=0,0,((L41*$C$10)*Drivers!$P$7)/1000)=0,0,(L53+L52)/IF(1000=0,0,((L41*$C$10)*Drivers!$P$7)/1000))</f>
        <v/>
      </c>
      <c r="M49" s="16">
        <f>IF(IF(1000=0,0,((M41*$C$10)*Drivers!$Q$7)/1000)=0,0,(M53+M52)/IF(1000=0,0,((M41*$C$10)*Drivers!$Q$7)/1000))</f>
        <v/>
      </c>
      <c r="N49" s="16">
        <f>IF(IF(1000=0,0,((N41*$C$10)*Drivers!$R$7)/1000)=0,0,(N53+N52)/IF(1000=0,0,((N41*$C$10)*Drivers!$R$7)/1000))</f>
        <v/>
      </c>
      <c r="O49" s="16">
        <f>IF(IF(1000=0,0,((O41*$C$10)*Drivers!$S$7)/1000)=0,0,(O53+O52)/IF(1000=0,0,((O41*$C$10)*Drivers!$S$7)/1000))</f>
        <v/>
      </c>
      <c r="P49" s="16">
        <f>IF(IF(1000=0,0,((P41*$C$10)*Drivers!$T$7)/1000)=0,0,(P53+P52)/IF(1000=0,0,((P41*$C$10)*Drivers!$T$7)/1000))</f>
        <v/>
      </c>
      <c r="Q49" s="16">
        <f>IF(IF(1000=0,0,((Q41*$C$10)*Drivers!$U$7)/1000)=0,0,(Q53+Q52)/IF(1000=0,0,((Q41*$C$10)*Drivers!$U$7)/1000))</f>
        <v/>
      </c>
      <c r="R49" s="16">
        <f>IF(IF(1000=0,0,((R41*$C$10)*Drivers!$V$7)/1000)=0,0,(R53+R52)/IF(1000=0,0,((R41*$C$10)*Drivers!$V$7)/1000))</f>
        <v/>
      </c>
      <c r="S49" s="16">
        <f>IF(IF(1000=0,0,((S41*$C$10)*Drivers!$W$7)/1000)=0,0,(S53+S52)/IF(1000=0,0,((S41*$C$10)*Drivers!$W$7)/1000))</f>
        <v/>
      </c>
      <c r="T49" s="16">
        <f>IF(IF(1000=0,0,((T41*$C$10)*Drivers!$X$7)/1000)=0,0,(T53+T52)/IF(1000=0,0,((T41*$C$10)*Drivers!$X$7)/1000))</f>
        <v/>
      </c>
      <c r="U49" s="16">
        <f>IF(IF(1000=0,0,((U41*$C$10)*Drivers!$Y$7)/1000)=0,0,(U53+U52)/IF(1000=0,0,((U41*$C$10)*Drivers!$Y$7)/1000))</f>
        <v/>
      </c>
      <c r="V49" s="16">
        <f>IF(IF(1000=0,0,((V41*$C$10)*Drivers!$Z$7)/1000)=0,0,(V53+V52)/IF(1000=0,0,((V41*$C$10)*Drivers!$Z$7)/1000))</f>
        <v/>
      </c>
      <c r="W49" s="16">
        <f>IF(IF(1000=0,0,((W41*$C$10)*Drivers!$AA$7)/1000)=0,0,(W53+W52)/IF(1000=0,0,((W41*$C$10)*Drivers!$AA$7)/1000))</f>
        <v/>
      </c>
      <c r="X49" s="16">
        <f>IF(IF(1000=0,0,((X41*$C$10)*Drivers!$AB$7)/1000)=0,0,(X53+X52)/IF(1000=0,0,((X41*$C$10)*Drivers!$AB$7)/1000))</f>
        <v/>
      </c>
      <c r="Y49" s="16">
        <f>IF(IF(1000=0,0,((Y41*$C$10)*Drivers!$AC$7)/1000)=0,0,(Y53+Y52)/IF(1000=0,0,((Y41*$C$10)*Drivers!$AC$7)/1000))</f>
        <v/>
      </c>
      <c r="Z49" s="16">
        <f>IF(IF(1000=0,0,((Z41*$C$10)*Drivers!$AD$7)/1000)=0,0,(Z53+Z52)/IF(1000=0,0,((Z41*$C$10)*Drivers!$AD$7)/1000))</f>
        <v/>
      </c>
      <c r="AA49" s="16">
        <f>IF(IF(1000=0,0,((AA41*$C$10)*Drivers!$AE$7)/1000)=0,0,(AA53+AA52)/IF(1000=0,0,((AA41*$C$10)*Drivers!$AE$7)/1000))</f>
        <v/>
      </c>
      <c r="AB49" s="16">
        <f>IF(IF(1000=0,0,((AB41*$C$10)*Drivers!$AF$7)/1000)=0,0,(AB53+AB52)/IF(1000=0,0,((AB41*$C$10)*Drivers!$AF$7)/1000))</f>
        <v/>
      </c>
      <c r="AC49" s="16">
        <f>IF(IF(1000=0,0,((AC41*$C$10)*Drivers!$AG$7)/1000)=0,0,(AC53+AC52)/IF(1000=0,0,((AC41*$C$10)*Drivers!$AG$7)/1000))</f>
        <v/>
      </c>
      <c r="AD49" s="16">
        <f>IF(IF(1000=0,0,((AD41*$C$10)*Drivers!$AH$7)/1000)=0,0,(AD53+AD52)/IF(1000=0,0,((AD41*$C$10)*Drivers!$AH$7)/1000))</f>
        <v/>
      </c>
      <c r="AE49" s="16">
        <f>IF(IF(1000=0,0,((AE41*$C$10)*Drivers!$AI$7)/1000)=0,0,(AE53+AE52)/IF(1000=0,0,((AE41*$C$10)*Drivers!$AI$7)/1000))</f>
        <v/>
      </c>
      <c r="AF49" s="16">
        <f>IF(IF(1000=0,0,((AF41*$C$10)*Drivers!$AJ$7)/1000)=0,0,(AF53+AF52)/IF(1000=0,0,((AF41*$C$10)*Drivers!$AJ$7)/1000))</f>
        <v/>
      </c>
      <c r="AG49" s="16">
        <f>IF(IF(1000=0,0,((AG41*$C$10)*Drivers!$AK$7)/1000)=0,0,(AG53+AG52)/IF(1000=0,0,((AG41*$C$10)*Drivers!$AK$7)/1000))</f>
        <v/>
      </c>
      <c r="AH49" s="16">
        <f>IF(IF(1000=0,0,((AH41*$C$10)*Drivers!$AL$7)/1000)=0,0,(AH53+AH52)/IF(1000=0,0,((AH41*$C$10)*Drivers!$AL$7)/1000))</f>
        <v/>
      </c>
      <c r="AI49" s="16">
        <f>IF(IF(1000=0,0,((AI41*$C$10)*Drivers!$AM$7)/1000)=0,0,(AI53+AI52)/IF(1000=0,0,((AI41*$C$10)*Drivers!$AM$7)/1000))</f>
        <v/>
      </c>
      <c r="AJ49" s="16">
        <f>IF(IF(1000=0,0,((AJ41*$C$10)*Drivers!$AN$7)/1000)=0,0,(AJ53+AJ52)/IF(1000=0,0,((AJ41*$C$10)*Drivers!$AN$7)/1000))</f>
        <v/>
      </c>
      <c r="AK49" s="16">
        <f>IF(IF(1000=0,0,((AK41*$C$10)*Drivers!$AO$7)/1000)=0,0,(AK53+AK52)/IF(1000=0,0,((AK41*$C$10)*Drivers!$AO$7)/1000))</f>
        <v/>
      </c>
      <c r="AL49" s="16">
        <f>IF(IF(1000=0,0,((AL41*$C$10)*Drivers!$AP$7)/1000)=0,0,(AL53+AL52)/IF(1000=0,0,((AL41*$C$10)*Drivers!$AP$7)/1000))</f>
        <v/>
      </c>
      <c r="AM49" s="16">
        <f>IF(IF(1000=0,0,((AM41*$C$10)*Drivers!$AQ$7)/1000)=0,0,(AM53+AM52)/IF(1000=0,0,((AM41*$C$10)*Drivers!$AQ$7)/1000))</f>
        <v/>
      </c>
      <c r="AN49" s="16">
        <f>IF(IF(1000=0,0,((AN41*$C$10)*Drivers!$AR$7)/1000)=0,0,(AN53+AN52)/IF(1000=0,0,((AN41*$C$10)*Drivers!$AR$7)/1000))</f>
        <v/>
      </c>
      <c r="AO49" s="16">
        <f>IF(IF(1000=0,0,((AO41*$C$10)*Drivers!$AS$7)/1000)=0,0,(AO53+AO52)/IF(1000=0,0,((AO41*$C$10)*Drivers!$AS$7)/1000))</f>
        <v/>
      </c>
      <c r="AP49" s="16">
        <f>IF(IF(1000=0,0,((AP41*$C$10)*Drivers!$AT$7)/1000)=0,0,(AP53+AP52)/IF(1000=0,0,((AP41*$C$10)*Drivers!$AT$7)/1000))</f>
        <v/>
      </c>
      <c r="AQ49" s="16">
        <f>IF(IF(1000=0,0,((AQ41*$C$10)*Drivers!$AU$7)/1000)=0,0,(AQ53+AQ52)/IF(1000=0,0,((AQ41*$C$10)*Drivers!$AU$7)/1000))</f>
        <v/>
      </c>
      <c r="AR49" s="16">
        <f>IF(IF(1000=0,0,((AR41*$C$10)*Drivers!$AV$7)/1000)=0,0,(AR53+AR52)/IF(1000=0,0,((AR41*$C$10)*Drivers!$AV$7)/1000))</f>
        <v/>
      </c>
      <c r="AS49" s="16">
        <f>IF(IF(1000=0,0,((AS41*$C$10)*Drivers!$AW$7)/1000)=0,0,(AS53+AS52)/IF(1000=0,0,((AS41*$C$10)*Drivers!$AW$7)/1000))</f>
        <v/>
      </c>
      <c r="AT49" s="16">
        <f>IF(IF(1000=0,0,((AT41*$C$10)*Drivers!$AX$7)/1000)=0,0,(AT53+AT52)/IF(1000=0,0,((AT41*$C$10)*Drivers!$AX$7)/1000))</f>
        <v/>
      </c>
      <c r="AU49" s="16">
        <f>IF(IF(1000=0,0,((AU41*$C$10)*Drivers!$AY$7)/1000)=0,0,(AU53+AU52)/IF(1000=0,0,((AU41*$C$10)*Drivers!$AY$7)/1000))</f>
        <v/>
      </c>
      <c r="AV49" s="16">
        <f>IF(IF(1000=0,0,((AV41*$C$10)*Drivers!$AZ$7)/1000)=0,0,(AV53+AV52)/IF(1000=0,0,((AV41*$C$10)*Drivers!$AZ$7)/1000))</f>
        <v/>
      </c>
      <c r="AW49" s="16">
        <f>IF(IF(1000=0,0,((AW41*$C$10)*Drivers!$BA$7)/1000)=0,0,(AW53+AW52)/IF(1000=0,0,((AW41*$C$10)*Drivers!$BA$7)/1000))</f>
        <v/>
      </c>
      <c r="AX49" s="16">
        <f>IF(IF(1000=0,0,((AX41*$C$10)*Drivers!$BB$7)/1000)=0,0,(AX53+AX52)/IF(1000=0,0,((AX41*$C$10)*Drivers!$BB$7)/1000))</f>
        <v/>
      </c>
      <c r="AY49" s="16">
        <f>IF(IF(1000=0,0,((AY41*$C$10)*Drivers!$BC$7)/1000)=0,0,(AY53+AY52)/IF(1000=0,0,((AY41*$C$10)*Drivers!$BC$7)/1000))</f>
        <v/>
      </c>
      <c r="AZ49" s="16">
        <f>IF(IF(1000=0,0,((AZ41*$C$10)*Drivers!$BD$7)/1000)=0,0,(AZ53+AZ52)/IF(1000=0,0,((AZ41*$C$10)*Drivers!$BD$7)/1000))</f>
        <v/>
      </c>
      <c r="BA49" s="16">
        <f>IF(IF(1000=0,0,((BA41*$C$10)*Drivers!$BE$7)/1000)=0,0,(BA53+BA52)/IF(1000=0,0,((BA41*$C$10)*Drivers!$BE$7)/1000))</f>
        <v/>
      </c>
      <c r="BB49" s="16">
        <f>IF(IF(1000=0,0,((BB41*$C$10)*Drivers!$BF$7)/1000)=0,0,(BB53+BB52)/IF(1000=0,0,((BB41*$C$10)*Drivers!$BF$7)/1000))</f>
        <v/>
      </c>
      <c r="BC49" s="16">
        <f>IF(IF(1000=0,0,((BC41*$C$10)*Drivers!$BG$7)/1000)=0,0,(BC53+BC52)/IF(1000=0,0,((BC41*$C$10)*Drivers!$BG$7)/1000))</f>
        <v/>
      </c>
      <c r="BD49" s="16">
        <f>IF(IF(1000=0,0,((BD41*$C$10)*Drivers!$BH$7)/1000)=0,0,(BD53+BD52)/IF(1000=0,0,((BD41*$C$10)*Drivers!$BH$7)/1000))</f>
        <v/>
      </c>
      <c r="BE49" s="16">
        <f>IF(IF(1000=0,0,((BE41*$C$10)*Drivers!$BI$7)/1000)=0,0,(BE53+BE52)/IF(1000=0,0,((BE41*$C$10)*Drivers!$BI$7)/1000))</f>
        <v/>
      </c>
      <c r="BF49" s="16">
        <f>IF(IF(1000=0,0,((BF41*$C$10)*Drivers!$BJ$7)/1000)=0,0,(BF53+BF52)/IF(1000=0,0,((BF41*$C$10)*Drivers!$BJ$7)/1000))</f>
        <v/>
      </c>
      <c r="BG49" s="16">
        <f>IF(IF(1000=0,0,((BG41*$C$10)*Drivers!$BK$7)/1000)=0,0,(BG53+BG52)/IF(1000=0,0,((BG41*$C$10)*Drivers!$BK$7)/1000))</f>
        <v/>
      </c>
      <c r="BH49" s="16">
        <f>IF(IF(1000=0,0,((BH41*$C$10)*Drivers!$BL$7)/1000)=0,0,(BH53+BH52)/IF(1000=0,0,((BH41*$C$10)*Drivers!$BL$7)/1000))</f>
        <v/>
      </c>
      <c r="BI49" s="16">
        <f>IF(IF(1000=0,0,((BI41*$C$10)*Drivers!$BM$7)/1000)=0,0,(BI53+BI52)/IF(1000=0,0,((BI41*$C$10)*Drivers!$BM$7)/1000))</f>
        <v/>
      </c>
      <c r="BJ49" s="16">
        <f>IF(IF(1000=0,0,((BJ41*$C$10)*Drivers!$BN$7)/1000)=0,0,(BJ53+BJ52)/IF(1000=0,0,((BJ41*$C$10)*Drivers!$BN$7)/1000))</f>
        <v/>
      </c>
      <c r="BK49" s="16">
        <f>IF(IF(1000=0,0,((BK41*$C$10)*Drivers!$BO$7)/1000)=0,0,(BK53+BK52)/IF(1000=0,0,((BK41*$C$10)*Drivers!$BO$7)/1000))</f>
        <v/>
      </c>
      <c r="BL49" s="16">
        <f>IF(IF(1000=0,0,((BL41*$C$10)*Drivers!$BP$7)/1000)=0,0,(BL53+BL52)/IF(1000=0,0,((BL41*$C$10)*Drivers!$BP$7)/1000))</f>
        <v/>
      </c>
      <c r="BM49" s="16">
        <f>IF(IF(1000=0,0,((BM41*$C$10)*Drivers!$BQ$7)/1000)=0,0,(BM53+BM52)/IF(1000=0,0,((BM41*$C$10)*Drivers!$BQ$7)/1000))</f>
        <v/>
      </c>
      <c r="BN49" s="16">
        <f>IF(IF(1000=0,0,((BN41*$C$10)*Drivers!$BR$7)/1000)=0,0,(BN53+BN52)/IF(1000=0,0,((BN41*$C$10)*Drivers!$BR$7)/1000))</f>
        <v/>
      </c>
      <c r="BO49" s="16">
        <f>IF(IF(1000=0,0,((BO41*$C$10)*Drivers!$BS$7)/1000)=0,0,(BO53+BO52)/IF(1000=0,0,((BO41*$C$10)*Drivers!$BS$7)/1000))</f>
        <v/>
      </c>
      <c r="BP49" s="16">
        <f>IF(IF(1000=0,0,((BP41*$C$10)*Drivers!$BT$7)/1000)=0,0,(BP53+BP52)/IF(1000=0,0,((BP41*$C$10)*Drivers!$BT$7)/1000))</f>
        <v/>
      </c>
      <c r="BQ49" s="16">
        <f>IF(IF(1000=0,0,((BQ41*$C$10)*Drivers!$BU$7)/1000)=0,0,(BQ53+BQ52)/IF(1000=0,0,((BQ41*$C$10)*Drivers!$BU$7)/1000))</f>
        <v/>
      </c>
      <c r="BR49" s="16">
        <f>IF(IF(1000=0,0,((BR41*$C$10)*Drivers!$BV$7)/1000)=0,0,(BR53+BR52)/IF(1000=0,0,((BR41*$C$10)*Drivers!$BV$7)/1000))</f>
        <v/>
      </c>
      <c r="BS49" s="16">
        <f>IF(IF(1000=0,0,((BS41*$C$10)*Drivers!$BW$7)/1000)=0,0,(BS53+BS52)/IF(1000=0,0,((BS41*$C$10)*Drivers!$BW$7)/1000))</f>
        <v/>
      </c>
      <c r="BT49" s="16">
        <f>IF(IF(1000=0,0,((BT41*$C$10)*Drivers!$BX$7)/1000)=0,0,(BT53+BT52)/IF(1000=0,0,((BT41*$C$10)*Drivers!$BX$7)/1000))</f>
        <v/>
      </c>
      <c r="BU49" s="16">
        <f>IF(IF(1000=0,0,((BU41*$C$10)*Drivers!$BY$7)/1000)=0,0,(BU53+BU52)/IF(1000=0,0,((BU41*$C$10)*Drivers!$BY$7)/1000))</f>
        <v/>
      </c>
      <c r="BV49" s="16">
        <f>IF(IF(1000=0,0,((BV41*$C$10)*Drivers!$BZ$7)/1000)=0,0,(BV53+BV52)/IF(1000=0,0,((BV41*$C$10)*Drivers!$BZ$7)/1000))</f>
        <v/>
      </c>
      <c r="BW49" s="16">
        <f>IF(IF(1000=0,0,((BW41*$C$10)*Drivers!$CA$7)/1000)=0,0,(BW53+BW52)/IF(1000=0,0,((BW41*$C$10)*Drivers!$CA$7)/1000))</f>
        <v/>
      </c>
      <c r="BX49" s="16">
        <f>IF(IF(1000=0,0,((BX41*$C$10)*Drivers!$CB$7)/1000)=0,0,(BX53+BX52)/IF(1000=0,0,((BX41*$C$10)*Drivers!$CB$7)/1000))</f>
        <v/>
      </c>
      <c r="BY49" s="16">
        <f>IF(IF(1000=0,0,((BY41*$C$10)*Drivers!$CC$7)/1000)=0,0,(BY53+BY52)/IF(1000=0,0,((BY41*$C$10)*Drivers!$CC$7)/1000))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31">
        <f>IF(1000=0,0,(((H41*H43)*$C$10)*Drivers!$L$7)/1000)</f>
        <v/>
      </c>
      <c r="I50" s="31">
        <f>IF(1000=0,0,(((I41*I43)*$C$10)*Drivers!$M$7)/1000)</f>
        <v/>
      </c>
      <c r="J50" s="31">
        <f>IF(1000=0,0,(((J41*J43)*$C$10)*Drivers!$N$7)/1000)</f>
        <v/>
      </c>
      <c r="K50" s="31">
        <f>IF(1000=0,0,(((K41*K43)*$C$10)*Drivers!$O$7)/1000)</f>
        <v/>
      </c>
      <c r="L50" s="31">
        <f>IF(1000=0,0,(((L41*L43)*$C$10)*Drivers!$P$7)/1000)</f>
        <v/>
      </c>
      <c r="M50" s="31">
        <f>IF(1000=0,0,(((M41*M43)*$C$10)*Drivers!$Q$7)/1000)</f>
        <v/>
      </c>
      <c r="N50" s="31">
        <f>IF(1000=0,0,(((N41*N43)*$C$10)*Drivers!$R$7)/1000)</f>
        <v/>
      </c>
      <c r="O50" s="31">
        <f>IF(1000=0,0,(((O41*O43)*$C$10)*Drivers!$S$7)/1000)</f>
        <v/>
      </c>
      <c r="P50" s="31">
        <f>IF(1000=0,0,(((P41*P43)*$C$10)*Drivers!$T$7)/1000)</f>
        <v/>
      </c>
      <c r="Q50" s="31">
        <f>IF(1000=0,0,(((Q41*Q43)*$C$10)*Drivers!$U$7)/1000)</f>
        <v/>
      </c>
      <c r="R50" s="31">
        <f>IF(1000=0,0,(((R41*R43)*$C$10)*Drivers!$V$7)/1000)</f>
        <v/>
      </c>
      <c r="S50" s="31">
        <f>IF(1000=0,0,(((S41*S43)*$C$10)*Drivers!$W$7)/1000)</f>
        <v/>
      </c>
      <c r="T50" s="31">
        <f>IF(1000=0,0,(((T41*T43)*$C$10)*Drivers!$X$7)/1000)</f>
        <v/>
      </c>
      <c r="U50" s="31">
        <f>IF(1000=0,0,(((U41*U43)*$C$10)*Drivers!$Y$7)/1000)</f>
        <v/>
      </c>
      <c r="V50" s="31">
        <f>IF(1000=0,0,(((V41*V43)*$C$10)*Drivers!$Z$7)/1000)</f>
        <v/>
      </c>
      <c r="W50" s="31">
        <f>IF(1000=0,0,(((W41*W43)*$C$10)*Drivers!$AA$7)/1000)</f>
        <v/>
      </c>
      <c r="X50" s="31">
        <f>IF(1000=0,0,(((X41*X43)*$C$10)*Drivers!$AB$7)/1000)</f>
        <v/>
      </c>
      <c r="Y50" s="31">
        <f>IF(1000=0,0,(((Y41*Y43)*$C$10)*Drivers!$AC$7)/1000)</f>
        <v/>
      </c>
      <c r="Z50" s="31">
        <f>IF(1000=0,0,(((Z41*Z43)*$C$10)*Drivers!$AD$7)/1000)</f>
        <v/>
      </c>
      <c r="AA50" s="31">
        <f>IF(1000=0,0,(((AA41*AA43)*$C$10)*Drivers!$AE$7)/1000)</f>
        <v/>
      </c>
      <c r="AB50" s="31">
        <f>IF(1000=0,0,(((AB41*AB43)*$C$10)*Drivers!$AF$7)/1000)</f>
        <v/>
      </c>
      <c r="AC50" s="31">
        <f>IF(1000=0,0,(((AC41*AC43)*$C$10)*Drivers!$AG$7)/1000)</f>
        <v/>
      </c>
      <c r="AD50" s="31">
        <f>IF(1000=0,0,(((AD41*AD43)*$C$10)*Drivers!$AH$7)/1000)</f>
        <v/>
      </c>
      <c r="AE50" s="31">
        <f>IF(1000=0,0,(((AE41*AE43)*$C$10)*Drivers!$AI$7)/1000)</f>
        <v/>
      </c>
      <c r="AF50" s="31">
        <f>IF(1000=0,0,(((AF41*AF43)*$C$10)*Drivers!$AJ$7)/1000)</f>
        <v/>
      </c>
      <c r="AG50" s="31">
        <f>IF(1000=0,0,(((AG41*AG43)*$C$10)*Drivers!$AK$7)/1000)</f>
        <v/>
      </c>
      <c r="AH50" s="31">
        <f>IF(1000=0,0,(((AH41*AH43)*$C$10)*Drivers!$AL$7)/1000)</f>
        <v/>
      </c>
      <c r="AI50" s="31">
        <f>IF(1000=0,0,(((AI41*AI43)*$C$10)*Drivers!$AM$7)/1000)</f>
        <v/>
      </c>
      <c r="AJ50" s="31">
        <f>IF(1000=0,0,(((AJ41*AJ43)*$C$10)*Drivers!$AN$7)/1000)</f>
        <v/>
      </c>
      <c r="AK50" s="31">
        <f>IF(1000=0,0,(((AK41*AK43)*$C$10)*Drivers!$AO$7)/1000)</f>
        <v/>
      </c>
      <c r="AL50" s="31">
        <f>IF(1000=0,0,(((AL41*AL43)*$C$10)*Drivers!$AP$7)/1000)</f>
        <v/>
      </c>
      <c r="AM50" s="31">
        <f>IF(1000=0,0,(((AM41*AM43)*$C$10)*Drivers!$AQ$7)/1000)</f>
        <v/>
      </c>
      <c r="AN50" s="31">
        <f>IF(1000=0,0,(((AN41*AN43)*$C$10)*Drivers!$AR$7)/1000)</f>
        <v/>
      </c>
      <c r="AO50" s="31">
        <f>IF(1000=0,0,(((AO41*AO43)*$C$10)*Drivers!$AS$7)/1000)</f>
        <v/>
      </c>
      <c r="AP50" s="31">
        <f>IF(1000=0,0,(((AP41*AP43)*$C$10)*Drivers!$AT$7)/1000)</f>
        <v/>
      </c>
      <c r="AQ50" s="31">
        <f>IF(1000=0,0,(((AQ41*AQ43)*$C$10)*Drivers!$AU$7)/1000)</f>
        <v/>
      </c>
      <c r="AR50" s="31">
        <f>IF(1000=0,0,(((AR41*AR43)*$C$10)*Drivers!$AV$7)/1000)</f>
        <v/>
      </c>
      <c r="AS50" s="31">
        <f>IF(1000=0,0,(((AS41*AS43)*$C$10)*Drivers!$AW$7)/1000)</f>
        <v/>
      </c>
      <c r="AT50" s="31">
        <f>IF(1000=0,0,(((AT41*AT43)*$C$10)*Drivers!$AX$7)/1000)</f>
        <v/>
      </c>
      <c r="AU50" s="31">
        <f>IF(1000=0,0,(((AU41*AU43)*$C$10)*Drivers!$AY$7)/1000)</f>
        <v/>
      </c>
      <c r="AV50" s="31">
        <f>IF(1000=0,0,(((AV41*AV43)*$C$10)*Drivers!$AZ$7)/1000)</f>
        <v/>
      </c>
      <c r="AW50" s="31">
        <f>IF(1000=0,0,(((AW41*AW43)*$C$10)*Drivers!$BA$7)/1000)</f>
        <v/>
      </c>
      <c r="AX50" s="31">
        <f>IF(1000=0,0,(((AX41*AX43)*$C$10)*Drivers!$BB$7)/1000)</f>
        <v/>
      </c>
      <c r="AY50" s="31">
        <f>IF(1000=0,0,(((AY41*AY43)*$C$10)*Drivers!$BC$7)/1000)</f>
        <v/>
      </c>
      <c r="AZ50" s="31">
        <f>IF(1000=0,0,(((AZ41*AZ43)*$C$10)*Drivers!$BD$7)/1000)</f>
        <v/>
      </c>
      <c r="BA50" s="31">
        <f>IF(1000=0,0,(((BA41*BA43)*$C$10)*Drivers!$BE$7)/1000)</f>
        <v/>
      </c>
      <c r="BB50" s="31">
        <f>IF(1000=0,0,(((BB41*BB43)*$C$10)*Drivers!$BF$7)/1000)</f>
        <v/>
      </c>
      <c r="BC50" s="31">
        <f>IF(1000=0,0,(((BC41*BC43)*$C$10)*Drivers!$BG$7)/1000)</f>
        <v/>
      </c>
      <c r="BD50" s="31">
        <f>IF(1000=0,0,(((BD41*BD43)*$C$10)*Drivers!$BH$7)/1000)</f>
        <v/>
      </c>
      <c r="BE50" s="31">
        <f>IF(1000=0,0,(((BE41*BE43)*$C$10)*Drivers!$BI$7)/1000)</f>
        <v/>
      </c>
      <c r="BF50" s="31">
        <f>IF(1000=0,0,(((BF41*BF43)*$C$10)*Drivers!$BJ$7)/1000)</f>
        <v/>
      </c>
      <c r="BG50" s="31">
        <f>IF(1000=0,0,(((BG41*BG43)*$C$10)*Drivers!$BK$7)/1000)</f>
        <v/>
      </c>
      <c r="BH50" s="31">
        <f>IF(1000=0,0,(((BH41*BH43)*$C$10)*Drivers!$BL$7)/1000)</f>
        <v/>
      </c>
      <c r="BI50" s="31">
        <f>IF(1000=0,0,(((BI41*BI43)*$C$10)*Drivers!$BM$7)/1000)</f>
        <v/>
      </c>
      <c r="BJ50" s="31">
        <f>IF(1000=0,0,(((BJ41*BJ43)*$C$10)*Drivers!$BN$7)/1000)</f>
        <v/>
      </c>
      <c r="BK50" s="31">
        <f>IF(1000=0,0,(((BK41*BK43)*$C$10)*Drivers!$BO$7)/1000)</f>
        <v/>
      </c>
      <c r="BL50" s="31">
        <f>IF(1000=0,0,(((BL41*BL43)*$C$10)*Drivers!$BP$7)/1000)</f>
        <v/>
      </c>
      <c r="BM50" s="31">
        <f>IF(1000=0,0,(((BM41*BM43)*$C$10)*Drivers!$BQ$7)/1000)</f>
        <v/>
      </c>
      <c r="BN50" s="31">
        <f>IF(1000=0,0,(((BN41*BN43)*$C$10)*Drivers!$BR$7)/1000)</f>
        <v/>
      </c>
      <c r="BO50" s="31">
        <f>IF(1000=0,0,(((BO41*BO43)*$C$10)*Drivers!$BS$7)/1000)</f>
        <v/>
      </c>
      <c r="BP50" s="31">
        <f>IF(1000=0,0,(((BP41*BP43)*$C$10)*Drivers!$BT$7)/1000)</f>
        <v/>
      </c>
      <c r="BQ50" s="31">
        <f>IF(1000=0,0,(((BQ41*BQ43)*$C$10)*Drivers!$BU$7)/1000)</f>
        <v/>
      </c>
      <c r="BR50" s="31">
        <f>IF(1000=0,0,(((BR41*BR43)*$C$10)*Drivers!$BV$7)/1000)</f>
        <v/>
      </c>
      <c r="BS50" s="31">
        <f>IF(1000=0,0,(((BS41*BS43)*$C$10)*Drivers!$BW$7)/1000)</f>
        <v/>
      </c>
      <c r="BT50" s="31">
        <f>IF(1000=0,0,(((BT41*BT43)*$C$10)*Drivers!$BX$7)/1000)</f>
        <v/>
      </c>
      <c r="BU50" s="31">
        <f>IF(1000=0,0,(((BU41*BU43)*$C$10)*Drivers!$BY$7)/1000)</f>
        <v/>
      </c>
      <c r="BV50" s="31">
        <f>IF(1000=0,0,(((BV41*BV43)*$C$10)*Drivers!$BZ$7)/1000)</f>
        <v/>
      </c>
      <c r="BW50" s="31">
        <f>IF(1000=0,0,(((BW41*BW43)*$C$10)*Drivers!$CA$7)/1000)</f>
        <v/>
      </c>
      <c r="BX50" s="31">
        <f>IF(1000=0,0,(((BX41*BX43)*$C$10)*Drivers!$CB$7)/1000)</f>
        <v/>
      </c>
      <c r="BY50" s="31">
        <f>IF(1000=0,0,(((BY41*BY43)*$C$10)*Drivers!$CC$7)/1000)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  <c r="P51" s="15">
        <f>P22</f>
        <v/>
      </c>
      <c r="Q51" s="15">
        <f>Q22</f>
        <v/>
      </c>
      <c r="R51" s="15">
        <f>R22</f>
        <v/>
      </c>
      <c r="S51" s="15">
        <f>S22</f>
        <v/>
      </c>
      <c r="T51" s="15">
        <f>T22</f>
        <v/>
      </c>
      <c r="U51" s="15">
        <f>U22</f>
        <v/>
      </c>
      <c r="V51" s="15">
        <f>V22</f>
        <v/>
      </c>
      <c r="W51" s="15">
        <f>W22</f>
        <v/>
      </c>
      <c r="X51" s="15">
        <f>X22</f>
        <v/>
      </c>
      <c r="Y51" s="15">
        <f>Y22</f>
        <v/>
      </c>
      <c r="Z51" s="15">
        <f>Z22</f>
        <v/>
      </c>
      <c r="AA51" s="15">
        <f>AA22</f>
        <v/>
      </c>
      <c r="AB51" s="15">
        <f>AB22</f>
        <v/>
      </c>
      <c r="AC51" s="15">
        <f>AC22</f>
        <v/>
      </c>
      <c r="AD51" s="15">
        <f>AD22</f>
        <v/>
      </c>
      <c r="AE51" s="15">
        <f>AE22</f>
        <v/>
      </c>
      <c r="AF51" s="15">
        <f>AF22</f>
        <v/>
      </c>
      <c r="AG51" s="15">
        <f>AG22</f>
        <v/>
      </c>
      <c r="AH51" s="15">
        <f>AH22</f>
        <v/>
      </c>
      <c r="AI51" s="15">
        <f>AI22</f>
        <v/>
      </c>
      <c r="AJ51" s="15">
        <f>AJ22</f>
        <v/>
      </c>
      <c r="AK51" s="15">
        <f>AK22</f>
        <v/>
      </c>
      <c r="AL51" s="15">
        <f>AL22</f>
        <v/>
      </c>
      <c r="AM51" s="15">
        <f>AM22</f>
        <v/>
      </c>
      <c r="AN51" s="15">
        <f>AN22</f>
        <v/>
      </c>
      <c r="AO51" s="15">
        <f>AO22</f>
        <v/>
      </c>
      <c r="AP51" s="15">
        <f>AP22</f>
        <v/>
      </c>
      <c r="AQ51" s="15">
        <f>AQ22</f>
        <v/>
      </c>
      <c r="AR51" s="15">
        <f>AR22</f>
        <v/>
      </c>
      <c r="AS51" s="15">
        <f>AS22</f>
        <v/>
      </c>
      <c r="AT51" s="15">
        <f>AT22</f>
        <v/>
      </c>
      <c r="AU51" s="15">
        <f>AU22</f>
        <v/>
      </c>
      <c r="AV51" s="15">
        <f>AV22</f>
        <v/>
      </c>
      <c r="AW51" s="15">
        <f>AW22</f>
        <v/>
      </c>
      <c r="AX51" s="15">
        <f>AX22</f>
        <v/>
      </c>
      <c r="AY51" s="15">
        <f>AY22</f>
        <v/>
      </c>
      <c r="AZ51" s="15">
        <f>AZ22</f>
        <v/>
      </c>
      <c r="BA51" s="15">
        <f>BA22</f>
        <v/>
      </c>
      <c r="BB51" s="15">
        <f>BB22</f>
        <v/>
      </c>
      <c r="BC51" s="15">
        <f>BC22</f>
        <v/>
      </c>
      <c r="BD51" s="15">
        <f>BD22</f>
        <v/>
      </c>
      <c r="BE51" s="15">
        <f>BE22</f>
        <v/>
      </c>
      <c r="BF51" s="15">
        <f>BF22</f>
        <v/>
      </c>
      <c r="BG51" s="15">
        <f>BG22</f>
        <v/>
      </c>
      <c r="BH51" s="15">
        <f>BH22</f>
        <v/>
      </c>
      <c r="BI51" s="15">
        <f>BI22</f>
        <v/>
      </c>
      <c r="BJ51" s="15">
        <f>BJ22</f>
        <v/>
      </c>
      <c r="BK51" s="15">
        <f>BK22</f>
        <v/>
      </c>
      <c r="BL51" s="15">
        <f>BL22</f>
        <v/>
      </c>
      <c r="BM51" s="15">
        <f>BM22</f>
        <v/>
      </c>
      <c r="BN51" s="15">
        <f>BN22</f>
        <v/>
      </c>
      <c r="BO51" s="15">
        <f>BO22</f>
        <v/>
      </c>
      <c r="BP51" s="15">
        <f>BP22</f>
        <v/>
      </c>
      <c r="BQ51" s="15">
        <f>BQ22</f>
        <v/>
      </c>
      <c r="BR51" s="15">
        <f>BR22</f>
        <v/>
      </c>
      <c r="BS51" s="15">
        <f>BS22</f>
        <v/>
      </c>
      <c r="BT51" s="15">
        <f>BT22</f>
        <v/>
      </c>
      <c r="BU51" s="15">
        <f>BU22</f>
        <v/>
      </c>
      <c r="BV51" s="15">
        <f>BV22</f>
        <v/>
      </c>
      <c r="BW51" s="15">
        <f>BW22</f>
        <v/>
      </c>
      <c r="BX51" s="15">
        <f>BX22</f>
        <v/>
      </c>
      <c r="BY51" s="15">
        <f>BY22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  <c r="P52" s="15">
        <f>(P50*P47)</f>
        <v/>
      </c>
      <c r="Q52" s="15">
        <f>(Q50*Q47)</f>
        <v/>
      </c>
      <c r="R52" s="15">
        <f>(R50*R47)</f>
        <v/>
      </c>
      <c r="S52" s="15">
        <f>(S50*S47)</f>
        <v/>
      </c>
      <c r="T52" s="15">
        <f>(T50*T47)</f>
        <v/>
      </c>
      <c r="U52" s="15">
        <f>(U50*U47)</f>
        <v/>
      </c>
      <c r="V52" s="15">
        <f>(V50*V47)</f>
        <v/>
      </c>
      <c r="W52" s="15">
        <f>(W50*W47)</f>
        <v/>
      </c>
      <c r="X52" s="15">
        <f>(X50*X47)</f>
        <v/>
      </c>
      <c r="Y52" s="15">
        <f>(Y50*Y47)</f>
        <v/>
      </c>
      <c r="Z52" s="15">
        <f>(Z50*Z47)</f>
        <v/>
      </c>
      <c r="AA52" s="15">
        <f>(AA50*AA47)</f>
        <v/>
      </c>
      <c r="AB52" s="15">
        <f>(AB50*AB47)</f>
        <v/>
      </c>
      <c r="AC52" s="15">
        <f>(AC50*AC47)</f>
        <v/>
      </c>
      <c r="AD52" s="15">
        <f>(AD50*AD47)</f>
        <v/>
      </c>
      <c r="AE52" s="15">
        <f>(AE50*AE47)</f>
        <v/>
      </c>
      <c r="AF52" s="15">
        <f>(AF50*AF47)</f>
        <v/>
      </c>
      <c r="AG52" s="15">
        <f>(AG50*AG47)</f>
        <v/>
      </c>
      <c r="AH52" s="15">
        <f>(AH50*AH47)</f>
        <v/>
      </c>
      <c r="AI52" s="15">
        <f>(AI50*AI47)</f>
        <v/>
      </c>
      <c r="AJ52" s="15">
        <f>(AJ50*AJ47)</f>
        <v/>
      </c>
      <c r="AK52" s="15">
        <f>(AK50*AK47)</f>
        <v/>
      </c>
      <c r="AL52" s="15">
        <f>(AL50*AL47)</f>
        <v/>
      </c>
      <c r="AM52" s="15">
        <f>(AM50*AM47)</f>
        <v/>
      </c>
      <c r="AN52" s="15">
        <f>(AN50*AN47)</f>
        <v/>
      </c>
      <c r="AO52" s="15">
        <f>(AO50*AO47)</f>
        <v/>
      </c>
      <c r="AP52" s="15">
        <f>(AP50*AP47)</f>
        <v/>
      </c>
      <c r="AQ52" s="15">
        <f>(AQ50*AQ47)</f>
        <v/>
      </c>
      <c r="AR52" s="15">
        <f>(AR50*AR47)</f>
        <v/>
      </c>
      <c r="AS52" s="15">
        <f>(AS50*AS47)</f>
        <v/>
      </c>
      <c r="AT52" s="15">
        <f>(AT50*AT47)</f>
        <v/>
      </c>
      <c r="AU52" s="15">
        <f>(AU50*AU47)</f>
        <v/>
      </c>
      <c r="AV52" s="15">
        <f>(AV50*AV47)</f>
        <v/>
      </c>
      <c r="AW52" s="15">
        <f>(AW50*AW47)</f>
        <v/>
      </c>
      <c r="AX52" s="15">
        <f>(AX50*AX47)</f>
        <v/>
      </c>
      <c r="AY52" s="15">
        <f>(AY50*AY47)</f>
        <v/>
      </c>
      <c r="AZ52" s="15">
        <f>(AZ50*AZ47)</f>
        <v/>
      </c>
      <c r="BA52" s="15">
        <f>(BA50*BA47)</f>
        <v/>
      </c>
      <c r="BB52" s="15">
        <f>(BB50*BB47)</f>
        <v/>
      </c>
      <c r="BC52" s="15">
        <f>(BC50*BC47)</f>
        <v/>
      </c>
      <c r="BD52" s="15">
        <f>(BD50*BD47)</f>
        <v/>
      </c>
      <c r="BE52" s="15">
        <f>(BE50*BE47)</f>
        <v/>
      </c>
      <c r="BF52" s="15">
        <f>(BF50*BF47)</f>
        <v/>
      </c>
      <c r="BG52" s="15">
        <f>(BG50*BG47)</f>
        <v/>
      </c>
      <c r="BH52" s="15">
        <f>(BH50*BH47)</f>
        <v/>
      </c>
      <c r="BI52" s="15">
        <f>(BI50*BI47)</f>
        <v/>
      </c>
      <c r="BJ52" s="15">
        <f>(BJ50*BJ47)</f>
        <v/>
      </c>
      <c r="BK52" s="15">
        <f>(BK50*BK47)</f>
        <v/>
      </c>
      <c r="BL52" s="15">
        <f>(BL50*BL47)</f>
        <v/>
      </c>
      <c r="BM52" s="15">
        <f>(BM50*BM47)</f>
        <v/>
      </c>
      <c r="BN52" s="15">
        <f>(BN50*BN47)</f>
        <v/>
      </c>
      <c r="BO52" s="15">
        <f>(BO50*BO47)</f>
        <v/>
      </c>
      <c r="BP52" s="15">
        <f>(BP50*BP47)</f>
        <v/>
      </c>
      <c r="BQ52" s="15">
        <f>(BQ50*BQ47)</f>
        <v/>
      </c>
      <c r="BR52" s="15">
        <f>(BR50*BR47)</f>
        <v/>
      </c>
      <c r="BS52" s="15">
        <f>(BS50*BS47)</f>
        <v/>
      </c>
      <c r="BT52" s="15">
        <f>(BT50*BT47)</f>
        <v/>
      </c>
      <c r="BU52" s="15">
        <f>(BU50*BU47)</f>
        <v/>
      </c>
      <c r="BV52" s="15">
        <f>(BV50*BV47)</f>
        <v/>
      </c>
      <c r="BW52" s="15">
        <f>(BW50*BW47)</f>
        <v/>
      </c>
      <c r="BX52" s="15">
        <f>(BX50*BX47)</f>
        <v/>
      </c>
      <c r="BY52" s="15">
        <f>(BY50*BY47)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IF(1000=0,0,((H41*H45)*$C$10)/1000)</f>
        <v/>
      </c>
      <c r="I53" s="15">
        <f>IF(1000=0,0,((I41*I45)*$C$10)/1000)</f>
        <v/>
      </c>
      <c r="J53" s="15">
        <f>IF(1000=0,0,((J41*J45)*$C$10)/1000)</f>
        <v/>
      </c>
      <c r="K53" s="15">
        <f>IF(1000=0,0,((K41*K45)*$C$10)/1000)</f>
        <v/>
      </c>
      <c r="L53" s="15">
        <f>IF(1000=0,0,((L41*L45)*$C$10)/1000)</f>
        <v/>
      </c>
      <c r="M53" s="15">
        <f>IF(1000=0,0,((M41*M45)*$C$10)/1000)</f>
        <v/>
      </c>
      <c r="N53" s="15">
        <f>IF(1000=0,0,((N41*N45)*$C$10)/1000)</f>
        <v/>
      </c>
      <c r="O53" s="15">
        <f>IF(1000=0,0,((O41*O45)*$C$10)/1000)</f>
        <v/>
      </c>
      <c r="P53" s="15">
        <f>IF(1000=0,0,((P41*P45)*$C$10)/1000)</f>
        <v/>
      </c>
      <c r="Q53" s="15">
        <f>IF(1000=0,0,((Q41*Q45)*$C$10)/1000)</f>
        <v/>
      </c>
      <c r="R53" s="15">
        <f>IF(1000=0,0,((R41*R45)*$C$10)/1000)</f>
        <v/>
      </c>
      <c r="S53" s="15">
        <f>IF(1000=0,0,((S41*S45)*$C$10)/1000)</f>
        <v/>
      </c>
      <c r="T53" s="15">
        <f>IF(1000=0,0,((T41*T45)*$C$10)/1000)</f>
        <v/>
      </c>
      <c r="U53" s="15">
        <f>IF(1000=0,0,((U41*U45)*$C$10)/1000)</f>
        <v/>
      </c>
      <c r="V53" s="15">
        <f>IF(1000=0,0,((V41*V45)*$C$10)/1000)</f>
        <v/>
      </c>
      <c r="W53" s="15">
        <f>IF(1000=0,0,((W41*W45)*$C$10)/1000)</f>
        <v/>
      </c>
      <c r="X53" s="15">
        <f>IF(1000=0,0,((X41*X45)*$C$10)/1000)</f>
        <v/>
      </c>
      <c r="Y53" s="15">
        <f>IF(1000=0,0,((Y41*Y45)*$C$10)/1000)</f>
        <v/>
      </c>
      <c r="Z53" s="15">
        <f>IF(1000=0,0,((Z41*Z45)*$C$10)/1000)</f>
        <v/>
      </c>
      <c r="AA53" s="15">
        <f>IF(1000=0,0,((AA41*AA45)*$C$10)/1000)</f>
        <v/>
      </c>
      <c r="AB53" s="15">
        <f>IF(1000=0,0,((AB41*AB45)*$C$10)/1000)</f>
        <v/>
      </c>
      <c r="AC53" s="15">
        <f>IF(1000=0,0,((AC41*AC45)*$C$10)/1000)</f>
        <v/>
      </c>
      <c r="AD53" s="15">
        <f>IF(1000=0,0,((AD41*AD45)*$C$10)/1000)</f>
        <v/>
      </c>
      <c r="AE53" s="15">
        <f>IF(1000=0,0,((AE41*AE45)*$C$10)/1000)</f>
        <v/>
      </c>
      <c r="AF53" s="15">
        <f>IF(1000=0,0,((AF41*AF45)*$C$10)/1000)</f>
        <v/>
      </c>
      <c r="AG53" s="15">
        <f>IF(1000=0,0,((AG41*AG45)*$C$10)/1000)</f>
        <v/>
      </c>
      <c r="AH53" s="15">
        <f>IF(1000=0,0,((AH41*AH45)*$C$10)/1000)</f>
        <v/>
      </c>
      <c r="AI53" s="15">
        <f>IF(1000=0,0,((AI41*AI45)*$C$10)/1000)</f>
        <v/>
      </c>
      <c r="AJ53" s="15">
        <f>IF(1000=0,0,((AJ41*AJ45)*$C$10)/1000)</f>
        <v/>
      </c>
      <c r="AK53" s="15">
        <f>IF(1000=0,0,((AK41*AK45)*$C$10)/1000)</f>
        <v/>
      </c>
      <c r="AL53" s="15">
        <f>IF(1000=0,0,((AL41*AL45)*$C$10)/1000)</f>
        <v/>
      </c>
      <c r="AM53" s="15">
        <f>IF(1000=0,0,((AM41*AM45)*$C$10)/1000)</f>
        <v/>
      </c>
      <c r="AN53" s="15">
        <f>IF(1000=0,0,((AN41*AN45)*$C$10)/1000)</f>
        <v/>
      </c>
      <c r="AO53" s="15">
        <f>IF(1000=0,0,((AO41*AO45)*$C$10)/1000)</f>
        <v/>
      </c>
      <c r="AP53" s="15">
        <f>IF(1000=0,0,((AP41*AP45)*$C$10)/1000)</f>
        <v/>
      </c>
      <c r="AQ53" s="15">
        <f>IF(1000=0,0,((AQ41*AQ45)*$C$10)/1000)</f>
        <v/>
      </c>
      <c r="AR53" s="15">
        <f>IF(1000=0,0,((AR41*AR45)*$C$10)/1000)</f>
        <v/>
      </c>
      <c r="AS53" s="15">
        <f>IF(1000=0,0,((AS41*AS45)*$C$10)/1000)</f>
        <v/>
      </c>
      <c r="AT53" s="15">
        <f>IF(1000=0,0,((AT41*AT45)*$C$10)/1000)</f>
        <v/>
      </c>
      <c r="AU53" s="15">
        <f>IF(1000=0,0,((AU41*AU45)*$C$10)/1000)</f>
        <v/>
      </c>
      <c r="AV53" s="15">
        <f>IF(1000=0,0,((AV41*AV45)*$C$10)/1000)</f>
        <v/>
      </c>
      <c r="AW53" s="15">
        <f>IF(1000=0,0,((AW41*AW45)*$C$10)/1000)</f>
        <v/>
      </c>
      <c r="AX53" s="15">
        <f>IF(1000=0,0,((AX41*AX45)*$C$10)/1000)</f>
        <v/>
      </c>
      <c r="AY53" s="15">
        <f>IF(1000=0,0,((AY41*AY45)*$C$10)/1000)</f>
        <v/>
      </c>
      <c r="AZ53" s="15">
        <f>IF(1000=0,0,((AZ41*AZ45)*$C$10)/1000)</f>
        <v/>
      </c>
      <c r="BA53" s="15">
        <f>IF(1000=0,0,((BA41*BA45)*$C$10)/1000)</f>
        <v/>
      </c>
      <c r="BB53" s="15">
        <f>IF(1000=0,0,((BB41*BB45)*$C$10)/1000)</f>
        <v/>
      </c>
      <c r="BC53" s="15">
        <f>IF(1000=0,0,((BC41*BC45)*$C$10)/1000)</f>
        <v/>
      </c>
      <c r="BD53" s="15">
        <f>IF(1000=0,0,((BD41*BD45)*$C$10)/1000)</f>
        <v/>
      </c>
      <c r="BE53" s="15">
        <f>IF(1000=0,0,((BE41*BE45)*$C$10)/1000)</f>
        <v/>
      </c>
      <c r="BF53" s="15">
        <f>IF(1000=0,0,((BF41*BF45)*$C$10)/1000)</f>
        <v/>
      </c>
      <c r="BG53" s="15">
        <f>IF(1000=0,0,((BG41*BG45)*$C$10)/1000)</f>
        <v/>
      </c>
      <c r="BH53" s="15">
        <f>IF(1000=0,0,((BH41*BH45)*$C$10)/1000)</f>
        <v/>
      </c>
      <c r="BI53" s="15">
        <f>IF(1000=0,0,((BI41*BI45)*$C$10)/1000)</f>
        <v/>
      </c>
      <c r="BJ53" s="15">
        <f>IF(1000=0,0,((BJ41*BJ45)*$C$10)/1000)</f>
        <v/>
      </c>
      <c r="BK53" s="15">
        <f>IF(1000=0,0,((BK41*BK45)*$C$10)/1000)</f>
        <v/>
      </c>
      <c r="BL53" s="15">
        <f>IF(1000=0,0,((BL41*BL45)*$C$10)/1000)</f>
        <v/>
      </c>
      <c r="BM53" s="15">
        <f>IF(1000=0,0,((BM41*BM45)*$C$10)/1000)</f>
        <v/>
      </c>
      <c r="BN53" s="15">
        <f>IF(1000=0,0,((BN41*BN45)*$C$10)/1000)</f>
        <v/>
      </c>
      <c r="BO53" s="15">
        <f>IF(1000=0,0,((BO41*BO45)*$C$10)/1000)</f>
        <v/>
      </c>
      <c r="BP53" s="15">
        <f>IF(1000=0,0,((BP41*BP45)*$C$10)/1000)</f>
        <v/>
      </c>
      <c r="BQ53" s="15">
        <f>IF(1000=0,0,((BQ41*BQ45)*$C$10)/1000)</f>
        <v/>
      </c>
      <c r="BR53" s="15">
        <f>IF(1000=0,0,((BR41*BR45)*$C$10)/1000)</f>
        <v/>
      </c>
      <c r="BS53" s="15">
        <f>IF(1000=0,0,((BS41*BS45)*$C$10)/1000)</f>
        <v/>
      </c>
      <c r="BT53" s="15">
        <f>IF(1000=0,0,((BT41*BT45)*$C$10)/1000)</f>
        <v/>
      </c>
      <c r="BU53" s="15">
        <f>IF(1000=0,0,((BU41*BU45)*$C$10)/1000)</f>
        <v/>
      </c>
      <c r="BV53" s="15">
        <f>IF(1000=0,0,((BV41*BV45)*$C$10)/1000)</f>
        <v/>
      </c>
      <c r="BW53" s="15">
        <f>IF(1000=0,0,((BW41*BW45)*$C$10)/1000)</f>
        <v/>
      </c>
      <c r="BX53" s="15">
        <f>IF(1000=0,0,((BX41*BX45)*$C$10)/1000)</f>
        <v/>
      </c>
      <c r="BY53" s="15">
        <f>IF(1000=0,0,((BY41*BY45)*$C$10)/1000)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  <c r="P54" s="15">
        <f>(P51*(1-$C$23))</f>
        <v/>
      </c>
      <c r="Q54" s="15">
        <f>(Q51*(1-$C$23))</f>
        <v/>
      </c>
      <c r="R54" s="15">
        <f>(R51*(1-$C$23))</f>
        <v/>
      </c>
      <c r="S54" s="15">
        <f>(S51*(1-$C$23))</f>
        <v/>
      </c>
      <c r="T54" s="15">
        <f>(T51*(1-$C$23))</f>
        <v/>
      </c>
      <c r="U54" s="15">
        <f>(U51*(1-$C$23))</f>
        <v/>
      </c>
      <c r="V54" s="15">
        <f>(V51*(1-$C$23))</f>
        <v/>
      </c>
      <c r="W54" s="15">
        <f>(W51*(1-$C$23))</f>
        <v/>
      </c>
      <c r="X54" s="15">
        <f>(X51*(1-$C$23))</f>
        <v/>
      </c>
      <c r="Y54" s="15">
        <f>(Y51*(1-$C$23))</f>
        <v/>
      </c>
      <c r="Z54" s="15">
        <f>(Z51*(1-$C$23))</f>
        <v/>
      </c>
      <c r="AA54" s="15">
        <f>(AA51*(1-$C$23))</f>
        <v/>
      </c>
      <c r="AB54" s="15">
        <f>(AB51*(1-$C$23))</f>
        <v/>
      </c>
      <c r="AC54" s="15">
        <f>(AC51*(1-$C$23))</f>
        <v/>
      </c>
      <c r="AD54" s="15">
        <f>(AD51*(1-$C$23))</f>
        <v/>
      </c>
      <c r="AE54" s="15">
        <f>(AE51*(1-$C$23))</f>
        <v/>
      </c>
      <c r="AF54" s="15">
        <f>(AF51*(1-$C$23))</f>
        <v/>
      </c>
      <c r="AG54" s="15">
        <f>(AG51*(1-$C$23))</f>
        <v/>
      </c>
      <c r="AH54" s="15">
        <f>(AH51*(1-$C$23))</f>
        <v/>
      </c>
      <c r="AI54" s="15">
        <f>(AI51*(1-$C$23))</f>
        <v/>
      </c>
      <c r="AJ54" s="15">
        <f>(AJ51*(1-$C$23))</f>
        <v/>
      </c>
      <c r="AK54" s="15">
        <f>(AK51*(1-$C$23))</f>
        <v/>
      </c>
      <c r="AL54" s="15">
        <f>(AL51*(1-$C$23))</f>
        <v/>
      </c>
      <c r="AM54" s="15">
        <f>(AM51*(1-$C$23))</f>
        <v/>
      </c>
      <c r="AN54" s="15">
        <f>(AN51*(1-$C$23))</f>
        <v/>
      </c>
      <c r="AO54" s="15">
        <f>(AO51*(1-$C$23))</f>
        <v/>
      </c>
      <c r="AP54" s="15">
        <f>(AP51*(1-$C$23))</f>
        <v/>
      </c>
      <c r="AQ54" s="15">
        <f>(AQ51*(1-$C$23))</f>
        <v/>
      </c>
      <c r="AR54" s="15">
        <f>(AR51*(1-$C$23))</f>
        <v/>
      </c>
      <c r="AS54" s="15">
        <f>(AS51*(1-$C$23))</f>
        <v/>
      </c>
      <c r="AT54" s="15">
        <f>(AT51*(1-$C$23))</f>
        <v/>
      </c>
      <c r="AU54" s="15">
        <f>(AU51*(1-$C$23))</f>
        <v/>
      </c>
      <c r="AV54" s="15">
        <f>(AV51*(1-$C$23))</f>
        <v/>
      </c>
      <c r="AW54" s="15">
        <f>(AW51*(1-$C$23))</f>
        <v/>
      </c>
      <c r="AX54" s="15">
        <f>(AX51*(1-$C$23))</f>
        <v/>
      </c>
      <c r="AY54" s="15">
        <f>(AY51*(1-$C$23))</f>
        <v/>
      </c>
      <c r="AZ54" s="15">
        <f>(AZ51*(1-$C$23))</f>
        <v/>
      </c>
      <c r="BA54" s="15">
        <f>(BA51*(1-$C$23))</f>
        <v/>
      </c>
      <c r="BB54" s="15">
        <f>(BB51*(1-$C$23))</f>
        <v/>
      </c>
      <c r="BC54" s="15">
        <f>(BC51*(1-$C$23))</f>
        <v/>
      </c>
      <c r="BD54" s="15">
        <f>(BD51*(1-$C$23))</f>
        <v/>
      </c>
      <c r="BE54" s="15">
        <f>(BE51*(1-$C$23))</f>
        <v/>
      </c>
      <c r="BF54" s="15">
        <f>(BF51*(1-$C$23))</f>
        <v/>
      </c>
      <c r="BG54" s="15">
        <f>(BG51*(1-$C$23))</f>
        <v/>
      </c>
      <c r="BH54" s="15">
        <f>(BH51*(1-$C$23))</f>
        <v/>
      </c>
      <c r="BI54" s="15">
        <f>(BI51*(1-$C$23))</f>
        <v/>
      </c>
      <c r="BJ54" s="15">
        <f>(BJ51*(1-$C$23))</f>
        <v/>
      </c>
      <c r="BK54" s="15">
        <f>(BK51*(1-$C$23))</f>
        <v/>
      </c>
      <c r="BL54" s="15">
        <f>(BL51*(1-$C$23))</f>
        <v/>
      </c>
      <c r="BM54" s="15">
        <f>(BM51*(1-$C$23))</f>
        <v/>
      </c>
      <c r="BN54" s="15">
        <f>(BN51*(1-$C$23))</f>
        <v/>
      </c>
      <c r="BO54" s="15">
        <f>(BO51*(1-$C$23))</f>
        <v/>
      </c>
      <c r="BP54" s="15">
        <f>(BP51*(1-$C$23))</f>
        <v/>
      </c>
      <c r="BQ54" s="15">
        <f>(BQ51*(1-$C$23))</f>
        <v/>
      </c>
      <c r="BR54" s="15">
        <f>(BR51*(1-$C$23))</f>
        <v/>
      </c>
      <c r="BS54" s="15">
        <f>(BS51*(1-$C$23))</f>
        <v/>
      </c>
      <c r="BT54" s="15">
        <f>(BT51*(1-$C$23))</f>
        <v/>
      </c>
      <c r="BU54" s="15">
        <f>(BU51*(1-$C$23))</f>
        <v/>
      </c>
      <c r="BV54" s="15">
        <f>(BV51*(1-$C$23))</f>
        <v/>
      </c>
      <c r="BW54" s="15">
        <f>(BW51*(1-$C$23))</f>
        <v/>
      </c>
      <c r="BX54" s="15">
        <f>(BX51*(1-$C$23))</f>
        <v/>
      </c>
      <c r="BY54" s="15">
        <f>(BY51*(1-$C$23))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42648.59</v>
      </c>
      <c r="E55" s="13" t="n">
        <v>38488.867</v>
      </c>
      <c r="F55" s="13" t="n">
        <v>42764.968</v>
      </c>
      <c r="G55" s="13" t="n">
        <v>42651.724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  <c r="P55" s="15">
        <f>(P50+P51)</f>
        <v/>
      </c>
      <c r="Q55" s="15">
        <f>(Q50+Q51)</f>
        <v/>
      </c>
      <c r="R55" s="15">
        <f>(R50+R51)</f>
        <v/>
      </c>
      <c r="S55" s="15">
        <f>(S50+S51)</f>
        <v/>
      </c>
      <c r="T55" s="15">
        <f>(T50+T51)</f>
        <v/>
      </c>
      <c r="U55" s="15">
        <f>(U50+U51)</f>
        <v/>
      </c>
      <c r="V55" s="15">
        <f>(V50+V51)</f>
        <v/>
      </c>
      <c r="W55" s="15">
        <f>(W50+W51)</f>
        <v/>
      </c>
      <c r="X55" s="15">
        <f>(X50+X51)</f>
        <v/>
      </c>
      <c r="Y55" s="15">
        <f>(Y50+Y51)</f>
        <v/>
      </c>
      <c r="Z55" s="15">
        <f>(Z50+Z51)</f>
        <v/>
      </c>
      <c r="AA55" s="15">
        <f>(AA50+AA51)</f>
        <v/>
      </c>
      <c r="AB55" s="15">
        <f>(AB50+AB51)</f>
        <v/>
      </c>
      <c r="AC55" s="15">
        <f>(AC50+AC51)</f>
        <v/>
      </c>
      <c r="AD55" s="15">
        <f>(AD50+AD51)</f>
        <v/>
      </c>
      <c r="AE55" s="15">
        <f>(AE50+AE51)</f>
        <v/>
      </c>
      <c r="AF55" s="15">
        <f>(AF50+AF51)</f>
        <v/>
      </c>
      <c r="AG55" s="15">
        <f>(AG50+AG51)</f>
        <v/>
      </c>
      <c r="AH55" s="15">
        <f>(AH50+AH51)</f>
        <v/>
      </c>
      <c r="AI55" s="15">
        <f>(AI50+AI51)</f>
        <v/>
      </c>
      <c r="AJ55" s="15">
        <f>(AJ50+AJ51)</f>
        <v/>
      </c>
      <c r="AK55" s="15">
        <f>(AK50+AK51)</f>
        <v/>
      </c>
      <c r="AL55" s="15">
        <f>(AL50+AL51)</f>
        <v/>
      </c>
      <c r="AM55" s="15">
        <f>(AM50+AM51)</f>
        <v/>
      </c>
      <c r="AN55" s="15">
        <f>(AN50+AN51)</f>
        <v/>
      </c>
      <c r="AO55" s="15">
        <f>(AO50+AO51)</f>
        <v/>
      </c>
      <c r="AP55" s="15">
        <f>(AP50+AP51)</f>
        <v/>
      </c>
      <c r="AQ55" s="15">
        <f>(AQ50+AQ51)</f>
        <v/>
      </c>
      <c r="AR55" s="15">
        <f>(AR50+AR51)</f>
        <v/>
      </c>
      <c r="AS55" s="15">
        <f>(AS50+AS51)</f>
        <v/>
      </c>
      <c r="AT55" s="15">
        <f>(AT50+AT51)</f>
        <v/>
      </c>
      <c r="AU55" s="15">
        <f>(AU50+AU51)</f>
        <v/>
      </c>
      <c r="AV55" s="15">
        <f>(AV50+AV51)</f>
        <v/>
      </c>
      <c r="AW55" s="15">
        <f>(AW50+AW51)</f>
        <v/>
      </c>
      <c r="AX55" s="15">
        <f>(AX50+AX51)</f>
        <v/>
      </c>
      <c r="AY55" s="15">
        <f>(AY50+AY51)</f>
        <v/>
      </c>
      <c r="AZ55" s="15">
        <f>(AZ50+AZ51)</f>
        <v/>
      </c>
      <c r="BA55" s="15">
        <f>(BA50+BA51)</f>
        <v/>
      </c>
      <c r="BB55" s="15">
        <f>(BB50+BB51)</f>
        <v/>
      </c>
      <c r="BC55" s="15">
        <f>(BC50+BC51)</f>
        <v/>
      </c>
      <c r="BD55" s="15">
        <f>(BD50+BD51)</f>
        <v/>
      </c>
      <c r="BE55" s="15">
        <f>(BE50+BE51)</f>
        <v/>
      </c>
      <c r="BF55" s="15">
        <f>(BF50+BF51)</f>
        <v/>
      </c>
      <c r="BG55" s="15">
        <f>(BG50+BG51)</f>
        <v/>
      </c>
      <c r="BH55" s="15">
        <f>(BH50+BH51)</f>
        <v/>
      </c>
      <c r="BI55" s="15">
        <f>(BI50+BI51)</f>
        <v/>
      </c>
      <c r="BJ55" s="15">
        <f>(BJ50+BJ51)</f>
        <v/>
      </c>
      <c r="BK55" s="15">
        <f>(BK50+BK51)</f>
        <v/>
      </c>
      <c r="BL55" s="15">
        <f>(BL50+BL51)</f>
        <v/>
      </c>
      <c r="BM55" s="15">
        <f>(BM50+BM51)</f>
        <v/>
      </c>
      <c r="BN55" s="15">
        <f>(BN50+BN51)</f>
        <v/>
      </c>
      <c r="BO55" s="15">
        <f>(BO50+BO51)</f>
        <v/>
      </c>
      <c r="BP55" s="15">
        <f>(BP50+BP51)</f>
        <v/>
      </c>
      <c r="BQ55" s="15">
        <f>(BQ50+BQ51)</f>
        <v/>
      </c>
      <c r="BR55" s="15">
        <f>(BR50+BR51)</f>
        <v/>
      </c>
      <c r="BS55" s="15">
        <f>(BS50+BS51)</f>
        <v/>
      </c>
      <c r="BT55" s="15">
        <f>(BT50+BT51)</f>
        <v/>
      </c>
      <c r="BU55" s="15">
        <f>(BU50+BU51)</f>
        <v/>
      </c>
      <c r="BV55" s="15">
        <f>(BV50+BV51)</f>
        <v/>
      </c>
      <c r="BW55" s="15">
        <f>(BW50+BW51)</f>
        <v/>
      </c>
      <c r="BX55" s="15">
        <f>(BX50+BX51)</f>
        <v/>
      </c>
      <c r="BY55" s="15">
        <f>(BY50+BY51)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24682.304</v>
      </c>
      <c r="E56" s="13" t="n">
        <v>29331.562</v>
      </c>
      <c r="F56" s="13" t="n">
        <v>34562.758</v>
      </c>
      <c r="G56" s="13" t="n">
        <v>36394.624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  <c r="P56" s="15">
        <f>(((P53+P52)+P54)+P60)</f>
        <v/>
      </c>
      <c r="Q56" s="15">
        <f>(((Q53+Q52)+Q54)+Q60)</f>
        <v/>
      </c>
      <c r="R56" s="15">
        <f>(((R53+R52)+R54)+R60)</f>
        <v/>
      </c>
      <c r="S56" s="15">
        <f>(((S53+S52)+S54)+S60)</f>
        <v/>
      </c>
      <c r="T56" s="15">
        <f>(((T53+T52)+T54)+T60)</f>
        <v/>
      </c>
      <c r="U56" s="15">
        <f>(((U53+U52)+U54)+U60)</f>
        <v/>
      </c>
      <c r="V56" s="15">
        <f>(((V53+V52)+V54)+V60)</f>
        <v/>
      </c>
      <c r="W56" s="15">
        <f>(((W53+W52)+W54)+W60)</f>
        <v/>
      </c>
      <c r="X56" s="15">
        <f>(((X53+X52)+X54)+X60)</f>
        <v/>
      </c>
      <c r="Y56" s="15">
        <f>(((Y53+Y52)+Y54)+Y60)</f>
        <v/>
      </c>
      <c r="Z56" s="15">
        <f>(((Z53+Z52)+Z54)+Z60)</f>
        <v/>
      </c>
      <c r="AA56" s="15">
        <f>(((AA53+AA52)+AA54)+AA60)</f>
        <v/>
      </c>
      <c r="AB56" s="15">
        <f>(((AB53+AB52)+AB54)+AB60)</f>
        <v/>
      </c>
      <c r="AC56" s="15">
        <f>(((AC53+AC52)+AC54)+AC60)</f>
        <v/>
      </c>
      <c r="AD56" s="15">
        <f>(((AD53+AD52)+AD54)+AD60)</f>
        <v/>
      </c>
      <c r="AE56" s="15">
        <f>(((AE53+AE52)+AE54)+AE60)</f>
        <v/>
      </c>
      <c r="AF56" s="15">
        <f>(((AF53+AF52)+AF54)+AF60)</f>
        <v/>
      </c>
      <c r="AG56" s="15">
        <f>(((AG53+AG52)+AG54)+AG60)</f>
        <v/>
      </c>
      <c r="AH56" s="15">
        <f>(((AH53+AH52)+AH54)+AH60)</f>
        <v/>
      </c>
      <c r="AI56" s="15">
        <f>(((AI53+AI52)+AI54)+AI60)</f>
        <v/>
      </c>
      <c r="AJ56" s="15">
        <f>(((AJ53+AJ52)+AJ54)+AJ60)</f>
        <v/>
      </c>
      <c r="AK56" s="15">
        <f>(((AK53+AK52)+AK54)+AK60)</f>
        <v/>
      </c>
      <c r="AL56" s="15">
        <f>(((AL53+AL52)+AL54)+AL60)</f>
        <v/>
      </c>
      <c r="AM56" s="15">
        <f>(((AM53+AM52)+AM54)+AM60)</f>
        <v/>
      </c>
      <c r="AN56" s="15">
        <f>(((AN53+AN52)+AN54)+AN60)</f>
        <v/>
      </c>
      <c r="AO56" s="15">
        <f>(((AO53+AO52)+AO54)+AO60)</f>
        <v/>
      </c>
      <c r="AP56" s="15">
        <f>(((AP53+AP52)+AP54)+AP60)</f>
        <v/>
      </c>
      <c r="AQ56" s="15">
        <f>(((AQ53+AQ52)+AQ54)+AQ60)</f>
        <v/>
      </c>
      <c r="AR56" s="15">
        <f>(((AR53+AR52)+AR54)+AR60)</f>
        <v/>
      </c>
      <c r="AS56" s="15">
        <f>(((AS53+AS52)+AS54)+AS60)</f>
        <v/>
      </c>
      <c r="AT56" s="15">
        <f>(((AT53+AT52)+AT54)+AT60)</f>
        <v/>
      </c>
      <c r="AU56" s="15">
        <f>(((AU53+AU52)+AU54)+AU60)</f>
        <v/>
      </c>
      <c r="AV56" s="15">
        <f>(((AV53+AV52)+AV54)+AV60)</f>
        <v/>
      </c>
      <c r="AW56" s="15">
        <f>(((AW53+AW52)+AW54)+AW60)</f>
        <v/>
      </c>
      <c r="AX56" s="15">
        <f>(((AX53+AX52)+AX54)+AX60)</f>
        <v/>
      </c>
      <c r="AY56" s="15">
        <f>(((AY53+AY52)+AY54)+AY60)</f>
        <v/>
      </c>
      <c r="AZ56" s="15">
        <f>(((AZ53+AZ52)+AZ54)+AZ60)</f>
        <v/>
      </c>
      <c r="BA56" s="15">
        <f>(((BA53+BA52)+BA54)+BA60)</f>
        <v/>
      </c>
      <c r="BB56" s="15">
        <f>(((BB53+BB52)+BB54)+BB60)</f>
        <v/>
      </c>
      <c r="BC56" s="15">
        <f>(((BC53+BC52)+BC54)+BC60)</f>
        <v/>
      </c>
      <c r="BD56" s="15">
        <f>(((BD53+BD52)+BD54)+BD60)</f>
        <v/>
      </c>
      <c r="BE56" s="15">
        <f>(((BE53+BE52)+BE54)+BE60)</f>
        <v/>
      </c>
      <c r="BF56" s="15">
        <f>(((BF53+BF52)+BF54)+BF60)</f>
        <v/>
      </c>
      <c r="BG56" s="15">
        <f>(((BG53+BG52)+BG54)+BG60)</f>
        <v/>
      </c>
      <c r="BH56" s="15">
        <f>(((BH53+BH52)+BH54)+BH60)</f>
        <v/>
      </c>
      <c r="BI56" s="15">
        <f>(((BI53+BI52)+BI54)+BI60)</f>
        <v/>
      </c>
      <c r="BJ56" s="15">
        <f>(((BJ53+BJ52)+BJ54)+BJ60)</f>
        <v/>
      </c>
      <c r="BK56" s="15">
        <f>(((BK53+BK52)+BK54)+BK60)</f>
        <v/>
      </c>
      <c r="BL56" s="15">
        <f>(((BL53+BL52)+BL54)+BL60)</f>
        <v/>
      </c>
      <c r="BM56" s="15">
        <f>(((BM53+BM52)+BM54)+BM60)</f>
        <v/>
      </c>
      <c r="BN56" s="15">
        <f>(((BN53+BN52)+BN54)+BN60)</f>
        <v/>
      </c>
      <c r="BO56" s="15">
        <f>(((BO53+BO52)+BO54)+BO60)</f>
        <v/>
      </c>
      <c r="BP56" s="15">
        <f>(((BP53+BP52)+BP54)+BP60)</f>
        <v/>
      </c>
      <c r="BQ56" s="15">
        <f>(((BQ53+BQ52)+BQ54)+BQ60)</f>
        <v/>
      </c>
      <c r="BR56" s="15">
        <f>(((BR53+BR52)+BR54)+BR60)</f>
        <v/>
      </c>
      <c r="BS56" s="15">
        <f>(((BS53+BS52)+BS54)+BS60)</f>
        <v/>
      </c>
      <c r="BT56" s="15">
        <f>(((BT53+BT52)+BT54)+BT60)</f>
        <v/>
      </c>
      <c r="BU56" s="15">
        <f>(((BU53+BU52)+BU54)+BU60)</f>
        <v/>
      </c>
      <c r="BV56" s="15">
        <f>(((BV53+BV52)+BV54)+BV60)</f>
        <v/>
      </c>
      <c r="BW56" s="15">
        <f>(((BW53+BW52)+BW54)+BW60)</f>
        <v/>
      </c>
      <c r="BX56" s="15">
        <f>(((BX53+BX52)+BX54)+BX60)</f>
        <v/>
      </c>
      <c r="BY56" s="15">
        <f>(((BY53+BY52)+BY54)+BY60)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17966.286</v>
      </c>
      <c r="E57" s="13" t="n">
        <v>9157.305</v>
      </c>
      <c r="F57" s="13" t="n">
        <v>8202.209999999999</v>
      </c>
      <c r="G57" s="13" t="n">
        <v>6257.1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  <c r="P57" s="15">
        <f>(P55-P56)</f>
        <v/>
      </c>
      <c r="Q57" s="15">
        <f>(Q55-Q56)</f>
        <v/>
      </c>
      <c r="R57" s="15">
        <f>(R55-R56)</f>
        <v/>
      </c>
      <c r="S57" s="15">
        <f>(S55-S56)</f>
        <v/>
      </c>
      <c r="T57" s="15">
        <f>(T55-T56)</f>
        <v/>
      </c>
      <c r="U57" s="15">
        <f>(U55-U56)</f>
        <v/>
      </c>
      <c r="V57" s="15">
        <f>(V55-V56)</f>
        <v/>
      </c>
      <c r="W57" s="15">
        <f>(W55-W56)</f>
        <v/>
      </c>
      <c r="X57" s="15">
        <f>(X55-X56)</f>
        <v/>
      </c>
      <c r="Y57" s="15">
        <f>(Y55-Y56)</f>
        <v/>
      </c>
      <c r="Z57" s="15">
        <f>(Z55-Z56)</f>
        <v/>
      </c>
      <c r="AA57" s="15">
        <f>(AA55-AA56)</f>
        <v/>
      </c>
      <c r="AB57" s="15">
        <f>(AB55-AB56)</f>
        <v/>
      </c>
      <c r="AC57" s="15">
        <f>(AC55-AC56)</f>
        <v/>
      </c>
      <c r="AD57" s="15">
        <f>(AD55-AD56)</f>
        <v/>
      </c>
      <c r="AE57" s="15">
        <f>(AE55-AE56)</f>
        <v/>
      </c>
      <c r="AF57" s="15">
        <f>(AF55-AF56)</f>
        <v/>
      </c>
      <c r="AG57" s="15">
        <f>(AG55-AG56)</f>
        <v/>
      </c>
      <c r="AH57" s="15">
        <f>(AH55-AH56)</f>
        <v/>
      </c>
      <c r="AI57" s="15">
        <f>(AI55-AI56)</f>
        <v/>
      </c>
      <c r="AJ57" s="15">
        <f>(AJ55-AJ56)</f>
        <v/>
      </c>
      <c r="AK57" s="15">
        <f>(AK55-AK56)</f>
        <v/>
      </c>
      <c r="AL57" s="15">
        <f>(AL55-AL56)</f>
        <v/>
      </c>
      <c r="AM57" s="15">
        <f>(AM55-AM56)</f>
        <v/>
      </c>
      <c r="AN57" s="15">
        <f>(AN55-AN56)</f>
        <v/>
      </c>
      <c r="AO57" s="15">
        <f>(AO55-AO56)</f>
        <v/>
      </c>
      <c r="AP57" s="15">
        <f>(AP55-AP56)</f>
        <v/>
      </c>
      <c r="AQ57" s="15">
        <f>(AQ55-AQ56)</f>
        <v/>
      </c>
      <c r="AR57" s="15">
        <f>(AR55-AR56)</f>
        <v/>
      </c>
      <c r="AS57" s="15">
        <f>(AS55-AS56)</f>
        <v/>
      </c>
      <c r="AT57" s="15">
        <f>(AT55-AT56)</f>
        <v/>
      </c>
      <c r="AU57" s="15">
        <f>(AU55-AU56)</f>
        <v/>
      </c>
      <c r="AV57" s="15">
        <f>(AV55-AV56)</f>
        <v/>
      </c>
      <c r="AW57" s="15">
        <f>(AW55-AW56)</f>
        <v/>
      </c>
      <c r="AX57" s="15">
        <f>(AX55-AX56)</f>
        <v/>
      </c>
      <c r="AY57" s="15">
        <f>(AY55-AY56)</f>
        <v/>
      </c>
      <c r="AZ57" s="15">
        <f>(AZ55-AZ56)</f>
        <v/>
      </c>
      <c r="BA57" s="15">
        <f>(BA55-BA56)</f>
        <v/>
      </c>
      <c r="BB57" s="15">
        <f>(BB55-BB56)</f>
        <v/>
      </c>
      <c r="BC57" s="15">
        <f>(BC55-BC56)</f>
        <v/>
      </c>
      <c r="BD57" s="15">
        <f>(BD55-BD56)</f>
        <v/>
      </c>
      <c r="BE57" s="15">
        <f>(BE55-BE56)</f>
        <v/>
      </c>
      <c r="BF57" s="15">
        <f>(BF55-BF56)</f>
        <v/>
      </c>
      <c r="BG57" s="15">
        <f>(BG55-BG56)</f>
        <v/>
      </c>
      <c r="BH57" s="15">
        <f>(BH55-BH56)</f>
        <v/>
      </c>
      <c r="BI57" s="15">
        <f>(BI55-BI56)</f>
        <v/>
      </c>
      <c r="BJ57" s="15">
        <f>(BJ55-BJ56)</f>
        <v/>
      </c>
      <c r="BK57" s="15">
        <f>(BK55-BK56)</f>
        <v/>
      </c>
      <c r="BL57" s="15">
        <f>(BL55-BL56)</f>
        <v/>
      </c>
      <c r="BM57" s="15">
        <f>(BM55-BM56)</f>
        <v/>
      </c>
      <c r="BN57" s="15">
        <f>(BN55-BN56)</f>
        <v/>
      </c>
      <c r="BO57" s="15">
        <f>(BO55-BO56)</f>
        <v/>
      </c>
      <c r="BP57" s="15">
        <f>(BP55-BP56)</f>
        <v/>
      </c>
      <c r="BQ57" s="15">
        <f>(BQ55-BQ56)</f>
        <v/>
      </c>
      <c r="BR57" s="15">
        <f>(BR55-BR56)</f>
        <v/>
      </c>
      <c r="BS57" s="15">
        <f>(BS55-BS56)</f>
        <v/>
      </c>
      <c r="BT57" s="15">
        <f>(BT55-BT56)</f>
        <v/>
      </c>
      <c r="BU57" s="15">
        <f>(BU55-BU56)</f>
        <v/>
      </c>
      <c r="BV57" s="15">
        <f>(BV55-BV56)</f>
        <v/>
      </c>
      <c r="BW57" s="15">
        <f>(BW55-BW56)</f>
        <v/>
      </c>
      <c r="BX57" s="15">
        <f>(BX55-BX56)</f>
        <v/>
      </c>
      <c r="BY57" s="15">
        <f>(BY55-BY56)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3403.197</v>
      </c>
      <c r="E58" s="13" t="n">
        <v>2425.946</v>
      </c>
      <c r="F58" s="13" t="n">
        <v>2867.205</v>
      </c>
      <c r="G58" s="13" t="n">
        <v>3152.672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  <c r="P58" s="15">
        <f>(P55*P37)</f>
        <v/>
      </c>
      <c r="Q58" s="15">
        <f>(Q55*Q37)</f>
        <v/>
      </c>
      <c r="R58" s="15">
        <f>(R55*R37)</f>
        <v/>
      </c>
      <c r="S58" s="15">
        <f>(S55*S37)</f>
        <v/>
      </c>
      <c r="T58" s="15">
        <f>(T55*T37)</f>
        <v/>
      </c>
      <c r="U58" s="15">
        <f>(U55*U37)</f>
        <v/>
      </c>
      <c r="V58" s="15">
        <f>(V55*V37)</f>
        <v/>
      </c>
      <c r="W58" s="15">
        <f>(W55*W37)</f>
        <v/>
      </c>
      <c r="X58" s="15">
        <f>(X55*X37)</f>
        <v/>
      </c>
      <c r="Y58" s="15">
        <f>(Y55*Y37)</f>
        <v/>
      </c>
      <c r="Z58" s="15">
        <f>(Z55*Z37)</f>
        <v/>
      </c>
      <c r="AA58" s="15">
        <f>(AA55*AA37)</f>
        <v/>
      </c>
      <c r="AB58" s="15">
        <f>(AB55*AB37)</f>
        <v/>
      </c>
      <c r="AC58" s="15">
        <f>(AC55*AC37)</f>
        <v/>
      </c>
      <c r="AD58" s="15">
        <f>(AD55*AD37)</f>
        <v/>
      </c>
      <c r="AE58" s="15">
        <f>(AE55*AE37)</f>
        <v/>
      </c>
      <c r="AF58" s="15">
        <f>(AF55*AF37)</f>
        <v/>
      </c>
      <c r="AG58" s="15">
        <f>(AG55*AG37)</f>
        <v/>
      </c>
      <c r="AH58" s="15">
        <f>(AH55*AH37)</f>
        <v/>
      </c>
      <c r="AI58" s="15">
        <f>(AI55*AI37)</f>
        <v/>
      </c>
      <c r="AJ58" s="15">
        <f>(AJ55*AJ37)</f>
        <v/>
      </c>
      <c r="AK58" s="15">
        <f>(AK55*AK37)</f>
        <v/>
      </c>
      <c r="AL58" s="15">
        <f>(AL55*AL37)</f>
        <v/>
      </c>
      <c r="AM58" s="15">
        <f>(AM55*AM37)</f>
        <v/>
      </c>
      <c r="AN58" s="15">
        <f>(AN55*AN37)</f>
        <v/>
      </c>
      <c r="AO58" s="15">
        <f>(AO55*AO37)</f>
        <v/>
      </c>
      <c r="AP58" s="15">
        <f>(AP55*AP37)</f>
        <v/>
      </c>
      <c r="AQ58" s="15">
        <f>(AQ55*AQ37)</f>
        <v/>
      </c>
      <c r="AR58" s="15">
        <f>(AR55*AR37)</f>
        <v/>
      </c>
      <c r="AS58" s="15">
        <f>(AS55*AS37)</f>
        <v/>
      </c>
      <c r="AT58" s="15">
        <f>(AT55*AT37)</f>
        <v/>
      </c>
      <c r="AU58" s="15">
        <f>(AU55*AU37)</f>
        <v/>
      </c>
      <c r="AV58" s="15">
        <f>(AV55*AV37)</f>
        <v/>
      </c>
      <c r="AW58" s="15">
        <f>(AW55*AW37)</f>
        <v/>
      </c>
      <c r="AX58" s="15">
        <f>(AX55*AX37)</f>
        <v/>
      </c>
      <c r="AY58" s="15">
        <f>(AY55*AY37)</f>
        <v/>
      </c>
      <c r="AZ58" s="15">
        <f>(AZ55*AZ37)</f>
        <v/>
      </c>
      <c r="BA58" s="15">
        <f>(BA55*BA37)</f>
        <v/>
      </c>
      <c r="BB58" s="15">
        <f>(BB55*BB37)</f>
        <v/>
      </c>
      <c r="BC58" s="15">
        <f>(BC55*BC37)</f>
        <v/>
      </c>
      <c r="BD58" s="15">
        <f>(BD55*BD37)</f>
        <v/>
      </c>
      <c r="BE58" s="15">
        <f>(BE55*BE37)</f>
        <v/>
      </c>
      <c r="BF58" s="15">
        <f>(BF55*BF37)</f>
        <v/>
      </c>
      <c r="BG58" s="15">
        <f>(BG55*BG37)</f>
        <v/>
      </c>
      <c r="BH58" s="15">
        <f>(BH55*BH37)</f>
        <v/>
      </c>
      <c r="BI58" s="15">
        <f>(BI55*BI37)</f>
        <v/>
      </c>
      <c r="BJ58" s="15">
        <f>(BJ55*BJ37)</f>
        <v/>
      </c>
      <c r="BK58" s="15">
        <f>(BK55*BK37)</f>
        <v/>
      </c>
      <c r="BL58" s="15">
        <f>(BL55*BL37)</f>
        <v/>
      </c>
      <c r="BM58" s="15">
        <f>(BM55*BM37)</f>
        <v/>
      </c>
      <c r="BN58" s="15">
        <f>(BN55*BN37)</f>
        <v/>
      </c>
      <c r="BO58" s="15">
        <f>(BO55*BO37)</f>
        <v/>
      </c>
      <c r="BP58" s="15">
        <f>(BP55*BP37)</f>
        <v/>
      </c>
      <c r="BQ58" s="15">
        <f>(BQ55*BQ37)</f>
        <v/>
      </c>
      <c r="BR58" s="15">
        <f>(BR55*BR37)</f>
        <v/>
      </c>
      <c r="BS58" s="15">
        <f>(BS55*BS37)</f>
        <v/>
      </c>
      <c r="BT58" s="15">
        <f>(BT55*BT37)</f>
        <v/>
      </c>
      <c r="BU58" s="15">
        <f>(BU55*BU37)</f>
        <v/>
      </c>
      <c r="BV58" s="15">
        <f>(BV55*BV37)</f>
        <v/>
      </c>
      <c r="BW58" s="15">
        <f>(BW55*BW37)</f>
        <v/>
      </c>
      <c r="BX58" s="15">
        <f>(BX55*BX37)</f>
        <v/>
      </c>
      <c r="BY58" s="15">
        <f>(BY55*BY37)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14563.089</v>
      </c>
      <c r="E59" s="13" t="n">
        <v>6731.359</v>
      </c>
      <c r="F59" s="13" t="n">
        <v>5652.418</v>
      </c>
      <c r="G59" s="13" t="n">
        <v>3208.073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  <c r="P59" s="15">
        <f>(P57-P58)</f>
        <v/>
      </c>
      <c r="Q59" s="15">
        <f>(Q57-Q58)</f>
        <v/>
      </c>
      <c r="R59" s="15">
        <f>(R57-R58)</f>
        <v/>
      </c>
      <c r="S59" s="15">
        <f>(S57-S58)</f>
        <v/>
      </c>
      <c r="T59" s="15">
        <f>(T57-T58)</f>
        <v/>
      </c>
      <c r="U59" s="15">
        <f>(U57-U58)</f>
        <v/>
      </c>
      <c r="V59" s="15">
        <f>(V57-V58)</f>
        <v/>
      </c>
      <c r="W59" s="15">
        <f>(W57-W58)</f>
        <v/>
      </c>
      <c r="X59" s="15">
        <f>(X57-X58)</f>
        <v/>
      </c>
      <c r="Y59" s="15">
        <f>(Y57-Y58)</f>
        <v/>
      </c>
      <c r="Z59" s="15">
        <f>(Z57-Z58)</f>
        <v/>
      </c>
      <c r="AA59" s="15">
        <f>(AA57-AA58)</f>
        <v/>
      </c>
      <c r="AB59" s="15">
        <f>(AB57-AB58)</f>
        <v/>
      </c>
      <c r="AC59" s="15">
        <f>(AC57-AC58)</f>
        <v/>
      </c>
      <c r="AD59" s="15">
        <f>(AD57-AD58)</f>
        <v/>
      </c>
      <c r="AE59" s="15">
        <f>(AE57-AE58)</f>
        <v/>
      </c>
      <c r="AF59" s="15">
        <f>(AF57-AF58)</f>
        <v/>
      </c>
      <c r="AG59" s="15">
        <f>(AG57-AG58)</f>
        <v/>
      </c>
      <c r="AH59" s="15">
        <f>(AH57-AH58)</f>
        <v/>
      </c>
      <c r="AI59" s="15">
        <f>(AI57-AI58)</f>
        <v/>
      </c>
      <c r="AJ59" s="15">
        <f>(AJ57-AJ58)</f>
        <v/>
      </c>
      <c r="AK59" s="15">
        <f>(AK57-AK58)</f>
        <v/>
      </c>
      <c r="AL59" s="15">
        <f>(AL57-AL58)</f>
        <v/>
      </c>
      <c r="AM59" s="15">
        <f>(AM57-AM58)</f>
        <v/>
      </c>
      <c r="AN59" s="15">
        <f>(AN57-AN58)</f>
        <v/>
      </c>
      <c r="AO59" s="15">
        <f>(AO57-AO58)</f>
        <v/>
      </c>
      <c r="AP59" s="15">
        <f>(AP57-AP58)</f>
        <v/>
      </c>
      <c r="AQ59" s="15">
        <f>(AQ57-AQ58)</f>
        <v/>
      </c>
      <c r="AR59" s="15">
        <f>(AR57-AR58)</f>
        <v/>
      </c>
      <c r="AS59" s="15">
        <f>(AS57-AS58)</f>
        <v/>
      </c>
      <c r="AT59" s="15">
        <f>(AT57-AT58)</f>
        <v/>
      </c>
      <c r="AU59" s="15">
        <f>(AU57-AU58)</f>
        <v/>
      </c>
      <c r="AV59" s="15">
        <f>(AV57-AV58)</f>
        <v/>
      </c>
      <c r="AW59" s="15">
        <f>(AW57-AW58)</f>
        <v/>
      </c>
      <c r="AX59" s="15">
        <f>(AX57-AX58)</f>
        <v/>
      </c>
      <c r="AY59" s="15">
        <f>(AY57-AY58)</f>
        <v/>
      </c>
      <c r="AZ59" s="15">
        <f>(AZ57-AZ58)</f>
        <v/>
      </c>
      <c r="BA59" s="15">
        <f>(BA57-BA58)</f>
        <v/>
      </c>
      <c r="BB59" s="15">
        <f>(BB57-BB58)</f>
        <v/>
      </c>
      <c r="BC59" s="15">
        <f>(BC57-BC58)</f>
        <v/>
      </c>
      <c r="BD59" s="15">
        <f>(BD57-BD58)</f>
        <v/>
      </c>
      <c r="BE59" s="15">
        <f>(BE57-BE58)</f>
        <v/>
      </c>
      <c r="BF59" s="15">
        <f>(BF57-BF58)</f>
        <v/>
      </c>
      <c r="BG59" s="15">
        <f>(BG57-BG58)</f>
        <v/>
      </c>
      <c r="BH59" s="15">
        <f>(BH57-BH58)</f>
        <v/>
      </c>
      <c r="BI59" s="15">
        <f>(BI57-BI58)</f>
        <v/>
      </c>
      <c r="BJ59" s="15">
        <f>(BJ57-BJ58)</f>
        <v/>
      </c>
      <c r="BK59" s="15">
        <f>(BK57-BK58)</f>
        <v/>
      </c>
      <c r="BL59" s="15">
        <f>(BL57-BL58)</f>
        <v/>
      </c>
      <c r="BM59" s="15">
        <f>(BM57-BM58)</f>
        <v/>
      </c>
      <c r="BN59" s="15">
        <f>(BN57-BN58)</f>
        <v/>
      </c>
      <c r="BO59" s="15">
        <f>(BO57-BO58)</f>
        <v/>
      </c>
      <c r="BP59" s="15">
        <f>(BP57-BP58)</f>
        <v/>
      </c>
      <c r="BQ59" s="15">
        <f>(BQ57-BQ58)</f>
        <v/>
      </c>
      <c r="BR59" s="15">
        <f>(BR57-BR58)</f>
        <v/>
      </c>
      <c r="BS59" s="15">
        <f>(BS57-BS58)</f>
        <v/>
      </c>
      <c r="BT59" s="15">
        <f>(BT57-BT58)</f>
        <v/>
      </c>
      <c r="BU59" s="15">
        <f>(BU57-BU58)</f>
        <v/>
      </c>
      <c r="BV59" s="15">
        <f>(BV57-BV58)</f>
        <v/>
      </c>
      <c r="BW59" s="15">
        <f>(BW57-BW58)</f>
        <v/>
      </c>
      <c r="BX59" s="15">
        <f>(BX57-BX58)</f>
        <v/>
      </c>
      <c r="BY59" s="15">
        <f>(BY57-BY58)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266.152</v>
      </c>
      <c r="E60" s="13" t="n">
        <v>311.751</v>
      </c>
      <c r="F60" s="13" t="n">
        <v>1797.032</v>
      </c>
      <c r="G60" s="13" t="n">
        <v>2014.102</v>
      </c>
      <c r="H60" s="15">
        <f>IF(1000=0,0,((H41*H24)*$C$10)/1000)</f>
        <v/>
      </c>
      <c r="I60" s="15">
        <f>IF(1000=0,0,((I41*I24)*$C$10)/1000)</f>
        <v/>
      </c>
      <c r="J60" s="15">
        <f>IF(1000=0,0,((J41*J24)*$C$10)/1000)</f>
        <v/>
      </c>
      <c r="K60" s="15">
        <f>IF(1000=0,0,((K41*K24)*$C$10)/1000)</f>
        <v/>
      </c>
      <c r="L60" s="15">
        <f>IF(1000=0,0,((L41*L24)*$C$10)/1000)</f>
        <v/>
      </c>
      <c r="M60" s="15">
        <f>IF(1000=0,0,((M41*M24)*$C$10)/1000)</f>
        <v/>
      </c>
      <c r="N60" s="15">
        <f>IF(1000=0,0,((N41*N24)*$C$10)/1000)</f>
        <v/>
      </c>
      <c r="O60" s="15">
        <f>IF(1000=0,0,((O41*O24)*$C$10)/1000)</f>
        <v/>
      </c>
      <c r="P60" s="15">
        <f>IF(1000=0,0,((P41*P24)*$C$10)/1000)</f>
        <v/>
      </c>
      <c r="Q60" s="15">
        <f>IF(1000=0,0,((Q41*Q24)*$C$10)/1000)</f>
        <v/>
      </c>
      <c r="R60" s="15">
        <f>IF(1000=0,0,((R41*R24)*$C$10)/1000)</f>
        <v/>
      </c>
      <c r="S60" s="15">
        <f>IF(1000=0,0,((S41*S24)*$C$10)/1000)</f>
        <v/>
      </c>
      <c r="T60" s="15">
        <f>IF(1000=0,0,((T41*T24)*$C$10)/1000)</f>
        <v/>
      </c>
      <c r="U60" s="15">
        <f>IF(1000=0,0,((U41*U24)*$C$10)/1000)</f>
        <v/>
      </c>
      <c r="V60" s="15">
        <f>IF(1000=0,0,((V41*V24)*$C$10)/1000)</f>
        <v/>
      </c>
      <c r="W60" s="15">
        <f>IF(1000=0,0,((W41*W24)*$C$10)/1000)</f>
        <v/>
      </c>
      <c r="X60" s="15">
        <f>IF(1000=0,0,((X41*X24)*$C$10)/1000)</f>
        <v/>
      </c>
      <c r="Y60" s="15">
        <f>IF(1000=0,0,((Y41*Y24)*$C$10)/1000)</f>
        <v/>
      </c>
      <c r="Z60" s="15">
        <f>IF(1000=0,0,((Z41*Z24)*$C$10)/1000)</f>
        <v/>
      </c>
      <c r="AA60" s="15">
        <f>IF(1000=0,0,((AA41*AA24)*$C$10)/1000)</f>
        <v/>
      </c>
      <c r="AB60" s="15">
        <f>IF(1000=0,0,((AB41*AB24)*$C$10)/1000)</f>
        <v/>
      </c>
      <c r="AC60" s="15">
        <f>IF(1000=0,0,((AC41*AC24)*$C$10)/1000)</f>
        <v/>
      </c>
      <c r="AD60" s="15">
        <f>IF(1000=0,0,((AD41*AD24)*$C$10)/1000)</f>
        <v/>
      </c>
      <c r="AE60" s="15">
        <f>IF(1000=0,0,((AE41*AE24)*$C$10)/1000)</f>
        <v/>
      </c>
      <c r="AF60" s="15">
        <f>IF(1000=0,0,((AF41*AF24)*$C$10)/1000)</f>
        <v/>
      </c>
      <c r="AG60" s="15">
        <f>IF(1000=0,0,((AG41*AG24)*$C$10)/1000)</f>
        <v/>
      </c>
      <c r="AH60" s="15">
        <f>IF(1000=0,0,((AH41*AH24)*$C$10)/1000)</f>
        <v/>
      </c>
      <c r="AI60" s="15">
        <f>IF(1000=0,0,((AI41*AI24)*$C$10)/1000)</f>
        <v/>
      </c>
      <c r="AJ60" s="15">
        <f>IF(1000=0,0,((AJ41*AJ24)*$C$10)/1000)</f>
        <v/>
      </c>
      <c r="AK60" s="15">
        <f>IF(1000=0,0,((AK41*AK24)*$C$10)/1000)</f>
        <v/>
      </c>
      <c r="AL60" s="15">
        <f>IF(1000=0,0,((AL41*AL24)*$C$10)/1000)</f>
        <v/>
      </c>
      <c r="AM60" s="15">
        <f>IF(1000=0,0,((AM41*AM24)*$C$10)/1000)</f>
        <v/>
      </c>
      <c r="AN60" s="15">
        <f>IF(1000=0,0,((AN41*AN24)*$C$10)/1000)</f>
        <v/>
      </c>
      <c r="AO60" s="15">
        <f>IF(1000=0,0,((AO41*AO24)*$C$10)/1000)</f>
        <v/>
      </c>
      <c r="AP60" s="15">
        <f>IF(1000=0,0,((AP41*AP24)*$C$10)/1000)</f>
        <v/>
      </c>
      <c r="AQ60" s="15">
        <f>IF(1000=0,0,((AQ41*AQ24)*$C$10)/1000)</f>
        <v/>
      </c>
      <c r="AR60" s="15">
        <f>IF(1000=0,0,((AR41*AR24)*$C$10)/1000)</f>
        <v/>
      </c>
      <c r="AS60" s="15">
        <f>IF(1000=0,0,((AS41*AS24)*$C$10)/1000)</f>
        <v/>
      </c>
      <c r="AT60" s="15">
        <f>IF(1000=0,0,((AT41*AT24)*$C$10)/1000)</f>
        <v/>
      </c>
      <c r="AU60" s="15">
        <f>IF(1000=0,0,((AU41*AU24)*$C$10)/1000)</f>
        <v/>
      </c>
      <c r="AV60" s="15">
        <f>IF(1000=0,0,((AV41*AV24)*$C$10)/1000)</f>
        <v/>
      </c>
      <c r="AW60" s="15">
        <f>IF(1000=0,0,((AW41*AW24)*$C$10)/1000)</f>
        <v/>
      </c>
      <c r="AX60" s="15">
        <f>IF(1000=0,0,((AX41*AX24)*$C$10)/1000)</f>
        <v/>
      </c>
      <c r="AY60" s="15">
        <f>IF(1000=0,0,((AY41*AY24)*$C$10)/1000)</f>
        <v/>
      </c>
      <c r="AZ60" s="15">
        <f>IF(1000=0,0,((AZ41*AZ24)*$C$10)/1000)</f>
        <v/>
      </c>
      <c r="BA60" s="15">
        <f>IF(1000=0,0,((BA41*BA24)*$C$10)/1000)</f>
        <v/>
      </c>
      <c r="BB60" s="15">
        <f>IF(1000=0,0,((BB41*BB24)*$C$10)/1000)</f>
        <v/>
      </c>
      <c r="BC60" s="15">
        <f>IF(1000=0,0,((BC41*BC24)*$C$10)/1000)</f>
        <v/>
      </c>
      <c r="BD60" s="15">
        <f>IF(1000=0,0,((BD41*BD24)*$C$10)/1000)</f>
        <v/>
      </c>
      <c r="BE60" s="15">
        <f>IF(1000=0,0,((BE41*BE24)*$C$10)/1000)</f>
        <v/>
      </c>
      <c r="BF60" s="15">
        <f>IF(1000=0,0,((BF41*BF24)*$C$10)/1000)</f>
        <v/>
      </c>
      <c r="BG60" s="15">
        <f>IF(1000=0,0,((BG41*BG24)*$C$10)/1000)</f>
        <v/>
      </c>
      <c r="BH60" s="15">
        <f>IF(1000=0,0,((BH41*BH24)*$C$10)/1000)</f>
        <v/>
      </c>
      <c r="BI60" s="15">
        <f>IF(1000=0,0,((BI41*BI24)*$C$10)/1000)</f>
        <v/>
      </c>
      <c r="BJ60" s="15">
        <f>IF(1000=0,0,((BJ41*BJ24)*$C$10)/1000)</f>
        <v/>
      </c>
      <c r="BK60" s="15">
        <f>IF(1000=0,0,((BK41*BK24)*$C$10)/1000)</f>
        <v/>
      </c>
      <c r="BL60" s="15">
        <f>IF(1000=0,0,((BL41*BL24)*$C$10)/1000)</f>
        <v/>
      </c>
      <c r="BM60" s="15">
        <f>IF(1000=0,0,((BM41*BM24)*$C$10)/1000)</f>
        <v/>
      </c>
      <c r="BN60" s="15">
        <f>IF(1000=0,0,((BN41*BN24)*$C$10)/1000)</f>
        <v/>
      </c>
      <c r="BO60" s="15">
        <f>IF(1000=0,0,((BO41*BO24)*$C$10)/1000)</f>
        <v/>
      </c>
      <c r="BP60" s="15">
        <f>IF(1000=0,0,((BP41*BP24)*$C$10)/1000)</f>
        <v/>
      </c>
      <c r="BQ60" s="15">
        <f>IF(1000=0,0,((BQ41*BQ24)*$C$10)/1000)</f>
        <v/>
      </c>
      <c r="BR60" s="15">
        <f>IF(1000=0,0,((BR41*BR24)*$C$10)/1000)</f>
        <v/>
      </c>
      <c r="BS60" s="15">
        <f>IF(1000=0,0,((BS41*BS24)*$C$10)/1000)</f>
        <v/>
      </c>
      <c r="BT60" s="15">
        <f>IF(1000=0,0,((BT41*BT24)*$C$10)/1000)</f>
        <v/>
      </c>
      <c r="BU60" s="15">
        <f>IF(1000=0,0,((BU41*BU24)*$C$10)/1000)</f>
        <v/>
      </c>
      <c r="BV60" s="15">
        <f>IF(1000=0,0,((BV41*BV24)*$C$10)/1000)</f>
        <v/>
      </c>
      <c r="BW60" s="15">
        <f>IF(1000=0,0,((BW41*BW24)*$C$10)/1000)</f>
        <v/>
      </c>
      <c r="BX60" s="15">
        <f>IF(1000=0,0,((BX41*BX24)*$C$10)/1000)</f>
        <v/>
      </c>
      <c r="BY60" s="15">
        <f>IF(1000=0,0,((BY41*BY24)*$C$10)/1000)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14829.241</v>
      </c>
      <c r="E61" s="13" t="n">
        <v>7043.110000000001</v>
      </c>
      <c r="F61" s="13" t="n">
        <v>7449.45</v>
      </c>
      <c r="G61" s="13" t="n">
        <v>5222.175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  <c r="P61" s="15">
        <f>(P59+P60)</f>
        <v/>
      </c>
      <c r="Q61" s="15">
        <f>(Q59+Q60)</f>
        <v/>
      </c>
      <c r="R61" s="15">
        <f>(R59+R60)</f>
        <v/>
      </c>
      <c r="S61" s="15">
        <f>(S59+S60)</f>
        <v/>
      </c>
      <c r="T61" s="15">
        <f>(T59+T60)</f>
        <v/>
      </c>
      <c r="U61" s="15">
        <f>(U59+U60)</f>
        <v/>
      </c>
      <c r="V61" s="15">
        <f>(V59+V60)</f>
        <v/>
      </c>
      <c r="W61" s="15">
        <f>(W59+W60)</f>
        <v/>
      </c>
      <c r="X61" s="15">
        <f>(X59+X60)</f>
        <v/>
      </c>
      <c r="Y61" s="15">
        <f>(Y59+Y60)</f>
        <v/>
      </c>
      <c r="Z61" s="15">
        <f>(Z59+Z60)</f>
        <v/>
      </c>
      <c r="AA61" s="15">
        <f>(AA59+AA60)</f>
        <v/>
      </c>
      <c r="AB61" s="15">
        <f>(AB59+AB60)</f>
        <v/>
      </c>
      <c r="AC61" s="15">
        <f>(AC59+AC60)</f>
        <v/>
      </c>
      <c r="AD61" s="15">
        <f>(AD59+AD60)</f>
        <v/>
      </c>
      <c r="AE61" s="15">
        <f>(AE59+AE60)</f>
        <v/>
      </c>
      <c r="AF61" s="15">
        <f>(AF59+AF60)</f>
        <v/>
      </c>
      <c r="AG61" s="15">
        <f>(AG59+AG60)</f>
        <v/>
      </c>
      <c r="AH61" s="15">
        <f>(AH59+AH60)</f>
        <v/>
      </c>
      <c r="AI61" s="15">
        <f>(AI59+AI60)</f>
        <v/>
      </c>
      <c r="AJ61" s="15">
        <f>(AJ59+AJ60)</f>
        <v/>
      </c>
      <c r="AK61" s="15">
        <f>(AK59+AK60)</f>
        <v/>
      </c>
      <c r="AL61" s="15">
        <f>(AL59+AL60)</f>
        <v/>
      </c>
      <c r="AM61" s="15">
        <f>(AM59+AM60)</f>
        <v/>
      </c>
      <c r="AN61" s="15">
        <f>(AN59+AN60)</f>
        <v/>
      </c>
      <c r="AO61" s="15">
        <f>(AO59+AO60)</f>
        <v/>
      </c>
      <c r="AP61" s="15">
        <f>(AP59+AP60)</f>
        <v/>
      </c>
      <c r="AQ61" s="15">
        <f>(AQ59+AQ60)</f>
        <v/>
      </c>
      <c r="AR61" s="15">
        <f>(AR59+AR60)</f>
        <v/>
      </c>
      <c r="AS61" s="15">
        <f>(AS59+AS60)</f>
        <v/>
      </c>
      <c r="AT61" s="15">
        <f>(AT59+AT60)</f>
        <v/>
      </c>
      <c r="AU61" s="15">
        <f>(AU59+AU60)</f>
        <v/>
      </c>
      <c r="AV61" s="15">
        <f>(AV59+AV60)</f>
        <v/>
      </c>
      <c r="AW61" s="15">
        <f>(AW59+AW60)</f>
        <v/>
      </c>
      <c r="AX61" s="15">
        <f>(AX59+AX60)</f>
        <v/>
      </c>
      <c r="AY61" s="15">
        <f>(AY59+AY60)</f>
        <v/>
      </c>
      <c r="AZ61" s="15">
        <f>(AZ59+AZ60)</f>
        <v/>
      </c>
      <c r="BA61" s="15">
        <f>(BA59+BA60)</f>
        <v/>
      </c>
      <c r="BB61" s="15">
        <f>(BB59+BB60)</f>
        <v/>
      </c>
      <c r="BC61" s="15">
        <f>(BC59+BC60)</f>
        <v/>
      </c>
      <c r="BD61" s="15">
        <f>(BD59+BD60)</f>
        <v/>
      </c>
      <c r="BE61" s="15">
        <f>(BE59+BE60)</f>
        <v/>
      </c>
      <c r="BF61" s="15">
        <f>(BF59+BF60)</f>
        <v/>
      </c>
      <c r="BG61" s="15">
        <f>(BG59+BG60)</f>
        <v/>
      </c>
      <c r="BH61" s="15">
        <f>(BH59+BH60)</f>
        <v/>
      </c>
      <c r="BI61" s="15">
        <f>(BI59+BI60)</f>
        <v/>
      </c>
      <c r="BJ61" s="15">
        <f>(BJ59+BJ60)</f>
        <v/>
      </c>
      <c r="BK61" s="15">
        <f>(BK59+BK60)</f>
        <v/>
      </c>
      <c r="BL61" s="15">
        <f>(BL59+BL60)</f>
        <v/>
      </c>
      <c r="BM61" s="15">
        <f>(BM59+BM60)</f>
        <v/>
      </c>
      <c r="BN61" s="15">
        <f>(BN59+BN60)</f>
        <v/>
      </c>
      <c r="BO61" s="15">
        <f>(BO59+BO60)</f>
        <v/>
      </c>
      <c r="BP61" s="15">
        <f>(BP59+BP60)</f>
        <v/>
      </c>
      <c r="BQ61" s="15">
        <f>(BQ59+BQ60)</f>
        <v/>
      </c>
      <c r="BR61" s="15">
        <f>(BR59+BR60)</f>
        <v/>
      </c>
      <c r="BS61" s="15">
        <f>(BS59+BS60)</f>
        <v/>
      </c>
      <c r="BT61" s="15">
        <f>(BT59+BT60)</f>
        <v/>
      </c>
      <c r="BU61" s="15">
        <f>(BU59+BU60)</f>
        <v/>
      </c>
      <c r="BV61" s="15">
        <f>(BV59+BV60)</f>
        <v/>
      </c>
      <c r="BW61" s="15">
        <f>(BW59+BW60)</f>
        <v/>
      </c>
      <c r="BX61" s="15">
        <f>(BX59+BX60)</f>
        <v/>
      </c>
      <c r="BY61" s="15">
        <f>(BY59+BY60)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140.462</v>
      </c>
      <c r="E62" s="13" t="n">
        <v>115.964</v>
      </c>
      <c r="F62" s="13" t="n">
        <v>174.289</v>
      </c>
      <c r="G62" s="13" t="n">
        <v>222.651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  <c r="P62" s="15">
        <f>(O82*$C$29)</f>
        <v/>
      </c>
      <c r="Q62" s="15">
        <f>(P82*$C$29)</f>
        <v/>
      </c>
      <c r="R62" s="15">
        <f>(Q82*$C$29)</f>
        <v/>
      </c>
      <c r="S62" s="15">
        <f>(R82*$C$29)</f>
        <v/>
      </c>
      <c r="T62" s="15">
        <f>(S82*$C$29)</f>
        <v/>
      </c>
      <c r="U62" s="15">
        <f>(T82*$C$29)</f>
        <v/>
      </c>
      <c r="V62" s="15">
        <f>(U82*$C$29)</f>
        <v/>
      </c>
      <c r="W62" s="15">
        <f>(V82*$C$29)</f>
        <v/>
      </c>
      <c r="X62" s="15">
        <f>(W82*$C$29)</f>
        <v/>
      </c>
      <c r="Y62" s="15">
        <f>(X82*$C$29)</f>
        <v/>
      </c>
      <c r="Z62" s="15">
        <f>(Y82*$C$29)</f>
        <v/>
      </c>
      <c r="AA62" s="15">
        <f>(Z82*$C$29)</f>
        <v/>
      </c>
      <c r="AB62" s="15">
        <f>(AA82*$C$29)</f>
        <v/>
      </c>
      <c r="AC62" s="15">
        <f>(AB82*$C$29)</f>
        <v/>
      </c>
      <c r="AD62" s="15">
        <f>(AC82*$C$29)</f>
        <v/>
      </c>
      <c r="AE62" s="15">
        <f>(AD82*$C$29)</f>
        <v/>
      </c>
      <c r="AF62" s="15">
        <f>(AE82*$C$29)</f>
        <v/>
      </c>
      <c r="AG62" s="15">
        <f>(AF82*$C$29)</f>
        <v/>
      </c>
      <c r="AH62" s="15">
        <f>(AG82*$C$29)</f>
        <v/>
      </c>
      <c r="AI62" s="15">
        <f>(AH82*$C$29)</f>
        <v/>
      </c>
      <c r="AJ62" s="15">
        <f>(AI82*$C$29)</f>
        <v/>
      </c>
      <c r="AK62" s="15">
        <f>(AJ82*$C$29)</f>
        <v/>
      </c>
      <c r="AL62" s="15">
        <f>(AK82*$C$29)</f>
        <v/>
      </c>
      <c r="AM62" s="15">
        <f>(AL82*$C$29)</f>
        <v/>
      </c>
      <c r="AN62" s="15">
        <f>(AM82*$C$29)</f>
        <v/>
      </c>
      <c r="AO62" s="15">
        <f>(AN82*$C$29)</f>
        <v/>
      </c>
      <c r="AP62" s="15">
        <f>(AO82*$C$29)</f>
        <v/>
      </c>
      <c r="AQ62" s="15">
        <f>(AP82*$C$29)</f>
        <v/>
      </c>
      <c r="AR62" s="15">
        <f>(AQ82*$C$29)</f>
        <v/>
      </c>
      <c r="AS62" s="15">
        <f>(AR82*$C$29)</f>
        <v/>
      </c>
      <c r="AT62" s="15">
        <f>(AS82*$C$29)</f>
        <v/>
      </c>
      <c r="AU62" s="15">
        <f>(AT82*$C$29)</f>
        <v/>
      </c>
      <c r="AV62" s="15">
        <f>(AU82*$C$29)</f>
        <v/>
      </c>
      <c r="AW62" s="15">
        <f>(AV82*$C$29)</f>
        <v/>
      </c>
      <c r="AX62" s="15">
        <f>(AW82*$C$29)</f>
        <v/>
      </c>
      <c r="AY62" s="15">
        <f>(AX82*$C$29)</f>
        <v/>
      </c>
      <c r="AZ62" s="15">
        <f>(AY82*$C$29)</f>
        <v/>
      </c>
      <c r="BA62" s="15">
        <f>(AZ82*$C$29)</f>
        <v/>
      </c>
      <c r="BB62" s="15">
        <f>(BA82*$C$29)</f>
        <v/>
      </c>
      <c r="BC62" s="15">
        <f>(BB82*$C$29)</f>
        <v/>
      </c>
      <c r="BD62" s="15">
        <f>(BC82*$C$29)</f>
        <v/>
      </c>
      <c r="BE62" s="15">
        <f>(BD82*$C$29)</f>
        <v/>
      </c>
      <c r="BF62" s="15">
        <f>(BE82*$C$29)</f>
        <v/>
      </c>
      <c r="BG62" s="15">
        <f>(BF82*$C$29)</f>
        <v/>
      </c>
      <c r="BH62" s="15">
        <f>(BG82*$C$29)</f>
        <v/>
      </c>
      <c r="BI62" s="15">
        <f>(BH82*$C$29)</f>
        <v/>
      </c>
      <c r="BJ62" s="15">
        <f>(BI82*$C$29)</f>
        <v/>
      </c>
      <c r="BK62" s="15">
        <f>(BJ82*$C$29)</f>
        <v/>
      </c>
      <c r="BL62" s="15">
        <f>(BK82*$C$29)</f>
        <v/>
      </c>
      <c r="BM62" s="15">
        <f>(BL82*$C$29)</f>
        <v/>
      </c>
      <c r="BN62" s="15">
        <f>(BM82*$C$29)</f>
        <v/>
      </c>
      <c r="BO62" s="15">
        <f>(BN82*$C$29)</f>
        <v/>
      </c>
      <c r="BP62" s="15">
        <f>(BO82*$C$29)</f>
        <v/>
      </c>
      <c r="BQ62" s="15">
        <f>(BP82*$C$29)</f>
        <v/>
      </c>
      <c r="BR62" s="15">
        <f>(BQ82*$C$29)</f>
        <v/>
      </c>
      <c r="BS62" s="15">
        <f>(BR82*$C$29)</f>
        <v/>
      </c>
      <c r="BT62" s="15">
        <f>(BS82*$C$29)</f>
        <v/>
      </c>
      <c r="BU62" s="15">
        <f>(BT82*$C$29)</f>
        <v/>
      </c>
      <c r="BV62" s="15">
        <f>(BU82*$C$29)</f>
        <v/>
      </c>
      <c r="BW62" s="15">
        <f>(BV82*$C$29)</f>
        <v/>
      </c>
      <c r="BX62" s="15">
        <f>(BW82*$C$29)</f>
        <v/>
      </c>
      <c r="BY62" s="15">
        <f>(BX82*$C$29)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428.033</v>
      </c>
      <c r="E63" s="13" t="n">
        <v>584.3390000000001</v>
      </c>
      <c r="F63" s="13" t="n">
        <v>250.183</v>
      </c>
      <c r="G63" s="13" t="n">
        <v>219.502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  <c r="P63" s="15">
        <f>(O81*$C$30)</f>
        <v/>
      </c>
      <c r="Q63" s="15">
        <f>(P81*$C$30)</f>
        <v/>
      </c>
      <c r="R63" s="15">
        <f>(Q81*$C$30)</f>
        <v/>
      </c>
      <c r="S63" s="15">
        <f>(R81*$C$30)</f>
        <v/>
      </c>
      <c r="T63" s="15">
        <f>(S81*$C$30)</f>
        <v/>
      </c>
      <c r="U63" s="15">
        <f>(T81*$C$30)</f>
        <v/>
      </c>
      <c r="V63" s="15">
        <f>(U81*$C$30)</f>
        <v/>
      </c>
      <c r="W63" s="15">
        <f>(V81*$C$30)</f>
        <v/>
      </c>
      <c r="X63" s="15">
        <f>(W81*$C$30)</f>
        <v/>
      </c>
      <c r="Y63" s="15">
        <f>(X81*$C$30)</f>
        <v/>
      </c>
      <c r="Z63" s="15">
        <f>(Y81*$C$30)</f>
        <v/>
      </c>
      <c r="AA63" s="15">
        <f>(Z81*$C$30)</f>
        <v/>
      </c>
      <c r="AB63" s="15">
        <f>(AA81*$C$30)</f>
        <v/>
      </c>
      <c r="AC63" s="15">
        <f>(AB81*$C$30)</f>
        <v/>
      </c>
      <c r="AD63" s="15">
        <f>(AC81*$C$30)</f>
        <v/>
      </c>
      <c r="AE63" s="15">
        <f>(AD81*$C$30)</f>
        <v/>
      </c>
      <c r="AF63" s="15">
        <f>(AE81*$C$30)</f>
        <v/>
      </c>
      <c r="AG63" s="15">
        <f>(AF81*$C$30)</f>
        <v/>
      </c>
      <c r="AH63" s="15">
        <f>(AG81*$C$30)</f>
        <v/>
      </c>
      <c r="AI63" s="15">
        <f>(AH81*$C$30)</f>
        <v/>
      </c>
      <c r="AJ63" s="15">
        <f>(AI81*$C$30)</f>
        <v/>
      </c>
      <c r="AK63" s="15">
        <f>(AJ81*$C$30)</f>
        <v/>
      </c>
      <c r="AL63" s="15">
        <f>(AK81*$C$30)</f>
        <v/>
      </c>
      <c r="AM63" s="15">
        <f>(AL81*$C$30)</f>
        <v/>
      </c>
      <c r="AN63" s="15">
        <f>(AM81*$C$30)</f>
        <v/>
      </c>
      <c r="AO63" s="15">
        <f>(AN81*$C$30)</f>
        <v/>
      </c>
      <c r="AP63" s="15">
        <f>(AO81*$C$30)</f>
        <v/>
      </c>
      <c r="AQ63" s="15">
        <f>(AP81*$C$30)</f>
        <v/>
      </c>
      <c r="AR63" s="15">
        <f>(AQ81*$C$30)</f>
        <v/>
      </c>
      <c r="AS63" s="15">
        <f>(AR81*$C$30)</f>
        <v/>
      </c>
      <c r="AT63" s="15">
        <f>(AS81*$C$30)</f>
        <v/>
      </c>
      <c r="AU63" s="15">
        <f>(AT81*$C$30)</f>
        <v/>
      </c>
      <c r="AV63" s="15">
        <f>(AU81*$C$30)</f>
        <v/>
      </c>
      <c r="AW63" s="15">
        <f>(AV81*$C$30)</f>
        <v/>
      </c>
      <c r="AX63" s="15">
        <f>(AW81*$C$30)</f>
        <v/>
      </c>
      <c r="AY63" s="15">
        <f>(AX81*$C$30)</f>
        <v/>
      </c>
      <c r="AZ63" s="15">
        <f>(AY81*$C$30)</f>
        <v/>
      </c>
      <c r="BA63" s="15">
        <f>(AZ81*$C$30)</f>
        <v/>
      </c>
      <c r="BB63" s="15">
        <f>(BA81*$C$30)</f>
        <v/>
      </c>
      <c r="BC63" s="15">
        <f>(BB81*$C$30)</f>
        <v/>
      </c>
      <c r="BD63" s="15">
        <f>(BC81*$C$30)</f>
        <v/>
      </c>
      <c r="BE63" s="15">
        <f>(BD81*$C$30)</f>
        <v/>
      </c>
      <c r="BF63" s="15">
        <f>(BE81*$C$30)</f>
        <v/>
      </c>
      <c r="BG63" s="15">
        <f>(BF81*$C$30)</f>
        <v/>
      </c>
      <c r="BH63" s="15">
        <f>(BG81*$C$30)</f>
        <v/>
      </c>
      <c r="BI63" s="15">
        <f>(BH81*$C$30)</f>
        <v/>
      </c>
      <c r="BJ63" s="15">
        <f>(BI81*$C$30)</f>
        <v/>
      </c>
      <c r="BK63" s="15">
        <f>(BJ81*$C$30)</f>
        <v/>
      </c>
      <c r="BL63" s="15">
        <f>(BK81*$C$30)</f>
        <v/>
      </c>
      <c r="BM63" s="15">
        <f>(BL81*$C$30)</f>
        <v/>
      </c>
      <c r="BN63" s="15">
        <f>(BM81*$C$30)</f>
        <v/>
      </c>
      <c r="BO63" s="15">
        <f>(BN81*$C$30)</f>
        <v/>
      </c>
      <c r="BP63" s="15">
        <f>(BO81*$C$30)</f>
        <v/>
      </c>
      <c r="BQ63" s="15">
        <f>(BP81*$C$30)</f>
        <v/>
      </c>
      <c r="BR63" s="15">
        <f>(BQ81*$C$30)</f>
        <v/>
      </c>
      <c r="BS63" s="15">
        <f>(BR81*$C$30)</f>
        <v/>
      </c>
      <c r="BT63" s="15">
        <f>(BS81*$C$30)</f>
        <v/>
      </c>
      <c r="BU63" s="15">
        <f>(BT81*$C$30)</f>
        <v/>
      </c>
      <c r="BV63" s="15">
        <f>(BU81*$C$30)</f>
        <v/>
      </c>
      <c r="BW63" s="15">
        <f>(BV81*$C$30)</f>
        <v/>
      </c>
      <c r="BX63" s="15">
        <f>(BW81*$C$30)</f>
        <v/>
      </c>
      <c r="BY63" s="15">
        <f>(BX81*$C$30)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1351.654</v>
      </c>
      <c r="E64" s="13" t="n">
        <v>954.5789999999996</v>
      </c>
      <c r="F64" s="13" t="n">
        <v>530.9340000000004</v>
      </c>
      <c r="G64" s="13" t="n">
        <v>568.2850000000001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  <c r="P64" s="15">
        <f>P32</f>
        <v/>
      </c>
      <c r="Q64" s="15">
        <f>Q32</f>
        <v/>
      </c>
      <c r="R64" s="15">
        <f>R32</f>
        <v/>
      </c>
      <c r="S64" s="15">
        <f>S32</f>
        <v/>
      </c>
      <c r="T64" s="15">
        <f>T32</f>
        <v/>
      </c>
      <c r="U64" s="15">
        <f>U32</f>
        <v/>
      </c>
      <c r="V64" s="15">
        <f>V32</f>
        <v/>
      </c>
      <c r="W64" s="15">
        <f>W32</f>
        <v/>
      </c>
      <c r="X64" s="15">
        <f>X32</f>
        <v/>
      </c>
      <c r="Y64" s="15">
        <f>Y32</f>
        <v/>
      </c>
      <c r="Z64" s="15">
        <f>Z32</f>
        <v/>
      </c>
      <c r="AA64" s="15">
        <f>AA32</f>
        <v/>
      </c>
      <c r="AB64" s="15">
        <f>AB32</f>
        <v/>
      </c>
      <c r="AC64" s="15">
        <f>AC32</f>
        <v/>
      </c>
      <c r="AD64" s="15">
        <f>AD32</f>
        <v/>
      </c>
      <c r="AE64" s="15">
        <f>AE32</f>
        <v/>
      </c>
      <c r="AF64" s="15">
        <f>AF32</f>
        <v/>
      </c>
      <c r="AG64" s="15">
        <f>AG32</f>
        <v/>
      </c>
      <c r="AH64" s="15">
        <f>AH32</f>
        <v/>
      </c>
      <c r="AI64" s="15">
        <f>AI32</f>
        <v/>
      </c>
      <c r="AJ64" s="15">
        <f>AJ32</f>
        <v/>
      </c>
      <c r="AK64" s="15">
        <f>AK32</f>
        <v/>
      </c>
      <c r="AL64" s="15">
        <f>AL32</f>
        <v/>
      </c>
      <c r="AM64" s="15">
        <f>AM32</f>
        <v/>
      </c>
      <c r="AN64" s="15">
        <f>AN32</f>
        <v/>
      </c>
      <c r="AO64" s="15">
        <f>AO32</f>
        <v/>
      </c>
      <c r="AP64" s="15">
        <f>AP32</f>
        <v/>
      </c>
      <c r="AQ64" s="15">
        <f>AQ32</f>
        <v/>
      </c>
      <c r="AR64" s="15">
        <f>AR32</f>
        <v/>
      </c>
      <c r="AS64" s="15">
        <f>AS32</f>
        <v/>
      </c>
      <c r="AT64" s="15">
        <f>AT32</f>
        <v/>
      </c>
      <c r="AU64" s="15">
        <f>AU32</f>
        <v/>
      </c>
      <c r="AV64" s="15">
        <f>AV32</f>
        <v/>
      </c>
      <c r="AW64" s="15">
        <f>AW32</f>
        <v/>
      </c>
      <c r="AX64" s="15">
        <f>AX32</f>
        <v/>
      </c>
      <c r="AY64" s="15">
        <f>AY32</f>
        <v/>
      </c>
      <c r="AZ64" s="15">
        <f>AZ32</f>
        <v/>
      </c>
      <c r="BA64" s="15">
        <f>BA32</f>
        <v/>
      </c>
      <c r="BB64" s="15">
        <f>BB32</f>
        <v/>
      </c>
      <c r="BC64" s="15">
        <f>BC32</f>
        <v/>
      </c>
      <c r="BD64" s="15">
        <f>BD32</f>
        <v/>
      </c>
      <c r="BE64" s="15">
        <f>BE32</f>
        <v/>
      </c>
      <c r="BF64" s="15">
        <f>BF32</f>
        <v/>
      </c>
      <c r="BG64" s="15">
        <f>BG32</f>
        <v/>
      </c>
      <c r="BH64" s="15">
        <f>BH32</f>
        <v/>
      </c>
      <c r="BI64" s="15">
        <f>BI32</f>
        <v/>
      </c>
      <c r="BJ64" s="15">
        <f>BJ32</f>
        <v/>
      </c>
      <c r="BK64" s="15">
        <f>BK32</f>
        <v/>
      </c>
      <c r="BL64" s="15">
        <f>BL32</f>
        <v/>
      </c>
      <c r="BM64" s="15">
        <f>BM32</f>
        <v/>
      </c>
      <c r="BN64" s="15">
        <f>BN32</f>
        <v/>
      </c>
      <c r="BO64" s="15">
        <f>BO32</f>
        <v/>
      </c>
      <c r="BP64" s="15">
        <f>BP32</f>
        <v/>
      </c>
      <c r="BQ64" s="15">
        <f>BQ32</f>
        <v/>
      </c>
      <c r="BR64" s="15">
        <f>BR32</f>
        <v/>
      </c>
      <c r="BS64" s="15">
        <f>BS32</f>
        <v/>
      </c>
      <c r="BT64" s="15">
        <f>BT32</f>
        <v/>
      </c>
      <c r="BU64" s="15">
        <f>BU32</f>
        <v/>
      </c>
      <c r="BV64" s="15">
        <f>BV32</f>
        <v/>
      </c>
      <c r="BW64" s="15">
        <f>BW32</f>
        <v/>
      </c>
      <c r="BX64" s="15">
        <f>BX32</f>
        <v/>
      </c>
      <c r="BY64" s="15">
        <f>BY32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16202.314</v>
      </c>
      <c r="E65" s="13" t="n">
        <v>8154.313</v>
      </c>
      <c r="F65" s="13" t="n">
        <v>6259.246</v>
      </c>
      <c r="G65" s="13" t="n">
        <v>3773.209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  <c r="P65" s="15">
        <f>(((P59-P62)+P63)+P64)</f>
        <v/>
      </c>
      <c r="Q65" s="15">
        <f>(((Q59-Q62)+Q63)+Q64)</f>
        <v/>
      </c>
      <c r="R65" s="15">
        <f>(((R59-R62)+R63)+R64)</f>
        <v/>
      </c>
      <c r="S65" s="15">
        <f>(((S59-S62)+S63)+S64)</f>
        <v/>
      </c>
      <c r="T65" s="15">
        <f>(((T59-T62)+T63)+T64)</f>
        <v/>
      </c>
      <c r="U65" s="15">
        <f>(((U59-U62)+U63)+U64)</f>
        <v/>
      </c>
      <c r="V65" s="15">
        <f>(((V59-V62)+V63)+V64)</f>
        <v/>
      </c>
      <c r="W65" s="15">
        <f>(((W59-W62)+W63)+W64)</f>
        <v/>
      </c>
      <c r="X65" s="15">
        <f>(((X59-X62)+X63)+X64)</f>
        <v/>
      </c>
      <c r="Y65" s="15">
        <f>(((Y59-Y62)+Y63)+Y64)</f>
        <v/>
      </c>
      <c r="Z65" s="15">
        <f>(((Z59-Z62)+Z63)+Z64)</f>
        <v/>
      </c>
      <c r="AA65" s="15">
        <f>(((AA59-AA62)+AA63)+AA64)</f>
        <v/>
      </c>
      <c r="AB65" s="15">
        <f>(((AB59-AB62)+AB63)+AB64)</f>
        <v/>
      </c>
      <c r="AC65" s="15">
        <f>(((AC59-AC62)+AC63)+AC64)</f>
        <v/>
      </c>
      <c r="AD65" s="15">
        <f>(((AD59-AD62)+AD63)+AD64)</f>
        <v/>
      </c>
      <c r="AE65" s="15">
        <f>(((AE59-AE62)+AE63)+AE64)</f>
        <v/>
      </c>
      <c r="AF65" s="15">
        <f>(((AF59-AF62)+AF63)+AF64)</f>
        <v/>
      </c>
      <c r="AG65" s="15">
        <f>(((AG59-AG62)+AG63)+AG64)</f>
        <v/>
      </c>
      <c r="AH65" s="15">
        <f>(((AH59-AH62)+AH63)+AH64)</f>
        <v/>
      </c>
      <c r="AI65" s="15">
        <f>(((AI59-AI62)+AI63)+AI64)</f>
        <v/>
      </c>
      <c r="AJ65" s="15">
        <f>(((AJ59-AJ62)+AJ63)+AJ64)</f>
        <v/>
      </c>
      <c r="AK65" s="15">
        <f>(((AK59-AK62)+AK63)+AK64)</f>
        <v/>
      </c>
      <c r="AL65" s="15">
        <f>(((AL59-AL62)+AL63)+AL64)</f>
        <v/>
      </c>
      <c r="AM65" s="15">
        <f>(((AM59-AM62)+AM63)+AM64)</f>
        <v/>
      </c>
      <c r="AN65" s="15">
        <f>(((AN59-AN62)+AN63)+AN64)</f>
        <v/>
      </c>
      <c r="AO65" s="15">
        <f>(((AO59-AO62)+AO63)+AO64)</f>
        <v/>
      </c>
      <c r="AP65" s="15">
        <f>(((AP59-AP62)+AP63)+AP64)</f>
        <v/>
      </c>
      <c r="AQ65" s="15">
        <f>(((AQ59-AQ62)+AQ63)+AQ64)</f>
        <v/>
      </c>
      <c r="AR65" s="15">
        <f>(((AR59-AR62)+AR63)+AR64)</f>
        <v/>
      </c>
      <c r="AS65" s="15">
        <f>(((AS59-AS62)+AS63)+AS64)</f>
        <v/>
      </c>
      <c r="AT65" s="15">
        <f>(((AT59-AT62)+AT63)+AT64)</f>
        <v/>
      </c>
      <c r="AU65" s="15">
        <f>(((AU59-AU62)+AU63)+AU64)</f>
        <v/>
      </c>
      <c r="AV65" s="15">
        <f>(((AV59-AV62)+AV63)+AV64)</f>
        <v/>
      </c>
      <c r="AW65" s="15">
        <f>(((AW59-AW62)+AW63)+AW64)</f>
        <v/>
      </c>
      <c r="AX65" s="15">
        <f>(((AX59-AX62)+AX63)+AX64)</f>
        <v/>
      </c>
      <c r="AY65" s="15">
        <f>(((AY59-AY62)+AY63)+AY64)</f>
        <v/>
      </c>
      <c r="AZ65" s="15">
        <f>(((AZ59-AZ62)+AZ63)+AZ64)</f>
        <v/>
      </c>
      <c r="BA65" s="15">
        <f>(((BA59-BA62)+BA63)+BA64)</f>
        <v/>
      </c>
      <c r="BB65" s="15">
        <f>(((BB59-BB62)+BB63)+BB64)</f>
        <v/>
      </c>
      <c r="BC65" s="15">
        <f>(((BC59-BC62)+BC63)+BC64)</f>
        <v/>
      </c>
      <c r="BD65" s="15">
        <f>(((BD59-BD62)+BD63)+BD64)</f>
        <v/>
      </c>
      <c r="BE65" s="15">
        <f>(((BE59-BE62)+BE63)+BE64)</f>
        <v/>
      </c>
      <c r="BF65" s="15">
        <f>(((BF59-BF62)+BF63)+BF64)</f>
        <v/>
      </c>
      <c r="BG65" s="15">
        <f>(((BG59-BG62)+BG63)+BG64)</f>
        <v/>
      </c>
      <c r="BH65" s="15">
        <f>(((BH59-BH62)+BH63)+BH64)</f>
        <v/>
      </c>
      <c r="BI65" s="15">
        <f>(((BI59-BI62)+BI63)+BI64)</f>
        <v/>
      </c>
      <c r="BJ65" s="15">
        <f>(((BJ59-BJ62)+BJ63)+BJ64)</f>
        <v/>
      </c>
      <c r="BK65" s="15">
        <f>(((BK59-BK62)+BK63)+BK64)</f>
        <v/>
      </c>
      <c r="BL65" s="15">
        <f>(((BL59-BL62)+BL63)+BL64)</f>
        <v/>
      </c>
      <c r="BM65" s="15">
        <f>(((BM59-BM62)+BM63)+BM64)</f>
        <v/>
      </c>
      <c r="BN65" s="15">
        <f>(((BN59-BN62)+BN63)+BN64)</f>
        <v/>
      </c>
      <c r="BO65" s="15">
        <f>(((BO59-BO62)+BO63)+BO64)</f>
        <v/>
      </c>
      <c r="BP65" s="15">
        <f>(((BP59-BP62)+BP63)+BP64)</f>
        <v/>
      </c>
      <c r="BQ65" s="15">
        <f>(((BQ59-BQ62)+BQ63)+BQ64)</f>
        <v/>
      </c>
      <c r="BR65" s="15">
        <f>(((BR59-BR62)+BR63)+BR64)</f>
        <v/>
      </c>
      <c r="BS65" s="15">
        <f>(((BS59-BS62)+BS63)+BS64)</f>
        <v/>
      </c>
      <c r="BT65" s="15">
        <f>(((BT59-BT62)+BT63)+BT64)</f>
        <v/>
      </c>
      <c r="BU65" s="15">
        <f>(((BU59-BU62)+BU63)+BU64)</f>
        <v/>
      </c>
      <c r="BV65" s="15">
        <f>(((BV59-BV62)+BV63)+BV64)</f>
        <v/>
      </c>
      <c r="BW65" s="15">
        <f>(((BW59-BW62)+BW63)+BW64)</f>
        <v/>
      </c>
      <c r="BX65" s="15">
        <f>(((BX59-BX62)+BX63)+BX64)</f>
        <v/>
      </c>
      <c r="BY65" s="15">
        <f>(((BY59-BY62)+BY63)+BY64)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3422.887</v>
      </c>
      <c r="E66" s="13" t="n">
        <v>1861.792</v>
      </c>
      <c r="F66" s="13" t="n">
        <v>1119.823</v>
      </c>
      <c r="G66" s="13" t="n">
        <v>813.973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  <c r="P66" s="15">
        <f>(MAX(P65,0)*P28)</f>
        <v/>
      </c>
      <c r="Q66" s="15">
        <f>(MAX(Q65,0)*Q28)</f>
        <v/>
      </c>
      <c r="R66" s="15">
        <f>(MAX(R65,0)*R28)</f>
        <v/>
      </c>
      <c r="S66" s="15">
        <f>(MAX(S65,0)*S28)</f>
        <v/>
      </c>
      <c r="T66" s="15">
        <f>(MAX(T65,0)*T28)</f>
        <v/>
      </c>
      <c r="U66" s="15">
        <f>(MAX(U65,0)*U28)</f>
        <v/>
      </c>
      <c r="V66" s="15">
        <f>(MAX(V65,0)*V28)</f>
        <v/>
      </c>
      <c r="W66" s="15">
        <f>(MAX(W65,0)*W28)</f>
        <v/>
      </c>
      <c r="X66" s="15">
        <f>(MAX(X65,0)*X28)</f>
        <v/>
      </c>
      <c r="Y66" s="15">
        <f>(MAX(Y65,0)*Y28)</f>
        <v/>
      </c>
      <c r="Z66" s="15">
        <f>(MAX(Z65,0)*Z28)</f>
        <v/>
      </c>
      <c r="AA66" s="15">
        <f>(MAX(AA65,0)*AA28)</f>
        <v/>
      </c>
      <c r="AB66" s="15">
        <f>(MAX(AB65,0)*AB28)</f>
        <v/>
      </c>
      <c r="AC66" s="15">
        <f>(MAX(AC65,0)*AC28)</f>
        <v/>
      </c>
      <c r="AD66" s="15">
        <f>(MAX(AD65,0)*AD28)</f>
        <v/>
      </c>
      <c r="AE66" s="15">
        <f>(MAX(AE65,0)*AE28)</f>
        <v/>
      </c>
      <c r="AF66" s="15">
        <f>(MAX(AF65,0)*AF28)</f>
        <v/>
      </c>
      <c r="AG66" s="15">
        <f>(MAX(AG65,0)*AG28)</f>
        <v/>
      </c>
      <c r="AH66" s="15">
        <f>(MAX(AH65,0)*AH28)</f>
        <v/>
      </c>
      <c r="AI66" s="15">
        <f>(MAX(AI65,0)*AI28)</f>
        <v/>
      </c>
      <c r="AJ66" s="15">
        <f>(MAX(AJ65,0)*AJ28)</f>
        <v/>
      </c>
      <c r="AK66" s="15">
        <f>(MAX(AK65,0)*AK28)</f>
        <v/>
      </c>
      <c r="AL66" s="15">
        <f>(MAX(AL65,0)*AL28)</f>
        <v/>
      </c>
      <c r="AM66" s="15">
        <f>(MAX(AM65,0)*AM28)</f>
        <v/>
      </c>
      <c r="AN66" s="15">
        <f>(MAX(AN65,0)*AN28)</f>
        <v/>
      </c>
      <c r="AO66" s="15">
        <f>(MAX(AO65,0)*AO28)</f>
        <v/>
      </c>
      <c r="AP66" s="15">
        <f>(MAX(AP65,0)*AP28)</f>
        <v/>
      </c>
      <c r="AQ66" s="15">
        <f>(MAX(AQ65,0)*AQ28)</f>
        <v/>
      </c>
      <c r="AR66" s="15">
        <f>(MAX(AR65,0)*AR28)</f>
        <v/>
      </c>
      <c r="AS66" s="15">
        <f>(MAX(AS65,0)*AS28)</f>
        <v/>
      </c>
      <c r="AT66" s="15">
        <f>(MAX(AT65,0)*AT28)</f>
        <v/>
      </c>
      <c r="AU66" s="15">
        <f>(MAX(AU65,0)*AU28)</f>
        <v/>
      </c>
      <c r="AV66" s="15">
        <f>(MAX(AV65,0)*AV28)</f>
        <v/>
      </c>
      <c r="AW66" s="15">
        <f>(MAX(AW65,0)*AW28)</f>
        <v/>
      </c>
      <c r="AX66" s="15">
        <f>(MAX(AX65,0)*AX28)</f>
        <v/>
      </c>
      <c r="AY66" s="15">
        <f>(MAX(AY65,0)*AY28)</f>
        <v/>
      </c>
      <c r="AZ66" s="15">
        <f>(MAX(AZ65,0)*AZ28)</f>
        <v/>
      </c>
      <c r="BA66" s="15">
        <f>(MAX(BA65,0)*BA28)</f>
        <v/>
      </c>
      <c r="BB66" s="15">
        <f>(MAX(BB65,0)*BB28)</f>
        <v/>
      </c>
      <c r="BC66" s="15">
        <f>(MAX(BC65,0)*BC28)</f>
        <v/>
      </c>
      <c r="BD66" s="15">
        <f>(MAX(BD65,0)*BD28)</f>
        <v/>
      </c>
      <c r="BE66" s="15">
        <f>(MAX(BE65,0)*BE28)</f>
        <v/>
      </c>
      <c r="BF66" s="15">
        <f>(MAX(BF65,0)*BF28)</f>
        <v/>
      </c>
      <c r="BG66" s="15">
        <f>(MAX(BG65,0)*BG28)</f>
        <v/>
      </c>
      <c r="BH66" s="15">
        <f>(MAX(BH65,0)*BH28)</f>
        <v/>
      </c>
      <c r="BI66" s="15">
        <f>(MAX(BI65,0)*BI28)</f>
        <v/>
      </c>
      <c r="BJ66" s="15">
        <f>(MAX(BJ65,0)*BJ28)</f>
        <v/>
      </c>
      <c r="BK66" s="15">
        <f>(MAX(BK65,0)*BK28)</f>
        <v/>
      </c>
      <c r="BL66" s="15">
        <f>(MAX(BL65,0)*BL28)</f>
        <v/>
      </c>
      <c r="BM66" s="15">
        <f>(MAX(BM65,0)*BM28)</f>
        <v/>
      </c>
      <c r="BN66" s="15">
        <f>(MAX(BN65,0)*BN28)</f>
        <v/>
      </c>
      <c r="BO66" s="15">
        <f>(MAX(BO65,0)*BO28)</f>
        <v/>
      </c>
      <c r="BP66" s="15">
        <f>(MAX(BP65,0)*BP28)</f>
        <v/>
      </c>
      <c r="BQ66" s="15">
        <f>(MAX(BQ65,0)*BQ28)</f>
        <v/>
      </c>
      <c r="BR66" s="15">
        <f>(MAX(BR65,0)*BR28)</f>
        <v/>
      </c>
      <c r="BS66" s="15">
        <f>(MAX(BS65,0)*BS28)</f>
        <v/>
      </c>
      <c r="BT66" s="15">
        <f>(MAX(BT65,0)*BT28)</f>
        <v/>
      </c>
      <c r="BU66" s="15">
        <f>(MAX(BU65,0)*BU28)</f>
        <v/>
      </c>
      <c r="BV66" s="15">
        <f>(MAX(BV65,0)*BV28)</f>
        <v/>
      </c>
      <c r="BW66" s="15">
        <f>(MAX(BW65,0)*BW28)</f>
        <v/>
      </c>
      <c r="BX66" s="15">
        <f>(MAX(BX65,0)*BX28)</f>
        <v/>
      </c>
      <c r="BY66" s="15">
        <f>(MAX(BY65,0)*BY28)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12779.427</v>
      </c>
      <c r="E67" s="13" t="n">
        <v>6292.521</v>
      </c>
      <c r="F67" s="13" t="n">
        <v>5139.423</v>
      </c>
      <c r="G67" s="13" t="n">
        <v>2959.236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  <c r="P67" s="15">
        <f>(P65-P66)</f>
        <v/>
      </c>
      <c r="Q67" s="15">
        <f>(Q65-Q66)</f>
        <v/>
      </c>
      <c r="R67" s="15">
        <f>(R65-R66)</f>
        <v/>
      </c>
      <c r="S67" s="15">
        <f>(S65-S66)</f>
        <v/>
      </c>
      <c r="T67" s="15">
        <f>(T65-T66)</f>
        <v/>
      </c>
      <c r="U67" s="15">
        <f>(U65-U66)</f>
        <v/>
      </c>
      <c r="V67" s="15">
        <f>(V65-V66)</f>
        <v/>
      </c>
      <c r="W67" s="15">
        <f>(W65-W66)</f>
        <v/>
      </c>
      <c r="X67" s="15">
        <f>(X65-X66)</f>
        <v/>
      </c>
      <c r="Y67" s="15">
        <f>(Y65-Y66)</f>
        <v/>
      </c>
      <c r="Z67" s="15">
        <f>(Z65-Z66)</f>
        <v/>
      </c>
      <c r="AA67" s="15">
        <f>(AA65-AA66)</f>
        <v/>
      </c>
      <c r="AB67" s="15">
        <f>(AB65-AB66)</f>
        <v/>
      </c>
      <c r="AC67" s="15">
        <f>(AC65-AC66)</f>
        <v/>
      </c>
      <c r="AD67" s="15">
        <f>(AD65-AD66)</f>
        <v/>
      </c>
      <c r="AE67" s="15">
        <f>(AE65-AE66)</f>
        <v/>
      </c>
      <c r="AF67" s="15">
        <f>(AF65-AF66)</f>
        <v/>
      </c>
      <c r="AG67" s="15">
        <f>(AG65-AG66)</f>
        <v/>
      </c>
      <c r="AH67" s="15">
        <f>(AH65-AH66)</f>
        <v/>
      </c>
      <c r="AI67" s="15">
        <f>(AI65-AI66)</f>
        <v/>
      </c>
      <c r="AJ67" s="15">
        <f>(AJ65-AJ66)</f>
        <v/>
      </c>
      <c r="AK67" s="15">
        <f>(AK65-AK66)</f>
        <v/>
      </c>
      <c r="AL67" s="15">
        <f>(AL65-AL66)</f>
        <v/>
      </c>
      <c r="AM67" s="15">
        <f>(AM65-AM66)</f>
        <v/>
      </c>
      <c r="AN67" s="15">
        <f>(AN65-AN66)</f>
        <v/>
      </c>
      <c r="AO67" s="15">
        <f>(AO65-AO66)</f>
        <v/>
      </c>
      <c r="AP67" s="15">
        <f>(AP65-AP66)</f>
        <v/>
      </c>
      <c r="AQ67" s="15">
        <f>(AQ65-AQ66)</f>
        <v/>
      </c>
      <c r="AR67" s="15">
        <f>(AR65-AR66)</f>
        <v/>
      </c>
      <c r="AS67" s="15">
        <f>(AS65-AS66)</f>
        <v/>
      </c>
      <c r="AT67" s="15">
        <f>(AT65-AT66)</f>
        <v/>
      </c>
      <c r="AU67" s="15">
        <f>(AU65-AU66)</f>
        <v/>
      </c>
      <c r="AV67" s="15">
        <f>(AV65-AV66)</f>
        <v/>
      </c>
      <c r="AW67" s="15">
        <f>(AW65-AW66)</f>
        <v/>
      </c>
      <c r="AX67" s="15">
        <f>(AX65-AX66)</f>
        <v/>
      </c>
      <c r="AY67" s="15">
        <f>(AY65-AY66)</f>
        <v/>
      </c>
      <c r="AZ67" s="15">
        <f>(AZ65-AZ66)</f>
        <v/>
      </c>
      <c r="BA67" s="15">
        <f>(BA65-BA66)</f>
        <v/>
      </c>
      <c r="BB67" s="15">
        <f>(BB65-BB66)</f>
        <v/>
      </c>
      <c r="BC67" s="15">
        <f>(BC65-BC66)</f>
        <v/>
      </c>
      <c r="BD67" s="15">
        <f>(BD65-BD66)</f>
        <v/>
      </c>
      <c r="BE67" s="15">
        <f>(BE65-BE66)</f>
        <v/>
      </c>
      <c r="BF67" s="15">
        <f>(BF65-BF66)</f>
        <v/>
      </c>
      <c r="BG67" s="15">
        <f>(BG65-BG66)</f>
        <v/>
      </c>
      <c r="BH67" s="15">
        <f>(BH65-BH66)</f>
        <v/>
      </c>
      <c r="BI67" s="15">
        <f>(BI65-BI66)</f>
        <v/>
      </c>
      <c r="BJ67" s="15">
        <f>(BJ65-BJ66)</f>
        <v/>
      </c>
      <c r="BK67" s="15">
        <f>(BK65-BK66)</f>
        <v/>
      </c>
      <c r="BL67" s="15">
        <f>(BL65-BL66)</f>
        <v/>
      </c>
      <c r="BM67" s="15">
        <f>(BM65-BM66)</f>
        <v/>
      </c>
      <c r="BN67" s="15">
        <f>(BN65-BN66)</f>
        <v/>
      </c>
      <c r="BO67" s="15">
        <f>(BO65-BO66)</f>
        <v/>
      </c>
      <c r="BP67" s="15">
        <f>(BP65-BP66)</f>
        <v/>
      </c>
      <c r="BQ67" s="15">
        <f>(BQ65-BQ66)</f>
        <v/>
      </c>
      <c r="BR67" s="15">
        <f>(BR65-BR66)</f>
        <v/>
      </c>
      <c r="BS67" s="15">
        <f>(BS65-BS66)</f>
        <v/>
      </c>
      <c r="BT67" s="15">
        <f>(BT65-BT66)</f>
        <v/>
      </c>
      <c r="BU67" s="15">
        <f>(BU65-BU66)</f>
        <v/>
      </c>
      <c r="BV67" s="15">
        <f>(BV65-BV66)</f>
        <v/>
      </c>
      <c r="BW67" s="15">
        <f>(BW65-BW66)</f>
        <v/>
      </c>
      <c r="BX67" s="15">
        <f>(BX65-BX66)</f>
        <v/>
      </c>
      <c r="BY67" s="15">
        <f>(BY65-BY66)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211.8449999999993</v>
      </c>
      <c r="E68" s="13" t="n">
        <v>186.665</v>
      </c>
      <c r="F68" s="13" t="n">
        <v>35.70299999999952</v>
      </c>
      <c r="G68" s="13" t="n">
        <v>29.279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  <c r="P68" s="15">
        <f>(P67*P33)</f>
        <v/>
      </c>
      <c r="Q68" s="15">
        <f>(Q67*Q33)</f>
        <v/>
      </c>
      <c r="R68" s="15">
        <f>(R67*R33)</f>
        <v/>
      </c>
      <c r="S68" s="15">
        <f>(S67*S33)</f>
        <v/>
      </c>
      <c r="T68" s="15">
        <f>(T67*T33)</f>
        <v/>
      </c>
      <c r="U68" s="15">
        <f>(U67*U33)</f>
        <v/>
      </c>
      <c r="V68" s="15">
        <f>(V67*V33)</f>
        <v/>
      </c>
      <c r="W68" s="15">
        <f>(W67*W33)</f>
        <v/>
      </c>
      <c r="X68" s="15">
        <f>(X67*X33)</f>
        <v/>
      </c>
      <c r="Y68" s="15">
        <f>(Y67*Y33)</f>
        <v/>
      </c>
      <c r="Z68" s="15">
        <f>(Z67*Z33)</f>
        <v/>
      </c>
      <c r="AA68" s="15">
        <f>(AA67*AA33)</f>
        <v/>
      </c>
      <c r="AB68" s="15">
        <f>(AB67*AB33)</f>
        <v/>
      </c>
      <c r="AC68" s="15">
        <f>(AC67*AC33)</f>
        <v/>
      </c>
      <c r="AD68" s="15">
        <f>(AD67*AD33)</f>
        <v/>
      </c>
      <c r="AE68" s="15">
        <f>(AE67*AE33)</f>
        <v/>
      </c>
      <c r="AF68" s="15">
        <f>(AF67*AF33)</f>
        <v/>
      </c>
      <c r="AG68" s="15">
        <f>(AG67*AG33)</f>
        <v/>
      </c>
      <c r="AH68" s="15">
        <f>(AH67*AH33)</f>
        <v/>
      </c>
      <c r="AI68" s="15">
        <f>(AI67*AI33)</f>
        <v/>
      </c>
      <c r="AJ68" s="15">
        <f>(AJ67*AJ33)</f>
        <v/>
      </c>
      <c r="AK68" s="15">
        <f>(AK67*AK33)</f>
        <v/>
      </c>
      <c r="AL68" s="15">
        <f>(AL67*AL33)</f>
        <v/>
      </c>
      <c r="AM68" s="15">
        <f>(AM67*AM33)</f>
        <v/>
      </c>
      <c r="AN68" s="15">
        <f>(AN67*AN33)</f>
        <v/>
      </c>
      <c r="AO68" s="15">
        <f>(AO67*AO33)</f>
        <v/>
      </c>
      <c r="AP68" s="15">
        <f>(AP67*AP33)</f>
        <v/>
      </c>
      <c r="AQ68" s="15">
        <f>(AQ67*AQ33)</f>
        <v/>
      </c>
      <c r="AR68" s="15">
        <f>(AR67*AR33)</f>
        <v/>
      </c>
      <c r="AS68" s="15">
        <f>(AS67*AS33)</f>
        <v/>
      </c>
      <c r="AT68" s="15">
        <f>(AT67*AT33)</f>
        <v/>
      </c>
      <c r="AU68" s="15">
        <f>(AU67*AU33)</f>
        <v/>
      </c>
      <c r="AV68" s="15">
        <f>(AV67*AV33)</f>
        <v/>
      </c>
      <c r="AW68" s="15">
        <f>(AW67*AW33)</f>
        <v/>
      </c>
      <c r="AX68" s="15">
        <f>(AX67*AX33)</f>
        <v/>
      </c>
      <c r="AY68" s="15">
        <f>(AY67*AY33)</f>
        <v/>
      </c>
      <c r="AZ68" s="15">
        <f>(AZ67*AZ33)</f>
        <v/>
      </c>
      <c r="BA68" s="15">
        <f>(BA67*BA33)</f>
        <v/>
      </c>
      <c r="BB68" s="15">
        <f>(BB67*BB33)</f>
        <v/>
      </c>
      <c r="BC68" s="15">
        <f>(BC67*BC33)</f>
        <v/>
      </c>
      <c r="BD68" s="15">
        <f>(BD67*BD33)</f>
        <v/>
      </c>
      <c r="BE68" s="15">
        <f>(BE67*BE33)</f>
        <v/>
      </c>
      <c r="BF68" s="15">
        <f>(BF67*BF33)</f>
        <v/>
      </c>
      <c r="BG68" s="15">
        <f>(BG67*BG33)</f>
        <v/>
      </c>
      <c r="BH68" s="15">
        <f>(BH67*BH33)</f>
        <v/>
      </c>
      <c r="BI68" s="15">
        <f>(BI67*BI33)</f>
        <v/>
      </c>
      <c r="BJ68" s="15">
        <f>(BJ67*BJ33)</f>
        <v/>
      </c>
      <c r="BK68" s="15">
        <f>(BK67*BK33)</f>
        <v/>
      </c>
      <c r="BL68" s="15">
        <f>(BL67*BL33)</f>
        <v/>
      </c>
      <c r="BM68" s="15">
        <f>(BM67*BM33)</f>
        <v/>
      </c>
      <c r="BN68" s="15">
        <f>(BN67*BN33)</f>
        <v/>
      </c>
      <c r="BO68" s="15">
        <f>(BO67*BO33)</f>
        <v/>
      </c>
      <c r="BP68" s="15">
        <f>(BP67*BP33)</f>
        <v/>
      </c>
      <c r="BQ68" s="15">
        <f>(BQ67*BQ33)</f>
        <v/>
      </c>
      <c r="BR68" s="15">
        <f>(BR67*BR33)</f>
        <v/>
      </c>
      <c r="BS68" s="15">
        <f>(BS67*BS33)</f>
        <v/>
      </c>
      <c r="BT68" s="15">
        <f>(BT67*BT33)</f>
        <v/>
      </c>
      <c r="BU68" s="15">
        <f>(BU67*BU33)</f>
        <v/>
      </c>
      <c r="BV68" s="15">
        <f>(BV67*BV33)</f>
        <v/>
      </c>
      <c r="BW68" s="15">
        <f>(BW67*BW33)</f>
        <v/>
      </c>
      <c r="BX68" s="15">
        <f>(BX67*BX33)</f>
        <v/>
      </c>
      <c r="BY68" s="15">
        <f>(BY67*BY33)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12567.582</v>
      </c>
      <c r="E69" s="13" t="n">
        <v>6105.856</v>
      </c>
      <c r="F69" s="13" t="n">
        <v>5103.72</v>
      </c>
      <c r="G69" s="13" t="n">
        <v>2929.957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  <c r="P69" s="15">
        <f>(P67-P68)</f>
        <v/>
      </c>
      <c r="Q69" s="15">
        <f>(Q67-Q68)</f>
        <v/>
      </c>
      <c r="R69" s="15">
        <f>(R67-R68)</f>
        <v/>
      </c>
      <c r="S69" s="15">
        <f>(S67-S68)</f>
        <v/>
      </c>
      <c r="T69" s="15">
        <f>(T67-T68)</f>
        <v/>
      </c>
      <c r="U69" s="15">
        <f>(U67-U68)</f>
        <v/>
      </c>
      <c r="V69" s="15">
        <f>(V67-V68)</f>
        <v/>
      </c>
      <c r="W69" s="15">
        <f>(W67-W68)</f>
        <v/>
      </c>
      <c r="X69" s="15">
        <f>(X67-X68)</f>
        <v/>
      </c>
      <c r="Y69" s="15">
        <f>(Y67-Y68)</f>
        <v/>
      </c>
      <c r="Z69" s="15">
        <f>(Z67-Z68)</f>
        <v/>
      </c>
      <c r="AA69" s="15">
        <f>(AA67-AA68)</f>
        <v/>
      </c>
      <c r="AB69" s="15">
        <f>(AB67-AB68)</f>
        <v/>
      </c>
      <c r="AC69" s="15">
        <f>(AC67-AC68)</f>
        <v/>
      </c>
      <c r="AD69" s="15">
        <f>(AD67-AD68)</f>
        <v/>
      </c>
      <c r="AE69" s="15">
        <f>(AE67-AE68)</f>
        <v/>
      </c>
      <c r="AF69" s="15">
        <f>(AF67-AF68)</f>
        <v/>
      </c>
      <c r="AG69" s="15">
        <f>(AG67-AG68)</f>
        <v/>
      </c>
      <c r="AH69" s="15">
        <f>(AH67-AH68)</f>
        <v/>
      </c>
      <c r="AI69" s="15">
        <f>(AI67-AI68)</f>
        <v/>
      </c>
      <c r="AJ69" s="15">
        <f>(AJ67-AJ68)</f>
        <v/>
      </c>
      <c r="AK69" s="15">
        <f>(AK67-AK68)</f>
        <v/>
      </c>
      <c r="AL69" s="15">
        <f>(AL67-AL68)</f>
        <v/>
      </c>
      <c r="AM69" s="15">
        <f>(AM67-AM68)</f>
        <v/>
      </c>
      <c r="AN69" s="15">
        <f>(AN67-AN68)</f>
        <v/>
      </c>
      <c r="AO69" s="15">
        <f>(AO67-AO68)</f>
        <v/>
      </c>
      <c r="AP69" s="15">
        <f>(AP67-AP68)</f>
        <v/>
      </c>
      <c r="AQ69" s="15">
        <f>(AQ67-AQ68)</f>
        <v/>
      </c>
      <c r="AR69" s="15">
        <f>(AR67-AR68)</f>
        <v/>
      </c>
      <c r="AS69" s="15">
        <f>(AS67-AS68)</f>
        <v/>
      </c>
      <c r="AT69" s="15">
        <f>(AT67-AT68)</f>
        <v/>
      </c>
      <c r="AU69" s="15">
        <f>(AU67-AU68)</f>
        <v/>
      </c>
      <c r="AV69" s="15">
        <f>(AV67-AV68)</f>
        <v/>
      </c>
      <c r="AW69" s="15">
        <f>(AW67-AW68)</f>
        <v/>
      </c>
      <c r="AX69" s="15">
        <f>(AX67-AX68)</f>
        <v/>
      </c>
      <c r="AY69" s="15">
        <f>(AY67-AY68)</f>
        <v/>
      </c>
      <c r="AZ69" s="15">
        <f>(AZ67-AZ68)</f>
        <v/>
      </c>
      <c r="BA69" s="15">
        <f>(BA67-BA68)</f>
        <v/>
      </c>
      <c r="BB69" s="15">
        <f>(BB67-BB68)</f>
        <v/>
      </c>
      <c r="BC69" s="15">
        <f>(BC67-BC68)</f>
        <v/>
      </c>
      <c r="BD69" s="15">
        <f>(BD67-BD68)</f>
        <v/>
      </c>
      <c r="BE69" s="15">
        <f>(BE67-BE68)</f>
        <v/>
      </c>
      <c r="BF69" s="15">
        <f>(BF67-BF68)</f>
        <v/>
      </c>
      <c r="BG69" s="15">
        <f>(BG67-BG68)</f>
        <v/>
      </c>
      <c r="BH69" s="15">
        <f>(BH67-BH68)</f>
        <v/>
      </c>
      <c r="BI69" s="15">
        <f>(BI67-BI68)</f>
        <v/>
      </c>
      <c r="BJ69" s="15">
        <f>(BJ67-BJ68)</f>
        <v/>
      </c>
      <c r="BK69" s="15">
        <f>(BK67-BK68)</f>
        <v/>
      </c>
      <c r="BL69" s="15">
        <f>(BL67-BL68)</f>
        <v/>
      </c>
      <c r="BM69" s="15">
        <f>(BM67-BM68)</f>
        <v/>
      </c>
      <c r="BN69" s="15">
        <f>(BN67-BN68)</f>
        <v/>
      </c>
      <c r="BO69" s="15">
        <f>(BO67-BO68)</f>
        <v/>
      </c>
      <c r="BP69" s="15">
        <f>(BP67-BP68)</f>
        <v/>
      </c>
      <c r="BQ69" s="15">
        <f>(BQ67-BQ68)</f>
        <v/>
      </c>
      <c r="BR69" s="15">
        <f>(BR67-BR68)</f>
        <v/>
      </c>
      <c r="BS69" s="15">
        <f>(BS67-BS68)</f>
        <v/>
      </c>
      <c r="BT69" s="15">
        <f>(BT67-BT68)</f>
        <v/>
      </c>
      <c r="BU69" s="15">
        <f>(BU67-BU68)</f>
        <v/>
      </c>
      <c r="BV69" s="15">
        <f>(BV67-BV68)</f>
        <v/>
      </c>
      <c r="BW69" s="15">
        <f>(BW67-BW68)</f>
        <v/>
      </c>
      <c r="BX69" s="15">
        <f>(BX67-BX68)</f>
        <v/>
      </c>
      <c r="BY69" s="15">
        <f>(BY67-BY68)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11487.209345</v>
      </c>
      <c r="E70" s="13" t="n">
        <v>11487.209345</v>
      </c>
      <c r="F70" s="13" t="n">
        <v>11514.357245</v>
      </c>
      <c r="G70" s="13" t="n">
        <v>11514.357245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  <c r="P70" s="15">
        <f>(O70*(1+P35))</f>
        <v/>
      </c>
      <c r="Q70" s="15">
        <f>(P70*(1+Q35))</f>
        <v/>
      </c>
      <c r="R70" s="15">
        <f>(Q70*(1+R35))</f>
        <v/>
      </c>
      <c r="S70" s="15">
        <f>(R70*(1+S35))</f>
        <v/>
      </c>
      <c r="T70" s="15">
        <f>(S70*(1+T35))</f>
        <v/>
      </c>
      <c r="U70" s="15">
        <f>(T70*(1+U35))</f>
        <v/>
      </c>
      <c r="V70" s="15">
        <f>(U70*(1+V35))</f>
        <v/>
      </c>
      <c r="W70" s="15">
        <f>(V70*(1+W35))</f>
        <v/>
      </c>
      <c r="X70" s="15">
        <f>(W70*(1+X35))</f>
        <v/>
      </c>
      <c r="Y70" s="15">
        <f>(X70*(1+Y35))</f>
        <v/>
      </c>
      <c r="Z70" s="15">
        <f>(Y70*(1+Z35))</f>
        <v/>
      </c>
      <c r="AA70" s="15">
        <f>(Z70*(1+AA35))</f>
        <v/>
      </c>
      <c r="AB70" s="15">
        <f>(AA70*(1+AB35))</f>
        <v/>
      </c>
      <c r="AC70" s="15">
        <f>(AB70*(1+AC35))</f>
        <v/>
      </c>
      <c r="AD70" s="15">
        <f>(AC70*(1+AD35))</f>
        <v/>
      </c>
      <c r="AE70" s="15">
        <f>(AD70*(1+AE35))</f>
        <v/>
      </c>
      <c r="AF70" s="15">
        <f>(AE70*(1+AF35))</f>
        <v/>
      </c>
      <c r="AG70" s="15">
        <f>(AF70*(1+AG35))</f>
        <v/>
      </c>
      <c r="AH70" s="15">
        <f>(AG70*(1+AH35))</f>
        <v/>
      </c>
      <c r="AI70" s="15">
        <f>(AH70*(1+AI35))</f>
        <v/>
      </c>
      <c r="AJ70" s="15">
        <f>(AI70*(1+AJ35))</f>
        <v/>
      </c>
      <c r="AK70" s="15">
        <f>(AJ70*(1+AK35))</f>
        <v/>
      </c>
      <c r="AL70" s="15">
        <f>(AK70*(1+AL35))</f>
        <v/>
      </c>
      <c r="AM70" s="15">
        <f>(AL70*(1+AM35))</f>
        <v/>
      </c>
      <c r="AN70" s="15">
        <f>(AM70*(1+AN35))</f>
        <v/>
      </c>
      <c r="AO70" s="15">
        <f>(AN70*(1+AO35))</f>
        <v/>
      </c>
      <c r="AP70" s="15">
        <f>(AO70*(1+AP35))</f>
        <v/>
      </c>
      <c r="AQ70" s="15">
        <f>(AP70*(1+AQ35))</f>
        <v/>
      </c>
      <c r="AR70" s="15">
        <f>(AQ70*(1+AR35))</f>
        <v/>
      </c>
      <c r="AS70" s="15">
        <f>(AR70*(1+AS35))</f>
        <v/>
      </c>
      <c r="AT70" s="15">
        <f>(AS70*(1+AT35))</f>
        <v/>
      </c>
      <c r="AU70" s="15">
        <f>(AT70*(1+AU35))</f>
        <v/>
      </c>
      <c r="AV70" s="15">
        <f>(AU70*(1+AV35))</f>
        <v/>
      </c>
      <c r="AW70" s="15">
        <f>(AV70*(1+AW35))</f>
        <v/>
      </c>
      <c r="AX70" s="15">
        <f>(AW70*(1+AX35))</f>
        <v/>
      </c>
      <c r="AY70" s="15">
        <f>(AX70*(1+AY35))</f>
        <v/>
      </c>
      <c r="AZ70" s="15">
        <f>(AY70*(1+AZ35))</f>
        <v/>
      </c>
      <c r="BA70" s="15">
        <f>(AZ70*(1+BA35))</f>
        <v/>
      </c>
      <c r="BB70" s="15">
        <f>(BA70*(1+BB35))</f>
        <v/>
      </c>
      <c r="BC70" s="15">
        <f>(BB70*(1+BC35))</f>
        <v/>
      </c>
      <c r="BD70" s="15">
        <f>(BC70*(1+BD35))</f>
        <v/>
      </c>
      <c r="BE70" s="15">
        <f>(BD70*(1+BE35))</f>
        <v/>
      </c>
      <c r="BF70" s="15">
        <f>(BE70*(1+BF35))</f>
        <v/>
      </c>
      <c r="BG70" s="15">
        <f>(BF70*(1+BG35))</f>
        <v/>
      </c>
      <c r="BH70" s="15">
        <f>(BG70*(1+BH35))</f>
        <v/>
      </c>
      <c r="BI70" s="15">
        <f>(BH70*(1+BI35))</f>
        <v/>
      </c>
      <c r="BJ70" s="15">
        <f>(BI70*(1+BJ35))</f>
        <v/>
      </c>
      <c r="BK70" s="15">
        <f>(BJ70*(1+BK35))</f>
        <v/>
      </c>
      <c r="BL70" s="15">
        <f>(BK70*(1+BL35))</f>
        <v/>
      </c>
      <c r="BM70" s="15">
        <f>(BL70*(1+BM35))</f>
        <v/>
      </c>
      <c r="BN70" s="15">
        <f>(BM70*(1+BN35))</f>
        <v/>
      </c>
      <c r="BO70" s="15">
        <f>(BN70*(1+BO35))</f>
        <v/>
      </c>
      <c r="BP70" s="15">
        <f>(BO70*(1+BP35))</f>
        <v/>
      </c>
      <c r="BQ70" s="15">
        <f>(BP70*(1+BQ35))</f>
        <v/>
      </c>
      <c r="BR70" s="15">
        <f>(BQ70*(1+BR35))</f>
        <v/>
      </c>
      <c r="BS70" s="15">
        <f>(BR70*(1+BS35))</f>
        <v/>
      </c>
      <c r="BT70" s="15">
        <f>(BS70*(1+BT35))</f>
        <v/>
      </c>
      <c r="BU70" s="15">
        <f>(BT70*(1+BU35))</f>
        <v/>
      </c>
      <c r="BV70" s="15">
        <f>(BU70*(1+BV35))</f>
        <v/>
      </c>
      <c r="BW70" s="15">
        <f>(BV70*(1+BW35))</f>
        <v/>
      </c>
      <c r="BX70" s="15">
        <f>(BW70*(1+BX35))</f>
        <v/>
      </c>
      <c r="BY70" s="15">
        <f>(BX70*(1+BY35))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1094.050053633805</v>
      </c>
      <c r="E71" s="20" t="n">
        <v>531.5351898464073</v>
      </c>
      <c r="F71" s="20" t="n">
        <v>443.248363013597</v>
      </c>
      <c r="G71" s="20" t="n">
        <v>254.4611859487255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  <c r="M71" s="21">
        <f>(IF(M70=0,0,M69/M70)*$C$8)</f>
        <v/>
      </c>
      <c r="N71" s="21">
        <f>(IF(N70=0,0,N69/N70)*$C$8)</f>
        <v/>
      </c>
      <c r="O71" s="21">
        <f>(IF(O70=0,0,O69/O70)*$C$8)</f>
        <v/>
      </c>
      <c r="P71" s="21">
        <f>(IF(P70=0,0,P69/P70)*$C$8)</f>
        <v/>
      </c>
      <c r="Q71" s="21">
        <f>(IF(Q70=0,0,Q69/Q70)*$C$8)</f>
        <v/>
      </c>
      <c r="R71" s="21">
        <f>(IF(R70=0,0,R69/R70)*$C$8)</f>
        <v/>
      </c>
      <c r="S71" s="21">
        <f>(IF(S70=0,0,S69/S70)*$C$8)</f>
        <v/>
      </c>
      <c r="T71" s="21">
        <f>(IF(T70=0,0,T69/T70)*$C$8)</f>
        <v/>
      </c>
      <c r="U71" s="21">
        <f>(IF(U70=0,0,U69/U70)*$C$8)</f>
        <v/>
      </c>
      <c r="V71" s="21">
        <f>(IF(V70=0,0,V69/V70)*$C$8)</f>
        <v/>
      </c>
      <c r="W71" s="21">
        <f>(IF(W70=0,0,W69/W70)*$C$8)</f>
        <v/>
      </c>
      <c r="X71" s="21">
        <f>(IF(X70=0,0,X69/X70)*$C$8)</f>
        <v/>
      </c>
      <c r="Y71" s="21">
        <f>(IF(Y70=0,0,Y69/Y70)*$C$8)</f>
        <v/>
      </c>
      <c r="Z71" s="21">
        <f>(IF(Z70=0,0,Z69/Z70)*$C$8)</f>
        <v/>
      </c>
      <c r="AA71" s="21">
        <f>(IF(AA70=0,0,AA69/AA70)*$C$8)</f>
        <v/>
      </c>
      <c r="AB71" s="21">
        <f>(IF(AB70=0,0,AB69/AB70)*$C$8)</f>
        <v/>
      </c>
      <c r="AC71" s="21">
        <f>(IF(AC70=0,0,AC69/AC70)*$C$8)</f>
        <v/>
      </c>
      <c r="AD71" s="21">
        <f>(IF(AD70=0,0,AD69/AD70)*$C$8)</f>
        <v/>
      </c>
      <c r="AE71" s="21">
        <f>(IF(AE70=0,0,AE69/AE70)*$C$8)</f>
        <v/>
      </c>
      <c r="AF71" s="21">
        <f>(IF(AF70=0,0,AF69/AF70)*$C$8)</f>
        <v/>
      </c>
      <c r="AG71" s="21">
        <f>(IF(AG70=0,0,AG69/AG70)*$C$8)</f>
        <v/>
      </c>
      <c r="AH71" s="21">
        <f>(IF(AH70=0,0,AH69/AH70)*$C$8)</f>
        <v/>
      </c>
      <c r="AI71" s="21">
        <f>(IF(AI70=0,0,AI69/AI70)*$C$8)</f>
        <v/>
      </c>
      <c r="AJ71" s="21">
        <f>(IF(AJ70=0,0,AJ69/AJ70)*$C$8)</f>
        <v/>
      </c>
      <c r="AK71" s="21">
        <f>(IF(AK70=0,0,AK69/AK70)*$C$8)</f>
        <v/>
      </c>
      <c r="AL71" s="21">
        <f>(IF(AL70=0,0,AL69/AL70)*$C$8)</f>
        <v/>
      </c>
      <c r="AM71" s="21">
        <f>(IF(AM70=0,0,AM69/AM70)*$C$8)</f>
        <v/>
      </c>
      <c r="AN71" s="21">
        <f>(IF(AN70=0,0,AN69/AN70)*$C$8)</f>
        <v/>
      </c>
      <c r="AO71" s="21">
        <f>(IF(AO70=0,0,AO69/AO70)*$C$8)</f>
        <v/>
      </c>
      <c r="AP71" s="21">
        <f>(IF(AP70=0,0,AP69/AP70)*$C$8)</f>
        <v/>
      </c>
      <c r="AQ71" s="21">
        <f>(IF(AQ70=0,0,AQ69/AQ70)*$C$8)</f>
        <v/>
      </c>
      <c r="AR71" s="21">
        <f>(IF(AR70=0,0,AR69/AR70)*$C$8)</f>
        <v/>
      </c>
      <c r="AS71" s="21">
        <f>(IF(AS70=0,0,AS69/AS70)*$C$8)</f>
        <v/>
      </c>
      <c r="AT71" s="21">
        <f>(IF(AT70=0,0,AT69/AT70)*$C$8)</f>
        <v/>
      </c>
      <c r="AU71" s="21">
        <f>(IF(AU70=0,0,AU69/AU70)*$C$8)</f>
        <v/>
      </c>
      <c r="AV71" s="21">
        <f>(IF(AV70=0,0,AV69/AV70)*$C$8)</f>
        <v/>
      </c>
      <c r="AW71" s="21">
        <f>(IF(AW70=0,0,AW69/AW70)*$C$8)</f>
        <v/>
      </c>
      <c r="AX71" s="21">
        <f>(IF(AX70=0,0,AX69/AX70)*$C$8)</f>
        <v/>
      </c>
      <c r="AY71" s="21">
        <f>(IF(AY70=0,0,AY69/AY70)*$C$8)</f>
        <v/>
      </c>
      <c r="AZ71" s="21">
        <f>(IF(AZ70=0,0,AZ69/AZ70)*$C$8)</f>
        <v/>
      </c>
      <c r="BA71" s="21">
        <f>(IF(BA70=0,0,BA69/BA70)*$C$8)</f>
        <v/>
      </c>
      <c r="BB71" s="21">
        <f>(IF(BB70=0,0,BB69/BB70)*$C$8)</f>
        <v/>
      </c>
      <c r="BC71" s="21">
        <f>(IF(BC70=0,0,BC69/BC70)*$C$8)</f>
        <v/>
      </c>
      <c r="BD71" s="21">
        <f>(IF(BD70=0,0,BD69/BD70)*$C$8)</f>
        <v/>
      </c>
      <c r="BE71" s="21">
        <f>(IF(BE70=0,0,BE69/BE70)*$C$8)</f>
        <v/>
      </c>
      <c r="BF71" s="21">
        <f>(IF(BF70=0,0,BF69/BF70)*$C$8)</f>
        <v/>
      </c>
      <c r="BG71" s="21">
        <f>(IF(BG70=0,0,BG69/BG70)*$C$8)</f>
        <v/>
      </c>
      <c r="BH71" s="21">
        <f>(IF(BH70=0,0,BH69/BH70)*$C$8)</f>
        <v/>
      </c>
      <c r="BI71" s="21">
        <f>(IF(BI70=0,0,BI69/BI70)*$C$8)</f>
        <v/>
      </c>
      <c r="BJ71" s="21">
        <f>(IF(BJ70=0,0,BJ69/BJ70)*$C$8)</f>
        <v/>
      </c>
      <c r="BK71" s="21">
        <f>(IF(BK70=0,0,BK69/BK70)*$C$8)</f>
        <v/>
      </c>
      <c r="BL71" s="21">
        <f>(IF(BL70=0,0,BL69/BL70)*$C$8)</f>
        <v/>
      </c>
      <c r="BM71" s="21">
        <f>(IF(BM70=0,0,BM69/BM70)*$C$8)</f>
        <v/>
      </c>
      <c r="BN71" s="21">
        <f>(IF(BN70=0,0,BN69/BN70)*$C$8)</f>
        <v/>
      </c>
      <c r="BO71" s="21">
        <f>(IF(BO70=0,0,BO69/BO70)*$C$8)</f>
        <v/>
      </c>
      <c r="BP71" s="21">
        <f>(IF(BP70=0,0,BP69/BP70)*$C$8)</f>
        <v/>
      </c>
      <c r="BQ71" s="21">
        <f>(IF(BQ70=0,0,BQ69/BQ70)*$C$8)</f>
        <v/>
      </c>
      <c r="BR71" s="21">
        <f>(IF(BR70=0,0,BR69/BR70)*$C$8)</f>
        <v/>
      </c>
      <c r="BS71" s="21">
        <f>(IF(BS70=0,0,BS69/BS70)*$C$8)</f>
        <v/>
      </c>
      <c r="BT71" s="21">
        <f>(IF(BT70=0,0,BT69/BT70)*$C$8)</f>
        <v/>
      </c>
      <c r="BU71" s="21">
        <f>(IF(BU70=0,0,BU69/BU70)*$C$8)</f>
        <v/>
      </c>
      <c r="BV71" s="21">
        <f>(IF(BV70=0,0,BV69/BV70)*$C$8)</f>
        <v/>
      </c>
      <c r="BW71" s="21">
        <f>(IF(BW70=0,0,BW69/BW70)*$C$8)</f>
        <v/>
      </c>
      <c r="BX71" s="21">
        <f>(IF(BX70=0,0,BX69/BX70)*$C$8)</f>
        <v/>
      </c>
      <c r="BY71" s="21">
        <f>(IF(BY70=0,0,BY69/BY70)*$C$8)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1094.05</v>
      </c>
      <c r="E72" s="20" t="n">
        <v>397.712</v>
      </c>
      <c r="F72" s="20" t="n">
        <v>332.437</v>
      </c>
      <c r="G72" s="20" t="n">
        <v>114.508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  <c r="M72" s="21">
        <f>(MAX(M71,0)*M34)</f>
        <v/>
      </c>
      <c r="N72" s="21">
        <f>(MAX(N71,0)*N34)</f>
        <v/>
      </c>
      <c r="O72" s="21">
        <f>(MAX(O71,0)*O34)</f>
        <v/>
      </c>
      <c r="P72" s="21">
        <f>(MAX(P71,0)*P34)</f>
        <v/>
      </c>
      <c r="Q72" s="21">
        <f>(MAX(Q71,0)*Q34)</f>
        <v/>
      </c>
      <c r="R72" s="21">
        <f>(MAX(R71,0)*R34)</f>
        <v/>
      </c>
      <c r="S72" s="21">
        <f>(MAX(S71,0)*S34)</f>
        <v/>
      </c>
      <c r="T72" s="21">
        <f>(MAX(T71,0)*T34)</f>
        <v/>
      </c>
      <c r="U72" s="21">
        <f>(MAX(U71,0)*U34)</f>
        <v/>
      </c>
      <c r="V72" s="21">
        <f>(MAX(V71,0)*V34)</f>
        <v/>
      </c>
      <c r="W72" s="21">
        <f>(MAX(W71,0)*W34)</f>
        <v/>
      </c>
      <c r="X72" s="21">
        <f>(MAX(X71,0)*X34)</f>
        <v/>
      </c>
      <c r="Y72" s="21">
        <f>(MAX(Y71,0)*Y34)</f>
        <v/>
      </c>
      <c r="Z72" s="21">
        <f>(MAX(Z71,0)*Z34)</f>
        <v/>
      </c>
      <c r="AA72" s="21">
        <f>(MAX(AA71,0)*AA34)</f>
        <v/>
      </c>
      <c r="AB72" s="21">
        <f>(MAX(AB71,0)*AB34)</f>
        <v/>
      </c>
      <c r="AC72" s="21">
        <f>(MAX(AC71,0)*AC34)</f>
        <v/>
      </c>
      <c r="AD72" s="21">
        <f>(MAX(AD71,0)*AD34)</f>
        <v/>
      </c>
      <c r="AE72" s="21">
        <f>(MAX(AE71,0)*AE34)</f>
        <v/>
      </c>
      <c r="AF72" s="21">
        <f>(MAX(AF71,0)*AF34)</f>
        <v/>
      </c>
      <c r="AG72" s="21">
        <f>(MAX(AG71,0)*AG34)</f>
        <v/>
      </c>
      <c r="AH72" s="21">
        <f>(MAX(AH71,0)*AH34)</f>
        <v/>
      </c>
      <c r="AI72" s="21">
        <f>(MAX(AI71,0)*AI34)</f>
        <v/>
      </c>
      <c r="AJ72" s="21">
        <f>(MAX(AJ71,0)*AJ34)</f>
        <v/>
      </c>
      <c r="AK72" s="21">
        <f>(MAX(AK71,0)*AK34)</f>
        <v/>
      </c>
      <c r="AL72" s="21">
        <f>(MAX(AL71,0)*AL34)</f>
        <v/>
      </c>
      <c r="AM72" s="21">
        <f>(MAX(AM71,0)*AM34)</f>
        <v/>
      </c>
      <c r="AN72" s="21">
        <f>(MAX(AN71,0)*AN34)</f>
        <v/>
      </c>
      <c r="AO72" s="21">
        <f>(MAX(AO71,0)*AO34)</f>
        <v/>
      </c>
      <c r="AP72" s="21">
        <f>(MAX(AP71,0)*AP34)</f>
        <v/>
      </c>
      <c r="AQ72" s="21">
        <f>(MAX(AQ71,0)*AQ34)</f>
        <v/>
      </c>
      <c r="AR72" s="21">
        <f>(MAX(AR71,0)*AR34)</f>
        <v/>
      </c>
      <c r="AS72" s="21">
        <f>(MAX(AS71,0)*AS34)</f>
        <v/>
      </c>
      <c r="AT72" s="21">
        <f>(MAX(AT71,0)*AT34)</f>
        <v/>
      </c>
      <c r="AU72" s="21">
        <f>(MAX(AU71,0)*AU34)</f>
        <v/>
      </c>
      <c r="AV72" s="21">
        <f>(MAX(AV71,0)*AV34)</f>
        <v/>
      </c>
      <c r="AW72" s="21">
        <f>(MAX(AW71,0)*AW34)</f>
        <v/>
      </c>
      <c r="AX72" s="21">
        <f>(MAX(AX71,0)*AX34)</f>
        <v/>
      </c>
      <c r="AY72" s="21">
        <f>(MAX(AY71,0)*AY34)</f>
        <v/>
      </c>
      <c r="AZ72" s="21">
        <f>(MAX(AZ71,0)*AZ34)</f>
        <v/>
      </c>
      <c r="BA72" s="21">
        <f>(MAX(BA71,0)*BA34)</f>
        <v/>
      </c>
      <c r="BB72" s="21">
        <f>(MAX(BB71,0)*BB34)</f>
        <v/>
      </c>
      <c r="BC72" s="21">
        <f>(MAX(BC71,0)*BC34)</f>
        <v/>
      </c>
      <c r="BD72" s="21">
        <f>(MAX(BD71,0)*BD34)</f>
        <v/>
      </c>
      <c r="BE72" s="21">
        <f>(MAX(BE71,0)*BE34)</f>
        <v/>
      </c>
      <c r="BF72" s="21">
        <f>(MAX(BF71,0)*BF34)</f>
        <v/>
      </c>
      <c r="BG72" s="21">
        <f>(MAX(BG71,0)*BG34)</f>
        <v/>
      </c>
      <c r="BH72" s="21">
        <f>(MAX(BH71,0)*BH34)</f>
        <v/>
      </c>
      <c r="BI72" s="21">
        <f>(MAX(BI71,0)*BI34)</f>
        <v/>
      </c>
      <c r="BJ72" s="21">
        <f>(MAX(BJ71,0)*BJ34)</f>
        <v/>
      </c>
      <c r="BK72" s="21">
        <f>(MAX(BK71,0)*BK34)</f>
        <v/>
      </c>
      <c r="BL72" s="21">
        <f>(MAX(BL71,0)*BL34)</f>
        <v/>
      </c>
      <c r="BM72" s="21">
        <f>(MAX(BM71,0)*BM34)</f>
        <v/>
      </c>
      <c r="BN72" s="21">
        <f>(MAX(BN71,0)*BN34)</f>
        <v/>
      </c>
      <c r="BO72" s="21">
        <f>(MAX(BO71,0)*BO34)</f>
        <v/>
      </c>
      <c r="BP72" s="21">
        <f>(MAX(BP71,0)*BP34)</f>
        <v/>
      </c>
      <c r="BQ72" s="21">
        <f>(MAX(BQ71,0)*BQ34)</f>
        <v/>
      </c>
      <c r="BR72" s="21">
        <f>(MAX(BR71,0)*BR34)</f>
        <v/>
      </c>
      <c r="BS72" s="21">
        <f>(MAX(BS71,0)*BS34)</f>
        <v/>
      </c>
      <c r="BT72" s="21">
        <f>(MAX(BT71,0)*BT34)</f>
        <v/>
      </c>
      <c r="BU72" s="21">
        <f>(MAX(BU71,0)*BU34)</f>
        <v/>
      </c>
      <c r="BV72" s="21">
        <f>(MAX(BV71,0)*BV34)</f>
        <v/>
      </c>
      <c r="BW72" s="21">
        <f>(MAX(BW71,0)*BW34)</f>
        <v/>
      </c>
      <c r="BX72" s="21">
        <f>(MAX(BX71,0)*BX34)</f>
        <v/>
      </c>
      <c r="BY72" s="21">
        <f>(MAX(BY71,0)*BY34)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>
        <v>7909.118</v>
      </c>
      <c r="E73" s="13" t="n">
        <v>12567.582</v>
      </c>
      <c r="F73" s="13" t="n">
        <v>4579.393</v>
      </c>
      <c r="G73" s="13" t="n">
        <v>3827.792</v>
      </c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  <c r="P73" s="15">
        <f>IF($C$8=0,0,(O72*O70)/$C$8)</f>
        <v/>
      </c>
      <c r="Q73" s="15">
        <f>IF($C$8=0,0,(P72*P70)/$C$8)</f>
        <v/>
      </c>
      <c r="R73" s="15">
        <f>IF($C$8=0,0,(Q72*Q70)/$C$8)</f>
        <v/>
      </c>
      <c r="S73" s="15">
        <f>IF($C$8=0,0,(R72*R70)/$C$8)</f>
        <v/>
      </c>
      <c r="T73" s="15">
        <f>IF($C$8=0,0,(S72*S70)/$C$8)</f>
        <v/>
      </c>
      <c r="U73" s="15">
        <f>IF($C$8=0,0,(T72*T70)/$C$8)</f>
        <v/>
      </c>
      <c r="V73" s="15">
        <f>IF($C$8=0,0,(U72*U70)/$C$8)</f>
        <v/>
      </c>
      <c r="W73" s="15">
        <f>IF($C$8=0,0,(V72*V70)/$C$8)</f>
        <v/>
      </c>
      <c r="X73" s="15">
        <f>IF($C$8=0,0,(W72*W70)/$C$8)</f>
        <v/>
      </c>
      <c r="Y73" s="15">
        <f>IF($C$8=0,0,(X72*X70)/$C$8)</f>
        <v/>
      </c>
      <c r="Z73" s="15">
        <f>IF($C$8=0,0,(Y72*Y70)/$C$8)</f>
        <v/>
      </c>
      <c r="AA73" s="15">
        <f>IF($C$8=0,0,(Z72*Z70)/$C$8)</f>
        <v/>
      </c>
      <c r="AB73" s="15">
        <f>IF($C$8=0,0,(AA72*AA70)/$C$8)</f>
        <v/>
      </c>
      <c r="AC73" s="15">
        <f>IF($C$8=0,0,(AB72*AB70)/$C$8)</f>
        <v/>
      </c>
      <c r="AD73" s="15">
        <f>IF($C$8=0,0,(AC72*AC70)/$C$8)</f>
        <v/>
      </c>
      <c r="AE73" s="15">
        <f>IF($C$8=0,0,(AD72*AD70)/$C$8)</f>
        <v/>
      </c>
      <c r="AF73" s="15">
        <f>IF($C$8=0,0,(AE72*AE70)/$C$8)</f>
        <v/>
      </c>
      <c r="AG73" s="15">
        <f>IF($C$8=0,0,(AF72*AF70)/$C$8)</f>
        <v/>
      </c>
      <c r="AH73" s="15">
        <f>IF($C$8=0,0,(AG72*AG70)/$C$8)</f>
        <v/>
      </c>
      <c r="AI73" s="15">
        <f>IF($C$8=0,0,(AH72*AH70)/$C$8)</f>
        <v/>
      </c>
      <c r="AJ73" s="15">
        <f>IF($C$8=0,0,(AI72*AI70)/$C$8)</f>
        <v/>
      </c>
      <c r="AK73" s="15">
        <f>IF($C$8=0,0,(AJ72*AJ70)/$C$8)</f>
        <v/>
      </c>
      <c r="AL73" s="15">
        <f>IF($C$8=0,0,(AK72*AK70)/$C$8)</f>
        <v/>
      </c>
      <c r="AM73" s="15">
        <f>IF($C$8=0,0,(AL72*AL70)/$C$8)</f>
        <v/>
      </c>
      <c r="AN73" s="15">
        <f>IF($C$8=0,0,(AM72*AM70)/$C$8)</f>
        <v/>
      </c>
      <c r="AO73" s="15">
        <f>IF($C$8=0,0,(AN72*AN70)/$C$8)</f>
        <v/>
      </c>
      <c r="AP73" s="15">
        <f>IF($C$8=0,0,(AO72*AO70)/$C$8)</f>
        <v/>
      </c>
      <c r="AQ73" s="15">
        <f>IF($C$8=0,0,(AP72*AP70)/$C$8)</f>
        <v/>
      </c>
      <c r="AR73" s="15">
        <f>IF($C$8=0,0,(AQ72*AQ70)/$C$8)</f>
        <v/>
      </c>
      <c r="AS73" s="15">
        <f>IF($C$8=0,0,(AR72*AR70)/$C$8)</f>
        <v/>
      </c>
      <c r="AT73" s="15">
        <f>IF($C$8=0,0,(AS72*AS70)/$C$8)</f>
        <v/>
      </c>
      <c r="AU73" s="15">
        <f>IF($C$8=0,0,(AT72*AT70)/$C$8)</f>
        <v/>
      </c>
      <c r="AV73" s="15">
        <f>IF($C$8=0,0,(AU72*AU70)/$C$8)</f>
        <v/>
      </c>
      <c r="AW73" s="15">
        <f>IF($C$8=0,0,(AV72*AV70)/$C$8)</f>
        <v/>
      </c>
      <c r="AX73" s="15">
        <f>IF($C$8=0,0,(AW72*AW70)/$C$8)</f>
        <v/>
      </c>
      <c r="AY73" s="15">
        <f>IF($C$8=0,0,(AX72*AX70)/$C$8)</f>
        <v/>
      </c>
      <c r="AZ73" s="15">
        <f>IF($C$8=0,0,(AY72*AY70)/$C$8)</f>
        <v/>
      </c>
      <c r="BA73" s="15">
        <f>IF($C$8=0,0,(AZ72*AZ70)/$C$8)</f>
        <v/>
      </c>
      <c r="BB73" s="15">
        <f>IF($C$8=0,0,(BA72*BA70)/$C$8)</f>
        <v/>
      </c>
      <c r="BC73" s="15">
        <f>IF($C$8=0,0,(BB72*BB70)/$C$8)</f>
        <v/>
      </c>
      <c r="BD73" s="15">
        <f>IF($C$8=0,0,(BC72*BC70)/$C$8)</f>
        <v/>
      </c>
      <c r="BE73" s="15">
        <f>IF($C$8=0,0,(BD72*BD70)/$C$8)</f>
        <v/>
      </c>
      <c r="BF73" s="15">
        <f>IF($C$8=0,0,(BE72*BE70)/$C$8)</f>
        <v/>
      </c>
      <c r="BG73" s="15">
        <f>IF($C$8=0,0,(BF72*BF70)/$C$8)</f>
        <v/>
      </c>
      <c r="BH73" s="15">
        <f>IF($C$8=0,0,(BG72*BG70)/$C$8)</f>
        <v/>
      </c>
      <c r="BI73" s="15">
        <f>IF($C$8=0,0,(BH72*BH70)/$C$8)</f>
        <v/>
      </c>
      <c r="BJ73" s="15">
        <f>IF($C$8=0,0,(BI72*BI70)/$C$8)</f>
        <v/>
      </c>
      <c r="BK73" s="15">
        <f>IF($C$8=0,0,(BJ72*BJ70)/$C$8)</f>
        <v/>
      </c>
      <c r="BL73" s="15">
        <f>IF($C$8=0,0,(BK72*BK70)/$C$8)</f>
        <v/>
      </c>
      <c r="BM73" s="15">
        <f>IF($C$8=0,0,(BL72*BL70)/$C$8)</f>
        <v/>
      </c>
      <c r="BN73" s="15">
        <f>IF($C$8=0,0,(BM72*BM70)/$C$8)</f>
        <v/>
      </c>
      <c r="BO73" s="15">
        <f>IF($C$8=0,0,(BN72*BN70)/$C$8)</f>
        <v/>
      </c>
      <c r="BP73" s="15">
        <f>IF($C$8=0,0,(BO72*BO70)/$C$8)</f>
        <v/>
      </c>
      <c r="BQ73" s="15">
        <f>IF($C$8=0,0,(BP72*BP70)/$C$8)</f>
        <v/>
      </c>
      <c r="BR73" s="15">
        <f>IF($C$8=0,0,(BQ72*BQ70)/$C$8)</f>
        <v/>
      </c>
      <c r="BS73" s="15">
        <f>IF($C$8=0,0,(BR72*BR70)/$C$8)</f>
        <v/>
      </c>
      <c r="BT73" s="15">
        <f>IF($C$8=0,0,(BS72*BS70)/$C$8)</f>
        <v/>
      </c>
      <c r="BU73" s="15">
        <f>IF($C$8=0,0,(BT72*BT70)/$C$8)</f>
        <v/>
      </c>
      <c r="BV73" s="15">
        <f>IF($C$8=0,0,(BU72*BU70)/$C$8)</f>
        <v/>
      </c>
      <c r="BW73" s="15">
        <f>IF($C$8=0,0,(BV72*BV70)/$C$8)</f>
        <v/>
      </c>
      <c r="BX73" s="15">
        <f>IF($C$8=0,0,(BW72*BW70)/$C$8)</f>
        <v/>
      </c>
      <c r="BY73" s="15">
        <f>IF($C$8=0,0,(BX72*BX70)/$C$8)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904.814</v>
      </c>
      <c r="E74" s="13" t="n">
        <v>1009.557</v>
      </c>
      <c r="F74" s="13" t="n">
        <v>1231.886</v>
      </c>
      <c r="G74" s="13" t="n">
        <v>3505.367</v>
      </c>
      <c r="H74" s="15">
        <f>(IF(1000=0,0,((H41*H25)*$C$10)/1000)+H26)</f>
        <v/>
      </c>
      <c r="I74" s="15">
        <f>(IF(1000=0,0,((I41*I25)*$C$10)/1000)+I26)</f>
        <v/>
      </c>
      <c r="J74" s="15">
        <f>(IF(1000=0,0,((J41*J25)*$C$10)/1000)+J26)</f>
        <v/>
      </c>
      <c r="K74" s="15">
        <f>(IF(1000=0,0,((K41*K25)*$C$10)/1000)+K26)</f>
        <v/>
      </c>
      <c r="L74" s="15">
        <f>(IF(1000=0,0,((L41*L25)*$C$10)/1000)+L26)</f>
        <v/>
      </c>
      <c r="M74" s="15">
        <f>(IF(1000=0,0,((M41*M25)*$C$10)/1000)+M26)</f>
        <v/>
      </c>
      <c r="N74" s="15">
        <f>(IF(1000=0,0,((N41*N25)*$C$10)/1000)+N26)</f>
        <v/>
      </c>
      <c r="O74" s="15">
        <f>(IF(1000=0,0,((O41*O25)*$C$10)/1000)+O26)</f>
        <v/>
      </c>
      <c r="P74" s="15">
        <f>(IF(1000=0,0,((P41*P25)*$C$10)/1000)+P26)</f>
        <v/>
      </c>
      <c r="Q74" s="15">
        <f>(IF(1000=0,0,((Q41*Q25)*$C$10)/1000)+Q26)</f>
        <v/>
      </c>
      <c r="R74" s="15">
        <f>(IF(1000=0,0,((R41*R25)*$C$10)/1000)+R26)</f>
        <v/>
      </c>
      <c r="S74" s="15">
        <f>(IF(1000=0,0,((S41*S25)*$C$10)/1000)+S26)</f>
        <v/>
      </c>
      <c r="T74" s="15">
        <f>(IF(1000=0,0,((T41*T25)*$C$10)/1000)+T26)</f>
        <v/>
      </c>
      <c r="U74" s="15">
        <f>(IF(1000=0,0,((U41*U25)*$C$10)/1000)+U26)</f>
        <v/>
      </c>
      <c r="V74" s="15">
        <f>(IF(1000=0,0,((V41*V25)*$C$10)/1000)+V26)</f>
        <v/>
      </c>
      <c r="W74" s="15">
        <f>(IF(1000=0,0,((W41*W25)*$C$10)/1000)+W26)</f>
        <v/>
      </c>
      <c r="X74" s="15">
        <f>(IF(1000=0,0,((X41*X25)*$C$10)/1000)+X26)</f>
        <v/>
      </c>
      <c r="Y74" s="15">
        <f>(IF(1000=0,0,((Y41*Y25)*$C$10)/1000)+Y26)</f>
        <v/>
      </c>
      <c r="Z74" s="15">
        <f>(IF(1000=0,0,((Z41*Z25)*$C$10)/1000)+Z26)</f>
        <v/>
      </c>
      <c r="AA74" s="15">
        <f>(IF(1000=0,0,((AA41*AA25)*$C$10)/1000)+AA26)</f>
        <v/>
      </c>
      <c r="AB74" s="15">
        <f>(IF(1000=0,0,((AB41*AB25)*$C$10)/1000)+AB26)</f>
        <v/>
      </c>
      <c r="AC74" s="15">
        <f>(IF(1000=0,0,((AC41*AC25)*$C$10)/1000)+AC26)</f>
        <v/>
      </c>
      <c r="AD74" s="15">
        <f>(IF(1000=0,0,((AD41*AD25)*$C$10)/1000)+AD26)</f>
        <v/>
      </c>
      <c r="AE74" s="15">
        <f>(IF(1000=0,0,((AE41*AE25)*$C$10)/1000)+AE26)</f>
        <v/>
      </c>
      <c r="AF74" s="15">
        <f>(IF(1000=0,0,((AF41*AF25)*$C$10)/1000)+AF26)</f>
        <v/>
      </c>
      <c r="AG74" s="15">
        <f>(IF(1000=0,0,((AG41*AG25)*$C$10)/1000)+AG26)</f>
        <v/>
      </c>
      <c r="AH74" s="15">
        <f>(IF(1000=0,0,((AH41*AH25)*$C$10)/1000)+AH26)</f>
        <v/>
      </c>
      <c r="AI74" s="15">
        <f>(IF(1000=0,0,((AI41*AI25)*$C$10)/1000)+AI26)</f>
        <v/>
      </c>
      <c r="AJ74" s="15">
        <f>(IF(1000=0,0,((AJ41*AJ25)*$C$10)/1000)+AJ26)</f>
        <v/>
      </c>
      <c r="AK74" s="15">
        <f>(IF(1000=0,0,((AK41*AK25)*$C$10)/1000)+AK26)</f>
        <v/>
      </c>
      <c r="AL74" s="15">
        <f>(IF(1000=0,0,((AL41*AL25)*$C$10)/1000)+AL26)</f>
        <v/>
      </c>
      <c r="AM74" s="15">
        <f>(IF(1000=0,0,((AM41*AM25)*$C$10)/1000)+AM26)</f>
        <v/>
      </c>
      <c r="AN74" s="15">
        <f>(IF(1000=0,0,((AN41*AN25)*$C$10)/1000)+AN26)</f>
        <v/>
      </c>
      <c r="AO74" s="15">
        <f>(IF(1000=0,0,((AO41*AO25)*$C$10)/1000)+AO26)</f>
        <v/>
      </c>
      <c r="AP74" s="15">
        <f>(IF(1000=0,0,((AP41*AP25)*$C$10)/1000)+AP26)</f>
        <v/>
      </c>
      <c r="AQ74" s="15">
        <f>(IF(1000=0,0,((AQ41*AQ25)*$C$10)/1000)+AQ26)</f>
        <v/>
      </c>
      <c r="AR74" s="15">
        <f>(IF(1000=0,0,((AR41*AR25)*$C$10)/1000)+AR26)</f>
        <v/>
      </c>
      <c r="AS74" s="15">
        <f>(IF(1000=0,0,((AS41*AS25)*$C$10)/1000)+AS26)</f>
        <v/>
      </c>
      <c r="AT74" s="15">
        <f>(IF(1000=0,0,((AT41*AT25)*$C$10)/1000)+AT26)</f>
        <v/>
      </c>
      <c r="AU74" s="15">
        <f>(IF(1000=0,0,((AU41*AU25)*$C$10)/1000)+AU26)</f>
        <v/>
      </c>
      <c r="AV74" s="15">
        <f>(IF(1000=0,0,((AV41*AV25)*$C$10)/1000)+AV26)</f>
        <v/>
      </c>
      <c r="AW74" s="15">
        <f>(IF(1000=0,0,((AW41*AW25)*$C$10)/1000)+AW26)</f>
        <v/>
      </c>
      <c r="AX74" s="15">
        <f>(IF(1000=0,0,((AX41*AX25)*$C$10)/1000)+AX26)</f>
        <v/>
      </c>
      <c r="AY74" s="15">
        <f>(IF(1000=0,0,((AY41*AY25)*$C$10)/1000)+AY26)</f>
        <v/>
      </c>
      <c r="AZ74" s="15">
        <f>(IF(1000=0,0,((AZ41*AZ25)*$C$10)/1000)+AZ26)</f>
        <v/>
      </c>
      <c r="BA74" s="15">
        <f>(IF(1000=0,0,((BA41*BA25)*$C$10)/1000)+BA26)</f>
        <v/>
      </c>
      <c r="BB74" s="15">
        <f>(IF(1000=0,0,((BB41*BB25)*$C$10)/1000)+BB26)</f>
        <v/>
      </c>
      <c r="BC74" s="15">
        <f>(IF(1000=0,0,((BC41*BC25)*$C$10)/1000)+BC26)</f>
        <v/>
      </c>
      <c r="BD74" s="15">
        <f>(IF(1000=0,0,((BD41*BD25)*$C$10)/1000)+BD26)</f>
        <v/>
      </c>
      <c r="BE74" s="15">
        <f>(IF(1000=0,0,((BE41*BE25)*$C$10)/1000)+BE26)</f>
        <v/>
      </c>
      <c r="BF74" s="15">
        <f>(IF(1000=0,0,((BF41*BF25)*$C$10)/1000)+BF26)</f>
        <v/>
      </c>
      <c r="BG74" s="15">
        <f>(IF(1000=0,0,((BG41*BG25)*$C$10)/1000)+BG26)</f>
        <v/>
      </c>
      <c r="BH74" s="15">
        <f>(IF(1000=0,0,((BH41*BH25)*$C$10)/1000)+BH26)</f>
        <v/>
      </c>
      <c r="BI74" s="15">
        <f>(IF(1000=0,0,((BI41*BI25)*$C$10)/1000)+BI26)</f>
        <v/>
      </c>
      <c r="BJ74" s="15">
        <f>(IF(1000=0,0,((BJ41*BJ25)*$C$10)/1000)+BJ26)</f>
        <v/>
      </c>
      <c r="BK74" s="15">
        <f>(IF(1000=0,0,((BK41*BK25)*$C$10)/1000)+BK26)</f>
        <v/>
      </c>
      <c r="BL74" s="15">
        <f>(IF(1000=0,0,((BL41*BL25)*$C$10)/1000)+BL26)</f>
        <v/>
      </c>
      <c r="BM74" s="15">
        <f>(IF(1000=0,0,((BM41*BM25)*$C$10)/1000)+BM26)</f>
        <v/>
      </c>
      <c r="BN74" s="15">
        <f>(IF(1000=0,0,((BN41*BN25)*$C$10)/1000)+BN26)</f>
        <v/>
      </c>
      <c r="BO74" s="15">
        <f>(IF(1000=0,0,((BO41*BO25)*$C$10)/1000)+BO26)</f>
        <v/>
      </c>
      <c r="BP74" s="15">
        <f>(IF(1000=0,0,((BP41*BP25)*$C$10)/1000)+BP26)</f>
        <v/>
      </c>
      <c r="BQ74" s="15">
        <f>(IF(1000=0,0,((BQ41*BQ25)*$C$10)/1000)+BQ26)</f>
        <v/>
      </c>
      <c r="BR74" s="15">
        <f>(IF(1000=0,0,((BR41*BR25)*$C$10)/1000)+BR26)</f>
        <v/>
      </c>
      <c r="BS74" s="15">
        <f>(IF(1000=0,0,((BS41*BS25)*$C$10)/1000)+BS26)</f>
        <v/>
      </c>
      <c r="BT74" s="15">
        <f>(IF(1000=0,0,((BT41*BT25)*$C$10)/1000)+BT26)</f>
        <v/>
      </c>
      <c r="BU74" s="15">
        <f>(IF(1000=0,0,((BU41*BU25)*$C$10)/1000)+BU26)</f>
        <v/>
      </c>
      <c r="BV74" s="15">
        <f>(IF(1000=0,0,((BV41*BV25)*$C$10)/1000)+BV26)</f>
        <v/>
      </c>
      <c r="BW74" s="15">
        <f>(IF(1000=0,0,((BW41*BW25)*$C$10)/1000)+BW26)</f>
        <v/>
      </c>
      <c r="BX74" s="15">
        <f>(IF(1000=0,0,((BX41*BX25)*$C$10)/1000)+BX26)</f>
        <v/>
      </c>
      <c r="BY74" s="15">
        <f>(IF(1000=0,0,((BY41*BY25)*$C$10)/1000)+BY26)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2602.821</v>
      </c>
      <c r="F75" s="13" t="n">
        <v>158.2299999999996</v>
      </c>
      <c r="G75" s="13" t="n">
        <v>-1493.075000000001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  <c r="P75" s="15">
        <f>(P80-O80)</f>
        <v/>
      </c>
      <c r="Q75" s="15">
        <f>(Q80-P80)</f>
        <v/>
      </c>
      <c r="R75" s="15">
        <f>(R80-Q80)</f>
        <v/>
      </c>
      <c r="S75" s="15">
        <f>(S80-R80)</f>
        <v/>
      </c>
      <c r="T75" s="15">
        <f>(T80-S80)</f>
        <v/>
      </c>
      <c r="U75" s="15">
        <f>(U80-T80)</f>
        <v/>
      </c>
      <c r="V75" s="15">
        <f>(V80-U80)</f>
        <v/>
      </c>
      <c r="W75" s="15">
        <f>(W80-V80)</f>
        <v/>
      </c>
      <c r="X75" s="15">
        <f>(X80-W80)</f>
        <v/>
      </c>
      <c r="Y75" s="15">
        <f>(Y80-X80)</f>
        <v/>
      </c>
      <c r="Z75" s="15">
        <f>(Z80-Y80)</f>
        <v/>
      </c>
      <c r="AA75" s="15">
        <f>(AA80-Z80)</f>
        <v/>
      </c>
      <c r="AB75" s="15">
        <f>(AB80-AA80)</f>
        <v/>
      </c>
      <c r="AC75" s="15">
        <f>(AC80-AB80)</f>
        <v/>
      </c>
      <c r="AD75" s="15">
        <f>(AD80-AC80)</f>
        <v/>
      </c>
      <c r="AE75" s="15">
        <f>(AE80-AD80)</f>
        <v/>
      </c>
      <c r="AF75" s="15">
        <f>(AF80-AE80)</f>
        <v/>
      </c>
      <c r="AG75" s="15">
        <f>(AG80-AF80)</f>
        <v/>
      </c>
      <c r="AH75" s="15">
        <f>(AH80-AG80)</f>
        <v/>
      </c>
      <c r="AI75" s="15">
        <f>(AI80-AH80)</f>
        <v/>
      </c>
      <c r="AJ75" s="15">
        <f>(AJ80-AI80)</f>
        <v/>
      </c>
      <c r="AK75" s="15">
        <f>(AK80-AJ80)</f>
        <v/>
      </c>
      <c r="AL75" s="15">
        <f>(AL80-AK80)</f>
        <v/>
      </c>
      <c r="AM75" s="15">
        <f>(AM80-AL80)</f>
        <v/>
      </c>
      <c r="AN75" s="15">
        <f>(AN80-AM80)</f>
        <v/>
      </c>
      <c r="AO75" s="15">
        <f>(AO80-AN80)</f>
        <v/>
      </c>
      <c r="AP75" s="15">
        <f>(AP80-AO80)</f>
        <v/>
      </c>
      <c r="AQ75" s="15">
        <f>(AQ80-AP80)</f>
        <v/>
      </c>
      <c r="AR75" s="15">
        <f>(AR80-AQ80)</f>
        <v/>
      </c>
      <c r="AS75" s="15">
        <f>(AS80-AR80)</f>
        <v/>
      </c>
      <c r="AT75" s="15">
        <f>(AT80-AS80)</f>
        <v/>
      </c>
      <c r="AU75" s="15">
        <f>(AU80-AT80)</f>
        <v/>
      </c>
      <c r="AV75" s="15">
        <f>(AV80-AU80)</f>
        <v/>
      </c>
      <c r="AW75" s="15">
        <f>(AW80-AV80)</f>
        <v/>
      </c>
      <c r="AX75" s="15">
        <f>(AX80-AW80)</f>
        <v/>
      </c>
      <c r="AY75" s="15">
        <f>(AY80-AX80)</f>
        <v/>
      </c>
      <c r="AZ75" s="15">
        <f>(AZ80-AY80)</f>
        <v/>
      </c>
      <c r="BA75" s="15">
        <f>(BA80-AZ80)</f>
        <v/>
      </c>
      <c r="BB75" s="15">
        <f>(BB80-BA80)</f>
        <v/>
      </c>
      <c r="BC75" s="15">
        <f>(BC80-BB80)</f>
        <v/>
      </c>
      <c r="BD75" s="15">
        <f>(BD80-BC80)</f>
        <v/>
      </c>
      <c r="BE75" s="15">
        <f>(BE80-BD80)</f>
        <v/>
      </c>
      <c r="BF75" s="15">
        <f>(BF80-BE80)</f>
        <v/>
      </c>
      <c r="BG75" s="15">
        <f>(BG80-BF80)</f>
        <v/>
      </c>
      <c r="BH75" s="15">
        <f>(BH80-BG80)</f>
        <v/>
      </c>
      <c r="BI75" s="15">
        <f>(BI80-BH80)</f>
        <v/>
      </c>
      <c r="BJ75" s="15">
        <f>(BJ80-BI80)</f>
        <v/>
      </c>
      <c r="BK75" s="15">
        <f>(BK80-BJ80)</f>
        <v/>
      </c>
      <c r="BL75" s="15">
        <f>(BL80-BK80)</f>
        <v/>
      </c>
      <c r="BM75" s="15">
        <f>(BM80-BL80)</f>
        <v/>
      </c>
      <c r="BN75" s="15">
        <f>(BN80-BM80)</f>
        <v/>
      </c>
      <c r="BO75" s="15">
        <f>(BO80-BN80)</f>
        <v/>
      </c>
      <c r="BP75" s="15">
        <f>(BP80-BO80)</f>
        <v/>
      </c>
      <c r="BQ75" s="15">
        <f>(BQ80-BP80)</f>
        <v/>
      </c>
      <c r="BR75" s="15">
        <f>(BR80-BQ80)</f>
        <v/>
      </c>
      <c r="BS75" s="15">
        <f>(BS80-BR80)</f>
        <v/>
      </c>
      <c r="BT75" s="15">
        <f>(BT80-BS80)</f>
        <v/>
      </c>
      <c r="BU75" s="15">
        <f>(BU80-BT80)</f>
        <v/>
      </c>
      <c r="BV75" s="15">
        <f>(BV80-BU80)</f>
        <v/>
      </c>
      <c r="BW75" s="15">
        <f>(BW80-BV80)</f>
        <v/>
      </c>
      <c r="BX75" s="15">
        <f>(BX80-BW80)</f>
        <v/>
      </c>
      <c r="BY75" s="15">
        <f>(BY80-BX80)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1893.828727421674</v>
      </c>
      <c r="F76" s="13" t="n">
        <v>5048.076784352301</v>
      </c>
      <c r="G76" s="13" t="n">
        <v>2517.823587433933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  <c r="P76" s="15">
        <f>((((P59*(1-P28))+P60)-P74)-P75)</f>
        <v/>
      </c>
      <c r="Q76" s="15">
        <f>((((Q59*(1-Q28))+Q60)-Q74)-Q75)</f>
        <v/>
      </c>
      <c r="R76" s="15">
        <f>((((R59*(1-R28))+R60)-R74)-R75)</f>
        <v/>
      </c>
      <c r="S76" s="15">
        <f>((((S59*(1-S28))+S60)-S74)-S75)</f>
        <v/>
      </c>
      <c r="T76" s="15">
        <f>((((T59*(1-T28))+T60)-T74)-T75)</f>
        <v/>
      </c>
      <c r="U76" s="15">
        <f>((((U59*(1-U28))+U60)-U74)-U75)</f>
        <v/>
      </c>
      <c r="V76" s="15">
        <f>((((V59*(1-V28))+V60)-V74)-V75)</f>
        <v/>
      </c>
      <c r="W76" s="15">
        <f>((((W59*(1-W28))+W60)-W74)-W75)</f>
        <v/>
      </c>
      <c r="X76" s="15">
        <f>((((X59*(1-X28))+X60)-X74)-X75)</f>
        <v/>
      </c>
      <c r="Y76" s="15">
        <f>((((Y59*(1-Y28))+Y60)-Y74)-Y75)</f>
        <v/>
      </c>
      <c r="Z76" s="15">
        <f>((((Z59*(1-Z28))+Z60)-Z74)-Z75)</f>
        <v/>
      </c>
      <c r="AA76" s="15">
        <f>((((AA59*(1-AA28))+AA60)-AA74)-AA75)</f>
        <v/>
      </c>
      <c r="AB76" s="15">
        <f>((((AB59*(1-AB28))+AB60)-AB74)-AB75)</f>
        <v/>
      </c>
      <c r="AC76" s="15">
        <f>((((AC59*(1-AC28))+AC60)-AC74)-AC75)</f>
        <v/>
      </c>
      <c r="AD76" s="15">
        <f>((((AD59*(1-AD28))+AD60)-AD74)-AD75)</f>
        <v/>
      </c>
      <c r="AE76" s="15">
        <f>((((AE59*(1-AE28))+AE60)-AE74)-AE75)</f>
        <v/>
      </c>
      <c r="AF76" s="15">
        <f>((((AF59*(1-AF28))+AF60)-AF74)-AF75)</f>
        <v/>
      </c>
      <c r="AG76" s="15">
        <f>((((AG59*(1-AG28))+AG60)-AG74)-AG75)</f>
        <v/>
      </c>
      <c r="AH76" s="15">
        <f>((((AH59*(1-AH28))+AH60)-AH74)-AH75)</f>
        <v/>
      </c>
      <c r="AI76" s="15">
        <f>((((AI59*(1-AI28))+AI60)-AI74)-AI75)</f>
        <v/>
      </c>
      <c r="AJ76" s="15">
        <f>((((AJ59*(1-AJ28))+AJ60)-AJ74)-AJ75)</f>
        <v/>
      </c>
      <c r="AK76" s="15">
        <f>((((AK59*(1-AK28))+AK60)-AK74)-AK75)</f>
        <v/>
      </c>
      <c r="AL76" s="15">
        <f>((((AL59*(1-AL28))+AL60)-AL74)-AL75)</f>
        <v/>
      </c>
      <c r="AM76" s="15">
        <f>((((AM59*(1-AM28))+AM60)-AM74)-AM75)</f>
        <v/>
      </c>
      <c r="AN76" s="15">
        <f>((((AN59*(1-AN28))+AN60)-AN74)-AN75)</f>
        <v/>
      </c>
      <c r="AO76" s="15">
        <f>((((AO59*(1-AO28))+AO60)-AO74)-AO75)</f>
        <v/>
      </c>
      <c r="AP76" s="15">
        <f>((((AP59*(1-AP28))+AP60)-AP74)-AP75)</f>
        <v/>
      </c>
      <c r="AQ76" s="15">
        <f>((((AQ59*(1-AQ28))+AQ60)-AQ74)-AQ75)</f>
        <v/>
      </c>
      <c r="AR76" s="15">
        <f>((((AR59*(1-AR28))+AR60)-AR74)-AR75)</f>
        <v/>
      </c>
      <c r="AS76" s="15">
        <f>((((AS59*(1-AS28))+AS60)-AS74)-AS75)</f>
        <v/>
      </c>
      <c r="AT76" s="15">
        <f>((((AT59*(1-AT28))+AT60)-AT74)-AT75)</f>
        <v/>
      </c>
      <c r="AU76" s="15">
        <f>((((AU59*(1-AU28))+AU60)-AU74)-AU75)</f>
        <v/>
      </c>
      <c r="AV76" s="15">
        <f>((((AV59*(1-AV28))+AV60)-AV74)-AV75)</f>
        <v/>
      </c>
      <c r="AW76" s="15">
        <f>((((AW59*(1-AW28))+AW60)-AW74)-AW75)</f>
        <v/>
      </c>
      <c r="AX76" s="15">
        <f>((((AX59*(1-AX28))+AX60)-AX74)-AX75)</f>
        <v/>
      </c>
      <c r="AY76" s="15">
        <f>((((AY59*(1-AY28))+AY60)-AY74)-AY75)</f>
        <v/>
      </c>
      <c r="AZ76" s="15">
        <f>((((AZ59*(1-AZ28))+AZ60)-AZ74)-AZ75)</f>
        <v/>
      </c>
      <c r="BA76" s="15">
        <f>((((BA59*(1-BA28))+BA60)-BA74)-BA75)</f>
        <v/>
      </c>
      <c r="BB76" s="15">
        <f>((((BB59*(1-BB28))+BB60)-BB74)-BB75)</f>
        <v/>
      </c>
      <c r="BC76" s="15">
        <f>((((BC59*(1-BC28))+BC60)-BC74)-BC75)</f>
        <v/>
      </c>
      <c r="BD76" s="15">
        <f>((((BD59*(1-BD28))+BD60)-BD74)-BD75)</f>
        <v/>
      </c>
      <c r="BE76" s="15">
        <f>((((BE59*(1-BE28))+BE60)-BE74)-BE75)</f>
        <v/>
      </c>
      <c r="BF76" s="15">
        <f>((((BF59*(1-BF28))+BF60)-BF74)-BF75)</f>
        <v/>
      </c>
      <c r="BG76" s="15">
        <f>((((BG59*(1-BG28))+BG60)-BG74)-BG75)</f>
        <v/>
      </c>
      <c r="BH76" s="15">
        <f>((((BH59*(1-BH28))+BH60)-BH74)-BH75)</f>
        <v/>
      </c>
      <c r="BI76" s="15">
        <f>((((BI59*(1-BI28))+BI60)-BI74)-BI75)</f>
        <v/>
      </c>
      <c r="BJ76" s="15">
        <f>((((BJ59*(1-BJ28))+BJ60)-BJ74)-BJ75)</f>
        <v/>
      </c>
      <c r="BK76" s="15">
        <f>((((BK59*(1-BK28))+BK60)-BK74)-BK75)</f>
        <v/>
      </c>
      <c r="BL76" s="15">
        <f>((((BL59*(1-BL28))+BL60)-BL74)-BL75)</f>
        <v/>
      </c>
      <c r="BM76" s="15">
        <f>((((BM59*(1-BM28))+BM60)-BM74)-BM75)</f>
        <v/>
      </c>
      <c r="BN76" s="15">
        <f>((((BN59*(1-BN28))+BN60)-BN74)-BN75)</f>
        <v/>
      </c>
      <c r="BO76" s="15">
        <f>((((BO59*(1-BO28))+BO60)-BO74)-BO75)</f>
        <v/>
      </c>
      <c r="BP76" s="15">
        <f>((((BP59*(1-BP28))+BP60)-BP74)-BP75)</f>
        <v/>
      </c>
      <c r="BQ76" s="15">
        <f>((((BQ59*(1-BQ28))+BQ60)-BQ74)-BQ75)</f>
        <v/>
      </c>
      <c r="BR76" s="15">
        <f>((((BR59*(1-BR28))+BR60)-BR74)-BR75)</f>
        <v/>
      </c>
      <c r="BS76" s="15">
        <f>((((BS59*(1-BS28))+BS60)-BS74)-BS75)</f>
        <v/>
      </c>
      <c r="BT76" s="15">
        <f>((((BT59*(1-BT28))+BT60)-BT74)-BT75)</f>
        <v/>
      </c>
      <c r="BU76" s="15">
        <f>((((BU59*(1-BU28))+BU60)-BU74)-BU75)</f>
        <v/>
      </c>
      <c r="BV76" s="15">
        <f>((((BV59*(1-BV28))+BV60)-BV74)-BV75)</f>
        <v/>
      </c>
      <c r="BW76" s="15">
        <f>((((BW59*(1-BW28))+BW60)-BW74)-BW75)</f>
        <v/>
      </c>
      <c r="BX76" s="15">
        <f>((((BX59*(1-BX28))+BX60)-BX74)-BX75)</f>
        <v/>
      </c>
      <c r="BY76" s="15">
        <f>((((BY59*(1-BY28))+BY60)-BY74)-BY75)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-60.51900000000001</v>
      </c>
      <c r="F77" s="13" t="n">
        <v>949.3509999999999</v>
      </c>
      <c r="G77" s="13" t="n">
        <v>1606.15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  <c r="P77" s="15">
        <f>P31</f>
        <v/>
      </c>
      <c r="Q77" s="15">
        <f>Q31</f>
        <v/>
      </c>
      <c r="R77" s="15">
        <f>R31</f>
        <v/>
      </c>
      <c r="S77" s="15">
        <f>S31</f>
        <v/>
      </c>
      <c r="T77" s="15">
        <f>T31</f>
        <v/>
      </c>
      <c r="U77" s="15">
        <f>U31</f>
        <v/>
      </c>
      <c r="V77" s="15">
        <f>V31</f>
        <v/>
      </c>
      <c r="W77" s="15">
        <f>W31</f>
        <v/>
      </c>
      <c r="X77" s="15">
        <f>X31</f>
        <v/>
      </c>
      <c r="Y77" s="15">
        <f>Y31</f>
        <v/>
      </c>
      <c r="Z77" s="15">
        <f>Z31</f>
        <v/>
      </c>
      <c r="AA77" s="15">
        <f>AA31</f>
        <v/>
      </c>
      <c r="AB77" s="15">
        <f>AB31</f>
        <v/>
      </c>
      <c r="AC77" s="15">
        <f>AC31</f>
        <v/>
      </c>
      <c r="AD77" s="15">
        <f>AD31</f>
        <v/>
      </c>
      <c r="AE77" s="15">
        <f>AE31</f>
        <v/>
      </c>
      <c r="AF77" s="15">
        <f>AF31</f>
        <v/>
      </c>
      <c r="AG77" s="15">
        <f>AG31</f>
        <v/>
      </c>
      <c r="AH77" s="15">
        <f>AH31</f>
        <v/>
      </c>
      <c r="AI77" s="15">
        <f>AI31</f>
        <v/>
      </c>
      <c r="AJ77" s="15">
        <f>AJ31</f>
        <v/>
      </c>
      <c r="AK77" s="15">
        <f>AK31</f>
        <v/>
      </c>
      <c r="AL77" s="15">
        <f>AL31</f>
        <v/>
      </c>
      <c r="AM77" s="15">
        <f>AM31</f>
        <v/>
      </c>
      <c r="AN77" s="15">
        <f>AN31</f>
        <v/>
      </c>
      <c r="AO77" s="15">
        <f>AO31</f>
        <v/>
      </c>
      <c r="AP77" s="15">
        <f>AP31</f>
        <v/>
      </c>
      <c r="AQ77" s="15">
        <f>AQ31</f>
        <v/>
      </c>
      <c r="AR77" s="15">
        <f>AR31</f>
        <v/>
      </c>
      <c r="AS77" s="15">
        <f>AS31</f>
        <v/>
      </c>
      <c r="AT77" s="15">
        <f>AT31</f>
        <v/>
      </c>
      <c r="AU77" s="15">
        <f>AU31</f>
        <v/>
      </c>
      <c r="AV77" s="15">
        <f>AV31</f>
        <v/>
      </c>
      <c r="AW77" s="15">
        <f>AW31</f>
        <v/>
      </c>
      <c r="AX77" s="15">
        <f>AX31</f>
        <v/>
      </c>
      <c r="AY77" s="15">
        <f>AY31</f>
        <v/>
      </c>
      <c r="AZ77" s="15">
        <f>AZ31</f>
        <v/>
      </c>
      <c r="BA77" s="15">
        <f>BA31</f>
        <v/>
      </c>
      <c r="BB77" s="15">
        <f>BB31</f>
        <v/>
      </c>
      <c r="BC77" s="15">
        <f>BC31</f>
        <v/>
      </c>
      <c r="BD77" s="15">
        <f>BD31</f>
        <v/>
      </c>
      <c r="BE77" s="15">
        <f>BE31</f>
        <v/>
      </c>
      <c r="BF77" s="15">
        <f>BF31</f>
        <v/>
      </c>
      <c r="BG77" s="15">
        <f>BG31</f>
        <v/>
      </c>
      <c r="BH77" s="15">
        <f>BH31</f>
        <v/>
      </c>
      <c r="BI77" s="15">
        <f>BI31</f>
        <v/>
      </c>
      <c r="BJ77" s="15">
        <f>BJ31</f>
        <v/>
      </c>
      <c r="BK77" s="15">
        <f>BK31</f>
        <v/>
      </c>
      <c r="BL77" s="15">
        <f>BL31</f>
        <v/>
      </c>
      <c r="BM77" s="15">
        <f>BM31</f>
        <v/>
      </c>
      <c r="BN77" s="15">
        <f>BN31</f>
        <v/>
      </c>
      <c r="BO77" s="15">
        <f>BO31</f>
        <v/>
      </c>
      <c r="BP77" s="15">
        <f>BP31</f>
        <v/>
      </c>
      <c r="BQ77" s="15">
        <f>BQ31</f>
        <v/>
      </c>
      <c r="BR77" s="15">
        <f>BR31</f>
        <v/>
      </c>
      <c r="BS77" s="15">
        <f>BS31</f>
        <v/>
      </c>
      <c r="BT77" s="15">
        <f>BT31</f>
        <v/>
      </c>
      <c r="BU77" s="15">
        <f>BU31</f>
        <v/>
      </c>
      <c r="BV77" s="15">
        <f>BV31</f>
        <v/>
      </c>
      <c r="BW77" s="15">
        <f>BW31</f>
        <v/>
      </c>
      <c r="BX77" s="15">
        <f>BX31</f>
        <v/>
      </c>
      <c r="BY77" s="15">
        <f>BY31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  <c r="P78" s="15">
        <f>(MAX(O68,0)*P34)</f>
        <v/>
      </c>
      <c r="Q78" s="15">
        <f>(MAX(P68,0)*Q34)</f>
        <v/>
      </c>
      <c r="R78" s="15">
        <f>(MAX(Q68,0)*R34)</f>
        <v/>
      </c>
      <c r="S78" s="15">
        <f>(MAX(R68,0)*S34)</f>
        <v/>
      </c>
      <c r="T78" s="15">
        <f>(MAX(S68,0)*T34)</f>
        <v/>
      </c>
      <c r="U78" s="15">
        <f>(MAX(T68,0)*U34)</f>
        <v/>
      </c>
      <c r="V78" s="15">
        <f>(MAX(U68,0)*V34)</f>
        <v/>
      </c>
      <c r="W78" s="15">
        <f>(MAX(V68,0)*W34)</f>
        <v/>
      </c>
      <c r="X78" s="15">
        <f>(MAX(W68,0)*X34)</f>
        <v/>
      </c>
      <c r="Y78" s="15">
        <f>(MAX(X68,0)*Y34)</f>
        <v/>
      </c>
      <c r="Z78" s="15">
        <f>(MAX(Y68,0)*Z34)</f>
        <v/>
      </c>
      <c r="AA78" s="15">
        <f>(MAX(Z68,0)*AA34)</f>
        <v/>
      </c>
      <c r="AB78" s="15">
        <f>(MAX(AA68,0)*AB34)</f>
        <v/>
      </c>
      <c r="AC78" s="15">
        <f>(MAX(AB68,0)*AC34)</f>
        <v/>
      </c>
      <c r="AD78" s="15">
        <f>(MAX(AC68,0)*AD34)</f>
        <v/>
      </c>
      <c r="AE78" s="15">
        <f>(MAX(AD68,0)*AE34)</f>
        <v/>
      </c>
      <c r="AF78" s="15">
        <f>(MAX(AE68,0)*AF34)</f>
        <v/>
      </c>
      <c r="AG78" s="15">
        <f>(MAX(AF68,0)*AG34)</f>
        <v/>
      </c>
      <c r="AH78" s="15">
        <f>(MAX(AG68,0)*AH34)</f>
        <v/>
      </c>
      <c r="AI78" s="15">
        <f>(MAX(AH68,0)*AI34)</f>
        <v/>
      </c>
      <c r="AJ78" s="15">
        <f>(MAX(AI68,0)*AJ34)</f>
        <v/>
      </c>
      <c r="AK78" s="15">
        <f>(MAX(AJ68,0)*AK34)</f>
        <v/>
      </c>
      <c r="AL78" s="15">
        <f>(MAX(AK68,0)*AL34)</f>
        <v/>
      </c>
      <c r="AM78" s="15">
        <f>(MAX(AL68,0)*AM34)</f>
        <v/>
      </c>
      <c r="AN78" s="15">
        <f>(MAX(AM68,0)*AN34)</f>
        <v/>
      </c>
      <c r="AO78" s="15">
        <f>(MAX(AN68,0)*AO34)</f>
        <v/>
      </c>
      <c r="AP78" s="15">
        <f>(MAX(AO68,0)*AP34)</f>
        <v/>
      </c>
      <c r="AQ78" s="15">
        <f>(MAX(AP68,0)*AQ34)</f>
        <v/>
      </c>
      <c r="AR78" s="15">
        <f>(MAX(AQ68,0)*AR34)</f>
        <v/>
      </c>
      <c r="AS78" s="15">
        <f>(MAX(AR68,0)*AS34)</f>
        <v/>
      </c>
      <c r="AT78" s="15">
        <f>(MAX(AS68,0)*AT34)</f>
        <v/>
      </c>
      <c r="AU78" s="15">
        <f>(MAX(AT68,0)*AU34)</f>
        <v/>
      </c>
      <c r="AV78" s="15">
        <f>(MAX(AU68,0)*AV34)</f>
        <v/>
      </c>
      <c r="AW78" s="15">
        <f>(MAX(AV68,0)*AW34)</f>
        <v/>
      </c>
      <c r="AX78" s="15">
        <f>(MAX(AW68,0)*AX34)</f>
        <v/>
      </c>
      <c r="AY78" s="15">
        <f>(MAX(AX68,0)*AY34)</f>
        <v/>
      </c>
      <c r="AZ78" s="15">
        <f>(MAX(AY68,0)*AZ34)</f>
        <v/>
      </c>
      <c r="BA78" s="15">
        <f>(MAX(AZ68,0)*BA34)</f>
        <v/>
      </c>
      <c r="BB78" s="15">
        <f>(MAX(BA68,0)*BB34)</f>
        <v/>
      </c>
      <c r="BC78" s="15">
        <f>(MAX(BB68,0)*BC34)</f>
        <v/>
      </c>
      <c r="BD78" s="15">
        <f>(MAX(BC68,0)*BD34)</f>
        <v/>
      </c>
      <c r="BE78" s="15">
        <f>(MAX(BD68,0)*BE34)</f>
        <v/>
      </c>
      <c r="BF78" s="15">
        <f>(MAX(BE68,0)*BF34)</f>
        <v/>
      </c>
      <c r="BG78" s="15">
        <f>(MAX(BF68,0)*BG34)</f>
        <v/>
      </c>
      <c r="BH78" s="15">
        <f>(MAX(BG68,0)*BH34)</f>
        <v/>
      </c>
      <c r="BI78" s="15">
        <f>(MAX(BH68,0)*BI34)</f>
        <v/>
      </c>
      <c r="BJ78" s="15">
        <f>(MAX(BI68,0)*BJ34)</f>
        <v/>
      </c>
      <c r="BK78" s="15">
        <f>(MAX(BJ68,0)*BK34)</f>
        <v/>
      </c>
      <c r="BL78" s="15">
        <f>(MAX(BK68,0)*BL34)</f>
        <v/>
      </c>
      <c r="BM78" s="15">
        <f>(MAX(BL68,0)*BM34)</f>
        <v/>
      </c>
      <c r="BN78" s="15">
        <f>(MAX(BM68,0)*BN34)</f>
        <v/>
      </c>
      <c r="BO78" s="15">
        <f>(MAX(BN68,0)*BO34)</f>
        <v/>
      </c>
      <c r="BP78" s="15">
        <f>(MAX(BO68,0)*BP34)</f>
        <v/>
      </c>
      <c r="BQ78" s="15">
        <f>(MAX(BP68,0)*BQ34)</f>
        <v/>
      </c>
      <c r="BR78" s="15">
        <f>(MAX(BQ68,0)*BR34)</f>
        <v/>
      </c>
      <c r="BS78" s="15">
        <f>(MAX(BR68,0)*BS34)</f>
        <v/>
      </c>
      <c r="BT78" s="15">
        <f>(MAX(BS68,0)*BT34)</f>
        <v/>
      </c>
      <c r="BU78" s="15">
        <f>(MAX(BT68,0)*BU34)</f>
        <v/>
      </c>
      <c r="BV78" s="15">
        <f>(MAX(BU68,0)*BV34)</f>
        <v/>
      </c>
      <c r="BW78" s="15">
        <f>(MAX(BV68,0)*BW34)</f>
        <v/>
      </c>
      <c r="BX78" s="15">
        <f>(MAX(BW68,0)*BX34)</f>
        <v/>
      </c>
      <c r="BY78" s="15">
        <f>(MAX(BX68,0)*BY34)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  <c r="P79" s="15">
        <f>(((((P67+P60)-P74)-P75)+P77)-P78)</f>
        <v/>
      </c>
      <c r="Q79" s="15">
        <f>(((((Q67+Q60)-Q74)-Q75)+Q77)-Q78)</f>
        <v/>
      </c>
      <c r="R79" s="15">
        <f>(((((R67+R60)-R74)-R75)+R77)-R78)</f>
        <v/>
      </c>
      <c r="S79" s="15">
        <f>(((((S67+S60)-S74)-S75)+S77)-S78)</f>
        <v/>
      </c>
      <c r="T79" s="15">
        <f>(((((T67+T60)-T74)-T75)+T77)-T78)</f>
        <v/>
      </c>
      <c r="U79" s="15">
        <f>(((((U67+U60)-U74)-U75)+U77)-U78)</f>
        <v/>
      </c>
      <c r="V79" s="15">
        <f>(((((V67+V60)-V74)-V75)+V77)-V78)</f>
        <v/>
      </c>
      <c r="W79" s="15">
        <f>(((((W67+W60)-W74)-W75)+W77)-W78)</f>
        <v/>
      </c>
      <c r="X79" s="15">
        <f>(((((X67+X60)-X74)-X75)+X77)-X78)</f>
        <v/>
      </c>
      <c r="Y79" s="15">
        <f>(((((Y67+Y60)-Y74)-Y75)+Y77)-Y78)</f>
        <v/>
      </c>
      <c r="Z79" s="15">
        <f>(((((Z67+Z60)-Z74)-Z75)+Z77)-Z78)</f>
        <v/>
      </c>
      <c r="AA79" s="15">
        <f>(((((AA67+AA60)-AA74)-AA75)+AA77)-AA78)</f>
        <v/>
      </c>
      <c r="AB79" s="15">
        <f>(((((AB67+AB60)-AB74)-AB75)+AB77)-AB78)</f>
        <v/>
      </c>
      <c r="AC79" s="15">
        <f>(((((AC67+AC60)-AC74)-AC75)+AC77)-AC78)</f>
        <v/>
      </c>
      <c r="AD79" s="15">
        <f>(((((AD67+AD60)-AD74)-AD75)+AD77)-AD78)</f>
        <v/>
      </c>
      <c r="AE79" s="15">
        <f>(((((AE67+AE60)-AE74)-AE75)+AE77)-AE78)</f>
        <v/>
      </c>
      <c r="AF79" s="15">
        <f>(((((AF67+AF60)-AF74)-AF75)+AF77)-AF78)</f>
        <v/>
      </c>
      <c r="AG79" s="15">
        <f>(((((AG67+AG60)-AG74)-AG75)+AG77)-AG78)</f>
        <v/>
      </c>
      <c r="AH79" s="15">
        <f>(((((AH67+AH60)-AH74)-AH75)+AH77)-AH78)</f>
        <v/>
      </c>
      <c r="AI79" s="15">
        <f>(((((AI67+AI60)-AI74)-AI75)+AI77)-AI78)</f>
        <v/>
      </c>
      <c r="AJ79" s="15">
        <f>(((((AJ67+AJ60)-AJ74)-AJ75)+AJ77)-AJ78)</f>
        <v/>
      </c>
      <c r="AK79" s="15">
        <f>(((((AK67+AK60)-AK74)-AK75)+AK77)-AK78)</f>
        <v/>
      </c>
      <c r="AL79" s="15">
        <f>(((((AL67+AL60)-AL74)-AL75)+AL77)-AL78)</f>
        <v/>
      </c>
      <c r="AM79" s="15">
        <f>(((((AM67+AM60)-AM74)-AM75)+AM77)-AM78)</f>
        <v/>
      </c>
      <c r="AN79" s="15">
        <f>(((((AN67+AN60)-AN74)-AN75)+AN77)-AN78)</f>
        <v/>
      </c>
      <c r="AO79" s="15">
        <f>(((((AO67+AO60)-AO74)-AO75)+AO77)-AO78)</f>
        <v/>
      </c>
      <c r="AP79" s="15">
        <f>(((((AP67+AP60)-AP74)-AP75)+AP77)-AP78)</f>
        <v/>
      </c>
      <c r="AQ79" s="15">
        <f>(((((AQ67+AQ60)-AQ74)-AQ75)+AQ77)-AQ78)</f>
        <v/>
      </c>
      <c r="AR79" s="15">
        <f>(((((AR67+AR60)-AR74)-AR75)+AR77)-AR78)</f>
        <v/>
      </c>
      <c r="AS79" s="15">
        <f>(((((AS67+AS60)-AS74)-AS75)+AS77)-AS78)</f>
        <v/>
      </c>
      <c r="AT79" s="15">
        <f>(((((AT67+AT60)-AT74)-AT75)+AT77)-AT78)</f>
        <v/>
      </c>
      <c r="AU79" s="15">
        <f>(((((AU67+AU60)-AU74)-AU75)+AU77)-AU78)</f>
        <v/>
      </c>
      <c r="AV79" s="15">
        <f>(((((AV67+AV60)-AV74)-AV75)+AV77)-AV78)</f>
        <v/>
      </c>
      <c r="AW79" s="15">
        <f>(((((AW67+AW60)-AW74)-AW75)+AW77)-AW78)</f>
        <v/>
      </c>
      <c r="AX79" s="15">
        <f>(((((AX67+AX60)-AX74)-AX75)+AX77)-AX78)</f>
        <v/>
      </c>
      <c r="AY79" s="15">
        <f>(((((AY67+AY60)-AY74)-AY75)+AY77)-AY78)</f>
        <v/>
      </c>
      <c r="AZ79" s="15">
        <f>(((((AZ67+AZ60)-AZ74)-AZ75)+AZ77)-AZ78)</f>
        <v/>
      </c>
      <c r="BA79" s="15">
        <f>(((((BA67+BA60)-BA74)-BA75)+BA77)-BA78)</f>
        <v/>
      </c>
      <c r="BB79" s="15">
        <f>(((((BB67+BB60)-BB74)-BB75)+BB77)-BB78)</f>
        <v/>
      </c>
      <c r="BC79" s="15">
        <f>(((((BC67+BC60)-BC74)-BC75)+BC77)-BC78)</f>
        <v/>
      </c>
      <c r="BD79" s="15">
        <f>(((((BD67+BD60)-BD74)-BD75)+BD77)-BD78)</f>
        <v/>
      </c>
      <c r="BE79" s="15">
        <f>(((((BE67+BE60)-BE74)-BE75)+BE77)-BE78)</f>
        <v/>
      </c>
      <c r="BF79" s="15">
        <f>(((((BF67+BF60)-BF74)-BF75)+BF77)-BF78)</f>
        <v/>
      </c>
      <c r="BG79" s="15">
        <f>(((((BG67+BG60)-BG74)-BG75)+BG77)-BG78)</f>
        <v/>
      </c>
      <c r="BH79" s="15">
        <f>(((((BH67+BH60)-BH74)-BH75)+BH77)-BH78)</f>
        <v/>
      </c>
      <c r="BI79" s="15">
        <f>(((((BI67+BI60)-BI74)-BI75)+BI77)-BI78)</f>
        <v/>
      </c>
      <c r="BJ79" s="15">
        <f>(((((BJ67+BJ60)-BJ74)-BJ75)+BJ77)-BJ78)</f>
        <v/>
      </c>
      <c r="BK79" s="15">
        <f>(((((BK67+BK60)-BK74)-BK75)+BK77)-BK78)</f>
        <v/>
      </c>
      <c r="BL79" s="15">
        <f>(((((BL67+BL60)-BL74)-BL75)+BL77)-BL78)</f>
        <v/>
      </c>
      <c r="BM79" s="15">
        <f>(((((BM67+BM60)-BM74)-BM75)+BM77)-BM78)</f>
        <v/>
      </c>
      <c r="BN79" s="15">
        <f>(((((BN67+BN60)-BN74)-BN75)+BN77)-BN78)</f>
        <v/>
      </c>
      <c r="BO79" s="15">
        <f>(((((BO67+BO60)-BO74)-BO75)+BO77)-BO78)</f>
        <v/>
      </c>
      <c r="BP79" s="15">
        <f>(((((BP67+BP60)-BP74)-BP75)+BP77)-BP78)</f>
        <v/>
      </c>
      <c r="BQ79" s="15">
        <f>(((((BQ67+BQ60)-BQ74)-BQ75)+BQ77)-BQ78)</f>
        <v/>
      </c>
      <c r="BR79" s="15">
        <f>(((((BR67+BR60)-BR74)-BR75)+BR77)-BR78)</f>
        <v/>
      </c>
      <c r="BS79" s="15">
        <f>(((((BS67+BS60)-BS74)-BS75)+BS77)-BS78)</f>
        <v/>
      </c>
      <c r="BT79" s="15">
        <f>(((((BT67+BT60)-BT74)-BT75)+BT77)-BT78)</f>
        <v/>
      </c>
      <c r="BU79" s="15">
        <f>(((((BU67+BU60)-BU74)-BU75)+BU77)-BU78)</f>
        <v/>
      </c>
      <c r="BV79" s="15">
        <f>(((((BV67+BV60)-BV74)-BV75)+BV77)-BV78)</f>
        <v/>
      </c>
      <c r="BW79" s="15">
        <f>(((((BW67+BW60)-BW74)-BW75)+BW77)-BW78)</f>
        <v/>
      </c>
      <c r="BX79" s="15">
        <f>(((((BX67+BX60)-BX74)-BX75)+BX77)-BX78)</f>
        <v/>
      </c>
      <c r="BY79" s="15">
        <f>(((((BY67+BY60)-BY74)-BY75)+BY77)-BY78)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-2420.564</v>
      </c>
      <c r="E80" s="13" t="n">
        <v>182.2569999999996</v>
      </c>
      <c r="F80" s="13" t="n">
        <v>340.4869999999992</v>
      </c>
      <c r="G80" s="13" t="n">
        <v>-1152.588000000002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  <c r="P80" s="15">
        <f>(P55*P27)</f>
        <v/>
      </c>
      <c r="Q80" s="15">
        <f>(Q55*Q27)</f>
        <v/>
      </c>
      <c r="R80" s="15">
        <f>(R55*R27)</f>
        <v/>
      </c>
      <c r="S80" s="15">
        <f>(S55*S27)</f>
        <v/>
      </c>
      <c r="T80" s="15">
        <f>(T55*T27)</f>
        <v/>
      </c>
      <c r="U80" s="15">
        <f>(U55*U27)</f>
        <v/>
      </c>
      <c r="V80" s="15">
        <f>(V55*V27)</f>
        <v/>
      </c>
      <c r="W80" s="15">
        <f>(W55*W27)</f>
        <v/>
      </c>
      <c r="X80" s="15">
        <f>(X55*X27)</f>
        <v/>
      </c>
      <c r="Y80" s="15">
        <f>(Y55*Y27)</f>
        <v/>
      </c>
      <c r="Z80" s="15">
        <f>(Z55*Z27)</f>
        <v/>
      </c>
      <c r="AA80" s="15">
        <f>(AA55*AA27)</f>
        <v/>
      </c>
      <c r="AB80" s="15">
        <f>(AB55*AB27)</f>
        <v/>
      </c>
      <c r="AC80" s="15">
        <f>(AC55*AC27)</f>
        <v/>
      </c>
      <c r="AD80" s="15">
        <f>(AD55*AD27)</f>
        <v/>
      </c>
      <c r="AE80" s="15">
        <f>(AE55*AE27)</f>
        <v/>
      </c>
      <c r="AF80" s="15">
        <f>(AF55*AF27)</f>
        <v/>
      </c>
      <c r="AG80" s="15">
        <f>(AG55*AG27)</f>
        <v/>
      </c>
      <c r="AH80" s="15">
        <f>(AH55*AH27)</f>
        <v/>
      </c>
      <c r="AI80" s="15">
        <f>(AI55*AI27)</f>
        <v/>
      </c>
      <c r="AJ80" s="15">
        <f>(AJ55*AJ27)</f>
        <v/>
      </c>
      <c r="AK80" s="15">
        <f>(AK55*AK27)</f>
        <v/>
      </c>
      <c r="AL80" s="15">
        <f>(AL55*AL27)</f>
        <v/>
      </c>
      <c r="AM80" s="15">
        <f>(AM55*AM27)</f>
        <v/>
      </c>
      <c r="AN80" s="15">
        <f>(AN55*AN27)</f>
        <v/>
      </c>
      <c r="AO80" s="15">
        <f>(AO55*AO27)</f>
        <v/>
      </c>
      <c r="AP80" s="15">
        <f>(AP55*AP27)</f>
        <v/>
      </c>
      <c r="AQ80" s="15">
        <f>(AQ55*AQ27)</f>
        <v/>
      </c>
      <c r="AR80" s="15">
        <f>(AR55*AR27)</f>
        <v/>
      </c>
      <c r="AS80" s="15">
        <f>(AS55*AS27)</f>
        <v/>
      </c>
      <c r="AT80" s="15">
        <f>(AT55*AT27)</f>
        <v/>
      </c>
      <c r="AU80" s="15">
        <f>(AU55*AU27)</f>
        <v/>
      </c>
      <c r="AV80" s="15">
        <f>(AV55*AV27)</f>
        <v/>
      </c>
      <c r="AW80" s="15">
        <f>(AW55*AW27)</f>
        <v/>
      </c>
      <c r="AX80" s="15">
        <f>(AX55*AX27)</f>
        <v/>
      </c>
      <c r="AY80" s="15">
        <f>(AY55*AY27)</f>
        <v/>
      </c>
      <c r="AZ80" s="15">
        <f>(AZ55*AZ27)</f>
        <v/>
      </c>
      <c r="BA80" s="15">
        <f>(BA55*BA27)</f>
        <v/>
      </c>
      <c r="BB80" s="15">
        <f>(BB55*BB27)</f>
        <v/>
      </c>
      <c r="BC80" s="15">
        <f>(BC55*BC27)</f>
        <v/>
      </c>
      <c r="BD80" s="15">
        <f>(BD55*BD27)</f>
        <v/>
      </c>
      <c r="BE80" s="15">
        <f>(BE55*BE27)</f>
        <v/>
      </c>
      <c r="BF80" s="15">
        <f>(BF55*BF27)</f>
        <v/>
      </c>
      <c r="BG80" s="15">
        <f>(BG55*BG27)</f>
        <v/>
      </c>
      <c r="BH80" s="15">
        <f>(BH55*BH27)</f>
        <v/>
      </c>
      <c r="BI80" s="15">
        <f>(BI55*BI27)</f>
        <v/>
      </c>
      <c r="BJ80" s="15">
        <f>(BJ55*BJ27)</f>
        <v/>
      </c>
      <c r="BK80" s="15">
        <f>(BK55*BK27)</f>
        <v/>
      </c>
      <c r="BL80" s="15">
        <f>(BL55*BL27)</f>
        <v/>
      </c>
      <c r="BM80" s="15">
        <f>(BM55*BM27)</f>
        <v/>
      </c>
      <c r="BN80" s="15">
        <f>(BN55*BN27)</f>
        <v/>
      </c>
      <c r="BO80" s="15">
        <f>(BO55*BO27)</f>
        <v/>
      </c>
      <c r="BP80" s="15">
        <f>(BP55*BP27)</f>
        <v/>
      </c>
      <c r="BQ80" s="15">
        <f>(BQ55*BQ27)</f>
        <v/>
      </c>
      <c r="BR80" s="15">
        <f>(BR55*BR27)</f>
        <v/>
      </c>
      <c r="BS80" s="15">
        <f>(BS55*BS27)</f>
        <v/>
      </c>
      <c r="BT80" s="15">
        <f>(BT55*BT27)</f>
        <v/>
      </c>
      <c r="BU80" s="15">
        <f>(BU55*BU27)</f>
        <v/>
      </c>
      <c r="BV80" s="15">
        <f>(BV55*BV27)</f>
        <v/>
      </c>
      <c r="BW80" s="15">
        <f>(BW55*BW27)</f>
        <v/>
      </c>
      <c r="BX80" s="15">
        <f>(BX55*BX27)</f>
        <v/>
      </c>
      <c r="BY80" s="15">
        <f>(BY55*BY27)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16742.609</v>
      </c>
      <c r="E81" s="13" t="n">
        <v>5556.015</v>
      </c>
      <c r="F81" s="13" t="n">
        <v>4800.98</v>
      </c>
      <c r="G81" s="13" t="n">
        <v>4991.144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  <c r="P81" s="15">
        <f>(((((((O81+P67)+P60)-P74)-P75)+P77)-P73)-P78)</f>
        <v/>
      </c>
      <c r="Q81" s="15">
        <f>(((((((P81+Q67)+Q60)-Q74)-Q75)+Q77)-Q73)-Q78)</f>
        <v/>
      </c>
      <c r="R81" s="15">
        <f>(((((((Q81+R67)+R60)-R74)-R75)+R77)-R73)-R78)</f>
        <v/>
      </c>
      <c r="S81" s="15">
        <f>(((((((R81+S67)+S60)-S74)-S75)+S77)-S73)-S78)</f>
        <v/>
      </c>
      <c r="T81" s="15">
        <f>(((((((S81+T67)+T60)-T74)-T75)+T77)-T73)-T78)</f>
        <v/>
      </c>
      <c r="U81" s="15">
        <f>(((((((T81+U67)+U60)-U74)-U75)+U77)-U73)-U78)</f>
        <v/>
      </c>
      <c r="V81" s="15">
        <f>(((((((U81+V67)+V60)-V74)-V75)+V77)-V73)-V78)</f>
        <v/>
      </c>
      <c r="W81" s="15">
        <f>(((((((V81+W67)+W60)-W74)-W75)+W77)-W73)-W78)</f>
        <v/>
      </c>
      <c r="X81" s="15">
        <f>(((((((W81+X67)+X60)-X74)-X75)+X77)-X73)-X78)</f>
        <v/>
      </c>
      <c r="Y81" s="15">
        <f>(((((((X81+Y67)+Y60)-Y74)-Y75)+Y77)-Y73)-Y78)</f>
        <v/>
      </c>
      <c r="Z81" s="15">
        <f>(((((((Y81+Z67)+Z60)-Z74)-Z75)+Z77)-Z73)-Z78)</f>
        <v/>
      </c>
      <c r="AA81" s="15">
        <f>(((((((Z81+AA67)+AA60)-AA74)-AA75)+AA77)-AA73)-AA78)</f>
        <v/>
      </c>
      <c r="AB81" s="15">
        <f>(((((((AA81+AB67)+AB60)-AB74)-AB75)+AB77)-AB73)-AB78)</f>
        <v/>
      </c>
      <c r="AC81" s="15">
        <f>(((((((AB81+AC67)+AC60)-AC74)-AC75)+AC77)-AC73)-AC78)</f>
        <v/>
      </c>
      <c r="AD81" s="15">
        <f>(((((((AC81+AD67)+AD60)-AD74)-AD75)+AD77)-AD73)-AD78)</f>
        <v/>
      </c>
      <c r="AE81" s="15">
        <f>(((((((AD81+AE67)+AE60)-AE74)-AE75)+AE77)-AE73)-AE78)</f>
        <v/>
      </c>
      <c r="AF81" s="15">
        <f>(((((((AE81+AF67)+AF60)-AF74)-AF75)+AF77)-AF73)-AF78)</f>
        <v/>
      </c>
      <c r="AG81" s="15">
        <f>(((((((AF81+AG67)+AG60)-AG74)-AG75)+AG77)-AG73)-AG78)</f>
        <v/>
      </c>
      <c r="AH81" s="15">
        <f>(((((((AG81+AH67)+AH60)-AH74)-AH75)+AH77)-AH73)-AH78)</f>
        <v/>
      </c>
      <c r="AI81" s="15">
        <f>(((((((AH81+AI67)+AI60)-AI74)-AI75)+AI77)-AI73)-AI78)</f>
        <v/>
      </c>
      <c r="AJ81" s="15">
        <f>(((((((AI81+AJ67)+AJ60)-AJ74)-AJ75)+AJ77)-AJ73)-AJ78)</f>
        <v/>
      </c>
      <c r="AK81" s="15">
        <f>(((((((AJ81+AK67)+AK60)-AK74)-AK75)+AK77)-AK73)-AK78)</f>
        <v/>
      </c>
      <c r="AL81" s="15">
        <f>(((((((AK81+AL67)+AL60)-AL74)-AL75)+AL77)-AL73)-AL78)</f>
        <v/>
      </c>
      <c r="AM81" s="15">
        <f>(((((((AL81+AM67)+AM60)-AM74)-AM75)+AM77)-AM73)-AM78)</f>
        <v/>
      </c>
      <c r="AN81" s="15">
        <f>(((((((AM81+AN67)+AN60)-AN74)-AN75)+AN77)-AN73)-AN78)</f>
        <v/>
      </c>
      <c r="AO81" s="15">
        <f>(((((((AN81+AO67)+AO60)-AO74)-AO75)+AO77)-AO73)-AO78)</f>
        <v/>
      </c>
      <c r="AP81" s="15">
        <f>(((((((AO81+AP67)+AP60)-AP74)-AP75)+AP77)-AP73)-AP78)</f>
        <v/>
      </c>
      <c r="AQ81" s="15">
        <f>(((((((AP81+AQ67)+AQ60)-AQ74)-AQ75)+AQ77)-AQ73)-AQ78)</f>
        <v/>
      </c>
      <c r="AR81" s="15">
        <f>(((((((AQ81+AR67)+AR60)-AR74)-AR75)+AR77)-AR73)-AR78)</f>
        <v/>
      </c>
      <c r="AS81" s="15">
        <f>(((((((AR81+AS67)+AS60)-AS74)-AS75)+AS77)-AS73)-AS78)</f>
        <v/>
      </c>
      <c r="AT81" s="15">
        <f>(((((((AS81+AT67)+AT60)-AT74)-AT75)+AT77)-AT73)-AT78)</f>
        <v/>
      </c>
      <c r="AU81" s="15">
        <f>(((((((AT81+AU67)+AU60)-AU74)-AU75)+AU77)-AU73)-AU78)</f>
        <v/>
      </c>
      <c r="AV81" s="15">
        <f>(((((((AU81+AV67)+AV60)-AV74)-AV75)+AV77)-AV73)-AV78)</f>
        <v/>
      </c>
      <c r="AW81" s="15">
        <f>(((((((AV81+AW67)+AW60)-AW74)-AW75)+AW77)-AW73)-AW78)</f>
        <v/>
      </c>
      <c r="AX81" s="15">
        <f>(((((((AW81+AX67)+AX60)-AX74)-AX75)+AX77)-AX73)-AX78)</f>
        <v/>
      </c>
      <c r="AY81" s="15">
        <f>(((((((AX81+AY67)+AY60)-AY74)-AY75)+AY77)-AY73)-AY78)</f>
        <v/>
      </c>
      <c r="AZ81" s="15">
        <f>(((((((AY81+AZ67)+AZ60)-AZ74)-AZ75)+AZ77)-AZ73)-AZ78)</f>
        <v/>
      </c>
      <c r="BA81" s="15">
        <f>(((((((AZ81+BA67)+BA60)-BA74)-BA75)+BA77)-BA73)-BA78)</f>
        <v/>
      </c>
      <c r="BB81" s="15">
        <f>(((((((BA81+BB67)+BB60)-BB74)-BB75)+BB77)-BB73)-BB78)</f>
        <v/>
      </c>
      <c r="BC81" s="15">
        <f>(((((((BB81+BC67)+BC60)-BC74)-BC75)+BC77)-BC73)-BC78)</f>
        <v/>
      </c>
      <c r="BD81" s="15">
        <f>(((((((BC81+BD67)+BD60)-BD74)-BD75)+BD77)-BD73)-BD78)</f>
        <v/>
      </c>
      <c r="BE81" s="15">
        <f>(((((((BD81+BE67)+BE60)-BE74)-BE75)+BE77)-BE73)-BE78)</f>
        <v/>
      </c>
      <c r="BF81" s="15">
        <f>(((((((BE81+BF67)+BF60)-BF74)-BF75)+BF77)-BF73)-BF78)</f>
        <v/>
      </c>
      <c r="BG81" s="15">
        <f>(((((((BF81+BG67)+BG60)-BG74)-BG75)+BG77)-BG73)-BG78)</f>
        <v/>
      </c>
      <c r="BH81" s="15">
        <f>(((((((BG81+BH67)+BH60)-BH74)-BH75)+BH77)-BH73)-BH78)</f>
        <v/>
      </c>
      <c r="BI81" s="15">
        <f>(((((((BH81+BI67)+BI60)-BI74)-BI75)+BI77)-BI73)-BI78)</f>
        <v/>
      </c>
      <c r="BJ81" s="15">
        <f>(((((((BI81+BJ67)+BJ60)-BJ74)-BJ75)+BJ77)-BJ73)-BJ78)</f>
        <v/>
      </c>
      <c r="BK81" s="15">
        <f>(((((((BJ81+BK67)+BK60)-BK74)-BK75)+BK77)-BK73)-BK78)</f>
        <v/>
      </c>
      <c r="BL81" s="15">
        <f>(((((((BK81+BL67)+BL60)-BL74)-BL75)+BL77)-BL73)-BL78)</f>
        <v/>
      </c>
      <c r="BM81" s="15">
        <f>(((((((BL81+BM67)+BM60)-BM74)-BM75)+BM77)-BM73)-BM78)</f>
        <v/>
      </c>
      <c r="BN81" s="15">
        <f>(((((((BM81+BN67)+BN60)-BN74)-BN75)+BN77)-BN73)-BN78)</f>
        <v/>
      </c>
      <c r="BO81" s="15">
        <f>(((((((BN81+BO67)+BO60)-BO74)-BO75)+BO77)-BO73)-BO78)</f>
        <v/>
      </c>
      <c r="BP81" s="15">
        <f>(((((((BO81+BP67)+BP60)-BP74)-BP75)+BP77)-BP73)-BP78)</f>
        <v/>
      </c>
      <c r="BQ81" s="15">
        <f>(((((((BP81+BQ67)+BQ60)-BQ74)-BQ75)+BQ77)-BQ73)-BQ78)</f>
        <v/>
      </c>
      <c r="BR81" s="15">
        <f>(((((((BQ81+BR67)+BR60)-BR74)-BR75)+BR77)-BR73)-BR78)</f>
        <v/>
      </c>
      <c r="BS81" s="15">
        <f>(((((((BR81+BS67)+BS60)-BS74)-BS75)+BS77)-BS73)-BS78)</f>
        <v/>
      </c>
      <c r="BT81" s="15">
        <f>(((((((BS81+BT67)+BT60)-BT74)-BT75)+BT77)-BT73)-BT78)</f>
        <v/>
      </c>
      <c r="BU81" s="15">
        <f>(((((((BT81+BU67)+BU60)-BU74)-BU75)+BU77)-BU73)-BU78)</f>
        <v/>
      </c>
      <c r="BV81" s="15">
        <f>(((((((BU81+BV67)+BV60)-BV74)-BV75)+BV77)-BV73)-BV78)</f>
        <v/>
      </c>
      <c r="BW81" s="15">
        <f>(((((((BV81+BW67)+BW60)-BW74)-BW75)+BW77)-BW73)-BW78)</f>
        <v/>
      </c>
      <c r="BX81" s="15">
        <f>(((((((BW81+BX67)+BX60)-BX74)-BX75)+BX77)-BX73)-BX78)</f>
        <v/>
      </c>
      <c r="BY81" s="15">
        <f>(((((((BX81+BY67)+BY60)-BY74)-BY75)+BY77)-BY73)-BY78)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1362.201</v>
      </c>
      <c r="E82" s="13" t="n">
        <v>1301.682</v>
      </c>
      <c r="F82" s="13" t="n">
        <v>2251.033</v>
      </c>
      <c r="G82" s="13" t="n">
        <v>3857.183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  <c r="P82" s="15">
        <f>(O82+P77)</f>
        <v/>
      </c>
      <c r="Q82" s="15">
        <f>(P82+Q77)</f>
        <v/>
      </c>
      <c r="R82" s="15">
        <f>(Q82+R77)</f>
        <v/>
      </c>
      <c r="S82" s="15">
        <f>(R82+S77)</f>
        <v/>
      </c>
      <c r="T82" s="15">
        <f>(S82+T77)</f>
        <v/>
      </c>
      <c r="U82" s="15">
        <f>(T82+U77)</f>
        <v/>
      </c>
      <c r="V82" s="15">
        <f>(U82+V77)</f>
        <v/>
      </c>
      <c r="W82" s="15">
        <f>(V82+W77)</f>
        <v/>
      </c>
      <c r="X82" s="15">
        <f>(W82+X77)</f>
        <v/>
      </c>
      <c r="Y82" s="15">
        <f>(X82+Y77)</f>
        <v/>
      </c>
      <c r="Z82" s="15">
        <f>(Y82+Z77)</f>
        <v/>
      </c>
      <c r="AA82" s="15">
        <f>(Z82+AA77)</f>
        <v/>
      </c>
      <c r="AB82" s="15">
        <f>(AA82+AB77)</f>
        <v/>
      </c>
      <c r="AC82" s="15">
        <f>(AB82+AC77)</f>
        <v/>
      </c>
      <c r="AD82" s="15">
        <f>(AC82+AD77)</f>
        <v/>
      </c>
      <c r="AE82" s="15">
        <f>(AD82+AE77)</f>
        <v/>
      </c>
      <c r="AF82" s="15">
        <f>(AE82+AF77)</f>
        <v/>
      </c>
      <c r="AG82" s="15">
        <f>(AF82+AG77)</f>
        <v/>
      </c>
      <c r="AH82" s="15">
        <f>(AG82+AH77)</f>
        <v/>
      </c>
      <c r="AI82" s="15">
        <f>(AH82+AI77)</f>
        <v/>
      </c>
      <c r="AJ82" s="15">
        <f>(AI82+AJ77)</f>
        <v/>
      </c>
      <c r="AK82" s="15">
        <f>(AJ82+AK77)</f>
        <v/>
      </c>
      <c r="AL82" s="15">
        <f>(AK82+AL77)</f>
        <v/>
      </c>
      <c r="AM82" s="15">
        <f>(AL82+AM77)</f>
        <v/>
      </c>
      <c r="AN82" s="15">
        <f>(AM82+AN77)</f>
        <v/>
      </c>
      <c r="AO82" s="15">
        <f>(AN82+AO77)</f>
        <v/>
      </c>
      <c r="AP82" s="15">
        <f>(AO82+AP77)</f>
        <v/>
      </c>
      <c r="AQ82" s="15">
        <f>(AP82+AQ77)</f>
        <v/>
      </c>
      <c r="AR82" s="15">
        <f>(AQ82+AR77)</f>
        <v/>
      </c>
      <c r="AS82" s="15">
        <f>(AR82+AS77)</f>
        <v/>
      </c>
      <c r="AT82" s="15">
        <f>(AS82+AT77)</f>
        <v/>
      </c>
      <c r="AU82" s="15">
        <f>(AT82+AU77)</f>
        <v/>
      </c>
      <c r="AV82" s="15">
        <f>(AU82+AV77)</f>
        <v/>
      </c>
      <c r="AW82" s="15">
        <f>(AV82+AW77)</f>
        <v/>
      </c>
      <c r="AX82" s="15">
        <f>(AW82+AX77)</f>
        <v/>
      </c>
      <c r="AY82" s="15">
        <f>(AX82+AY77)</f>
        <v/>
      </c>
      <c r="AZ82" s="15">
        <f>(AY82+AZ77)</f>
        <v/>
      </c>
      <c r="BA82" s="15">
        <f>(AZ82+BA77)</f>
        <v/>
      </c>
      <c r="BB82" s="15">
        <f>(BA82+BB77)</f>
        <v/>
      </c>
      <c r="BC82" s="15">
        <f>(BB82+BC77)</f>
        <v/>
      </c>
      <c r="BD82" s="15">
        <f>(BC82+BD77)</f>
        <v/>
      </c>
      <c r="BE82" s="15">
        <f>(BD82+BE77)</f>
        <v/>
      </c>
      <c r="BF82" s="15">
        <f>(BE82+BF77)</f>
        <v/>
      </c>
      <c r="BG82" s="15">
        <f>(BF82+BG77)</f>
        <v/>
      </c>
      <c r="BH82" s="15">
        <f>(BG82+BH77)</f>
        <v/>
      </c>
      <c r="BI82" s="15">
        <f>(BH82+BI77)</f>
        <v/>
      </c>
      <c r="BJ82" s="15">
        <f>(BI82+BJ77)</f>
        <v/>
      </c>
      <c r="BK82" s="15">
        <f>(BJ82+BK77)</f>
        <v/>
      </c>
      <c r="BL82" s="15">
        <f>(BK82+BL77)</f>
        <v/>
      </c>
      <c r="BM82" s="15">
        <f>(BL82+BM77)</f>
        <v/>
      </c>
      <c r="BN82" s="15">
        <f>(BM82+BN77)</f>
        <v/>
      </c>
      <c r="BO82" s="15">
        <f>(BN82+BO77)</f>
        <v/>
      </c>
      <c r="BP82" s="15">
        <f>(BO82+BP77)</f>
        <v/>
      </c>
      <c r="BQ82" s="15">
        <f>(BP82+BQ77)</f>
        <v/>
      </c>
      <c r="BR82" s="15">
        <f>(BQ82+BR77)</f>
        <v/>
      </c>
      <c r="BS82" s="15">
        <f>(BR82+BS77)</f>
        <v/>
      </c>
      <c r="BT82" s="15">
        <f>(BS82+BT77)</f>
        <v/>
      </c>
      <c r="BU82" s="15">
        <f>(BT82+BU77)</f>
        <v/>
      </c>
      <c r="BV82" s="15">
        <f>(BU82+BV77)</f>
        <v/>
      </c>
      <c r="BW82" s="15">
        <f>(BV82+BW77)</f>
        <v/>
      </c>
      <c r="BX82" s="15">
        <f>(BW82+BX77)</f>
        <v/>
      </c>
      <c r="BY82" s="15">
        <f>(BX82+BY77)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11283.758</v>
      </c>
      <c r="E83" s="13" t="n">
        <v>11837.867</v>
      </c>
      <c r="F83" s="13" t="n">
        <v>12212.874</v>
      </c>
      <c r="G83" s="13" t="n">
        <v>14831.803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  <c r="P83" s="15">
        <f>((O83+P74)-P60)</f>
        <v/>
      </c>
      <c r="Q83" s="15">
        <f>((P83+Q74)-Q60)</f>
        <v/>
      </c>
      <c r="R83" s="15">
        <f>((Q83+R74)-R60)</f>
        <v/>
      </c>
      <c r="S83" s="15">
        <f>((R83+S74)-S60)</f>
        <v/>
      </c>
      <c r="T83" s="15">
        <f>((S83+T74)-T60)</f>
        <v/>
      </c>
      <c r="U83" s="15">
        <f>((T83+U74)-U60)</f>
        <v/>
      </c>
      <c r="V83" s="15">
        <f>((U83+V74)-V60)</f>
        <v/>
      </c>
      <c r="W83" s="15">
        <f>((V83+W74)-W60)</f>
        <v/>
      </c>
      <c r="X83" s="15">
        <f>((W83+X74)-X60)</f>
        <v/>
      </c>
      <c r="Y83" s="15">
        <f>((X83+Y74)-Y60)</f>
        <v/>
      </c>
      <c r="Z83" s="15">
        <f>((Y83+Z74)-Z60)</f>
        <v/>
      </c>
      <c r="AA83" s="15">
        <f>((Z83+AA74)-AA60)</f>
        <v/>
      </c>
      <c r="AB83" s="15">
        <f>((AA83+AB74)-AB60)</f>
        <v/>
      </c>
      <c r="AC83" s="15">
        <f>((AB83+AC74)-AC60)</f>
        <v/>
      </c>
      <c r="AD83" s="15">
        <f>((AC83+AD74)-AD60)</f>
        <v/>
      </c>
      <c r="AE83" s="15">
        <f>((AD83+AE74)-AE60)</f>
        <v/>
      </c>
      <c r="AF83" s="15">
        <f>((AE83+AF74)-AF60)</f>
        <v/>
      </c>
      <c r="AG83" s="15">
        <f>((AF83+AG74)-AG60)</f>
        <v/>
      </c>
      <c r="AH83" s="15">
        <f>((AG83+AH74)-AH60)</f>
        <v/>
      </c>
      <c r="AI83" s="15">
        <f>((AH83+AI74)-AI60)</f>
        <v/>
      </c>
      <c r="AJ83" s="15">
        <f>((AI83+AJ74)-AJ60)</f>
        <v/>
      </c>
      <c r="AK83" s="15">
        <f>((AJ83+AK74)-AK60)</f>
        <v/>
      </c>
      <c r="AL83" s="15">
        <f>((AK83+AL74)-AL60)</f>
        <v/>
      </c>
      <c r="AM83" s="15">
        <f>((AL83+AM74)-AM60)</f>
        <v/>
      </c>
      <c r="AN83" s="15">
        <f>((AM83+AN74)-AN60)</f>
        <v/>
      </c>
      <c r="AO83" s="15">
        <f>((AN83+AO74)-AO60)</f>
        <v/>
      </c>
      <c r="AP83" s="15">
        <f>((AO83+AP74)-AP60)</f>
        <v/>
      </c>
      <c r="AQ83" s="15">
        <f>((AP83+AQ74)-AQ60)</f>
        <v/>
      </c>
      <c r="AR83" s="15">
        <f>((AQ83+AR74)-AR60)</f>
        <v/>
      </c>
      <c r="AS83" s="15">
        <f>((AR83+AS74)-AS60)</f>
        <v/>
      </c>
      <c r="AT83" s="15">
        <f>((AS83+AT74)-AT60)</f>
        <v/>
      </c>
      <c r="AU83" s="15">
        <f>((AT83+AU74)-AU60)</f>
        <v/>
      </c>
      <c r="AV83" s="15">
        <f>((AU83+AV74)-AV60)</f>
        <v/>
      </c>
      <c r="AW83" s="15">
        <f>((AV83+AW74)-AW60)</f>
        <v/>
      </c>
      <c r="AX83" s="15">
        <f>((AW83+AX74)-AX60)</f>
        <v/>
      </c>
      <c r="AY83" s="15">
        <f>((AX83+AY74)-AY60)</f>
        <v/>
      </c>
      <c r="AZ83" s="15">
        <f>((AY83+AZ74)-AZ60)</f>
        <v/>
      </c>
      <c r="BA83" s="15">
        <f>((AZ83+BA74)-BA60)</f>
        <v/>
      </c>
      <c r="BB83" s="15">
        <f>((BA83+BB74)-BB60)</f>
        <v/>
      </c>
      <c r="BC83" s="15">
        <f>((BB83+BC74)-BC60)</f>
        <v/>
      </c>
      <c r="BD83" s="15">
        <f>((BC83+BD74)-BD60)</f>
        <v/>
      </c>
      <c r="BE83" s="15">
        <f>((BD83+BE74)-BE60)</f>
        <v/>
      </c>
      <c r="BF83" s="15">
        <f>((BE83+BF74)-BF60)</f>
        <v/>
      </c>
      <c r="BG83" s="15">
        <f>((BF83+BG74)-BG60)</f>
        <v/>
      </c>
      <c r="BH83" s="15">
        <f>((BG83+BH74)-BH60)</f>
        <v/>
      </c>
      <c r="BI83" s="15">
        <f>((BH83+BI74)-BI60)</f>
        <v/>
      </c>
      <c r="BJ83" s="15">
        <f>((BI83+BJ74)-BJ60)</f>
        <v/>
      </c>
      <c r="BK83" s="15">
        <f>((BJ83+BK74)-BK60)</f>
        <v/>
      </c>
      <c r="BL83" s="15">
        <f>((BK83+BL74)-BL60)</f>
        <v/>
      </c>
      <c r="BM83" s="15">
        <f>((BL83+BM74)-BM60)</f>
        <v/>
      </c>
      <c r="BN83" s="15">
        <f>((BM83+BN74)-BN60)</f>
        <v/>
      </c>
      <c r="BO83" s="15">
        <f>((BN83+BO74)-BO60)</f>
        <v/>
      </c>
      <c r="BP83" s="15">
        <f>((BO83+BP74)-BP60)</f>
        <v/>
      </c>
      <c r="BQ83" s="15">
        <f>((BP83+BQ74)-BQ60)</f>
        <v/>
      </c>
      <c r="BR83" s="15">
        <f>((BQ83+BR74)-BR60)</f>
        <v/>
      </c>
      <c r="BS83" s="15">
        <f>((BR83+BS74)-BS60)</f>
        <v/>
      </c>
      <c r="BT83" s="15">
        <f>((BS83+BT74)-BT60)</f>
        <v/>
      </c>
      <c r="BU83" s="15">
        <f>((BT83+BU74)-BU60)</f>
        <v/>
      </c>
      <c r="BV83" s="15">
        <f>((BU83+BV74)-BV60)</f>
        <v/>
      </c>
      <c r="BW83" s="15">
        <f>((BV83+BW74)-BW60)</f>
        <v/>
      </c>
      <c r="BX83" s="15">
        <f>((BW83+BX74)-BX60)</f>
        <v/>
      </c>
      <c r="BY83" s="15">
        <f>((BX83+BY74)-BY60)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28705.068</v>
      </c>
      <c r="E84" s="13" t="n">
        <v>21434.538</v>
      </c>
      <c r="F84" s="13" t="n">
        <v>22505.288</v>
      </c>
      <c r="G84" s="13" t="n">
        <v>22483.714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  <c r="P84" s="15">
        <f>((O84+P69)-P73)</f>
        <v/>
      </c>
      <c r="Q84" s="15">
        <f>((P84+Q69)-Q73)</f>
        <v/>
      </c>
      <c r="R84" s="15">
        <f>((Q84+R69)-R73)</f>
        <v/>
      </c>
      <c r="S84" s="15">
        <f>((R84+S69)-S73)</f>
        <v/>
      </c>
      <c r="T84" s="15">
        <f>((S84+T69)-T73)</f>
        <v/>
      </c>
      <c r="U84" s="15">
        <f>((T84+U69)-U73)</f>
        <v/>
      </c>
      <c r="V84" s="15">
        <f>((U84+V69)-V73)</f>
        <v/>
      </c>
      <c r="W84" s="15">
        <f>((V84+W69)-W73)</f>
        <v/>
      </c>
      <c r="X84" s="15">
        <f>((W84+X69)-X73)</f>
        <v/>
      </c>
      <c r="Y84" s="15">
        <f>((X84+Y69)-Y73)</f>
        <v/>
      </c>
      <c r="Z84" s="15">
        <f>((Y84+Z69)-Z73)</f>
        <v/>
      </c>
      <c r="AA84" s="15">
        <f>((Z84+AA69)-AA73)</f>
        <v/>
      </c>
      <c r="AB84" s="15">
        <f>((AA84+AB69)-AB73)</f>
        <v/>
      </c>
      <c r="AC84" s="15">
        <f>((AB84+AC69)-AC73)</f>
        <v/>
      </c>
      <c r="AD84" s="15">
        <f>((AC84+AD69)-AD73)</f>
        <v/>
      </c>
      <c r="AE84" s="15">
        <f>((AD84+AE69)-AE73)</f>
        <v/>
      </c>
      <c r="AF84" s="15">
        <f>((AE84+AF69)-AF73)</f>
        <v/>
      </c>
      <c r="AG84" s="15">
        <f>((AF84+AG69)-AG73)</f>
        <v/>
      </c>
      <c r="AH84" s="15">
        <f>((AG84+AH69)-AH73)</f>
        <v/>
      </c>
      <c r="AI84" s="15">
        <f>((AH84+AI69)-AI73)</f>
        <v/>
      </c>
      <c r="AJ84" s="15">
        <f>((AI84+AJ69)-AJ73)</f>
        <v/>
      </c>
      <c r="AK84" s="15">
        <f>((AJ84+AK69)-AK73)</f>
        <v/>
      </c>
      <c r="AL84" s="15">
        <f>((AK84+AL69)-AL73)</f>
        <v/>
      </c>
      <c r="AM84" s="15">
        <f>((AL84+AM69)-AM73)</f>
        <v/>
      </c>
      <c r="AN84" s="15">
        <f>((AM84+AN69)-AN73)</f>
        <v/>
      </c>
      <c r="AO84" s="15">
        <f>((AN84+AO69)-AO73)</f>
        <v/>
      </c>
      <c r="AP84" s="15">
        <f>((AO84+AP69)-AP73)</f>
        <v/>
      </c>
      <c r="AQ84" s="15">
        <f>((AP84+AQ69)-AQ73)</f>
        <v/>
      </c>
      <c r="AR84" s="15">
        <f>((AQ84+AR69)-AR73)</f>
        <v/>
      </c>
      <c r="AS84" s="15">
        <f>((AR84+AS69)-AS73)</f>
        <v/>
      </c>
      <c r="AT84" s="15">
        <f>((AS84+AT69)-AT73)</f>
        <v/>
      </c>
      <c r="AU84" s="15">
        <f>((AT84+AU69)-AU73)</f>
        <v/>
      </c>
      <c r="AV84" s="15">
        <f>((AU84+AV69)-AV73)</f>
        <v/>
      </c>
      <c r="AW84" s="15">
        <f>((AV84+AW69)-AW73)</f>
        <v/>
      </c>
      <c r="AX84" s="15">
        <f>((AW84+AX69)-AX73)</f>
        <v/>
      </c>
      <c r="AY84" s="15">
        <f>((AX84+AY69)-AY73)</f>
        <v/>
      </c>
      <c r="AZ84" s="15">
        <f>((AY84+AZ69)-AZ73)</f>
        <v/>
      </c>
      <c r="BA84" s="15">
        <f>((AZ84+BA69)-BA73)</f>
        <v/>
      </c>
      <c r="BB84" s="15">
        <f>((BA84+BB69)-BB73)</f>
        <v/>
      </c>
      <c r="BC84" s="15">
        <f>((BB84+BC69)-BC73)</f>
        <v/>
      </c>
      <c r="BD84" s="15">
        <f>((BC84+BD69)-BD73)</f>
        <v/>
      </c>
      <c r="BE84" s="15">
        <f>((BD84+BE69)-BE73)</f>
        <v/>
      </c>
      <c r="BF84" s="15">
        <f>((BE84+BF69)-BF73)</f>
        <v/>
      </c>
      <c r="BG84" s="15">
        <f>((BF84+BG69)-BG73)</f>
        <v/>
      </c>
      <c r="BH84" s="15">
        <f>((BG84+BH69)-BH73)</f>
        <v/>
      </c>
      <c r="BI84" s="15">
        <f>((BH84+BI69)-BI73)</f>
        <v/>
      </c>
      <c r="BJ84" s="15">
        <f>((BI84+BJ69)-BJ73)</f>
        <v/>
      </c>
      <c r="BK84" s="15">
        <f>((BJ84+BK69)-BK73)</f>
        <v/>
      </c>
      <c r="BL84" s="15">
        <f>((BK84+BL69)-BL73)</f>
        <v/>
      </c>
      <c r="BM84" s="15">
        <f>((BL84+BM69)-BM73)</f>
        <v/>
      </c>
      <c r="BN84" s="15">
        <f>((BM84+BN69)-BN73)</f>
        <v/>
      </c>
      <c r="BO84" s="15">
        <f>((BN84+BO69)-BO73)</f>
        <v/>
      </c>
      <c r="BP84" s="15">
        <f>((BO84+BP69)-BP73)</f>
        <v/>
      </c>
      <c r="BQ84" s="15">
        <f>((BP84+BQ69)-BQ73)</f>
        <v/>
      </c>
      <c r="BR84" s="15">
        <f>((BQ84+BR69)-BR73)</f>
        <v/>
      </c>
      <c r="BS84" s="15">
        <f>((BR84+BS69)-BS73)</f>
        <v/>
      </c>
      <c r="BT84" s="15">
        <f>((BS84+BT69)-BT73)</f>
        <v/>
      </c>
      <c r="BU84" s="15">
        <f>((BT84+BU69)-BU73)</f>
        <v/>
      </c>
      <c r="BV84" s="15">
        <f>((BU84+BV69)-BV73)</f>
        <v/>
      </c>
      <c r="BW84" s="15">
        <f>((BV84+BW69)-BW73)</f>
        <v/>
      </c>
      <c r="BX84" s="15">
        <f>((BW84+BX69)-BX73)</f>
        <v/>
      </c>
      <c r="BY84" s="15">
        <f>((BX84+BY69)-BY73)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210.978</v>
      </c>
      <c r="E85" s="13" t="n">
        <v>128.658</v>
      </c>
      <c r="F85" s="13" t="n">
        <v>138.524</v>
      </c>
      <c r="G85" s="13" t="n">
        <v>133.087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  <c r="P85" s="15">
        <f>((O85+P68)-P78)</f>
        <v/>
      </c>
      <c r="Q85" s="15">
        <f>((P85+Q68)-Q78)</f>
        <v/>
      </c>
      <c r="R85" s="15">
        <f>((Q85+R68)-R78)</f>
        <v/>
      </c>
      <c r="S85" s="15">
        <f>((R85+S68)-S78)</f>
        <v/>
      </c>
      <c r="T85" s="15">
        <f>((S85+T68)-T78)</f>
        <v/>
      </c>
      <c r="U85" s="15">
        <f>((T85+U68)-U78)</f>
        <v/>
      </c>
      <c r="V85" s="15">
        <f>((U85+V68)-V78)</f>
        <v/>
      </c>
      <c r="W85" s="15">
        <f>((V85+W68)-W78)</f>
        <v/>
      </c>
      <c r="X85" s="15">
        <f>((W85+X68)-X78)</f>
        <v/>
      </c>
      <c r="Y85" s="15">
        <f>((X85+Y68)-Y78)</f>
        <v/>
      </c>
      <c r="Z85" s="15">
        <f>((Y85+Z68)-Z78)</f>
        <v/>
      </c>
      <c r="AA85" s="15">
        <f>((Z85+AA68)-AA78)</f>
        <v/>
      </c>
      <c r="AB85" s="15">
        <f>((AA85+AB68)-AB78)</f>
        <v/>
      </c>
      <c r="AC85" s="15">
        <f>((AB85+AC68)-AC78)</f>
        <v/>
      </c>
      <c r="AD85" s="15">
        <f>((AC85+AD68)-AD78)</f>
        <v/>
      </c>
      <c r="AE85" s="15">
        <f>((AD85+AE68)-AE78)</f>
        <v/>
      </c>
      <c r="AF85" s="15">
        <f>((AE85+AF68)-AF78)</f>
        <v/>
      </c>
      <c r="AG85" s="15">
        <f>((AF85+AG68)-AG78)</f>
        <v/>
      </c>
      <c r="AH85" s="15">
        <f>((AG85+AH68)-AH78)</f>
        <v/>
      </c>
      <c r="AI85" s="15">
        <f>((AH85+AI68)-AI78)</f>
        <v/>
      </c>
      <c r="AJ85" s="15">
        <f>((AI85+AJ68)-AJ78)</f>
        <v/>
      </c>
      <c r="AK85" s="15">
        <f>((AJ85+AK68)-AK78)</f>
        <v/>
      </c>
      <c r="AL85" s="15">
        <f>((AK85+AL68)-AL78)</f>
        <v/>
      </c>
      <c r="AM85" s="15">
        <f>((AL85+AM68)-AM78)</f>
        <v/>
      </c>
      <c r="AN85" s="15">
        <f>((AM85+AN68)-AN78)</f>
        <v/>
      </c>
      <c r="AO85" s="15">
        <f>((AN85+AO68)-AO78)</f>
        <v/>
      </c>
      <c r="AP85" s="15">
        <f>((AO85+AP68)-AP78)</f>
        <v/>
      </c>
      <c r="AQ85" s="15">
        <f>((AP85+AQ68)-AQ78)</f>
        <v/>
      </c>
      <c r="AR85" s="15">
        <f>((AQ85+AR68)-AR78)</f>
        <v/>
      </c>
      <c r="AS85" s="15">
        <f>((AR85+AS68)-AS78)</f>
        <v/>
      </c>
      <c r="AT85" s="15">
        <f>((AS85+AT68)-AT78)</f>
        <v/>
      </c>
      <c r="AU85" s="15">
        <f>((AT85+AU68)-AU78)</f>
        <v/>
      </c>
      <c r="AV85" s="15">
        <f>((AU85+AV68)-AV78)</f>
        <v/>
      </c>
      <c r="AW85" s="15">
        <f>((AV85+AW68)-AW78)</f>
        <v/>
      </c>
      <c r="AX85" s="15">
        <f>((AW85+AX68)-AX78)</f>
        <v/>
      </c>
      <c r="AY85" s="15">
        <f>((AX85+AY68)-AY78)</f>
        <v/>
      </c>
      <c r="AZ85" s="15">
        <f>((AY85+AZ68)-AZ78)</f>
        <v/>
      </c>
      <c r="BA85" s="15">
        <f>((AZ85+BA68)-BA78)</f>
        <v/>
      </c>
      <c r="BB85" s="15">
        <f>((BA85+BB68)-BB78)</f>
        <v/>
      </c>
      <c r="BC85" s="15">
        <f>((BB85+BC68)-BC78)</f>
        <v/>
      </c>
      <c r="BD85" s="15">
        <f>((BC85+BD68)-BD78)</f>
        <v/>
      </c>
      <c r="BE85" s="15">
        <f>((BD85+BE68)-BE78)</f>
        <v/>
      </c>
      <c r="BF85" s="15">
        <f>((BE85+BF68)-BF78)</f>
        <v/>
      </c>
      <c r="BG85" s="15">
        <f>((BF85+BG68)-BG78)</f>
        <v/>
      </c>
      <c r="BH85" s="15">
        <f>((BG85+BH68)-BH78)</f>
        <v/>
      </c>
      <c r="BI85" s="15">
        <f>((BH85+BI68)-BI78)</f>
        <v/>
      </c>
      <c r="BJ85" s="15">
        <f>((BI85+BJ68)-BJ78)</f>
        <v/>
      </c>
      <c r="BK85" s="15">
        <f>((BJ85+BK68)-BK78)</f>
        <v/>
      </c>
      <c r="BL85" s="15">
        <f>((BK85+BL68)-BL78)</f>
        <v/>
      </c>
      <c r="BM85" s="15">
        <f>((BL85+BM68)-BM78)</f>
        <v/>
      </c>
      <c r="BN85" s="15">
        <f>((BM85+BN68)-BN78)</f>
        <v/>
      </c>
      <c r="BO85" s="15">
        <f>((BN85+BO68)-BO78)</f>
        <v/>
      </c>
      <c r="BP85" s="15">
        <f>((BO85+BP68)-BP78)</f>
        <v/>
      </c>
      <c r="BQ85" s="15">
        <f>((BP85+BQ68)-BQ78)</f>
        <v/>
      </c>
      <c r="BR85" s="15">
        <f>((BQ85+BR68)-BR78)</f>
        <v/>
      </c>
      <c r="BS85" s="15">
        <f>((BR85+BS68)-BS78)</f>
        <v/>
      </c>
      <c r="BT85" s="15">
        <f>((BS85+BT68)-BT78)</f>
        <v/>
      </c>
      <c r="BU85" s="15">
        <f>((BT85+BU68)-BU78)</f>
        <v/>
      </c>
      <c r="BV85" s="15">
        <f>((BU85+BV68)-BV78)</f>
        <v/>
      </c>
      <c r="BW85" s="15">
        <f>((BV85+BW68)-BW78)</f>
        <v/>
      </c>
      <c r="BX85" s="15">
        <f>((BW85+BX68)-BX78)</f>
        <v/>
      </c>
      <c r="BY85" s="15">
        <f>((BX85+BY68)-BY78)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4672.444</v>
      </c>
      <c r="E86" s="13" t="n">
        <v>5288.739</v>
      </c>
      <c r="F86" s="13" t="n">
        <v>7540.504000000004</v>
      </c>
      <c r="G86" s="13" t="n">
        <v>7803.625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  <c r="P86" s="15">
        <f>O86</f>
        <v/>
      </c>
      <c r="Q86" s="15">
        <f>P86</f>
        <v/>
      </c>
      <c r="R86" s="15">
        <f>Q86</f>
        <v/>
      </c>
      <c r="S86" s="15">
        <f>R86</f>
        <v/>
      </c>
      <c r="T86" s="15">
        <f>S86</f>
        <v/>
      </c>
      <c r="U86" s="15">
        <f>T86</f>
        <v/>
      </c>
      <c r="V86" s="15">
        <f>U86</f>
        <v/>
      </c>
      <c r="W86" s="15">
        <f>V86</f>
        <v/>
      </c>
      <c r="X86" s="15">
        <f>W86</f>
        <v/>
      </c>
      <c r="Y86" s="15">
        <f>X86</f>
        <v/>
      </c>
      <c r="Z86" s="15">
        <f>Y86</f>
        <v/>
      </c>
      <c r="AA86" s="15">
        <f>Z86</f>
        <v/>
      </c>
      <c r="AB86" s="15">
        <f>AA86</f>
        <v/>
      </c>
      <c r="AC86" s="15">
        <f>AB86</f>
        <v/>
      </c>
      <c r="AD86" s="15">
        <f>AC86</f>
        <v/>
      </c>
      <c r="AE86" s="15">
        <f>AD86</f>
        <v/>
      </c>
      <c r="AF86" s="15">
        <f>AE86</f>
        <v/>
      </c>
      <c r="AG86" s="15">
        <f>AF86</f>
        <v/>
      </c>
      <c r="AH86" s="15">
        <f>AG86</f>
        <v/>
      </c>
      <c r="AI86" s="15">
        <f>AH86</f>
        <v/>
      </c>
      <c r="AJ86" s="15">
        <f>AI86</f>
        <v/>
      </c>
      <c r="AK86" s="15">
        <f>AJ86</f>
        <v/>
      </c>
      <c r="AL86" s="15">
        <f>AK86</f>
        <v/>
      </c>
      <c r="AM86" s="15">
        <f>AL86</f>
        <v/>
      </c>
      <c r="AN86" s="15">
        <f>AM86</f>
        <v/>
      </c>
      <c r="AO86" s="15">
        <f>AN86</f>
        <v/>
      </c>
      <c r="AP86" s="15">
        <f>AO86</f>
        <v/>
      </c>
      <c r="AQ86" s="15">
        <f>AP86</f>
        <v/>
      </c>
      <c r="AR86" s="15">
        <f>AQ86</f>
        <v/>
      </c>
      <c r="AS86" s="15">
        <f>AR86</f>
        <v/>
      </c>
      <c r="AT86" s="15">
        <f>AS86</f>
        <v/>
      </c>
      <c r="AU86" s="15">
        <f>AT86</f>
        <v/>
      </c>
      <c r="AV86" s="15">
        <f>AU86</f>
        <v/>
      </c>
      <c r="AW86" s="15">
        <f>AV86</f>
        <v/>
      </c>
      <c r="AX86" s="15">
        <f>AW86</f>
        <v/>
      </c>
      <c r="AY86" s="15">
        <f>AX86</f>
        <v/>
      </c>
      <c r="AZ86" s="15">
        <f>AY86</f>
        <v/>
      </c>
      <c r="BA86" s="15">
        <f>AZ86</f>
        <v/>
      </c>
      <c r="BB86" s="15">
        <f>BA86</f>
        <v/>
      </c>
      <c r="BC86" s="15">
        <f>BB86</f>
        <v/>
      </c>
      <c r="BD86" s="15">
        <f>BC86</f>
        <v/>
      </c>
      <c r="BE86" s="15">
        <f>BD86</f>
        <v/>
      </c>
      <c r="BF86" s="15">
        <f>BE86</f>
        <v/>
      </c>
      <c r="BG86" s="15">
        <f>BF86</f>
        <v/>
      </c>
      <c r="BH86" s="15">
        <f>BG86</f>
        <v/>
      </c>
      <c r="BI86" s="15">
        <f>BH86</f>
        <v/>
      </c>
      <c r="BJ86" s="15">
        <f>BI86</f>
        <v/>
      </c>
      <c r="BK86" s="15">
        <f>BJ86</f>
        <v/>
      </c>
      <c r="BL86" s="15">
        <f>BK86</f>
        <v/>
      </c>
      <c r="BM86" s="15">
        <f>BL86</f>
        <v/>
      </c>
      <c r="BN86" s="15">
        <f>BM86</f>
        <v/>
      </c>
      <c r="BO86" s="15">
        <f>BN86</f>
        <v/>
      </c>
      <c r="BP86" s="15">
        <f>BO86</f>
        <v/>
      </c>
      <c r="BQ86" s="15">
        <f>BP86</f>
        <v/>
      </c>
      <c r="BR86" s="15">
        <f>BQ86</f>
        <v/>
      </c>
      <c r="BS86" s="15">
        <f>BR86</f>
        <v/>
      </c>
      <c r="BT86" s="15">
        <f>BS86</f>
        <v/>
      </c>
      <c r="BU86" s="15">
        <f>BT86</f>
        <v/>
      </c>
      <c r="BV86" s="15">
        <f>BU86</f>
        <v/>
      </c>
      <c r="BW86" s="15">
        <f>BV86</f>
        <v/>
      </c>
      <c r="BX86" s="15">
        <f>BW86</f>
        <v/>
      </c>
      <c r="BY86" s="15">
        <f>BX86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  <c r="P87" s="15">
        <f>((((((P81+P80)+P83)+P86)-P82)-P84)-P85)</f>
        <v/>
      </c>
      <c r="Q87" s="15">
        <f>((((((Q81+Q80)+Q83)+Q86)-Q82)-Q84)-Q85)</f>
        <v/>
      </c>
      <c r="R87" s="15">
        <f>((((((R81+R80)+R83)+R86)-R82)-R84)-R85)</f>
        <v/>
      </c>
      <c r="S87" s="15">
        <f>((((((S81+S80)+S83)+S86)-S82)-S84)-S85)</f>
        <v/>
      </c>
      <c r="T87" s="15">
        <f>((((((T81+T80)+T83)+T86)-T82)-T84)-T85)</f>
        <v/>
      </c>
      <c r="U87" s="15">
        <f>((((((U81+U80)+U83)+U86)-U82)-U84)-U85)</f>
        <v/>
      </c>
      <c r="V87" s="15">
        <f>((((((V81+V80)+V83)+V86)-V82)-V84)-V85)</f>
        <v/>
      </c>
      <c r="W87" s="15">
        <f>((((((W81+W80)+W83)+W86)-W82)-W84)-W85)</f>
        <v/>
      </c>
      <c r="X87" s="15">
        <f>((((((X81+X80)+X83)+X86)-X82)-X84)-X85)</f>
        <v/>
      </c>
      <c r="Y87" s="15">
        <f>((((((Y81+Y80)+Y83)+Y86)-Y82)-Y84)-Y85)</f>
        <v/>
      </c>
      <c r="Z87" s="15">
        <f>((((((Z81+Z80)+Z83)+Z86)-Z82)-Z84)-Z85)</f>
        <v/>
      </c>
      <c r="AA87" s="15">
        <f>((((((AA81+AA80)+AA83)+AA86)-AA82)-AA84)-AA85)</f>
        <v/>
      </c>
      <c r="AB87" s="15">
        <f>((((((AB81+AB80)+AB83)+AB86)-AB82)-AB84)-AB85)</f>
        <v/>
      </c>
      <c r="AC87" s="15">
        <f>((((((AC81+AC80)+AC83)+AC86)-AC82)-AC84)-AC85)</f>
        <v/>
      </c>
      <c r="AD87" s="15">
        <f>((((((AD81+AD80)+AD83)+AD86)-AD82)-AD84)-AD85)</f>
        <v/>
      </c>
      <c r="AE87" s="15">
        <f>((((((AE81+AE80)+AE83)+AE86)-AE82)-AE84)-AE85)</f>
        <v/>
      </c>
      <c r="AF87" s="15">
        <f>((((((AF81+AF80)+AF83)+AF86)-AF82)-AF84)-AF85)</f>
        <v/>
      </c>
      <c r="AG87" s="15">
        <f>((((((AG81+AG80)+AG83)+AG86)-AG82)-AG84)-AG85)</f>
        <v/>
      </c>
      <c r="AH87" s="15">
        <f>((((((AH81+AH80)+AH83)+AH86)-AH82)-AH84)-AH85)</f>
        <v/>
      </c>
      <c r="AI87" s="15">
        <f>((((((AI81+AI80)+AI83)+AI86)-AI82)-AI84)-AI85)</f>
        <v/>
      </c>
      <c r="AJ87" s="15">
        <f>((((((AJ81+AJ80)+AJ83)+AJ86)-AJ82)-AJ84)-AJ85)</f>
        <v/>
      </c>
      <c r="AK87" s="15">
        <f>((((((AK81+AK80)+AK83)+AK86)-AK82)-AK84)-AK85)</f>
        <v/>
      </c>
      <c r="AL87" s="15">
        <f>((((((AL81+AL80)+AL83)+AL86)-AL82)-AL84)-AL85)</f>
        <v/>
      </c>
      <c r="AM87" s="15">
        <f>((((((AM81+AM80)+AM83)+AM86)-AM82)-AM84)-AM85)</f>
        <v/>
      </c>
      <c r="AN87" s="15">
        <f>((((((AN81+AN80)+AN83)+AN86)-AN82)-AN84)-AN85)</f>
        <v/>
      </c>
      <c r="AO87" s="15">
        <f>((((((AO81+AO80)+AO83)+AO86)-AO82)-AO84)-AO85)</f>
        <v/>
      </c>
      <c r="AP87" s="15">
        <f>((((((AP81+AP80)+AP83)+AP86)-AP82)-AP84)-AP85)</f>
        <v/>
      </c>
      <c r="AQ87" s="15">
        <f>((((((AQ81+AQ80)+AQ83)+AQ86)-AQ82)-AQ84)-AQ85)</f>
        <v/>
      </c>
      <c r="AR87" s="15">
        <f>((((((AR81+AR80)+AR83)+AR86)-AR82)-AR84)-AR85)</f>
        <v/>
      </c>
      <c r="AS87" s="15">
        <f>((((((AS81+AS80)+AS83)+AS86)-AS82)-AS84)-AS85)</f>
        <v/>
      </c>
      <c r="AT87" s="15">
        <f>((((((AT81+AT80)+AT83)+AT86)-AT82)-AT84)-AT85)</f>
        <v/>
      </c>
      <c r="AU87" s="15">
        <f>((((((AU81+AU80)+AU83)+AU86)-AU82)-AU84)-AU85)</f>
        <v/>
      </c>
      <c r="AV87" s="15">
        <f>((((((AV81+AV80)+AV83)+AV86)-AV82)-AV84)-AV85)</f>
        <v/>
      </c>
      <c r="AW87" s="15">
        <f>((((((AW81+AW80)+AW83)+AW86)-AW82)-AW84)-AW85)</f>
        <v/>
      </c>
      <c r="AX87" s="15">
        <f>((((((AX81+AX80)+AX83)+AX86)-AX82)-AX84)-AX85)</f>
        <v/>
      </c>
      <c r="AY87" s="15">
        <f>((((((AY81+AY80)+AY83)+AY86)-AY82)-AY84)-AY85)</f>
        <v/>
      </c>
      <c r="AZ87" s="15">
        <f>((((((AZ81+AZ80)+AZ83)+AZ86)-AZ82)-AZ84)-AZ85)</f>
        <v/>
      </c>
      <c r="BA87" s="15">
        <f>((((((BA81+BA80)+BA83)+BA86)-BA82)-BA84)-BA85)</f>
        <v/>
      </c>
      <c r="BB87" s="15">
        <f>((((((BB81+BB80)+BB83)+BB86)-BB82)-BB84)-BB85)</f>
        <v/>
      </c>
      <c r="BC87" s="15">
        <f>((((((BC81+BC80)+BC83)+BC86)-BC82)-BC84)-BC85)</f>
        <v/>
      </c>
      <c r="BD87" s="15">
        <f>((((((BD81+BD80)+BD83)+BD86)-BD82)-BD84)-BD85)</f>
        <v/>
      </c>
      <c r="BE87" s="15">
        <f>((((((BE81+BE80)+BE83)+BE86)-BE82)-BE84)-BE85)</f>
        <v/>
      </c>
      <c r="BF87" s="15">
        <f>((((((BF81+BF80)+BF83)+BF86)-BF82)-BF84)-BF85)</f>
        <v/>
      </c>
      <c r="BG87" s="15">
        <f>((((((BG81+BG80)+BG83)+BG86)-BG82)-BG84)-BG85)</f>
        <v/>
      </c>
      <c r="BH87" s="15">
        <f>((((((BH81+BH80)+BH83)+BH86)-BH82)-BH84)-BH85)</f>
        <v/>
      </c>
      <c r="BI87" s="15">
        <f>((((((BI81+BI80)+BI83)+BI86)-BI82)-BI84)-BI85)</f>
        <v/>
      </c>
      <c r="BJ87" s="15">
        <f>((((((BJ81+BJ80)+BJ83)+BJ86)-BJ82)-BJ84)-BJ85)</f>
        <v/>
      </c>
      <c r="BK87" s="15">
        <f>((((((BK81+BK80)+BK83)+BK86)-BK82)-BK84)-BK85)</f>
        <v/>
      </c>
      <c r="BL87" s="15">
        <f>((((((BL81+BL80)+BL83)+BL86)-BL82)-BL84)-BL85)</f>
        <v/>
      </c>
      <c r="BM87" s="15">
        <f>((((((BM81+BM80)+BM83)+BM86)-BM82)-BM84)-BM85)</f>
        <v/>
      </c>
      <c r="BN87" s="15">
        <f>((((((BN81+BN80)+BN83)+BN86)-BN82)-BN84)-BN85)</f>
        <v/>
      </c>
      <c r="BO87" s="15">
        <f>((((((BO81+BO80)+BO83)+BO86)-BO82)-BO84)-BO85)</f>
        <v/>
      </c>
      <c r="BP87" s="15">
        <f>((((((BP81+BP80)+BP83)+BP86)-BP82)-BP84)-BP85)</f>
        <v/>
      </c>
      <c r="BQ87" s="15">
        <f>((((((BQ81+BQ80)+BQ83)+BQ86)-BQ82)-BQ84)-BQ85)</f>
        <v/>
      </c>
      <c r="BR87" s="15">
        <f>((((((BR81+BR80)+BR83)+BR86)-BR82)-BR84)-BR85)</f>
        <v/>
      </c>
      <c r="BS87" s="15">
        <f>((((((BS81+BS80)+BS83)+BS86)-BS82)-BS84)-BS85)</f>
        <v/>
      </c>
      <c r="BT87" s="15">
        <f>((((((BT81+BT80)+BT83)+BT86)-BT82)-BT84)-BT85)</f>
        <v/>
      </c>
      <c r="BU87" s="15">
        <f>((((((BU81+BU80)+BU83)+BU86)-BU82)-BU84)-BU85)</f>
        <v/>
      </c>
      <c r="BV87" s="15">
        <f>((((((BV81+BV80)+BV83)+BV86)-BV82)-BV84)-BV85)</f>
        <v/>
      </c>
      <c r="BW87" s="15">
        <f>((((((BW81+BW80)+BW83)+BW86)-BW82)-BW84)-BW85)</f>
        <v/>
      </c>
      <c r="BX87" s="15">
        <f>((((((BX81+BX80)+BX83)+BX86)-BX82)-BX84)-BX85)</f>
        <v/>
      </c>
      <c r="BY87" s="15">
        <f>((((((BY81+BY80)+BY83)+BY86)-BY82)-BY84)-BY85)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-15380.408</v>
      </c>
      <c r="E88" s="13" t="n">
        <v>-4254.333000000001</v>
      </c>
      <c r="F88" s="13" t="n">
        <v>-2549.947</v>
      </c>
      <c r="G88" s="13" t="n">
        <v>-1133.961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  <c r="P88" s="15">
        <f>(P82-P81)</f>
        <v/>
      </c>
      <c r="Q88" s="15">
        <f>(Q82-Q81)</f>
        <v/>
      </c>
      <c r="R88" s="15">
        <f>(R82-R81)</f>
        <v/>
      </c>
      <c r="S88" s="15">
        <f>(S82-S81)</f>
        <v/>
      </c>
      <c r="T88" s="15">
        <f>(T82-T81)</f>
        <v/>
      </c>
      <c r="U88" s="15">
        <f>(U82-U81)</f>
        <v/>
      </c>
      <c r="V88" s="15">
        <f>(V82-V81)</f>
        <v/>
      </c>
      <c r="W88" s="15">
        <f>(W82-W81)</f>
        <v/>
      </c>
      <c r="X88" s="15">
        <f>(X82-X81)</f>
        <v/>
      </c>
      <c r="Y88" s="15">
        <f>(Y82-Y81)</f>
        <v/>
      </c>
      <c r="Z88" s="15">
        <f>(Z82-Z81)</f>
        <v/>
      </c>
      <c r="AA88" s="15">
        <f>(AA82-AA81)</f>
        <v/>
      </c>
      <c r="AB88" s="15">
        <f>(AB82-AB81)</f>
        <v/>
      </c>
      <c r="AC88" s="15">
        <f>(AC82-AC81)</f>
        <v/>
      </c>
      <c r="AD88" s="15">
        <f>(AD82-AD81)</f>
        <v/>
      </c>
      <c r="AE88" s="15">
        <f>(AE82-AE81)</f>
        <v/>
      </c>
      <c r="AF88" s="15">
        <f>(AF82-AF81)</f>
        <v/>
      </c>
      <c r="AG88" s="15">
        <f>(AG82-AG81)</f>
        <v/>
      </c>
      <c r="AH88" s="15">
        <f>(AH82-AH81)</f>
        <v/>
      </c>
      <c r="AI88" s="15">
        <f>(AI82-AI81)</f>
        <v/>
      </c>
      <c r="AJ88" s="15">
        <f>(AJ82-AJ81)</f>
        <v/>
      </c>
      <c r="AK88" s="15">
        <f>(AK82-AK81)</f>
        <v/>
      </c>
      <c r="AL88" s="15">
        <f>(AL82-AL81)</f>
        <v/>
      </c>
      <c r="AM88" s="15">
        <f>(AM82-AM81)</f>
        <v/>
      </c>
      <c r="AN88" s="15">
        <f>(AN82-AN81)</f>
        <v/>
      </c>
      <c r="AO88" s="15">
        <f>(AO82-AO81)</f>
        <v/>
      </c>
      <c r="AP88" s="15">
        <f>(AP82-AP81)</f>
        <v/>
      </c>
      <c r="AQ88" s="15">
        <f>(AQ82-AQ81)</f>
        <v/>
      </c>
      <c r="AR88" s="15">
        <f>(AR82-AR81)</f>
        <v/>
      </c>
      <c r="AS88" s="15">
        <f>(AS82-AS81)</f>
        <v/>
      </c>
      <c r="AT88" s="15">
        <f>(AT82-AT81)</f>
        <v/>
      </c>
      <c r="AU88" s="15">
        <f>(AU82-AU81)</f>
        <v/>
      </c>
      <c r="AV88" s="15">
        <f>(AV82-AV81)</f>
        <v/>
      </c>
      <c r="AW88" s="15">
        <f>(AW82-AW81)</f>
        <v/>
      </c>
      <c r="AX88" s="15">
        <f>(AX82-AX81)</f>
        <v/>
      </c>
      <c r="AY88" s="15">
        <f>(AY82-AY81)</f>
        <v/>
      </c>
      <c r="AZ88" s="15">
        <f>(AZ82-AZ81)</f>
        <v/>
      </c>
      <c r="BA88" s="15">
        <f>(BA82-BA81)</f>
        <v/>
      </c>
      <c r="BB88" s="15">
        <f>(BB82-BB81)</f>
        <v/>
      </c>
      <c r="BC88" s="15">
        <f>(BC82-BC81)</f>
        <v/>
      </c>
      <c r="BD88" s="15">
        <f>(BD82-BD81)</f>
        <v/>
      </c>
      <c r="BE88" s="15">
        <f>(BE82-BE81)</f>
        <v/>
      </c>
      <c r="BF88" s="15">
        <f>(BF82-BF81)</f>
        <v/>
      </c>
      <c r="BG88" s="15">
        <f>(BG82-BG81)</f>
        <v/>
      </c>
      <c r="BH88" s="15">
        <f>(BH82-BH81)</f>
        <v/>
      </c>
      <c r="BI88" s="15">
        <f>(BI82-BI81)</f>
        <v/>
      </c>
      <c r="BJ88" s="15">
        <f>(BJ82-BJ81)</f>
        <v/>
      </c>
      <c r="BK88" s="15">
        <f>(BK82-BK81)</f>
        <v/>
      </c>
      <c r="BL88" s="15">
        <f>(BL82-BL81)</f>
        <v/>
      </c>
      <c r="BM88" s="15">
        <f>(BM82-BM81)</f>
        <v/>
      </c>
      <c r="BN88" s="15">
        <f>(BN82-BN81)</f>
        <v/>
      </c>
      <c r="BO88" s="15">
        <f>(BO82-BO81)</f>
        <v/>
      </c>
      <c r="BP88" s="15">
        <f>(BP82-BP81)</f>
        <v/>
      </c>
      <c r="BQ88" s="15">
        <f>(BQ82-BQ81)</f>
        <v/>
      </c>
      <c r="BR88" s="15">
        <f>(BR82-BR81)</f>
        <v/>
      </c>
      <c r="BS88" s="15">
        <f>(BS82-BS81)</f>
        <v/>
      </c>
      <c r="BT88" s="15">
        <f>(BT82-BT81)</f>
        <v/>
      </c>
      <c r="BU88" s="15">
        <f>(BU82-BU81)</f>
        <v/>
      </c>
      <c r="BV88" s="15">
        <f>(BV82-BV81)</f>
        <v/>
      </c>
      <c r="BW88" s="15">
        <f>(BW82-BW81)</f>
        <v/>
      </c>
      <c r="BX88" s="15">
        <f>(BX82-BX81)</f>
        <v/>
      </c>
      <c r="BY88" s="15">
        <f>(BY82-BY81)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2498.872192356655</v>
      </c>
      <c r="E89" s="20" t="n">
        <v>1865.948234792965</v>
      </c>
      <c r="F89" s="20" t="n">
        <v>1954.541406101735</v>
      </c>
      <c r="G89" s="20" t="n">
        <v>1952.667745284987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  <c r="M89" s="21">
        <f>(IF(M70=0,0,M84/M70)*$C$8)</f>
        <v/>
      </c>
      <c r="N89" s="21">
        <f>(IF(N70=0,0,N84/N70)*$C$8)</f>
        <v/>
      </c>
      <c r="O89" s="21">
        <f>(IF(O70=0,0,O84/O70)*$C$8)</f>
        <v/>
      </c>
      <c r="P89" s="21">
        <f>(IF(P70=0,0,P84/P70)*$C$8)</f>
        <v/>
      </c>
      <c r="Q89" s="21">
        <f>(IF(Q70=0,0,Q84/Q70)*$C$8)</f>
        <v/>
      </c>
      <c r="R89" s="21">
        <f>(IF(R70=0,0,R84/R70)*$C$8)</f>
        <v/>
      </c>
      <c r="S89" s="21">
        <f>(IF(S70=0,0,S84/S70)*$C$8)</f>
        <v/>
      </c>
      <c r="T89" s="21">
        <f>(IF(T70=0,0,T84/T70)*$C$8)</f>
        <v/>
      </c>
      <c r="U89" s="21">
        <f>(IF(U70=0,0,U84/U70)*$C$8)</f>
        <v/>
      </c>
      <c r="V89" s="21">
        <f>(IF(V70=0,0,V84/V70)*$C$8)</f>
        <v/>
      </c>
      <c r="W89" s="21">
        <f>(IF(W70=0,0,W84/W70)*$C$8)</f>
        <v/>
      </c>
      <c r="X89" s="21">
        <f>(IF(X70=0,0,X84/X70)*$C$8)</f>
        <v/>
      </c>
      <c r="Y89" s="21">
        <f>(IF(Y70=0,0,Y84/Y70)*$C$8)</f>
        <v/>
      </c>
      <c r="Z89" s="21">
        <f>(IF(Z70=0,0,Z84/Z70)*$C$8)</f>
        <v/>
      </c>
      <c r="AA89" s="21">
        <f>(IF(AA70=0,0,AA84/AA70)*$C$8)</f>
        <v/>
      </c>
      <c r="AB89" s="21">
        <f>(IF(AB70=0,0,AB84/AB70)*$C$8)</f>
        <v/>
      </c>
      <c r="AC89" s="21">
        <f>(IF(AC70=0,0,AC84/AC70)*$C$8)</f>
        <v/>
      </c>
      <c r="AD89" s="21">
        <f>(IF(AD70=0,0,AD84/AD70)*$C$8)</f>
        <v/>
      </c>
      <c r="AE89" s="21">
        <f>(IF(AE70=0,0,AE84/AE70)*$C$8)</f>
        <v/>
      </c>
      <c r="AF89" s="21">
        <f>(IF(AF70=0,0,AF84/AF70)*$C$8)</f>
        <v/>
      </c>
      <c r="AG89" s="21">
        <f>(IF(AG70=0,0,AG84/AG70)*$C$8)</f>
        <v/>
      </c>
      <c r="AH89" s="21">
        <f>(IF(AH70=0,0,AH84/AH70)*$C$8)</f>
        <v/>
      </c>
      <c r="AI89" s="21">
        <f>(IF(AI70=0,0,AI84/AI70)*$C$8)</f>
        <v/>
      </c>
      <c r="AJ89" s="21">
        <f>(IF(AJ70=0,0,AJ84/AJ70)*$C$8)</f>
        <v/>
      </c>
      <c r="AK89" s="21">
        <f>(IF(AK70=0,0,AK84/AK70)*$C$8)</f>
        <v/>
      </c>
      <c r="AL89" s="21">
        <f>(IF(AL70=0,0,AL84/AL70)*$C$8)</f>
        <v/>
      </c>
      <c r="AM89" s="21">
        <f>(IF(AM70=0,0,AM84/AM70)*$C$8)</f>
        <v/>
      </c>
      <c r="AN89" s="21">
        <f>(IF(AN70=0,0,AN84/AN70)*$C$8)</f>
        <v/>
      </c>
      <c r="AO89" s="21">
        <f>(IF(AO70=0,0,AO84/AO70)*$C$8)</f>
        <v/>
      </c>
      <c r="AP89" s="21">
        <f>(IF(AP70=0,0,AP84/AP70)*$C$8)</f>
        <v/>
      </c>
      <c r="AQ89" s="21">
        <f>(IF(AQ70=0,0,AQ84/AQ70)*$C$8)</f>
        <v/>
      </c>
      <c r="AR89" s="21">
        <f>(IF(AR70=0,0,AR84/AR70)*$C$8)</f>
        <v/>
      </c>
      <c r="AS89" s="21">
        <f>(IF(AS70=0,0,AS84/AS70)*$C$8)</f>
        <v/>
      </c>
      <c r="AT89" s="21">
        <f>(IF(AT70=0,0,AT84/AT70)*$C$8)</f>
        <v/>
      </c>
      <c r="AU89" s="21">
        <f>(IF(AU70=0,0,AU84/AU70)*$C$8)</f>
        <v/>
      </c>
      <c r="AV89" s="21">
        <f>(IF(AV70=0,0,AV84/AV70)*$C$8)</f>
        <v/>
      </c>
      <c r="AW89" s="21">
        <f>(IF(AW70=0,0,AW84/AW70)*$C$8)</f>
        <v/>
      </c>
      <c r="AX89" s="21">
        <f>(IF(AX70=0,0,AX84/AX70)*$C$8)</f>
        <v/>
      </c>
      <c r="AY89" s="21">
        <f>(IF(AY70=0,0,AY84/AY70)*$C$8)</f>
        <v/>
      </c>
      <c r="AZ89" s="21">
        <f>(IF(AZ70=0,0,AZ84/AZ70)*$C$8)</f>
        <v/>
      </c>
      <c r="BA89" s="21">
        <f>(IF(BA70=0,0,BA84/BA70)*$C$8)</f>
        <v/>
      </c>
      <c r="BB89" s="21">
        <f>(IF(BB70=0,0,BB84/BB70)*$C$8)</f>
        <v/>
      </c>
      <c r="BC89" s="21">
        <f>(IF(BC70=0,0,BC84/BC70)*$C$8)</f>
        <v/>
      </c>
      <c r="BD89" s="21">
        <f>(IF(BD70=0,0,BD84/BD70)*$C$8)</f>
        <v/>
      </c>
      <c r="BE89" s="21">
        <f>(IF(BE70=0,0,BE84/BE70)*$C$8)</f>
        <v/>
      </c>
      <c r="BF89" s="21">
        <f>(IF(BF70=0,0,BF84/BF70)*$C$8)</f>
        <v/>
      </c>
      <c r="BG89" s="21">
        <f>(IF(BG70=0,0,BG84/BG70)*$C$8)</f>
        <v/>
      </c>
      <c r="BH89" s="21">
        <f>(IF(BH70=0,0,BH84/BH70)*$C$8)</f>
        <v/>
      </c>
      <c r="BI89" s="21">
        <f>(IF(BI70=0,0,BI84/BI70)*$C$8)</f>
        <v/>
      </c>
      <c r="BJ89" s="21">
        <f>(IF(BJ70=0,0,BJ84/BJ70)*$C$8)</f>
        <v/>
      </c>
      <c r="BK89" s="21">
        <f>(IF(BK70=0,0,BK84/BK70)*$C$8)</f>
        <v/>
      </c>
      <c r="BL89" s="21">
        <f>(IF(BL70=0,0,BL84/BL70)*$C$8)</f>
        <v/>
      </c>
      <c r="BM89" s="21">
        <f>(IF(BM70=0,0,BM84/BM70)*$C$8)</f>
        <v/>
      </c>
      <c r="BN89" s="21">
        <f>(IF(BN70=0,0,BN84/BN70)*$C$8)</f>
        <v/>
      </c>
      <c r="BO89" s="21">
        <f>(IF(BO70=0,0,BO84/BO70)*$C$8)</f>
        <v/>
      </c>
      <c r="BP89" s="21">
        <f>(IF(BP70=0,0,BP84/BP70)*$C$8)</f>
        <v/>
      </c>
      <c r="BQ89" s="21">
        <f>(IF(BQ70=0,0,BQ84/BQ70)*$C$8)</f>
        <v/>
      </c>
      <c r="BR89" s="21">
        <f>(IF(BR70=0,0,BR84/BR70)*$C$8)</f>
        <v/>
      </c>
      <c r="BS89" s="21">
        <f>(IF(BS70=0,0,BS84/BS70)*$C$8)</f>
        <v/>
      </c>
      <c r="BT89" s="21">
        <f>(IF(BT70=0,0,BT84/BT70)*$C$8)</f>
        <v/>
      </c>
      <c r="BU89" s="21">
        <f>(IF(BU70=0,0,BU84/BU70)*$C$8)</f>
        <v/>
      </c>
      <c r="BV89" s="21">
        <f>(IF(BV70=0,0,BV84/BV70)*$C$8)</f>
        <v/>
      </c>
      <c r="BW89" s="21">
        <f>(IF(BW70=0,0,BW84/BW70)*$C$8)</f>
        <v/>
      </c>
      <c r="BX89" s="21">
        <f>(IF(BX70=0,0,BX84/BX70)*$C$8)</f>
        <v/>
      </c>
      <c r="BY89" s="21">
        <f>(IF(BY70=0,0,BY84/BY70)*$C$8)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-0.09753483057704837</v>
      </c>
      <c r="F90" s="4" t="n">
        <v>0.1110996850076154</v>
      </c>
      <c r="G90" s="4" t="n">
        <v>-0.002648055296101237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  <c r="L90" s="17">
        <f>(IF(K55=0,0,L55/K55)-1)</f>
        <v/>
      </c>
      <c r="M90" s="17">
        <f>(IF(L55=0,0,M55/L55)-1)</f>
        <v/>
      </c>
      <c r="N90" s="17">
        <f>(IF(M55=0,0,N55/M55)-1)</f>
        <v/>
      </c>
      <c r="O90" s="17">
        <f>(IF(N55=0,0,O55/N55)-1)</f>
        <v/>
      </c>
      <c r="P90" s="17">
        <f>(IF(O55=0,0,P55/O55)-1)</f>
        <v/>
      </c>
      <c r="Q90" s="17">
        <f>(IF(P55=0,0,Q55/P55)-1)</f>
        <v/>
      </c>
      <c r="R90" s="17">
        <f>(IF(Q55=0,0,R55/Q55)-1)</f>
        <v/>
      </c>
      <c r="S90" s="17">
        <f>(IF(R55=0,0,S55/R55)-1)</f>
        <v/>
      </c>
      <c r="T90" s="17">
        <f>(IF(S55=0,0,T55/S55)-1)</f>
        <v/>
      </c>
      <c r="U90" s="17">
        <f>(IF(T55=0,0,U55/T55)-1)</f>
        <v/>
      </c>
      <c r="V90" s="17">
        <f>(IF(U55=0,0,V55/U55)-1)</f>
        <v/>
      </c>
      <c r="W90" s="17">
        <f>(IF(V55=0,0,W55/V55)-1)</f>
        <v/>
      </c>
      <c r="X90" s="17">
        <f>(IF(W55=0,0,X55/W55)-1)</f>
        <v/>
      </c>
      <c r="Y90" s="17">
        <f>(IF(X55=0,0,Y55/X55)-1)</f>
        <v/>
      </c>
      <c r="Z90" s="17">
        <f>(IF(Y55=0,0,Z55/Y55)-1)</f>
        <v/>
      </c>
      <c r="AA90" s="17">
        <f>(IF(Z55=0,0,AA55/Z55)-1)</f>
        <v/>
      </c>
      <c r="AB90" s="17">
        <f>(IF(AA55=0,0,AB55/AA55)-1)</f>
        <v/>
      </c>
      <c r="AC90" s="17">
        <f>(IF(AB55=0,0,AC55/AB55)-1)</f>
        <v/>
      </c>
      <c r="AD90" s="17">
        <f>(IF(AC55=0,0,AD55/AC55)-1)</f>
        <v/>
      </c>
      <c r="AE90" s="17">
        <f>(IF(AD55=0,0,AE55/AD55)-1)</f>
        <v/>
      </c>
      <c r="AF90" s="17">
        <f>(IF(AE55=0,0,AF55/AE55)-1)</f>
        <v/>
      </c>
      <c r="AG90" s="17">
        <f>(IF(AF55=0,0,AG55/AF55)-1)</f>
        <v/>
      </c>
      <c r="AH90" s="17">
        <f>(IF(AG55=0,0,AH55/AG55)-1)</f>
        <v/>
      </c>
      <c r="AI90" s="17">
        <f>(IF(AH55=0,0,AI55/AH55)-1)</f>
        <v/>
      </c>
      <c r="AJ90" s="17">
        <f>(IF(AI55=0,0,AJ55/AI55)-1)</f>
        <v/>
      </c>
      <c r="AK90" s="17">
        <f>(IF(AJ55=0,0,AK55/AJ55)-1)</f>
        <v/>
      </c>
      <c r="AL90" s="17">
        <f>(IF(AK55=0,0,AL55/AK55)-1)</f>
        <v/>
      </c>
      <c r="AM90" s="17">
        <f>(IF(AL55=0,0,AM55/AL55)-1)</f>
        <v/>
      </c>
      <c r="AN90" s="17">
        <f>(IF(AM55=0,0,AN55/AM55)-1)</f>
        <v/>
      </c>
      <c r="AO90" s="17">
        <f>(IF(AN55=0,0,AO55/AN55)-1)</f>
        <v/>
      </c>
      <c r="AP90" s="17">
        <f>(IF(AO55=0,0,AP55/AO55)-1)</f>
        <v/>
      </c>
      <c r="AQ90" s="17">
        <f>(IF(AP55=0,0,AQ55/AP55)-1)</f>
        <v/>
      </c>
      <c r="AR90" s="17">
        <f>(IF(AQ55=0,0,AR55/AQ55)-1)</f>
        <v/>
      </c>
      <c r="AS90" s="17">
        <f>(IF(AR55=0,0,AS55/AR55)-1)</f>
        <v/>
      </c>
      <c r="AT90" s="17">
        <f>(IF(AS55=0,0,AT55/AS55)-1)</f>
        <v/>
      </c>
      <c r="AU90" s="17">
        <f>(IF(AT55=0,0,AU55/AT55)-1)</f>
        <v/>
      </c>
      <c r="AV90" s="17">
        <f>(IF(AU55=0,0,AV55/AU55)-1)</f>
        <v/>
      </c>
      <c r="AW90" s="17">
        <f>(IF(AV55=0,0,AW55/AV55)-1)</f>
        <v/>
      </c>
      <c r="AX90" s="17">
        <f>(IF(AW55=0,0,AX55/AW55)-1)</f>
        <v/>
      </c>
      <c r="AY90" s="17">
        <f>(IF(AX55=0,0,AY55/AX55)-1)</f>
        <v/>
      </c>
      <c r="AZ90" s="17">
        <f>(IF(AY55=0,0,AZ55/AY55)-1)</f>
        <v/>
      </c>
      <c r="BA90" s="17">
        <f>(IF(AZ55=0,0,BA55/AZ55)-1)</f>
        <v/>
      </c>
      <c r="BB90" s="17">
        <f>(IF(BA55=0,0,BB55/BA55)-1)</f>
        <v/>
      </c>
      <c r="BC90" s="17">
        <f>(IF(BB55=0,0,BC55/BB55)-1)</f>
        <v/>
      </c>
      <c r="BD90" s="17">
        <f>(IF(BC55=0,0,BD55/BC55)-1)</f>
        <v/>
      </c>
      <c r="BE90" s="17">
        <f>(IF(BD55=0,0,BE55/BD55)-1)</f>
        <v/>
      </c>
      <c r="BF90" s="17">
        <f>(IF(BE55=0,0,BF55/BE55)-1)</f>
        <v/>
      </c>
      <c r="BG90" s="17">
        <f>(IF(BF55=0,0,BG55/BF55)-1)</f>
        <v/>
      </c>
      <c r="BH90" s="17">
        <f>(IF(BG55=0,0,BH55/BG55)-1)</f>
        <v/>
      </c>
      <c r="BI90" s="17">
        <f>(IF(BH55=0,0,BI55/BH55)-1)</f>
        <v/>
      </c>
      <c r="BJ90" s="17">
        <f>(IF(BI55=0,0,BJ55/BI55)-1)</f>
        <v/>
      </c>
      <c r="BK90" s="17">
        <f>(IF(BJ55=0,0,BK55/BJ55)-1)</f>
        <v/>
      </c>
      <c r="BL90" s="17">
        <f>(IF(BK55=0,0,BL55/BK55)-1)</f>
        <v/>
      </c>
      <c r="BM90" s="17">
        <f>(IF(BL55=0,0,BM55/BL55)-1)</f>
        <v/>
      </c>
      <c r="BN90" s="17">
        <f>(IF(BM55=0,0,BN55/BM55)-1)</f>
        <v/>
      </c>
      <c r="BO90" s="17">
        <f>(IF(BN55=0,0,BO55/BN55)-1)</f>
        <v/>
      </c>
      <c r="BP90" s="17">
        <f>(IF(BO55=0,0,BP55/BO55)-1)</f>
        <v/>
      </c>
      <c r="BQ90" s="17">
        <f>(IF(BP55=0,0,BQ55/BP55)-1)</f>
        <v/>
      </c>
      <c r="BR90" s="17">
        <f>(IF(BQ55=0,0,BR55/BQ55)-1)</f>
        <v/>
      </c>
      <c r="BS90" s="17">
        <f>(IF(BR55=0,0,BS55/BR55)-1)</f>
        <v/>
      </c>
      <c r="BT90" s="17">
        <f>(IF(BS55=0,0,BT55/BS55)-1)</f>
        <v/>
      </c>
      <c r="BU90" s="17">
        <f>(IF(BT55=0,0,BU55/BT55)-1)</f>
        <v/>
      </c>
      <c r="BV90" s="17">
        <f>(IF(BU55=0,0,BV55/BU55)-1)</f>
        <v/>
      </c>
      <c r="BW90" s="17">
        <f>(IF(BV55=0,0,BW55/BV55)-1)</f>
        <v/>
      </c>
      <c r="BX90" s="17">
        <f>(IF(BW55=0,0,BX55/BW55)-1)</f>
        <v/>
      </c>
      <c r="BY90" s="17">
        <f>(IF(BX55=0,0,BY55/BX55)-1)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0.4212633055395267</v>
      </c>
      <c r="E91" s="4" t="n">
        <v>0.2379208772240555</v>
      </c>
      <c r="F91" s="4" t="n">
        <v>0.1917974076351466</v>
      </c>
      <c r="G91" s="4" t="n">
        <v>0.1467021590967812</v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  <c r="L91" s="17">
        <f>IF(L55=0,0,L57/L55)</f>
        <v/>
      </c>
      <c r="M91" s="17">
        <f>IF(M55=0,0,M57/M55)</f>
        <v/>
      </c>
      <c r="N91" s="17">
        <f>IF(N55=0,0,N57/N55)</f>
        <v/>
      </c>
      <c r="O91" s="17">
        <f>IF(O55=0,0,O57/O55)</f>
        <v/>
      </c>
      <c r="P91" s="17">
        <f>IF(P55=0,0,P57/P55)</f>
        <v/>
      </c>
      <c r="Q91" s="17">
        <f>IF(Q55=0,0,Q57/Q55)</f>
        <v/>
      </c>
      <c r="R91" s="17">
        <f>IF(R55=0,0,R57/R55)</f>
        <v/>
      </c>
      <c r="S91" s="17">
        <f>IF(S55=0,0,S57/S55)</f>
        <v/>
      </c>
      <c r="T91" s="17">
        <f>IF(T55=0,0,T57/T55)</f>
        <v/>
      </c>
      <c r="U91" s="17">
        <f>IF(U55=0,0,U57/U55)</f>
        <v/>
      </c>
      <c r="V91" s="17">
        <f>IF(V55=0,0,V57/V55)</f>
        <v/>
      </c>
      <c r="W91" s="17">
        <f>IF(W55=0,0,W57/W55)</f>
        <v/>
      </c>
      <c r="X91" s="17">
        <f>IF(X55=0,0,X57/X55)</f>
        <v/>
      </c>
      <c r="Y91" s="17">
        <f>IF(Y55=0,0,Y57/Y55)</f>
        <v/>
      </c>
      <c r="Z91" s="17">
        <f>IF(Z55=0,0,Z57/Z55)</f>
        <v/>
      </c>
      <c r="AA91" s="17">
        <f>IF(AA55=0,0,AA57/AA55)</f>
        <v/>
      </c>
      <c r="AB91" s="17">
        <f>IF(AB55=0,0,AB57/AB55)</f>
        <v/>
      </c>
      <c r="AC91" s="17">
        <f>IF(AC55=0,0,AC57/AC55)</f>
        <v/>
      </c>
      <c r="AD91" s="17">
        <f>IF(AD55=0,0,AD57/AD55)</f>
        <v/>
      </c>
      <c r="AE91" s="17">
        <f>IF(AE55=0,0,AE57/AE55)</f>
        <v/>
      </c>
      <c r="AF91" s="17">
        <f>IF(AF55=0,0,AF57/AF55)</f>
        <v/>
      </c>
      <c r="AG91" s="17">
        <f>IF(AG55=0,0,AG57/AG55)</f>
        <v/>
      </c>
      <c r="AH91" s="17">
        <f>IF(AH55=0,0,AH57/AH55)</f>
        <v/>
      </c>
      <c r="AI91" s="17">
        <f>IF(AI55=0,0,AI57/AI55)</f>
        <v/>
      </c>
      <c r="AJ91" s="17">
        <f>IF(AJ55=0,0,AJ57/AJ55)</f>
        <v/>
      </c>
      <c r="AK91" s="17">
        <f>IF(AK55=0,0,AK57/AK55)</f>
        <v/>
      </c>
      <c r="AL91" s="17">
        <f>IF(AL55=0,0,AL57/AL55)</f>
        <v/>
      </c>
      <c r="AM91" s="17">
        <f>IF(AM55=0,0,AM57/AM55)</f>
        <v/>
      </c>
      <c r="AN91" s="17">
        <f>IF(AN55=0,0,AN57/AN55)</f>
        <v/>
      </c>
      <c r="AO91" s="17">
        <f>IF(AO55=0,0,AO57/AO55)</f>
        <v/>
      </c>
      <c r="AP91" s="17">
        <f>IF(AP55=0,0,AP57/AP55)</f>
        <v/>
      </c>
      <c r="AQ91" s="17">
        <f>IF(AQ55=0,0,AQ57/AQ55)</f>
        <v/>
      </c>
      <c r="AR91" s="17">
        <f>IF(AR55=0,0,AR57/AR55)</f>
        <v/>
      </c>
      <c r="AS91" s="17">
        <f>IF(AS55=0,0,AS57/AS55)</f>
        <v/>
      </c>
      <c r="AT91" s="17">
        <f>IF(AT55=0,0,AT57/AT55)</f>
        <v/>
      </c>
      <c r="AU91" s="17">
        <f>IF(AU55=0,0,AU57/AU55)</f>
        <v/>
      </c>
      <c r="AV91" s="17">
        <f>IF(AV55=0,0,AV57/AV55)</f>
        <v/>
      </c>
      <c r="AW91" s="17">
        <f>IF(AW55=0,0,AW57/AW55)</f>
        <v/>
      </c>
      <c r="AX91" s="17">
        <f>IF(AX55=0,0,AX57/AX55)</f>
        <v/>
      </c>
      <c r="AY91" s="17">
        <f>IF(AY55=0,0,AY57/AY55)</f>
        <v/>
      </c>
      <c r="AZ91" s="17">
        <f>IF(AZ55=0,0,AZ57/AZ55)</f>
        <v/>
      </c>
      <c r="BA91" s="17">
        <f>IF(BA55=0,0,BA57/BA55)</f>
        <v/>
      </c>
      <c r="BB91" s="17">
        <f>IF(BB55=0,0,BB57/BB55)</f>
        <v/>
      </c>
      <c r="BC91" s="17">
        <f>IF(BC55=0,0,BC57/BC55)</f>
        <v/>
      </c>
      <c r="BD91" s="17">
        <f>IF(BD55=0,0,BD57/BD55)</f>
        <v/>
      </c>
      <c r="BE91" s="17">
        <f>IF(BE55=0,0,BE57/BE55)</f>
        <v/>
      </c>
      <c r="BF91" s="17">
        <f>IF(BF55=0,0,BF57/BF55)</f>
        <v/>
      </c>
      <c r="BG91" s="17">
        <f>IF(BG55=0,0,BG57/BG55)</f>
        <v/>
      </c>
      <c r="BH91" s="17">
        <f>IF(BH55=0,0,BH57/BH55)</f>
        <v/>
      </c>
      <c r="BI91" s="17">
        <f>IF(BI55=0,0,BI57/BI55)</f>
        <v/>
      </c>
      <c r="BJ91" s="17">
        <f>IF(BJ55=0,0,BJ57/BJ55)</f>
        <v/>
      </c>
      <c r="BK91" s="17">
        <f>IF(BK55=0,0,BK57/BK55)</f>
        <v/>
      </c>
      <c r="BL91" s="17">
        <f>IF(BL55=0,0,BL57/BL55)</f>
        <v/>
      </c>
      <c r="BM91" s="17">
        <f>IF(BM55=0,0,BM57/BM55)</f>
        <v/>
      </c>
      <c r="BN91" s="17">
        <f>IF(BN55=0,0,BN57/BN55)</f>
        <v/>
      </c>
      <c r="BO91" s="17">
        <f>IF(BO55=0,0,BO57/BO55)</f>
        <v/>
      </c>
      <c r="BP91" s="17">
        <f>IF(BP55=0,0,BP57/BP55)</f>
        <v/>
      </c>
      <c r="BQ91" s="17">
        <f>IF(BQ55=0,0,BQ57/BQ55)</f>
        <v/>
      </c>
      <c r="BR91" s="17">
        <f>IF(BR55=0,0,BR57/BR55)</f>
        <v/>
      </c>
      <c r="BS91" s="17">
        <f>IF(BS55=0,0,BS57/BS55)</f>
        <v/>
      </c>
      <c r="BT91" s="17">
        <f>IF(BT55=0,0,BT57/BT55)</f>
        <v/>
      </c>
      <c r="BU91" s="17">
        <f>IF(BU55=0,0,BU57/BU55)</f>
        <v/>
      </c>
      <c r="BV91" s="17">
        <f>IF(BV55=0,0,BV57/BV55)</f>
        <v/>
      </c>
      <c r="BW91" s="17">
        <f>IF(BW55=0,0,BW57/BW55)</f>
        <v/>
      </c>
      <c r="BX91" s="17">
        <f>IF(BX55=0,0,BX57/BX55)</f>
        <v/>
      </c>
      <c r="BY91" s="17">
        <f>IF(BY55=0,0,BY57/BY55)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0.3477076498894806</v>
      </c>
      <c r="E92" s="4" t="n">
        <v>0.1829908373244658</v>
      </c>
      <c r="F92" s="4" t="n">
        <v>0.1741951496374322</v>
      </c>
      <c r="G92" s="4" t="n">
        <v>0.1224376065080042</v>
      </c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  <c r="L92" s="17">
        <f>IF(L55=0,0,L61/L55)</f>
        <v/>
      </c>
      <c r="M92" s="17">
        <f>IF(M55=0,0,M61/M55)</f>
        <v/>
      </c>
      <c r="N92" s="17">
        <f>IF(N55=0,0,N61/N55)</f>
        <v/>
      </c>
      <c r="O92" s="17">
        <f>IF(O55=0,0,O61/O55)</f>
        <v/>
      </c>
      <c r="P92" s="17">
        <f>IF(P55=0,0,P61/P55)</f>
        <v/>
      </c>
      <c r="Q92" s="17">
        <f>IF(Q55=0,0,Q61/Q55)</f>
        <v/>
      </c>
      <c r="R92" s="17">
        <f>IF(R55=0,0,R61/R55)</f>
        <v/>
      </c>
      <c r="S92" s="17">
        <f>IF(S55=0,0,S61/S55)</f>
        <v/>
      </c>
      <c r="T92" s="17">
        <f>IF(T55=0,0,T61/T55)</f>
        <v/>
      </c>
      <c r="U92" s="17">
        <f>IF(U55=0,0,U61/U55)</f>
        <v/>
      </c>
      <c r="V92" s="17">
        <f>IF(V55=0,0,V61/V55)</f>
        <v/>
      </c>
      <c r="W92" s="17">
        <f>IF(W55=0,0,W61/W55)</f>
        <v/>
      </c>
      <c r="X92" s="17">
        <f>IF(X55=0,0,X61/X55)</f>
        <v/>
      </c>
      <c r="Y92" s="17">
        <f>IF(Y55=0,0,Y61/Y55)</f>
        <v/>
      </c>
      <c r="Z92" s="17">
        <f>IF(Z55=0,0,Z61/Z55)</f>
        <v/>
      </c>
      <c r="AA92" s="17">
        <f>IF(AA55=0,0,AA61/AA55)</f>
        <v/>
      </c>
      <c r="AB92" s="17">
        <f>IF(AB55=0,0,AB61/AB55)</f>
        <v/>
      </c>
      <c r="AC92" s="17">
        <f>IF(AC55=0,0,AC61/AC55)</f>
        <v/>
      </c>
      <c r="AD92" s="17">
        <f>IF(AD55=0,0,AD61/AD55)</f>
        <v/>
      </c>
      <c r="AE92" s="17">
        <f>IF(AE55=0,0,AE61/AE55)</f>
        <v/>
      </c>
      <c r="AF92" s="17">
        <f>IF(AF55=0,0,AF61/AF55)</f>
        <v/>
      </c>
      <c r="AG92" s="17">
        <f>IF(AG55=0,0,AG61/AG55)</f>
        <v/>
      </c>
      <c r="AH92" s="17">
        <f>IF(AH55=0,0,AH61/AH55)</f>
        <v/>
      </c>
      <c r="AI92" s="17">
        <f>IF(AI55=0,0,AI61/AI55)</f>
        <v/>
      </c>
      <c r="AJ92" s="17">
        <f>IF(AJ55=0,0,AJ61/AJ55)</f>
        <v/>
      </c>
      <c r="AK92" s="17">
        <f>IF(AK55=0,0,AK61/AK55)</f>
        <v/>
      </c>
      <c r="AL92" s="17">
        <f>IF(AL55=0,0,AL61/AL55)</f>
        <v/>
      </c>
      <c r="AM92" s="17">
        <f>IF(AM55=0,0,AM61/AM55)</f>
        <v/>
      </c>
      <c r="AN92" s="17">
        <f>IF(AN55=0,0,AN61/AN55)</f>
        <v/>
      </c>
      <c r="AO92" s="17">
        <f>IF(AO55=0,0,AO61/AO55)</f>
        <v/>
      </c>
      <c r="AP92" s="17">
        <f>IF(AP55=0,0,AP61/AP55)</f>
        <v/>
      </c>
      <c r="AQ92" s="17">
        <f>IF(AQ55=0,0,AQ61/AQ55)</f>
        <v/>
      </c>
      <c r="AR92" s="17">
        <f>IF(AR55=0,0,AR61/AR55)</f>
        <v/>
      </c>
      <c r="AS92" s="17">
        <f>IF(AS55=0,0,AS61/AS55)</f>
        <v/>
      </c>
      <c r="AT92" s="17">
        <f>IF(AT55=0,0,AT61/AT55)</f>
        <v/>
      </c>
      <c r="AU92" s="17">
        <f>IF(AU55=0,0,AU61/AU55)</f>
        <v/>
      </c>
      <c r="AV92" s="17">
        <f>IF(AV55=0,0,AV61/AV55)</f>
        <v/>
      </c>
      <c r="AW92" s="17">
        <f>IF(AW55=0,0,AW61/AW55)</f>
        <v/>
      </c>
      <c r="AX92" s="17">
        <f>IF(AX55=0,0,AX61/AX55)</f>
        <v/>
      </c>
      <c r="AY92" s="17">
        <f>IF(AY55=0,0,AY61/AY55)</f>
        <v/>
      </c>
      <c r="AZ92" s="17">
        <f>IF(AZ55=0,0,AZ61/AZ55)</f>
        <v/>
      </c>
      <c r="BA92" s="17">
        <f>IF(BA55=0,0,BA61/BA55)</f>
        <v/>
      </c>
      <c r="BB92" s="17">
        <f>IF(BB55=0,0,BB61/BB55)</f>
        <v/>
      </c>
      <c r="BC92" s="17">
        <f>IF(BC55=0,0,BC61/BC55)</f>
        <v/>
      </c>
      <c r="BD92" s="17">
        <f>IF(BD55=0,0,BD61/BD55)</f>
        <v/>
      </c>
      <c r="BE92" s="17">
        <f>IF(BE55=0,0,BE61/BE55)</f>
        <v/>
      </c>
      <c r="BF92" s="17">
        <f>IF(BF55=0,0,BF61/BF55)</f>
        <v/>
      </c>
      <c r="BG92" s="17">
        <f>IF(BG55=0,0,BG61/BG55)</f>
        <v/>
      </c>
      <c r="BH92" s="17">
        <f>IF(BH55=0,0,BH61/BH55)</f>
        <v/>
      </c>
      <c r="BI92" s="17">
        <f>IF(BI55=0,0,BI61/BI55)</f>
        <v/>
      </c>
      <c r="BJ92" s="17">
        <f>IF(BJ55=0,0,BJ61/BJ55)</f>
        <v/>
      </c>
      <c r="BK92" s="17">
        <f>IF(BK55=0,0,BK61/BK55)</f>
        <v/>
      </c>
      <c r="BL92" s="17">
        <f>IF(BL55=0,0,BL61/BL55)</f>
        <v/>
      </c>
      <c r="BM92" s="17">
        <f>IF(BM55=0,0,BM61/BM55)</f>
        <v/>
      </c>
      <c r="BN92" s="17">
        <f>IF(BN55=0,0,BN61/BN55)</f>
        <v/>
      </c>
      <c r="BO92" s="17">
        <f>IF(BO55=0,0,BO61/BO55)</f>
        <v/>
      </c>
      <c r="BP92" s="17">
        <f>IF(BP55=0,0,BP61/BP55)</f>
        <v/>
      </c>
      <c r="BQ92" s="17">
        <f>IF(BQ55=0,0,BQ61/BQ55)</f>
        <v/>
      </c>
      <c r="BR92" s="17">
        <f>IF(BR55=0,0,BR61/BR55)</f>
        <v/>
      </c>
      <c r="BS92" s="17">
        <f>IF(BS55=0,0,BS61/BS55)</f>
        <v/>
      </c>
      <c r="BT92" s="17">
        <f>IF(BT55=0,0,BT61/BT55)</f>
        <v/>
      </c>
      <c r="BU92" s="17">
        <f>IF(BU55=0,0,BU61/BU55)</f>
        <v/>
      </c>
      <c r="BV92" s="17">
        <f>IF(BV55=0,0,BV61/BV55)</f>
        <v/>
      </c>
      <c r="BW92" s="17">
        <f>IF(BW55=0,0,BW61/BW55)</f>
        <v/>
      </c>
      <c r="BX92" s="17">
        <f>IF(BX55=0,0,BX61/BX55)</f>
        <v/>
      </c>
      <c r="BY92" s="17">
        <f>IF(BY55=0,0,BY61/BY55)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0.3414670684306328</v>
      </c>
      <c r="E93" s="4" t="n">
        <v>0.1748910665517902</v>
      </c>
      <c r="F93" s="4" t="n">
        <v>0.1321740261795589</v>
      </c>
      <c r="G93" s="4" t="n">
        <v>0.07521555283439421</v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  <c r="L93" s="17">
        <f>IF(L55=0,0,L59/L55)</f>
        <v/>
      </c>
      <c r="M93" s="17">
        <f>IF(M55=0,0,M59/M55)</f>
        <v/>
      </c>
      <c r="N93" s="17">
        <f>IF(N55=0,0,N59/N55)</f>
        <v/>
      </c>
      <c r="O93" s="17">
        <f>IF(O55=0,0,O59/O55)</f>
        <v/>
      </c>
      <c r="P93" s="17">
        <f>IF(P55=0,0,P59/P55)</f>
        <v/>
      </c>
      <c r="Q93" s="17">
        <f>IF(Q55=0,0,Q59/Q55)</f>
        <v/>
      </c>
      <c r="R93" s="17">
        <f>IF(R55=0,0,R59/R55)</f>
        <v/>
      </c>
      <c r="S93" s="17">
        <f>IF(S55=0,0,S59/S55)</f>
        <v/>
      </c>
      <c r="T93" s="17">
        <f>IF(T55=0,0,T59/T55)</f>
        <v/>
      </c>
      <c r="U93" s="17">
        <f>IF(U55=0,0,U59/U55)</f>
        <v/>
      </c>
      <c r="V93" s="17">
        <f>IF(V55=0,0,V59/V55)</f>
        <v/>
      </c>
      <c r="W93" s="17">
        <f>IF(W55=0,0,W59/W55)</f>
        <v/>
      </c>
      <c r="X93" s="17">
        <f>IF(X55=0,0,X59/X55)</f>
        <v/>
      </c>
      <c r="Y93" s="17">
        <f>IF(Y55=0,0,Y59/Y55)</f>
        <v/>
      </c>
      <c r="Z93" s="17">
        <f>IF(Z55=0,0,Z59/Z55)</f>
        <v/>
      </c>
      <c r="AA93" s="17">
        <f>IF(AA55=0,0,AA59/AA55)</f>
        <v/>
      </c>
      <c r="AB93" s="17">
        <f>IF(AB55=0,0,AB59/AB55)</f>
        <v/>
      </c>
      <c r="AC93" s="17">
        <f>IF(AC55=0,0,AC59/AC55)</f>
        <v/>
      </c>
      <c r="AD93" s="17">
        <f>IF(AD55=0,0,AD59/AD55)</f>
        <v/>
      </c>
      <c r="AE93" s="17">
        <f>IF(AE55=0,0,AE59/AE55)</f>
        <v/>
      </c>
      <c r="AF93" s="17">
        <f>IF(AF55=0,0,AF59/AF55)</f>
        <v/>
      </c>
      <c r="AG93" s="17">
        <f>IF(AG55=0,0,AG59/AG55)</f>
        <v/>
      </c>
      <c r="AH93" s="17">
        <f>IF(AH55=0,0,AH59/AH55)</f>
        <v/>
      </c>
      <c r="AI93" s="17">
        <f>IF(AI55=0,0,AI59/AI55)</f>
        <v/>
      </c>
      <c r="AJ93" s="17">
        <f>IF(AJ55=0,0,AJ59/AJ55)</f>
        <v/>
      </c>
      <c r="AK93" s="17">
        <f>IF(AK55=0,0,AK59/AK55)</f>
        <v/>
      </c>
      <c r="AL93" s="17">
        <f>IF(AL55=0,0,AL59/AL55)</f>
        <v/>
      </c>
      <c r="AM93" s="17">
        <f>IF(AM55=0,0,AM59/AM55)</f>
        <v/>
      </c>
      <c r="AN93" s="17">
        <f>IF(AN55=0,0,AN59/AN55)</f>
        <v/>
      </c>
      <c r="AO93" s="17">
        <f>IF(AO55=0,0,AO59/AO55)</f>
        <v/>
      </c>
      <c r="AP93" s="17">
        <f>IF(AP55=0,0,AP59/AP55)</f>
        <v/>
      </c>
      <c r="AQ93" s="17">
        <f>IF(AQ55=0,0,AQ59/AQ55)</f>
        <v/>
      </c>
      <c r="AR93" s="17">
        <f>IF(AR55=0,0,AR59/AR55)</f>
        <v/>
      </c>
      <c r="AS93" s="17">
        <f>IF(AS55=0,0,AS59/AS55)</f>
        <v/>
      </c>
      <c r="AT93" s="17">
        <f>IF(AT55=0,0,AT59/AT55)</f>
        <v/>
      </c>
      <c r="AU93" s="17">
        <f>IF(AU55=0,0,AU59/AU55)</f>
        <v/>
      </c>
      <c r="AV93" s="17">
        <f>IF(AV55=0,0,AV59/AV55)</f>
        <v/>
      </c>
      <c r="AW93" s="17">
        <f>IF(AW55=0,0,AW59/AW55)</f>
        <v/>
      </c>
      <c r="AX93" s="17">
        <f>IF(AX55=0,0,AX59/AX55)</f>
        <v/>
      </c>
      <c r="AY93" s="17">
        <f>IF(AY55=0,0,AY59/AY55)</f>
        <v/>
      </c>
      <c r="AZ93" s="17">
        <f>IF(AZ55=0,0,AZ59/AZ55)</f>
        <v/>
      </c>
      <c r="BA93" s="17">
        <f>IF(BA55=0,0,BA59/BA55)</f>
        <v/>
      </c>
      <c r="BB93" s="17">
        <f>IF(BB55=0,0,BB59/BB55)</f>
        <v/>
      </c>
      <c r="BC93" s="17">
        <f>IF(BC55=0,0,BC59/BC55)</f>
        <v/>
      </c>
      <c r="BD93" s="17">
        <f>IF(BD55=0,0,BD59/BD55)</f>
        <v/>
      </c>
      <c r="BE93" s="17">
        <f>IF(BE55=0,0,BE59/BE55)</f>
        <v/>
      </c>
      <c r="BF93" s="17">
        <f>IF(BF55=0,0,BF59/BF55)</f>
        <v/>
      </c>
      <c r="BG93" s="17">
        <f>IF(BG55=0,0,BG59/BG55)</f>
        <v/>
      </c>
      <c r="BH93" s="17">
        <f>IF(BH55=0,0,BH59/BH55)</f>
        <v/>
      </c>
      <c r="BI93" s="17">
        <f>IF(BI55=0,0,BI59/BI55)</f>
        <v/>
      </c>
      <c r="BJ93" s="17">
        <f>IF(BJ55=0,0,BJ59/BJ55)</f>
        <v/>
      </c>
      <c r="BK93" s="17">
        <f>IF(BK55=0,0,BK59/BK55)</f>
        <v/>
      </c>
      <c r="BL93" s="17">
        <f>IF(BL55=0,0,BL59/BL55)</f>
        <v/>
      </c>
      <c r="BM93" s="17">
        <f>IF(BM55=0,0,BM59/BM55)</f>
        <v/>
      </c>
      <c r="BN93" s="17">
        <f>IF(BN55=0,0,BN59/BN55)</f>
        <v/>
      </c>
      <c r="BO93" s="17">
        <f>IF(BO55=0,0,BO59/BO55)</f>
        <v/>
      </c>
      <c r="BP93" s="17">
        <f>IF(BP55=0,0,BP59/BP55)</f>
        <v/>
      </c>
      <c r="BQ93" s="17">
        <f>IF(BQ55=0,0,BQ59/BQ55)</f>
        <v/>
      </c>
      <c r="BR93" s="17">
        <f>IF(BR55=0,0,BR59/BR55)</f>
        <v/>
      </c>
      <c r="BS93" s="17">
        <f>IF(BS55=0,0,BS59/BS55)</f>
        <v/>
      </c>
      <c r="BT93" s="17">
        <f>IF(BT55=0,0,BT59/BT55)</f>
        <v/>
      </c>
      <c r="BU93" s="17">
        <f>IF(BU55=0,0,BU59/BU55)</f>
        <v/>
      </c>
      <c r="BV93" s="17">
        <f>IF(BV55=0,0,BV59/BV55)</f>
        <v/>
      </c>
      <c r="BW93" s="17">
        <f>IF(BW55=0,0,BW59/BW55)</f>
        <v/>
      </c>
      <c r="BX93" s="17">
        <f>IF(BX55=0,0,BX59/BX55)</f>
        <v/>
      </c>
      <c r="BY93" s="17">
        <f>IF(BY55=0,0,BY59/BY55)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0.2946775497150082</v>
      </c>
      <c r="E94" s="4" t="n">
        <v>0.1586395359468493</v>
      </c>
      <c r="F94" s="4" t="n">
        <v>0.1193434775866078</v>
      </c>
      <c r="G94" s="4" t="n">
        <v>0.06869492543841837</v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  <c r="L94" s="17">
        <f>IF(L55=0,0,L69/L55)</f>
        <v/>
      </c>
      <c r="M94" s="17">
        <f>IF(M55=0,0,M69/M55)</f>
        <v/>
      </c>
      <c r="N94" s="17">
        <f>IF(N55=0,0,N69/N55)</f>
        <v/>
      </c>
      <c r="O94" s="17">
        <f>IF(O55=0,0,O69/O55)</f>
        <v/>
      </c>
      <c r="P94" s="17">
        <f>IF(P55=0,0,P69/P55)</f>
        <v/>
      </c>
      <c r="Q94" s="17">
        <f>IF(Q55=0,0,Q69/Q55)</f>
        <v/>
      </c>
      <c r="R94" s="17">
        <f>IF(R55=0,0,R69/R55)</f>
        <v/>
      </c>
      <c r="S94" s="17">
        <f>IF(S55=0,0,S69/S55)</f>
        <v/>
      </c>
      <c r="T94" s="17">
        <f>IF(T55=0,0,T69/T55)</f>
        <v/>
      </c>
      <c r="U94" s="17">
        <f>IF(U55=0,0,U69/U55)</f>
        <v/>
      </c>
      <c r="V94" s="17">
        <f>IF(V55=0,0,V69/V55)</f>
        <v/>
      </c>
      <c r="W94" s="17">
        <f>IF(W55=0,0,W69/W55)</f>
        <v/>
      </c>
      <c r="X94" s="17">
        <f>IF(X55=0,0,X69/X55)</f>
        <v/>
      </c>
      <c r="Y94" s="17">
        <f>IF(Y55=0,0,Y69/Y55)</f>
        <v/>
      </c>
      <c r="Z94" s="17">
        <f>IF(Z55=0,0,Z69/Z55)</f>
        <v/>
      </c>
      <c r="AA94" s="17">
        <f>IF(AA55=0,0,AA69/AA55)</f>
        <v/>
      </c>
      <c r="AB94" s="17">
        <f>IF(AB55=0,0,AB69/AB55)</f>
        <v/>
      </c>
      <c r="AC94" s="17">
        <f>IF(AC55=0,0,AC69/AC55)</f>
        <v/>
      </c>
      <c r="AD94" s="17">
        <f>IF(AD55=0,0,AD69/AD55)</f>
        <v/>
      </c>
      <c r="AE94" s="17">
        <f>IF(AE55=0,0,AE69/AE55)</f>
        <v/>
      </c>
      <c r="AF94" s="17">
        <f>IF(AF55=0,0,AF69/AF55)</f>
        <v/>
      </c>
      <c r="AG94" s="17">
        <f>IF(AG55=0,0,AG69/AG55)</f>
        <v/>
      </c>
      <c r="AH94" s="17">
        <f>IF(AH55=0,0,AH69/AH55)</f>
        <v/>
      </c>
      <c r="AI94" s="17">
        <f>IF(AI55=0,0,AI69/AI55)</f>
        <v/>
      </c>
      <c r="AJ94" s="17">
        <f>IF(AJ55=0,0,AJ69/AJ55)</f>
        <v/>
      </c>
      <c r="AK94" s="17">
        <f>IF(AK55=0,0,AK69/AK55)</f>
        <v/>
      </c>
      <c r="AL94" s="17">
        <f>IF(AL55=0,0,AL69/AL55)</f>
        <v/>
      </c>
      <c r="AM94" s="17">
        <f>IF(AM55=0,0,AM69/AM55)</f>
        <v/>
      </c>
      <c r="AN94" s="17">
        <f>IF(AN55=0,0,AN69/AN55)</f>
        <v/>
      </c>
      <c r="AO94" s="17">
        <f>IF(AO55=0,0,AO69/AO55)</f>
        <v/>
      </c>
      <c r="AP94" s="17">
        <f>IF(AP55=0,0,AP69/AP55)</f>
        <v/>
      </c>
      <c r="AQ94" s="17">
        <f>IF(AQ55=0,0,AQ69/AQ55)</f>
        <v/>
      </c>
      <c r="AR94" s="17">
        <f>IF(AR55=0,0,AR69/AR55)</f>
        <v/>
      </c>
      <c r="AS94" s="17">
        <f>IF(AS55=0,0,AS69/AS55)</f>
        <v/>
      </c>
      <c r="AT94" s="17">
        <f>IF(AT55=0,0,AT69/AT55)</f>
        <v/>
      </c>
      <c r="AU94" s="17">
        <f>IF(AU55=0,0,AU69/AU55)</f>
        <v/>
      </c>
      <c r="AV94" s="17">
        <f>IF(AV55=0,0,AV69/AV55)</f>
        <v/>
      </c>
      <c r="AW94" s="17">
        <f>IF(AW55=0,0,AW69/AW55)</f>
        <v/>
      </c>
      <c r="AX94" s="17">
        <f>IF(AX55=0,0,AX69/AX55)</f>
        <v/>
      </c>
      <c r="AY94" s="17">
        <f>IF(AY55=0,0,AY69/AY55)</f>
        <v/>
      </c>
      <c r="AZ94" s="17">
        <f>IF(AZ55=0,0,AZ69/AZ55)</f>
        <v/>
      </c>
      <c r="BA94" s="17">
        <f>IF(BA55=0,0,BA69/BA55)</f>
        <v/>
      </c>
      <c r="BB94" s="17">
        <f>IF(BB55=0,0,BB69/BB55)</f>
        <v/>
      </c>
      <c r="BC94" s="17">
        <f>IF(BC55=0,0,BC69/BC55)</f>
        <v/>
      </c>
      <c r="BD94" s="17">
        <f>IF(BD55=0,0,BD69/BD55)</f>
        <v/>
      </c>
      <c r="BE94" s="17">
        <f>IF(BE55=0,0,BE69/BE55)</f>
        <v/>
      </c>
      <c r="BF94" s="17">
        <f>IF(BF55=0,0,BF69/BF55)</f>
        <v/>
      </c>
      <c r="BG94" s="17">
        <f>IF(BG55=0,0,BG69/BG55)</f>
        <v/>
      </c>
      <c r="BH94" s="17">
        <f>IF(BH55=0,0,BH69/BH55)</f>
        <v/>
      </c>
      <c r="BI94" s="17">
        <f>IF(BI55=0,0,BI69/BI55)</f>
        <v/>
      </c>
      <c r="BJ94" s="17">
        <f>IF(BJ55=0,0,BJ69/BJ55)</f>
        <v/>
      </c>
      <c r="BK94" s="17">
        <f>IF(BK55=0,0,BK69/BK55)</f>
        <v/>
      </c>
      <c r="BL94" s="17">
        <f>IF(BL55=0,0,BL69/BL55)</f>
        <v/>
      </c>
      <c r="BM94" s="17">
        <f>IF(BM55=0,0,BM69/BM55)</f>
        <v/>
      </c>
      <c r="BN94" s="17">
        <f>IF(BN55=0,0,BN69/BN55)</f>
        <v/>
      </c>
      <c r="BO94" s="17">
        <f>IF(BO55=0,0,BO69/BO55)</f>
        <v/>
      </c>
      <c r="BP94" s="17">
        <f>IF(BP55=0,0,BP69/BP55)</f>
        <v/>
      </c>
      <c r="BQ94" s="17">
        <f>IF(BQ55=0,0,BQ69/BQ55)</f>
        <v/>
      </c>
      <c r="BR94" s="17">
        <f>IF(BR55=0,0,BR69/BR55)</f>
        <v/>
      </c>
      <c r="BS94" s="17">
        <f>IF(BS55=0,0,BS69/BS55)</f>
        <v/>
      </c>
      <c r="BT94" s="17">
        <f>IF(BT55=0,0,BT69/BT55)</f>
        <v/>
      </c>
      <c r="BU94" s="17">
        <f>IF(BU55=0,0,BU69/BU55)</f>
        <v/>
      </c>
      <c r="BV94" s="17">
        <f>IF(BV55=0,0,BV69/BV55)</f>
        <v/>
      </c>
      <c r="BW94" s="17">
        <f>IF(BW55=0,0,BW69/BW55)</f>
        <v/>
      </c>
      <c r="BX94" s="17">
        <f>IF(BX55=0,0,BX69/BX55)</f>
        <v/>
      </c>
      <c r="BY94" s="17">
        <f>IF(BY55=0,0,BY69/BY55)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-0.5141582525580499</v>
      </c>
      <c r="F95" s="4" t="n">
        <v>-0.1660978022138511</v>
      </c>
      <c r="G95" s="4" t="n">
        <v>-0.425917370075161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  <c r="L95" s="17">
        <f>(IF(K71=0,0,L71/K71)-1)</f>
        <v/>
      </c>
      <c r="M95" s="17">
        <f>(IF(L71=0,0,M71/L71)-1)</f>
        <v/>
      </c>
      <c r="N95" s="17">
        <f>(IF(M71=0,0,N71/M71)-1)</f>
        <v/>
      </c>
      <c r="O95" s="17">
        <f>(IF(N71=0,0,O71/N71)-1)</f>
        <v/>
      </c>
      <c r="P95" s="17">
        <f>(IF(O71=0,0,P71/O71)-1)</f>
        <v/>
      </c>
      <c r="Q95" s="17">
        <f>(IF(P71=0,0,Q71/P71)-1)</f>
        <v/>
      </c>
      <c r="R95" s="17">
        <f>(IF(Q71=0,0,R71/Q71)-1)</f>
        <v/>
      </c>
      <c r="S95" s="17">
        <f>(IF(R71=0,0,S71/R71)-1)</f>
        <v/>
      </c>
      <c r="T95" s="17">
        <f>(IF(S71=0,0,T71/S71)-1)</f>
        <v/>
      </c>
      <c r="U95" s="17">
        <f>(IF(T71=0,0,U71/T71)-1)</f>
        <v/>
      </c>
      <c r="V95" s="17">
        <f>(IF(U71=0,0,V71/U71)-1)</f>
        <v/>
      </c>
      <c r="W95" s="17">
        <f>(IF(V71=0,0,W71/V71)-1)</f>
        <v/>
      </c>
      <c r="X95" s="17">
        <f>(IF(W71=0,0,X71/W71)-1)</f>
        <v/>
      </c>
      <c r="Y95" s="17">
        <f>(IF(X71=0,0,Y71/X71)-1)</f>
        <v/>
      </c>
      <c r="Z95" s="17">
        <f>(IF(Y71=0,0,Z71/Y71)-1)</f>
        <v/>
      </c>
      <c r="AA95" s="17">
        <f>(IF(Z71=0,0,AA71/Z71)-1)</f>
        <v/>
      </c>
      <c r="AB95" s="17">
        <f>(IF(AA71=0,0,AB71/AA71)-1)</f>
        <v/>
      </c>
      <c r="AC95" s="17">
        <f>(IF(AB71=0,0,AC71/AB71)-1)</f>
        <v/>
      </c>
      <c r="AD95" s="17">
        <f>(IF(AC71=0,0,AD71/AC71)-1)</f>
        <v/>
      </c>
      <c r="AE95" s="17">
        <f>(IF(AD71=0,0,AE71/AD71)-1)</f>
        <v/>
      </c>
      <c r="AF95" s="17">
        <f>(IF(AE71=0,0,AF71/AE71)-1)</f>
        <v/>
      </c>
      <c r="AG95" s="17">
        <f>(IF(AF71=0,0,AG71/AF71)-1)</f>
        <v/>
      </c>
      <c r="AH95" s="17">
        <f>(IF(AG71=0,0,AH71/AG71)-1)</f>
        <v/>
      </c>
      <c r="AI95" s="17">
        <f>(IF(AH71=0,0,AI71/AH71)-1)</f>
        <v/>
      </c>
      <c r="AJ95" s="17">
        <f>(IF(AI71=0,0,AJ71/AI71)-1)</f>
        <v/>
      </c>
      <c r="AK95" s="17">
        <f>(IF(AJ71=0,0,AK71/AJ71)-1)</f>
        <v/>
      </c>
      <c r="AL95" s="17">
        <f>(IF(AK71=0,0,AL71/AK71)-1)</f>
        <v/>
      </c>
      <c r="AM95" s="17">
        <f>(IF(AL71=0,0,AM71/AL71)-1)</f>
        <v/>
      </c>
      <c r="AN95" s="17">
        <f>(IF(AM71=0,0,AN71/AM71)-1)</f>
        <v/>
      </c>
      <c r="AO95" s="17">
        <f>(IF(AN71=0,0,AO71/AN71)-1)</f>
        <v/>
      </c>
      <c r="AP95" s="17">
        <f>(IF(AO71=0,0,AP71/AO71)-1)</f>
        <v/>
      </c>
      <c r="AQ95" s="17">
        <f>(IF(AP71=0,0,AQ71/AP71)-1)</f>
        <v/>
      </c>
      <c r="AR95" s="17">
        <f>(IF(AQ71=0,0,AR71/AQ71)-1)</f>
        <v/>
      </c>
      <c r="AS95" s="17">
        <f>(IF(AR71=0,0,AS71/AR71)-1)</f>
        <v/>
      </c>
      <c r="AT95" s="17">
        <f>(IF(AS71=0,0,AT71/AS71)-1)</f>
        <v/>
      </c>
      <c r="AU95" s="17">
        <f>(IF(AT71=0,0,AU71/AT71)-1)</f>
        <v/>
      </c>
      <c r="AV95" s="17">
        <f>(IF(AU71=0,0,AV71/AU71)-1)</f>
        <v/>
      </c>
      <c r="AW95" s="17">
        <f>(IF(AV71=0,0,AW71/AV71)-1)</f>
        <v/>
      </c>
      <c r="AX95" s="17">
        <f>(IF(AW71=0,0,AX71/AW71)-1)</f>
        <v/>
      </c>
      <c r="AY95" s="17">
        <f>(IF(AX71=0,0,AY71/AX71)-1)</f>
        <v/>
      </c>
      <c r="AZ95" s="17">
        <f>(IF(AY71=0,0,AZ71/AY71)-1)</f>
        <v/>
      </c>
      <c r="BA95" s="17">
        <f>(IF(AZ71=0,0,BA71/AZ71)-1)</f>
        <v/>
      </c>
      <c r="BB95" s="17">
        <f>(IF(BA71=0,0,BB71/BA71)-1)</f>
        <v/>
      </c>
      <c r="BC95" s="17">
        <f>(IF(BB71=0,0,BC71/BB71)-1)</f>
        <v/>
      </c>
      <c r="BD95" s="17">
        <f>(IF(BC71=0,0,BD71/BC71)-1)</f>
        <v/>
      </c>
      <c r="BE95" s="17">
        <f>(IF(BD71=0,0,BE71/BD71)-1)</f>
        <v/>
      </c>
      <c r="BF95" s="17">
        <f>(IF(BE71=0,0,BF71/BE71)-1)</f>
        <v/>
      </c>
      <c r="BG95" s="17">
        <f>(IF(BF71=0,0,BG71/BF71)-1)</f>
        <v/>
      </c>
      <c r="BH95" s="17">
        <f>(IF(BG71=0,0,BH71/BG71)-1)</f>
        <v/>
      </c>
      <c r="BI95" s="17">
        <f>(IF(BH71=0,0,BI71/BH71)-1)</f>
        <v/>
      </c>
      <c r="BJ95" s="17">
        <f>(IF(BI71=0,0,BJ71/BI71)-1)</f>
        <v/>
      </c>
      <c r="BK95" s="17">
        <f>(IF(BJ71=0,0,BK71/BJ71)-1)</f>
        <v/>
      </c>
      <c r="BL95" s="17">
        <f>(IF(BK71=0,0,BL71/BK71)-1)</f>
        <v/>
      </c>
      <c r="BM95" s="17">
        <f>(IF(BL71=0,0,BM71/BL71)-1)</f>
        <v/>
      </c>
      <c r="BN95" s="17">
        <f>(IF(BM71=0,0,BN71/BM71)-1)</f>
        <v/>
      </c>
      <c r="BO95" s="17">
        <f>(IF(BN71=0,0,BO71/BN71)-1)</f>
        <v/>
      </c>
      <c r="BP95" s="17">
        <f>(IF(BO71=0,0,BP71/BO71)-1)</f>
        <v/>
      </c>
      <c r="BQ95" s="17">
        <f>(IF(BP71=0,0,BQ71/BP71)-1)</f>
        <v/>
      </c>
      <c r="BR95" s="17">
        <f>(IF(BQ71=0,0,BR71/BQ71)-1)</f>
        <v/>
      </c>
      <c r="BS95" s="17">
        <f>(IF(BR71=0,0,BS71/BR71)-1)</f>
        <v/>
      </c>
      <c r="BT95" s="17">
        <f>(IF(BS71=0,0,BT71/BS71)-1)</f>
        <v/>
      </c>
      <c r="BU95" s="17">
        <f>(IF(BT71=0,0,BU71/BT71)-1)</f>
        <v/>
      </c>
      <c r="BV95" s="17">
        <f>(IF(BU71=0,0,BV71/BU71)-1)</f>
        <v/>
      </c>
      <c r="BW95" s="17">
        <f>(IF(BV71=0,0,BW71/BV71)-1)</f>
        <v/>
      </c>
      <c r="BX95" s="17">
        <f>(IF(BW71=0,0,BX71/BW71)-1)</f>
        <v/>
      </c>
      <c r="BY95" s="17">
        <f>(IF(BX71=0,0,BY71/BX71)-1)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0.2435542074263607</v>
      </c>
      <c r="F96" s="4" t="n">
        <v>0.2323049708936034</v>
      </c>
      <c r="G96" s="4" t="n">
        <v>0.1302521447352844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  <c r="L96" s="17">
        <f>IF(IF(2=0,0,(L84+K84)/2)=0,0,L69/IF(2=0,0,(L84+K84)/2))</f>
        <v/>
      </c>
      <c r="M96" s="17">
        <f>IF(IF(2=0,0,(M84+L84)/2)=0,0,M69/IF(2=0,0,(M84+L84)/2))</f>
        <v/>
      </c>
      <c r="N96" s="17">
        <f>IF(IF(2=0,0,(N84+M84)/2)=0,0,N69/IF(2=0,0,(N84+M84)/2))</f>
        <v/>
      </c>
      <c r="O96" s="17">
        <f>IF(IF(2=0,0,(O84+N84)/2)=0,0,O69/IF(2=0,0,(O84+N84)/2))</f>
        <v/>
      </c>
      <c r="P96" s="17">
        <f>IF(IF(2=0,0,(P84+O84)/2)=0,0,P69/IF(2=0,0,(P84+O84)/2))</f>
        <v/>
      </c>
      <c r="Q96" s="17">
        <f>IF(IF(2=0,0,(Q84+P84)/2)=0,0,Q69/IF(2=0,0,(Q84+P84)/2))</f>
        <v/>
      </c>
      <c r="R96" s="17">
        <f>IF(IF(2=0,0,(R84+Q84)/2)=0,0,R69/IF(2=0,0,(R84+Q84)/2))</f>
        <v/>
      </c>
      <c r="S96" s="17">
        <f>IF(IF(2=0,0,(S84+R84)/2)=0,0,S69/IF(2=0,0,(S84+R84)/2))</f>
        <v/>
      </c>
      <c r="T96" s="17">
        <f>IF(IF(2=0,0,(T84+S84)/2)=0,0,T69/IF(2=0,0,(T84+S84)/2))</f>
        <v/>
      </c>
      <c r="U96" s="17">
        <f>IF(IF(2=0,0,(U84+T84)/2)=0,0,U69/IF(2=0,0,(U84+T84)/2))</f>
        <v/>
      </c>
      <c r="V96" s="17">
        <f>IF(IF(2=0,0,(V84+U84)/2)=0,0,V69/IF(2=0,0,(V84+U84)/2))</f>
        <v/>
      </c>
      <c r="W96" s="17">
        <f>IF(IF(2=0,0,(W84+V84)/2)=0,0,W69/IF(2=0,0,(W84+V84)/2))</f>
        <v/>
      </c>
      <c r="X96" s="17">
        <f>IF(IF(2=0,0,(X84+W84)/2)=0,0,X69/IF(2=0,0,(X84+W84)/2))</f>
        <v/>
      </c>
      <c r="Y96" s="17">
        <f>IF(IF(2=0,0,(Y84+X84)/2)=0,0,Y69/IF(2=0,0,(Y84+X84)/2))</f>
        <v/>
      </c>
      <c r="Z96" s="17">
        <f>IF(IF(2=0,0,(Z84+Y84)/2)=0,0,Z69/IF(2=0,0,(Z84+Y84)/2))</f>
        <v/>
      </c>
      <c r="AA96" s="17">
        <f>IF(IF(2=0,0,(AA84+Z84)/2)=0,0,AA69/IF(2=0,0,(AA84+Z84)/2))</f>
        <v/>
      </c>
      <c r="AB96" s="17">
        <f>IF(IF(2=0,0,(AB84+AA84)/2)=0,0,AB69/IF(2=0,0,(AB84+AA84)/2))</f>
        <v/>
      </c>
      <c r="AC96" s="17">
        <f>IF(IF(2=0,0,(AC84+AB84)/2)=0,0,AC69/IF(2=0,0,(AC84+AB84)/2))</f>
        <v/>
      </c>
      <c r="AD96" s="17">
        <f>IF(IF(2=0,0,(AD84+AC84)/2)=0,0,AD69/IF(2=0,0,(AD84+AC84)/2))</f>
        <v/>
      </c>
      <c r="AE96" s="17">
        <f>IF(IF(2=0,0,(AE84+AD84)/2)=0,0,AE69/IF(2=0,0,(AE84+AD84)/2))</f>
        <v/>
      </c>
      <c r="AF96" s="17">
        <f>IF(IF(2=0,0,(AF84+AE84)/2)=0,0,AF69/IF(2=0,0,(AF84+AE84)/2))</f>
        <v/>
      </c>
      <c r="AG96" s="17">
        <f>IF(IF(2=0,0,(AG84+AF84)/2)=0,0,AG69/IF(2=0,0,(AG84+AF84)/2))</f>
        <v/>
      </c>
      <c r="AH96" s="17">
        <f>IF(IF(2=0,0,(AH84+AG84)/2)=0,0,AH69/IF(2=0,0,(AH84+AG84)/2))</f>
        <v/>
      </c>
      <c r="AI96" s="17">
        <f>IF(IF(2=0,0,(AI84+AH84)/2)=0,0,AI69/IF(2=0,0,(AI84+AH84)/2))</f>
        <v/>
      </c>
      <c r="AJ96" s="17">
        <f>IF(IF(2=0,0,(AJ84+AI84)/2)=0,0,AJ69/IF(2=0,0,(AJ84+AI84)/2))</f>
        <v/>
      </c>
      <c r="AK96" s="17">
        <f>IF(IF(2=0,0,(AK84+AJ84)/2)=0,0,AK69/IF(2=0,0,(AK84+AJ84)/2))</f>
        <v/>
      </c>
      <c r="AL96" s="17">
        <f>IF(IF(2=0,0,(AL84+AK84)/2)=0,0,AL69/IF(2=0,0,(AL84+AK84)/2))</f>
        <v/>
      </c>
      <c r="AM96" s="17">
        <f>IF(IF(2=0,0,(AM84+AL84)/2)=0,0,AM69/IF(2=0,0,(AM84+AL84)/2))</f>
        <v/>
      </c>
      <c r="AN96" s="17">
        <f>IF(IF(2=0,0,(AN84+AM84)/2)=0,0,AN69/IF(2=0,0,(AN84+AM84)/2))</f>
        <v/>
      </c>
      <c r="AO96" s="17">
        <f>IF(IF(2=0,0,(AO84+AN84)/2)=0,0,AO69/IF(2=0,0,(AO84+AN84)/2))</f>
        <v/>
      </c>
      <c r="AP96" s="17">
        <f>IF(IF(2=0,0,(AP84+AO84)/2)=0,0,AP69/IF(2=0,0,(AP84+AO84)/2))</f>
        <v/>
      </c>
      <c r="AQ96" s="17">
        <f>IF(IF(2=0,0,(AQ84+AP84)/2)=0,0,AQ69/IF(2=0,0,(AQ84+AP84)/2))</f>
        <v/>
      </c>
      <c r="AR96" s="17">
        <f>IF(IF(2=0,0,(AR84+AQ84)/2)=0,0,AR69/IF(2=0,0,(AR84+AQ84)/2))</f>
        <v/>
      </c>
      <c r="AS96" s="17">
        <f>IF(IF(2=0,0,(AS84+AR84)/2)=0,0,AS69/IF(2=0,0,(AS84+AR84)/2))</f>
        <v/>
      </c>
      <c r="AT96" s="17">
        <f>IF(IF(2=0,0,(AT84+AS84)/2)=0,0,AT69/IF(2=0,0,(AT84+AS84)/2))</f>
        <v/>
      </c>
      <c r="AU96" s="17">
        <f>IF(IF(2=0,0,(AU84+AT84)/2)=0,0,AU69/IF(2=0,0,(AU84+AT84)/2))</f>
        <v/>
      </c>
      <c r="AV96" s="17">
        <f>IF(IF(2=0,0,(AV84+AU84)/2)=0,0,AV69/IF(2=0,0,(AV84+AU84)/2))</f>
        <v/>
      </c>
      <c r="AW96" s="17">
        <f>IF(IF(2=0,0,(AW84+AV84)/2)=0,0,AW69/IF(2=0,0,(AW84+AV84)/2))</f>
        <v/>
      </c>
      <c r="AX96" s="17">
        <f>IF(IF(2=0,0,(AX84+AW84)/2)=0,0,AX69/IF(2=0,0,(AX84+AW84)/2))</f>
        <v/>
      </c>
      <c r="AY96" s="17">
        <f>IF(IF(2=0,0,(AY84+AX84)/2)=0,0,AY69/IF(2=0,0,(AY84+AX84)/2))</f>
        <v/>
      </c>
      <c r="AZ96" s="17">
        <f>IF(IF(2=0,0,(AZ84+AY84)/2)=0,0,AZ69/IF(2=0,0,(AZ84+AY84)/2))</f>
        <v/>
      </c>
      <c r="BA96" s="17">
        <f>IF(IF(2=0,0,(BA84+AZ84)/2)=0,0,BA69/IF(2=0,0,(BA84+AZ84)/2))</f>
        <v/>
      </c>
      <c r="BB96" s="17">
        <f>IF(IF(2=0,0,(BB84+BA84)/2)=0,0,BB69/IF(2=0,0,(BB84+BA84)/2))</f>
        <v/>
      </c>
      <c r="BC96" s="17">
        <f>IF(IF(2=0,0,(BC84+BB84)/2)=0,0,BC69/IF(2=0,0,(BC84+BB84)/2))</f>
        <v/>
      </c>
      <c r="BD96" s="17">
        <f>IF(IF(2=0,0,(BD84+BC84)/2)=0,0,BD69/IF(2=0,0,(BD84+BC84)/2))</f>
        <v/>
      </c>
      <c r="BE96" s="17">
        <f>IF(IF(2=0,0,(BE84+BD84)/2)=0,0,BE69/IF(2=0,0,(BE84+BD84)/2))</f>
        <v/>
      </c>
      <c r="BF96" s="17">
        <f>IF(IF(2=0,0,(BF84+BE84)/2)=0,0,BF69/IF(2=0,0,(BF84+BE84)/2))</f>
        <v/>
      </c>
      <c r="BG96" s="17">
        <f>IF(IF(2=0,0,(BG84+BF84)/2)=0,0,BG69/IF(2=0,0,(BG84+BF84)/2))</f>
        <v/>
      </c>
      <c r="BH96" s="17">
        <f>IF(IF(2=0,0,(BH84+BG84)/2)=0,0,BH69/IF(2=0,0,(BH84+BG84)/2))</f>
        <v/>
      </c>
      <c r="BI96" s="17">
        <f>IF(IF(2=0,0,(BI84+BH84)/2)=0,0,BI69/IF(2=0,0,(BI84+BH84)/2))</f>
        <v/>
      </c>
      <c r="BJ96" s="17">
        <f>IF(IF(2=0,0,(BJ84+BI84)/2)=0,0,BJ69/IF(2=0,0,(BJ84+BI84)/2))</f>
        <v/>
      </c>
      <c r="BK96" s="17">
        <f>IF(IF(2=0,0,(BK84+BJ84)/2)=0,0,BK69/IF(2=0,0,(BK84+BJ84)/2))</f>
        <v/>
      </c>
      <c r="BL96" s="17">
        <f>IF(IF(2=0,0,(BL84+BK84)/2)=0,0,BL69/IF(2=0,0,(BL84+BK84)/2))</f>
        <v/>
      </c>
      <c r="BM96" s="17">
        <f>IF(IF(2=0,0,(BM84+BL84)/2)=0,0,BM69/IF(2=0,0,(BM84+BL84)/2))</f>
        <v/>
      </c>
      <c r="BN96" s="17">
        <f>IF(IF(2=0,0,(BN84+BM84)/2)=0,0,BN69/IF(2=0,0,(BN84+BM84)/2))</f>
        <v/>
      </c>
      <c r="BO96" s="17">
        <f>IF(IF(2=0,0,(BO84+BN84)/2)=0,0,BO69/IF(2=0,0,(BO84+BN84)/2))</f>
        <v/>
      </c>
      <c r="BP96" s="17">
        <f>IF(IF(2=0,0,(BP84+BO84)/2)=0,0,BP69/IF(2=0,0,(BP84+BO84)/2))</f>
        <v/>
      </c>
      <c r="BQ96" s="17">
        <f>IF(IF(2=0,0,(BQ84+BP84)/2)=0,0,BQ69/IF(2=0,0,(BQ84+BP84)/2))</f>
        <v/>
      </c>
      <c r="BR96" s="17">
        <f>IF(IF(2=0,0,(BR84+BQ84)/2)=0,0,BR69/IF(2=0,0,(BR84+BQ84)/2))</f>
        <v/>
      </c>
      <c r="BS96" s="17">
        <f>IF(IF(2=0,0,(BS84+BR84)/2)=0,0,BS69/IF(2=0,0,(BS84+BR84)/2))</f>
        <v/>
      </c>
      <c r="BT96" s="17">
        <f>IF(IF(2=0,0,(BT84+BS84)/2)=0,0,BT69/IF(2=0,0,(BT84+BS84)/2))</f>
        <v/>
      </c>
      <c r="BU96" s="17">
        <f>IF(IF(2=0,0,(BU84+BT84)/2)=0,0,BU69/IF(2=0,0,(BU84+BT84)/2))</f>
        <v/>
      </c>
      <c r="BV96" s="17">
        <f>IF(IF(2=0,0,(BV84+BU84)/2)=0,0,BV69/IF(2=0,0,(BV84+BU84)/2))</f>
        <v/>
      </c>
      <c r="BW96" s="17">
        <f>IF(IF(2=0,0,(BW84+BV84)/2)=0,0,BW69/IF(2=0,0,(BW84+BV84)/2))</f>
        <v/>
      </c>
      <c r="BX96" s="17">
        <f>IF(IF(2=0,0,(BX84+BW84)/2)=0,0,BX69/IF(2=0,0,(BX84+BW84)/2))</f>
        <v/>
      </c>
      <c r="BY96" s="17">
        <f>IF(IF(2=0,0,(BY84+BX84)/2)=0,0,BY69/IF(2=0,0,(BY84+BX84)/2))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>
        <v>-1.037167579918622</v>
      </c>
      <c r="E97" s="22" t="n">
        <v>-0.6040418224335556</v>
      </c>
      <c r="F97" s="22" t="n">
        <v>-0.342300035573096</v>
      </c>
      <c r="G97" s="22" t="n">
        <v>-0.217143431616137</v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  <c r="M97" s="23">
        <f>IF(M61=0,0,M88/M61)</f>
        <v/>
      </c>
      <c r="N97" s="23">
        <f>IF(N61=0,0,N88/N61)</f>
        <v/>
      </c>
      <c r="O97" s="23">
        <f>IF(O61=0,0,O88/O61)</f>
        <v/>
      </c>
      <c r="P97" s="23">
        <f>IF(P61=0,0,P88/P61)</f>
        <v/>
      </c>
      <c r="Q97" s="23">
        <f>IF(Q61=0,0,Q88/Q61)</f>
        <v/>
      </c>
      <c r="R97" s="23">
        <f>IF(R61=0,0,R88/R61)</f>
        <v/>
      </c>
      <c r="S97" s="23">
        <f>IF(S61=0,0,S88/S61)</f>
        <v/>
      </c>
      <c r="T97" s="23">
        <f>IF(T61=0,0,T88/T61)</f>
        <v/>
      </c>
      <c r="U97" s="23">
        <f>IF(U61=0,0,U88/U61)</f>
        <v/>
      </c>
      <c r="V97" s="23">
        <f>IF(V61=0,0,V88/V61)</f>
        <v/>
      </c>
      <c r="W97" s="23">
        <f>IF(W61=0,0,W88/W61)</f>
        <v/>
      </c>
      <c r="X97" s="23">
        <f>IF(X61=0,0,X88/X61)</f>
        <v/>
      </c>
      <c r="Y97" s="23">
        <f>IF(Y61=0,0,Y88/Y61)</f>
        <v/>
      </c>
      <c r="Z97" s="23">
        <f>IF(Z61=0,0,Z88/Z61)</f>
        <v/>
      </c>
      <c r="AA97" s="23">
        <f>IF(AA61=0,0,AA88/AA61)</f>
        <v/>
      </c>
      <c r="AB97" s="23">
        <f>IF(AB61=0,0,AB88/AB61)</f>
        <v/>
      </c>
      <c r="AC97" s="23">
        <f>IF(AC61=0,0,AC88/AC61)</f>
        <v/>
      </c>
      <c r="AD97" s="23">
        <f>IF(AD61=0,0,AD88/AD61)</f>
        <v/>
      </c>
      <c r="AE97" s="23">
        <f>IF(AE61=0,0,AE88/AE61)</f>
        <v/>
      </c>
      <c r="AF97" s="23">
        <f>IF(AF61=0,0,AF88/AF61)</f>
        <v/>
      </c>
      <c r="AG97" s="23">
        <f>IF(AG61=0,0,AG88/AG61)</f>
        <v/>
      </c>
      <c r="AH97" s="23">
        <f>IF(AH61=0,0,AH88/AH61)</f>
        <v/>
      </c>
      <c r="AI97" s="23">
        <f>IF(AI61=0,0,AI88/AI61)</f>
        <v/>
      </c>
      <c r="AJ97" s="23">
        <f>IF(AJ61=0,0,AJ88/AJ61)</f>
        <v/>
      </c>
      <c r="AK97" s="23">
        <f>IF(AK61=0,0,AK88/AK61)</f>
        <v/>
      </c>
      <c r="AL97" s="23">
        <f>IF(AL61=0,0,AL88/AL61)</f>
        <v/>
      </c>
      <c r="AM97" s="23">
        <f>IF(AM61=0,0,AM88/AM61)</f>
        <v/>
      </c>
      <c r="AN97" s="23">
        <f>IF(AN61=0,0,AN88/AN61)</f>
        <v/>
      </c>
      <c r="AO97" s="23">
        <f>IF(AO61=0,0,AO88/AO61)</f>
        <v/>
      </c>
      <c r="AP97" s="23">
        <f>IF(AP61=0,0,AP88/AP61)</f>
        <v/>
      </c>
      <c r="AQ97" s="23">
        <f>IF(AQ61=0,0,AQ88/AQ61)</f>
        <v/>
      </c>
      <c r="AR97" s="23">
        <f>IF(AR61=0,0,AR88/AR61)</f>
        <v/>
      </c>
      <c r="AS97" s="23">
        <f>IF(AS61=0,0,AS88/AS61)</f>
        <v/>
      </c>
      <c r="AT97" s="23">
        <f>IF(AT61=0,0,AT88/AT61)</f>
        <v/>
      </c>
      <c r="AU97" s="23">
        <f>IF(AU61=0,0,AU88/AU61)</f>
        <v/>
      </c>
      <c r="AV97" s="23">
        <f>IF(AV61=0,0,AV88/AV61)</f>
        <v/>
      </c>
      <c r="AW97" s="23">
        <f>IF(AW61=0,0,AW88/AW61)</f>
        <v/>
      </c>
      <c r="AX97" s="23">
        <f>IF(AX61=0,0,AX88/AX61)</f>
        <v/>
      </c>
      <c r="AY97" s="23">
        <f>IF(AY61=0,0,AY88/AY61)</f>
        <v/>
      </c>
      <c r="AZ97" s="23">
        <f>IF(AZ61=0,0,AZ88/AZ61)</f>
        <v/>
      </c>
      <c r="BA97" s="23">
        <f>IF(BA61=0,0,BA88/BA61)</f>
        <v/>
      </c>
      <c r="BB97" s="23">
        <f>IF(BB61=0,0,BB88/BB61)</f>
        <v/>
      </c>
      <c r="BC97" s="23">
        <f>IF(BC61=0,0,BC88/BC61)</f>
        <v/>
      </c>
      <c r="BD97" s="23">
        <f>IF(BD61=0,0,BD88/BD61)</f>
        <v/>
      </c>
      <c r="BE97" s="23">
        <f>IF(BE61=0,0,BE88/BE61)</f>
        <v/>
      </c>
      <c r="BF97" s="23">
        <f>IF(BF61=0,0,BF88/BF61)</f>
        <v/>
      </c>
      <c r="BG97" s="23">
        <f>IF(BG61=0,0,BG88/BG61)</f>
        <v/>
      </c>
      <c r="BH97" s="23">
        <f>IF(BH61=0,0,BH88/BH61)</f>
        <v/>
      </c>
      <c r="BI97" s="23">
        <f>IF(BI61=0,0,BI88/BI61)</f>
        <v/>
      </c>
      <c r="BJ97" s="23">
        <f>IF(BJ61=0,0,BJ88/BJ61)</f>
        <v/>
      </c>
      <c r="BK97" s="23">
        <f>IF(BK61=0,0,BK88/BK61)</f>
        <v/>
      </c>
      <c r="BL97" s="23">
        <f>IF(BL61=0,0,BL88/BL61)</f>
        <v/>
      </c>
      <c r="BM97" s="23">
        <f>IF(BM61=0,0,BM88/BM61)</f>
        <v/>
      </c>
      <c r="BN97" s="23">
        <f>IF(BN61=0,0,BN88/BN61)</f>
        <v/>
      </c>
      <c r="BO97" s="23">
        <f>IF(BO61=0,0,BO88/BO61)</f>
        <v/>
      </c>
      <c r="BP97" s="23">
        <f>IF(BP61=0,0,BP88/BP61)</f>
        <v/>
      </c>
      <c r="BQ97" s="23">
        <f>IF(BQ61=0,0,BQ88/BQ61)</f>
        <v/>
      </c>
      <c r="BR97" s="23">
        <f>IF(BR61=0,0,BR88/BR61)</f>
        <v/>
      </c>
      <c r="BS97" s="23">
        <f>IF(BS61=0,0,BS88/BS61)</f>
        <v/>
      </c>
      <c r="BT97" s="23">
        <f>IF(BT61=0,0,BT88/BT61)</f>
        <v/>
      </c>
      <c r="BU97" s="23">
        <f>IF(BU61=0,0,BU88/BU61)</f>
        <v/>
      </c>
      <c r="BV97" s="23">
        <f>IF(BV61=0,0,BV88/BV61)</f>
        <v/>
      </c>
      <c r="BW97" s="23">
        <f>IF(BW61=0,0,BW88/BW61)</f>
        <v/>
      </c>
      <c r="BX97" s="23">
        <f>IF(BX61=0,0,BX88/BX61)</f>
        <v/>
      </c>
      <c r="BY97" s="23">
        <f>IF(BY61=0,0,BY88/BY61)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0.9999999509768266</v>
      </c>
      <c r="E98" s="4" t="n">
        <v>0.7482326807279177</v>
      </c>
      <c r="F98" s="4" t="n">
        <v>0.7500016418330286</v>
      </c>
      <c r="G98" s="4" t="n">
        <v>0.4500018325901916</v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  <c r="L98" s="17">
        <f>IF(L71=0,0,L72/L71)</f>
        <v/>
      </c>
      <c r="M98" s="17">
        <f>IF(M71=0,0,M72/M71)</f>
        <v/>
      </c>
      <c r="N98" s="17">
        <f>IF(N71=0,0,N72/N71)</f>
        <v/>
      </c>
      <c r="O98" s="17">
        <f>IF(O71=0,0,O72/O71)</f>
        <v/>
      </c>
      <c r="P98" s="17">
        <f>IF(P71=0,0,P72/P71)</f>
        <v/>
      </c>
      <c r="Q98" s="17">
        <f>IF(Q71=0,0,Q72/Q71)</f>
        <v/>
      </c>
      <c r="R98" s="17">
        <f>IF(R71=0,0,R72/R71)</f>
        <v/>
      </c>
      <c r="S98" s="17">
        <f>IF(S71=0,0,S72/S71)</f>
        <v/>
      </c>
      <c r="T98" s="17">
        <f>IF(T71=0,0,T72/T71)</f>
        <v/>
      </c>
      <c r="U98" s="17">
        <f>IF(U71=0,0,U72/U71)</f>
        <v/>
      </c>
      <c r="V98" s="17">
        <f>IF(V71=0,0,V72/V71)</f>
        <v/>
      </c>
      <c r="W98" s="17">
        <f>IF(W71=0,0,W72/W71)</f>
        <v/>
      </c>
      <c r="X98" s="17">
        <f>IF(X71=0,0,X72/X71)</f>
        <v/>
      </c>
      <c r="Y98" s="17">
        <f>IF(Y71=0,0,Y72/Y71)</f>
        <v/>
      </c>
      <c r="Z98" s="17">
        <f>IF(Z71=0,0,Z72/Z71)</f>
        <v/>
      </c>
      <c r="AA98" s="17">
        <f>IF(AA71=0,0,AA72/AA71)</f>
        <v/>
      </c>
      <c r="AB98" s="17">
        <f>IF(AB71=0,0,AB72/AB71)</f>
        <v/>
      </c>
      <c r="AC98" s="17">
        <f>IF(AC71=0,0,AC72/AC71)</f>
        <v/>
      </c>
      <c r="AD98" s="17">
        <f>IF(AD71=0,0,AD72/AD71)</f>
        <v/>
      </c>
      <c r="AE98" s="17">
        <f>IF(AE71=0,0,AE72/AE71)</f>
        <v/>
      </c>
      <c r="AF98" s="17">
        <f>IF(AF71=0,0,AF72/AF71)</f>
        <v/>
      </c>
      <c r="AG98" s="17">
        <f>IF(AG71=0,0,AG72/AG71)</f>
        <v/>
      </c>
      <c r="AH98" s="17">
        <f>IF(AH71=0,0,AH72/AH71)</f>
        <v/>
      </c>
      <c r="AI98" s="17">
        <f>IF(AI71=0,0,AI72/AI71)</f>
        <v/>
      </c>
      <c r="AJ98" s="17">
        <f>IF(AJ71=0,0,AJ72/AJ71)</f>
        <v/>
      </c>
      <c r="AK98" s="17">
        <f>IF(AK71=0,0,AK72/AK71)</f>
        <v/>
      </c>
      <c r="AL98" s="17">
        <f>IF(AL71=0,0,AL72/AL71)</f>
        <v/>
      </c>
      <c r="AM98" s="17">
        <f>IF(AM71=0,0,AM72/AM71)</f>
        <v/>
      </c>
      <c r="AN98" s="17">
        <f>IF(AN71=0,0,AN72/AN71)</f>
        <v/>
      </c>
      <c r="AO98" s="17">
        <f>IF(AO71=0,0,AO72/AO71)</f>
        <v/>
      </c>
      <c r="AP98" s="17">
        <f>IF(AP71=0,0,AP72/AP71)</f>
        <v/>
      </c>
      <c r="AQ98" s="17">
        <f>IF(AQ71=0,0,AQ72/AQ71)</f>
        <v/>
      </c>
      <c r="AR98" s="17">
        <f>IF(AR71=0,0,AR72/AR71)</f>
        <v/>
      </c>
      <c r="AS98" s="17">
        <f>IF(AS71=0,0,AS72/AS71)</f>
        <v/>
      </c>
      <c r="AT98" s="17">
        <f>IF(AT71=0,0,AT72/AT71)</f>
        <v/>
      </c>
      <c r="AU98" s="17">
        <f>IF(AU71=0,0,AU72/AU71)</f>
        <v/>
      </c>
      <c r="AV98" s="17">
        <f>IF(AV71=0,0,AV72/AV71)</f>
        <v/>
      </c>
      <c r="AW98" s="17">
        <f>IF(AW71=0,0,AW72/AW71)</f>
        <v/>
      </c>
      <c r="AX98" s="17">
        <f>IF(AX71=0,0,AX72/AX71)</f>
        <v/>
      </c>
      <c r="AY98" s="17">
        <f>IF(AY71=0,0,AY72/AY71)</f>
        <v/>
      </c>
      <c r="AZ98" s="17">
        <f>IF(AZ71=0,0,AZ72/AZ71)</f>
        <v/>
      </c>
      <c r="BA98" s="17">
        <f>IF(BA71=0,0,BA72/BA71)</f>
        <v/>
      </c>
      <c r="BB98" s="17">
        <f>IF(BB71=0,0,BB72/BB71)</f>
        <v/>
      </c>
      <c r="BC98" s="17">
        <f>IF(BC71=0,0,BC72/BC71)</f>
        <v/>
      </c>
      <c r="BD98" s="17">
        <f>IF(BD71=0,0,BD72/BD71)</f>
        <v/>
      </c>
      <c r="BE98" s="17">
        <f>IF(BE71=0,0,BE72/BE71)</f>
        <v/>
      </c>
      <c r="BF98" s="17">
        <f>IF(BF71=0,0,BF72/BF71)</f>
        <v/>
      </c>
      <c r="BG98" s="17">
        <f>IF(BG71=0,0,BG72/BG71)</f>
        <v/>
      </c>
      <c r="BH98" s="17">
        <f>IF(BH71=0,0,BH72/BH71)</f>
        <v/>
      </c>
      <c r="BI98" s="17">
        <f>IF(BI71=0,0,BI72/BI71)</f>
        <v/>
      </c>
      <c r="BJ98" s="17">
        <f>IF(BJ71=0,0,BJ72/BJ71)</f>
        <v/>
      </c>
      <c r="BK98" s="17">
        <f>IF(BK71=0,0,BK72/BK71)</f>
        <v/>
      </c>
      <c r="BL98" s="17">
        <f>IF(BL71=0,0,BL72/BL71)</f>
        <v/>
      </c>
      <c r="BM98" s="17">
        <f>IF(BM71=0,0,BM72/BM71)</f>
        <v/>
      </c>
      <c r="BN98" s="17">
        <f>IF(BN71=0,0,BN72/BN71)</f>
        <v/>
      </c>
      <c r="BO98" s="17">
        <f>IF(BO71=0,0,BO72/BO71)</f>
        <v/>
      </c>
      <c r="BP98" s="17">
        <f>IF(BP71=0,0,BP72/BP71)</f>
        <v/>
      </c>
      <c r="BQ98" s="17">
        <f>IF(BQ71=0,0,BQ72/BQ71)</f>
        <v/>
      </c>
      <c r="BR98" s="17">
        <f>IF(BR71=0,0,BR72/BR71)</f>
        <v/>
      </c>
      <c r="BS98" s="17">
        <f>IF(BS71=0,0,BS72/BS71)</f>
        <v/>
      </c>
      <c r="BT98" s="17">
        <f>IF(BT71=0,0,BT72/BT71)</f>
        <v/>
      </c>
      <c r="BU98" s="17">
        <f>IF(BU71=0,0,BU72/BU71)</f>
        <v/>
      </c>
      <c r="BV98" s="17">
        <f>IF(BV71=0,0,BV72/BV71)</f>
        <v/>
      </c>
      <c r="BW98" s="17">
        <f>IF(BW71=0,0,BW72/BW71)</f>
        <v/>
      </c>
      <c r="BX98" s="17">
        <f>IF(BX71=0,0,BX72/BX71)</f>
        <v/>
      </c>
      <c r="BY98" s="17">
        <f>IF(BY71=0,0,BY72/BY71)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0.0212155665638653</v>
      </c>
      <c r="E99" s="4" t="n">
        <v>0.02622984459376266</v>
      </c>
      <c r="F99" s="4" t="n">
        <v>0.02880596099124872</v>
      </c>
      <c r="G99" s="4" t="n">
        <v>0.08218582207837601</v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  <c r="L99" s="17">
        <f>IF(L55=0,0,L74/L55)</f>
        <v/>
      </c>
      <c r="M99" s="17">
        <f>IF(M55=0,0,M74/M55)</f>
        <v/>
      </c>
      <c r="N99" s="17">
        <f>IF(N55=0,0,N74/N55)</f>
        <v/>
      </c>
      <c r="O99" s="17">
        <f>IF(O55=0,0,O74/O55)</f>
        <v/>
      </c>
      <c r="P99" s="17">
        <f>IF(P55=0,0,P74/P55)</f>
        <v/>
      </c>
      <c r="Q99" s="17">
        <f>IF(Q55=0,0,Q74/Q55)</f>
        <v/>
      </c>
      <c r="R99" s="17">
        <f>IF(R55=0,0,R74/R55)</f>
        <v/>
      </c>
      <c r="S99" s="17">
        <f>IF(S55=0,0,S74/S55)</f>
        <v/>
      </c>
      <c r="T99" s="17">
        <f>IF(T55=0,0,T74/T55)</f>
        <v/>
      </c>
      <c r="U99" s="17">
        <f>IF(U55=0,0,U74/U55)</f>
        <v/>
      </c>
      <c r="V99" s="17">
        <f>IF(V55=0,0,V74/V55)</f>
        <v/>
      </c>
      <c r="W99" s="17">
        <f>IF(W55=0,0,W74/W55)</f>
        <v/>
      </c>
      <c r="X99" s="17">
        <f>IF(X55=0,0,X74/X55)</f>
        <v/>
      </c>
      <c r="Y99" s="17">
        <f>IF(Y55=0,0,Y74/Y55)</f>
        <v/>
      </c>
      <c r="Z99" s="17">
        <f>IF(Z55=0,0,Z74/Z55)</f>
        <v/>
      </c>
      <c r="AA99" s="17">
        <f>IF(AA55=0,0,AA74/AA55)</f>
        <v/>
      </c>
      <c r="AB99" s="17">
        <f>IF(AB55=0,0,AB74/AB55)</f>
        <v/>
      </c>
      <c r="AC99" s="17">
        <f>IF(AC55=0,0,AC74/AC55)</f>
        <v/>
      </c>
      <c r="AD99" s="17">
        <f>IF(AD55=0,0,AD74/AD55)</f>
        <v/>
      </c>
      <c r="AE99" s="17">
        <f>IF(AE55=0,0,AE74/AE55)</f>
        <v/>
      </c>
      <c r="AF99" s="17">
        <f>IF(AF55=0,0,AF74/AF55)</f>
        <v/>
      </c>
      <c r="AG99" s="17">
        <f>IF(AG55=0,0,AG74/AG55)</f>
        <v/>
      </c>
      <c r="AH99" s="17">
        <f>IF(AH55=0,0,AH74/AH55)</f>
        <v/>
      </c>
      <c r="AI99" s="17">
        <f>IF(AI55=0,0,AI74/AI55)</f>
        <v/>
      </c>
      <c r="AJ99" s="17">
        <f>IF(AJ55=0,0,AJ74/AJ55)</f>
        <v/>
      </c>
      <c r="AK99" s="17">
        <f>IF(AK55=0,0,AK74/AK55)</f>
        <v/>
      </c>
      <c r="AL99" s="17">
        <f>IF(AL55=0,0,AL74/AL55)</f>
        <v/>
      </c>
      <c r="AM99" s="17">
        <f>IF(AM55=0,0,AM74/AM55)</f>
        <v/>
      </c>
      <c r="AN99" s="17">
        <f>IF(AN55=0,0,AN74/AN55)</f>
        <v/>
      </c>
      <c r="AO99" s="17">
        <f>IF(AO55=0,0,AO74/AO55)</f>
        <v/>
      </c>
      <c r="AP99" s="17">
        <f>IF(AP55=0,0,AP74/AP55)</f>
        <v/>
      </c>
      <c r="AQ99" s="17">
        <f>IF(AQ55=0,0,AQ74/AQ55)</f>
        <v/>
      </c>
      <c r="AR99" s="17">
        <f>IF(AR55=0,0,AR74/AR55)</f>
        <v/>
      </c>
      <c r="AS99" s="17">
        <f>IF(AS55=0,0,AS74/AS55)</f>
        <v/>
      </c>
      <c r="AT99" s="17">
        <f>IF(AT55=0,0,AT74/AT55)</f>
        <v/>
      </c>
      <c r="AU99" s="17">
        <f>IF(AU55=0,0,AU74/AU55)</f>
        <v/>
      </c>
      <c r="AV99" s="17">
        <f>IF(AV55=0,0,AV74/AV55)</f>
        <v/>
      </c>
      <c r="AW99" s="17">
        <f>IF(AW55=0,0,AW74/AW55)</f>
        <v/>
      </c>
      <c r="AX99" s="17">
        <f>IF(AX55=0,0,AX74/AX55)</f>
        <v/>
      </c>
      <c r="AY99" s="17">
        <f>IF(AY55=0,0,AY74/AY55)</f>
        <v/>
      </c>
      <c r="AZ99" s="17">
        <f>IF(AZ55=0,0,AZ74/AZ55)</f>
        <v/>
      </c>
      <c r="BA99" s="17">
        <f>IF(BA55=0,0,BA74/BA55)</f>
        <v/>
      </c>
      <c r="BB99" s="17">
        <f>IF(BB55=0,0,BB74/BB55)</f>
        <v/>
      </c>
      <c r="BC99" s="17">
        <f>IF(BC55=0,0,BC74/BC55)</f>
        <v/>
      </c>
      <c r="BD99" s="17">
        <f>IF(BD55=0,0,BD74/BD55)</f>
        <v/>
      </c>
      <c r="BE99" s="17">
        <f>IF(BE55=0,0,BE74/BE55)</f>
        <v/>
      </c>
      <c r="BF99" s="17">
        <f>IF(BF55=0,0,BF74/BF55)</f>
        <v/>
      </c>
      <c r="BG99" s="17">
        <f>IF(BG55=0,0,BG74/BG55)</f>
        <v/>
      </c>
      <c r="BH99" s="17">
        <f>IF(BH55=0,0,BH74/BH55)</f>
        <v/>
      </c>
      <c r="BI99" s="17">
        <f>IF(BI55=0,0,BI74/BI55)</f>
        <v/>
      </c>
      <c r="BJ99" s="17">
        <f>IF(BJ55=0,0,BJ74/BJ55)</f>
        <v/>
      </c>
      <c r="BK99" s="17">
        <f>IF(BK55=0,0,BK74/BK55)</f>
        <v/>
      </c>
      <c r="BL99" s="17">
        <f>IF(BL55=0,0,BL74/BL55)</f>
        <v/>
      </c>
      <c r="BM99" s="17">
        <f>IF(BM55=0,0,BM74/BM55)</f>
        <v/>
      </c>
      <c r="BN99" s="17">
        <f>IF(BN55=0,0,BN74/BN55)</f>
        <v/>
      </c>
      <c r="BO99" s="17">
        <f>IF(BO55=0,0,BO74/BO55)</f>
        <v/>
      </c>
      <c r="BP99" s="17">
        <f>IF(BP55=0,0,BP74/BP55)</f>
        <v/>
      </c>
      <c r="BQ99" s="17">
        <f>IF(BQ55=0,0,BQ74/BQ55)</f>
        <v/>
      </c>
      <c r="BR99" s="17">
        <f>IF(BR55=0,0,BR74/BR55)</f>
        <v/>
      </c>
      <c r="BS99" s="17">
        <f>IF(BS55=0,0,BS74/BS55)</f>
        <v/>
      </c>
      <c r="BT99" s="17">
        <f>IF(BT55=0,0,BT74/BT55)</f>
        <v/>
      </c>
      <c r="BU99" s="17">
        <f>IF(BU55=0,0,BU74/BU55)</f>
        <v/>
      </c>
      <c r="BV99" s="17">
        <f>IF(BV55=0,0,BV74/BV55)</f>
        <v/>
      </c>
      <c r="BW99" s="17">
        <f>IF(BW55=0,0,BW74/BW55)</f>
        <v/>
      </c>
      <c r="BX99" s="17">
        <f>IF(BX55=0,0,BX74/BX55)</f>
        <v/>
      </c>
      <c r="BY99" s="17">
        <f>IF(BY55=0,0,BY74/BY55)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3060</v>
      </c>
    </row>
    <row r="103">
      <c r="A103" t="inlineStr">
        <is>
          <t>Shares outstanding (m)</t>
        </is>
      </c>
      <c r="C103" s="13" t="n">
        <v>11514.35725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2985.269</v>
      </c>
    </row>
    <row r="106">
      <c r="A106" t="inlineStr">
        <is>
          <t>Cash at balance-sheet date</t>
        </is>
      </c>
      <c r="C106" s="13" t="n">
        <v>7302.397</v>
      </c>
    </row>
    <row r="107">
      <c r="A107" t="inlineStr">
        <is>
          <t>Minority interest (book)</t>
        </is>
      </c>
      <c r="C107" s="13" t="n">
        <v>112.587</v>
      </c>
    </row>
    <row r="108">
      <c r="A108" t="inlineStr">
        <is>
          <t>Associates &amp; investments (book)</t>
        </is>
      </c>
      <c r="C108" s="13" t="n">
        <v>10713.447</v>
      </c>
    </row>
    <row r="109">
      <c r="A109" t="inlineStr">
        <is>
          <t>Post-balance-sheet &amp; other items (sourced, probability-weighted)</t>
        </is>
      </c>
      <c r="C109" s="13" t="n">
        <v>-1304.818</v>
      </c>
    </row>
    <row r="110">
      <c r="A110" t="inlineStr">
        <is>
          <t>Parent equity at balance-sheet date</t>
        </is>
      </c>
      <c r="C110" s="13" t="n">
        <v>25225.99</v>
      </c>
    </row>
    <row r="111">
      <c r="A111" t="inlineStr">
        <is>
          <t>Per-share factor</t>
        </is>
      </c>
      <c r="C111" s="24" t="n">
        <v>1000</v>
      </c>
    </row>
    <row r="112">
      <c r="A112" t="inlineStr">
        <is>
          <t>Risk-free rate</t>
        </is>
      </c>
      <c r="C112" s="9">
        <f>Drivers!$C$11</f>
        <v/>
      </c>
    </row>
    <row r="113">
      <c r="A113" t="inlineStr">
        <is>
          <t>Less: default spread (IDR only)</t>
        </is>
      </c>
      <c r="C113" s="9">
        <f>Drivers!$C$13</f>
        <v/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0.08472710055745088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  <c r="K126" s="6" t="n">
        <v>0.996578</v>
      </c>
      <c r="L126" s="6" t="n">
        <v>0.996578</v>
      </c>
      <c r="M126" s="6" t="n">
        <v>0.996578</v>
      </c>
      <c r="N126" s="6" t="n">
        <v>0.999316</v>
      </c>
      <c r="O126" s="6" t="n">
        <v>0.996578</v>
      </c>
      <c r="P126" s="6" t="n">
        <v>0.996578</v>
      </c>
      <c r="Q126" s="6" t="n">
        <v>0.996578</v>
      </c>
      <c r="R126" s="6" t="n">
        <v>0.999316</v>
      </c>
      <c r="S126" s="6" t="n">
        <v>0.996578</v>
      </c>
      <c r="T126" s="6" t="n">
        <v>0.996578</v>
      </c>
      <c r="U126" s="6" t="n">
        <v>0.996578</v>
      </c>
      <c r="V126" s="6" t="n">
        <v>0.999316</v>
      </c>
      <c r="W126" s="6" t="n">
        <v>0.996578</v>
      </c>
      <c r="X126" s="6" t="n">
        <v>0.996578</v>
      </c>
      <c r="Y126" s="6" t="n">
        <v>0.996578</v>
      </c>
      <c r="Z126" s="6" t="n">
        <v>0.999316</v>
      </c>
      <c r="AA126" s="6" t="n">
        <v>0.996578</v>
      </c>
      <c r="AB126" s="6" t="n">
        <v>0.996578</v>
      </c>
      <c r="AC126" s="6" t="n">
        <v>0.996578</v>
      </c>
      <c r="AD126" s="6" t="n">
        <v>0.999316</v>
      </c>
      <c r="AE126" s="6" t="n">
        <v>0.996578</v>
      </c>
      <c r="AF126" s="6" t="n">
        <v>0.996578</v>
      </c>
      <c r="AG126" s="6" t="n">
        <v>0.996578</v>
      </c>
      <c r="AH126" s="6" t="n">
        <v>0.999316</v>
      </c>
      <c r="AI126" s="6" t="n">
        <v>0.996578</v>
      </c>
      <c r="AJ126" s="6" t="n">
        <v>0.996578</v>
      </c>
      <c r="AK126" s="6" t="n">
        <v>0.996578</v>
      </c>
      <c r="AL126" s="6" t="n">
        <v>0.999316</v>
      </c>
      <c r="AM126" s="6" t="n">
        <v>0.996578</v>
      </c>
      <c r="AN126" s="6" t="n">
        <v>0.996578</v>
      </c>
      <c r="AO126" s="6" t="n">
        <v>0.996578</v>
      </c>
      <c r="AP126" s="6" t="n">
        <v>0.999316</v>
      </c>
      <c r="AQ126" s="6" t="n">
        <v>0.996578</v>
      </c>
      <c r="AR126" s="6" t="n">
        <v>0.996578</v>
      </c>
      <c r="AS126" s="6" t="n">
        <v>0.996578</v>
      </c>
      <c r="AT126" s="6" t="n">
        <v>0.999316</v>
      </c>
      <c r="AU126" s="6" t="n">
        <v>0.996578</v>
      </c>
      <c r="AV126" s="6" t="n">
        <v>0.996578</v>
      </c>
      <c r="AW126" s="6" t="n">
        <v>0.996578</v>
      </c>
      <c r="AX126" s="6" t="n">
        <v>0.999316</v>
      </c>
      <c r="AY126" s="6" t="n">
        <v>0.996578</v>
      </c>
      <c r="AZ126" s="6" t="n">
        <v>0.996578</v>
      </c>
      <c r="BA126" s="6" t="n">
        <v>0.996578</v>
      </c>
      <c r="BB126" s="6" t="n">
        <v>0.999316</v>
      </c>
      <c r="BC126" s="6" t="n">
        <v>0.996578</v>
      </c>
      <c r="BD126" s="6" t="n">
        <v>0.996578</v>
      </c>
      <c r="BE126" s="6" t="n">
        <v>0.996578</v>
      </c>
      <c r="BF126" s="6" t="n">
        <v>0.999316</v>
      </c>
      <c r="BG126" s="6" t="n">
        <v>0.996578</v>
      </c>
      <c r="BH126" s="6" t="n">
        <v>0.996578</v>
      </c>
      <c r="BI126" s="6" t="n">
        <v>0.996578</v>
      </c>
      <c r="BJ126" s="6" t="n">
        <v>0.999316</v>
      </c>
      <c r="BK126" s="6" t="n">
        <v>0.996578</v>
      </c>
      <c r="BL126" s="6" t="n">
        <v>0.996578</v>
      </c>
      <c r="BM126" s="6" t="n">
        <v>0.996578</v>
      </c>
      <c r="BN126" s="6" t="n">
        <v>0.999316</v>
      </c>
      <c r="BO126" s="6" t="n">
        <v>0.996578</v>
      </c>
      <c r="BP126" s="6" t="n">
        <v>0.996578</v>
      </c>
      <c r="BQ126" s="6" t="n">
        <v>0.996578</v>
      </c>
      <c r="BR126" s="6" t="n">
        <v>0.999316</v>
      </c>
      <c r="BS126" s="6" t="n">
        <v>0.996578</v>
      </c>
      <c r="BT126" s="6" t="n">
        <v>0.996578</v>
      </c>
      <c r="BU126" s="6" t="n">
        <v>0.996578</v>
      </c>
      <c r="BV126" s="6" t="n">
        <v>0.999316</v>
      </c>
      <c r="BW126" s="6" t="n">
        <v>0.996578</v>
      </c>
      <c r="BX126" s="6" t="n">
        <v>0.996578</v>
      </c>
      <c r="BY126" s="6" t="n">
        <v>0.996578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  <c r="K127" s="6" t="n">
        <v>2.672142</v>
      </c>
      <c r="L127" s="6" t="n">
        <v>3.671458</v>
      </c>
      <c r="M127" s="6" t="n">
        <v>4.670773</v>
      </c>
      <c r="N127" s="6" t="n">
        <v>5.670089</v>
      </c>
      <c r="O127" s="6" t="n">
        <v>6.672142</v>
      </c>
      <c r="P127" s="6" t="n">
        <v>7.671458</v>
      </c>
      <c r="Q127" s="6" t="n">
        <v>8.670773000000001</v>
      </c>
      <c r="R127" s="6" t="n">
        <v>9.670089000000001</v>
      </c>
      <c r="S127" s="6" t="n">
        <v>10.672142</v>
      </c>
      <c r="T127" s="6" t="n">
        <v>11.671458</v>
      </c>
      <c r="U127" s="6" t="n">
        <v>12.670773</v>
      </c>
      <c r="V127" s="6" t="n">
        <v>13.670089</v>
      </c>
      <c r="W127" s="6" t="n">
        <v>14.672142</v>
      </c>
      <c r="X127" s="6" t="n">
        <v>15.671458</v>
      </c>
      <c r="Y127" s="6" t="n">
        <v>16.670773</v>
      </c>
      <c r="Z127" s="6" t="n">
        <v>17.670089</v>
      </c>
      <c r="AA127" s="6" t="n">
        <v>18.672142</v>
      </c>
      <c r="AB127" s="6" t="n">
        <v>19.671458</v>
      </c>
      <c r="AC127" s="6" t="n">
        <v>20.670773</v>
      </c>
      <c r="AD127" s="6" t="n">
        <v>21.670089</v>
      </c>
      <c r="AE127" s="6" t="n">
        <v>22.672142</v>
      </c>
      <c r="AF127" s="6" t="n">
        <v>23.671458</v>
      </c>
      <c r="AG127" s="6" t="n">
        <v>24.670773</v>
      </c>
      <c r="AH127" s="6" t="n">
        <v>25.670089</v>
      </c>
      <c r="AI127" s="6" t="n">
        <v>26.672142</v>
      </c>
      <c r="AJ127" s="6" t="n">
        <v>27.671458</v>
      </c>
      <c r="AK127" s="6" t="n">
        <v>28.670773</v>
      </c>
      <c r="AL127" s="6" t="n">
        <v>29.670089</v>
      </c>
      <c r="AM127" s="6" t="n">
        <v>30.672142</v>
      </c>
      <c r="AN127" s="6" t="n">
        <v>31.671458</v>
      </c>
      <c r="AO127" s="6" t="n">
        <v>32.670773</v>
      </c>
      <c r="AP127" s="6" t="n">
        <v>33.670089</v>
      </c>
      <c r="AQ127" s="6" t="n">
        <v>34.672142</v>
      </c>
      <c r="AR127" s="6" t="n">
        <v>35.671458</v>
      </c>
      <c r="AS127" s="6" t="n">
        <v>36.670773</v>
      </c>
      <c r="AT127" s="6" t="n">
        <v>37.670089</v>
      </c>
      <c r="AU127" s="6" t="n">
        <v>38.672142</v>
      </c>
      <c r="AV127" s="6" t="n">
        <v>39.671458</v>
      </c>
      <c r="AW127" s="6" t="n">
        <v>40.670773</v>
      </c>
      <c r="AX127" s="6" t="n">
        <v>41.670089</v>
      </c>
      <c r="AY127" s="6" t="n">
        <v>42.672142</v>
      </c>
      <c r="AZ127" s="6" t="n">
        <v>43.671458</v>
      </c>
      <c r="BA127" s="6" t="n">
        <v>44.670773</v>
      </c>
      <c r="BB127" s="6" t="n">
        <v>45.670089</v>
      </c>
      <c r="BC127" s="6" t="n">
        <v>46.672142</v>
      </c>
      <c r="BD127" s="6" t="n">
        <v>47.671458</v>
      </c>
      <c r="BE127" s="6" t="n">
        <v>48.670773</v>
      </c>
      <c r="BF127" s="6" t="n">
        <v>49.670089</v>
      </c>
      <c r="BG127" s="6" t="n">
        <v>50.672142</v>
      </c>
      <c r="BH127" s="6" t="n">
        <v>51.671458</v>
      </c>
      <c r="BI127" s="6" t="n">
        <v>52.670773</v>
      </c>
      <c r="BJ127" s="6" t="n">
        <v>53.670089</v>
      </c>
      <c r="BK127" s="6" t="n">
        <v>54.672142</v>
      </c>
      <c r="BL127" s="6" t="n">
        <v>55.671458</v>
      </c>
      <c r="BM127" s="6" t="n">
        <v>56.670773</v>
      </c>
      <c r="BN127" s="6" t="n">
        <v>57.670089</v>
      </c>
      <c r="BO127" s="6" t="n">
        <v>58.672142</v>
      </c>
      <c r="BP127" s="6" t="n">
        <v>59.671458</v>
      </c>
      <c r="BQ127" s="6" t="n">
        <v>60.670773</v>
      </c>
      <c r="BR127" s="6" t="n">
        <v>61.670089</v>
      </c>
      <c r="BS127" s="6" t="n">
        <v>62.672142</v>
      </c>
      <c r="BT127" s="6" t="n">
        <v>63.671458</v>
      </c>
      <c r="BU127" s="6" t="n">
        <v>64.670773</v>
      </c>
      <c r="BV127" s="6" t="n">
        <v>65.670089</v>
      </c>
      <c r="BW127" s="6" t="n">
        <v>66.67214199999999</v>
      </c>
      <c r="BX127" s="6" t="n">
        <v>67.671458</v>
      </c>
      <c r="BY127" s="6" t="n">
        <v>68.670773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  <c r="P128">
        <f>1/(1+$C$122)^P127</f>
        <v/>
      </c>
      <c r="Q128">
        <f>1/(1+$C$122)^Q127</f>
        <v/>
      </c>
      <c r="R128">
        <f>1/(1+$C$122)^R127</f>
        <v/>
      </c>
      <c r="S128">
        <f>1/(1+$C$122)^S127</f>
        <v/>
      </c>
      <c r="T128">
        <f>1/(1+$C$122)^T127</f>
        <v/>
      </c>
      <c r="U128">
        <f>1/(1+$C$122)^U127</f>
        <v/>
      </c>
      <c r="V128">
        <f>1/(1+$C$122)^V127</f>
        <v/>
      </c>
      <c r="W128">
        <f>1/(1+$C$122)^W127</f>
        <v/>
      </c>
      <c r="X128">
        <f>1/(1+$C$122)^X127</f>
        <v/>
      </c>
      <c r="Y128">
        <f>1/(1+$C$122)^Y127</f>
        <v/>
      </c>
      <c r="Z128">
        <f>1/(1+$C$122)^Z127</f>
        <v/>
      </c>
      <c r="AA128">
        <f>1/(1+$C$122)^AA127</f>
        <v/>
      </c>
      <c r="AB128">
        <f>1/(1+$C$122)^AB127</f>
        <v/>
      </c>
      <c r="AC128">
        <f>1/(1+$C$122)^AC127</f>
        <v/>
      </c>
      <c r="AD128">
        <f>1/(1+$C$122)^AD127</f>
        <v/>
      </c>
      <c r="AE128">
        <f>1/(1+$C$122)^AE127</f>
        <v/>
      </c>
      <c r="AF128">
        <f>1/(1+$C$122)^AF127</f>
        <v/>
      </c>
      <c r="AG128">
        <f>1/(1+$C$122)^AG127</f>
        <v/>
      </c>
      <c r="AH128">
        <f>1/(1+$C$122)^AH127</f>
        <v/>
      </c>
      <c r="AI128">
        <f>1/(1+$C$122)^AI127</f>
        <v/>
      </c>
      <c r="AJ128">
        <f>1/(1+$C$122)^AJ127</f>
        <v/>
      </c>
      <c r="AK128">
        <f>1/(1+$C$122)^AK127</f>
        <v/>
      </c>
      <c r="AL128">
        <f>1/(1+$C$122)^AL127</f>
        <v/>
      </c>
      <c r="AM128">
        <f>1/(1+$C$122)^AM127</f>
        <v/>
      </c>
      <c r="AN128">
        <f>1/(1+$C$122)^AN127</f>
        <v/>
      </c>
      <c r="AO128">
        <f>1/(1+$C$122)^AO127</f>
        <v/>
      </c>
      <c r="AP128">
        <f>1/(1+$C$122)^AP127</f>
        <v/>
      </c>
      <c r="AQ128">
        <f>1/(1+$C$122)^AQ127</f>
        <v/>
      </c>
      <c r="AR128">
        <f>1/(1+$C$122)^AR127</f>
        <v/>
      </c>
      <c r="AS128">
        <f>1/(1+$C$122)^AS127</f>
        <v/>
      </c>
      <c r="AT128">
        <f>1/(1+$C$122)^AT127</f>
        <v/>
      </c>
      <c r="AU128">
        <f>1/(1+$C$122)^AU127</f>
        <v/>
      </c>
      <c r="AV128">
        <f>1/(1+$C$122)^AV127</f>
        <v/>
      </c>
      <c r="AW128">
        <f>1/(1+$C$122)^AW127</f>
        <v/>
      </c>
      <c r="AX128">
        <f>1/(1+$C$122)^AX127</f>
        <v/>
      </c>
      <c r="AY128">
        <f>1/(1+$C$122)^AY127</f>
        <v/>
      </c>
      <c r="AZ128">
        <f>1/(1+$C$122)^AZ127</f>
        <v/>
      </c>
      <c r="BA128">
        <f>1/(1+$C$122)^BA127</f>
        <v/>
      </c>
      <c r="BB128">
        <f>1/(1+$C$122)^BB127</f>
        <v/>
      </c>
      <c r="BC128">
        <f>1/(1+$C$122)^BC127</f>
        <v/>
      </c>
      <c r="BD128">
        <f>1/(1+$C$122)^BD127</f>
        <v/>
      </c>
      <c r="BE128">
        <f>1/(1+$C$122)^BE127</f>
        <v/>
      </c>
      <c r="BF128">
        <f>1/(1+$C$122)^BF127</f>
        <v/>
      </c>
      <c r="BG128">
        <f>1/(1+$C$122)^BG127</f>
        <v/>
      </c>
      <c r="BH128">
        <f>1/(1+$C$122)^BH127</f>
        <v/>
      </c>
      <c r="BI128">
        <f>1/(1+$C$122)^BI127</f>
        <v/>
      </c>
      <c r="BJ128">
        <f>1/(1+$C$122)^BJ127</f>
        <v/>
      </c>
      <c r="BK128">
        <f>1/(1+$C$122)^BK127</f>
        <v/>
      </c>
      <c r="BL128">
        <f>1/(1+$C$122)^BL127</f>
        <v/>
      </c>
      <c r="BM128">
        <f>1/(1+$C$122)^BM127</f>
        <v/>
      </c>
      <c r="BN128">
        <f>1/(1+$C$122)^BN127</f>
        <v/>
      </c>
      <c r="BO128">
        <f>1/(1+$C$122)^BO127</f>
        <v/>
      </c>
      <c r="BP128">
        <f>1/(1+$C$122)^BP127</f>
        <v/>
      </c>
      <c r="BQ128">
        <f>1/(1+$C$122)^BQ127</f>
        <v/>
      </c>
      <c r="BR128">
        <f>1/(1+$C$122)^BR127</f>
        <v/>
      </c>
      <c r="BS128">
        <f>1/(1+$C$122)^BS127</f>
        <v/>
      </c>
      <c r="BT128">
        <f>1/(1+$C$122)^BT127</f>
        <v/>
      </c>
      <c r="BU128">
        <f>1/(1+$C$122)^BU127</f>
        <v/>
      </c>
      <c r="BV128">
        <f>1/(1+$C$122)^BV127</f>
        <v/>
      </c>
      <c r="BW128">
        <f>1/(1+$C$122)^BW127</f>
        <v/>
      </c>
      <c r="BX128">
        <f>1/(1+$C$122)^BX127</f>
        <v/>
      </c>
      <c r="BY128">
        <f>1/(1+$C$122)^BY127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  <c r="M129" s="26">
        <f>M76*M126*M128</f>
        <v/>
      </c>
      <c r="N129" s="26">
        <f>N76*N126*N128</f>
        <v/>
      </c>
      <c r="O129" s="26">
        <f>O76*O126*O128</f>
        <v/>
      </c>
      <c r="P129" s="26">
        <f>P76*P126*P128</f>
        <v/>
      </c>
      <c r="Q129" s="26">
        <f>Q76*Q126*Q128</f>
        <v/>
      </c>
      <c r="R129" s="26">
        <f>R76*R126*R128</f>
        <v/>
      </c>
      <c r="S129" s="26">
        <f>S76*S126*S128</f>
        <v/>
      </c>
      <c r="T129" s="26">
        <f>T76*T126*T128</f>
        <v/>
      </c>
      <c r="U129" s="26">
        <f>U76*U126*U128</f>
        <v/>
      </c>
      <c r="V129" s="26">
        <f>V76*V126*V128</f>
        <v/>
      </c>
      <c r="W129" s="26">
        <f>W76*W126*W128</f>
        <v/>
      </c>
      <c r="X129" s="26">
        <f>X76*X126*X128</f>
        <v/>
      </c>
      <c r="Y129" s="26">
        <f>Y76*Y126*Y128</f>
        <v/>
      </c>
      <c r="Z129" s="26">
        <f>Z76*Z126*Z128</f>
        <v/>
      </c>
      <c r="AA129" s="26">
        <f>AA76*AA126*AA128</f>
        <v/>
      </c>
      <c r="AB129" s="26">
        <f>AB76*AB126*AB128</f>
        <v/>
      </c>
      <c r="AC129" s="26">
        <f>AC76*AC126*AC128</f>
        <v/>
      </c>
      <c r="AD129" s="26">
        <f>AD76*AD126*AD128</f>
        <v/>
      </c>
      <c r="AE129" s="26">
        <f>AE76*AE126*AE128</f>
        <v/>
      </c>
      <c r="AF129" s="26">
        <f>AF76*AF126*AF128</f>
        <v/>
      </c>
      <c r="AG129" s="26">
        <f>AG76*AG126*AG128</f>
        <v/>
      </c>
      <c r="AH129" s="26">
        <f>AH76*AH126*AH128</f>
        <v/>
      </c>
      <c r="AI129" s="26">
        <f>AI76*AI126*AI128</f>
        <v/>
      </c>
      <c r="AJ129" s="26">
        <f>AJ76*AJ126*AJ128</f>
        <v/>
      </c>
      <c r="AK129" s="26">
        <f>AK76*AK126*AK128</f>
        <v/>
      </c>
      <c r="AL129" s="26">
        <f>AL76*AL126*AL128</f>
        <v/>
      </c>
      <c r="AM129" s="26">
        <f>AM76*AM126*AM128</f>
        <v/>
      </c>
      <c r="AN129" s="26">
        <f>AN76*AN126*AN128</f>
        <v/>
      </c>
      <c r="AO129" s="26">
        <f>AO76*AO126*AO128</f>
        <v/>
      </c>
      <c r="AP129" s="26">
        <f>AP76*AP126*AP128</f>
        <v/>
      </c>
      <c r="AQ129" s="26">
        <f>AQ76*AQ126*AQ128</f>
        <v/>
      </c>
      <c r="AR129" s="26">
        <f>AR76*AR126*AR128</f>
        <v/>
      </c>
      <c r="AS129" s="26">
        <f>AS76*AS126*AS128</f>
        <v/>
      </c>
      <c r="AT129" s="26">
        <f>AT76*AT126*AT128</f>
        <v/>
      </c>
      <c r="AU129" s="26">
        <f>AU76*AU126*AU128</f>
        <v/>
      </c>
      <c r="AV129" s="26">
        <f>AV76*AV126*AV128</f>
        <v/>
      </c>
      <c r="AW129" s="26">
        <f>AW76*AW126*AW128</f>
        <v/>
      </c>
      <c r="AX129" s="26">
        <f>AX76*AX126*AX128</f>
        <v/>
      </c>
      <c r="AY129" s="26">
        <f>AY76*AY126*AY128</f>
        <v/>
      </c>
      <c r="AZ129" s="26">
        <f>AZ76*AZ126*AZ128</f>
        <v/>
      </c>
      <c r="BA129" s="26">
        <f>BA76*BA126*BA128</f>
        <v/>
      </c>
      <c r="BB129" s="26">
        <f>BB76*BB126*BB128</f>
        <v/>
      </c>
      <c r="BC129" s="26">
        <f>BC76*BC126*BC128</f>
        <v/>
      </c>
      <c r="BD129" s="26">
        <f>BD76*BD126*BD128</f>
        <v/>
      </c>
      <c r="BE129" s="26">
        <f>BE76*BE126*BE128</f>
        <v/>
      </c>
      <c r="BF129" s="26">
        <f>BF76*BF126*BF128</f>
        <v/>
      </c>
      <c r="BG129" s="26">
        <f>BG76*BG126*BG128</f>
        <v/>
      </c>
      <c r="BH129" s="26">
        <f>BH76*BH126*BH128</f>
        <v/>
      </c>
      <c r="BI129" s="26">
        <f>BI76*BI126*BI128</f>
        <v/>
      </c>
      <c r="BJ129" s="26">
        <f>BJ76*BJ126*BJ128</f>
        <v/>
      </c>
      <c r="BK129" s="26">
        <f>BK76*BK126*BK128</f>
        <v/>
      </c>
      <c r="BL129" s="26">
        <f>BL76*BL126*BL128</f>
        <v/>
      </c>
      <c r="BM129" s="26">
        <f>BM76*BM126*BM128</f>
        <v/>
      </c>
      <c r="BN129" s="26">
        <f>BN76*BN126*BN128</f>
        <v/>
      </c>
      <c r="BO129" s="26">
        <f>BO76*BO126*BO128</f>
        <v/>
      </c>
      <c r="BP129" s="26">
        <f>BP76*BP126*BP128</f>
        <v/>
      </c>
      <c r="BQ129" s="26">
        <f>BQ76*BQ126*BQ128</f>
        <v/>
      </c>
      <c r="BR129" s="26">
        <f>BR76*BR126*BR128</f>
        <v/>
      </c>
      <c r="BS129" s="26">
        <f>BS76*BS126*BS128</f>
        <v/>
      </c>
      <c r="BT129" s="26">
        <f>BT76*BT126*BT128</f>
        <v/>
      </c>
      <c r="BU129" s="26">
        <f>BU76*BU126*BU128</f>
        <v/>
      </c>
      <c r="BV129" s="26">
        <f>BV76*BV126*BV128</f>
        <v/>
      </c>
      <c r="BW129" s="26">
        <f>BW76*BW126*BW128</f>
        <v/>
      </c>
      <c r="BX129" s="26">
        <f>BX76*BX126*BX128</f>
        <v/>
      </c>
      <c r="BY129" s="26">
        <f>BY76*BY126*BY128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  <c r="M130" s="26">
        <f>L130+M129</f>
        <v/>
      </c>
      <c r="N130" s="26">
        <f>M130+N129</f>
        <v/>
      </c>
      <c r="O130" s="26">
        <f>N130+O129</f>
        <v/>
      </c>
      <c r="P130" s="26">
        <f>O130+P129</f>
        <v/>
      </c>
      <c r="Q130" s="26">
        <f>P130+Q129</f>
        <v/>
      </c>
      <c r="R130" s="26">
        <f>Q130+R129</f>
        <v/>
      </c>
      <c r="S130" s="26">
        <f>R130+S129</f>
        <v/>
      </c>
      <c r="T130" s="26">
        <f>S130+T129</f>
        <v/>
      </c>
      <c r="U130" s="26">
        <f>T130+U129</f>
        <v/>
      </c>
      <c r="V130" s="26">
        <f>U130+V129</f>
        <v/>
      </c>
      <c r="W130" s="26">
        <f>V130+W129</f>
        <v/>
      </c>
      <c r="X130" s="26">
        <f>W130+X129</f>
        <v/>
      </c>
      <c r="Y130" s="26">
        <f>X130+Y129</f>
        <v/>
      </c>
      <c r="Z130" s="26">
        <f>Y130+Z129</f>
        <v/>
      </c>
      <c r="AA130" s="26">
        <f>Z130+AA129</f>
        <v/>
      </c>
      <c r="AB130" s="26">
        <f>AA130+AB129</f>
        <v/>
      </c>
      <c r="AC130" s="26">
        <f>AB130+AC129</f>
        <v/>
      </c>
      <c r="AD130" s="26">
        <f>AC130+AD129</f>
        <v/>
      </c>
      <c r="AE130" s="26">
        <f>AD130+AE129</f>
        <v/>
      </c>
      <c r="AF130" s="26">
        <f>AE130+AF129</f>
        <v/>
      </c>
      <c r="AG130" s="26">
        <f>AF130+AG129</f>
        <v/>
      </c>
      <c r="AH130" s="26">
        <f>AG130+AH129</f>
        <v/>
      </c>
      <c r="AI130" s="26">
        <f>AH130+AI129</f>
        <v/>
      </c>
      <c r="AJ130" s="26">
        <f>AI130+AJ129</f>
        <v/>
      </c>
      <c r="AK130" s="26">
        <f>AJ130+AK129</f>
        <v/>
      </c>
      <c r="AL130" s="26">
        <f>AK130+AL129</f>
        <v/>
      </c>
      <c r="AM130" s="26">
        <f>AL130+AM129</f>
        <v/>
      </c>
      <c r="AN130" s="26">
        <f>AM130+AN129</f>
        <v/>
      </c>
      <c r="AO130" s="26">
        <f>AN130+AO129</f>
        <v/>
      </c>
      <c r="AP130" s="26">
        <f>AO130+AP129</f>
        <v/>
      </c>
      <c r="AQ130" s="26">
        <f>AP130+AQ129</f>
        <v/>
      </c>
      <c r="AR130" s="26">
        <f>AQ130+AR129</f>
        <v/>
      </c>
      <c r="AS130" s="26">
        <f>AR130+AS129</f>
        <v/>
      </c>
      <c r="AT130" s="26">
        <f>AS130+AT129</f>
        <v/>
      </c>
      <c r="AU130" s="26">
        <f>AT130+AU129</f>
        <v/>
      </c>
      <c r="AV130" s="26">
        <f>AU130+AV129</f>
        <v/>
      </c>
      <c r="AW130" s="26">
        <f>AV130+AW129</f>
        <v/>
      </c>
      <c r="AX130" s="26">
        <f>AW130+AX129</f>
        <v/>
      </c>
      <c r="AY130" s="26">
        <f>AX130+AY129</f>
        <v/>
      </c>
      <c r="AZ130" s="26">
        <f>AY130+AZ129</f>
        <v/>
      </c>
      <c r="BA130" s="26">
        <f>AZ130+BA129</f>
        <v/>
      </c>
      <c r="BB130" s="26">
        <f>BA130+BB129</f>
        <v/>
      </c>
      <c r="BC130" s="26">
        <f>BB130+BC129</f>
        <v/>
      </c>
      <c r="BD130" s="26">
        <f>BC130+BD129</f>
        <v/>
      </c>
      <c r="BE130" s="26">
        <f>BD130+BE129</f>
        <v/>
      </c>
      <c r="BF130" s="26">
        <f>BE130+BF129</f>
        <v/>
      </c>
      <c r="BG130" s="26">
        <f>BF130+BG129</f>
        <v/>
      </c>
      <c r="BH130" s="26">
        <f>BG130+BH129</f>
        <v/>
      </c>
      <c r="BI130" s="26">
        <f>BH130+BI129</f>
        <v/>
      </c>
      <c r="BJ130" s="26">
        <f>BI130+BJ129</f>
        <v/>
      </c>
      <c r="BK130" s="26">
        <f>BJ130+BK129</f>
        <v/>
      </c>
      <c r="BL130" s="26">
        <f>BK130+BL129</f>
        <v/>
      </c>
      <c r="BM130" s="26">
        <f>BL130+BM129</f>
        <v/>
      </c>
      <c r="BN130" s="26">
        <f>BM130+BN129</f>
        <v/>
      </c>
      <c r="BO130" s="26">
        <f>BN130+BO129</f>
        <v/>
      </c>
      <c r="BP130" s="26">
        <f>BO130+BP129</f>
        <v/>
      </c>
      <c r="BQ130" s="26">
        <f>BP130+BQ129</f>
        <v/>
      </c>
      <c r="BR130" s="26">
        <f>BQ130+BR129</f>
        <v/>
      </c>
      <c r="BS130" s="26">
        <f>BR130+BS129</f>
        <v/>
      </c>
      <c r="BT130" s="26">
        <f>BS130+BT129</f>
        <v/>
      </c>
      <c r="BU130" s="26">
        <f>BT130+BU129</f>
        <v/>
      </c>
      <c r="BV130" s="26">
        <f>BU130+BV129</f>
        <v/>
      </c>
      <c r="BW130" s="26">
        <f>BV130+BW129</f>
        <v/>
      </c>
      <c r="BX130" s="26">
        <f>BW130+BX129</f>
        <v/>
      </c>
      <c r="BY130" s="26">
        <f>BX130+BY129</f>
        <v/>
      </c>
    </row>
    <row r="131">
      <c r="A131" t="inlineStr">
        <is>
          <t>Best cumulative PV (never below zero)</t>
        </is>
      </c>
      <c r="C131" s="26">
        <f>MAX(0,MAX(H130:BY130))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MAX(0,$C$134/$C$103*$C$111*1)</f>
        <v/>
      </c>
    </row>
    <row r="137">
      <c r="A137" s="1" t="inlineStr">
        <is>
          <t>EV/EBITDA</t>
        </is>
      </c>
    </row>
    <row r="138">
      <c r="A138" t="inlineStr">
        <is>
          <t>Target multiple (average of peer median and own five-year average)</t>
        </is>
      </c>
      <c r="C138" s="22" t="n">
        <v>5.496958</v>
      </c>
    </row>
    <row r="139">
      <c r="A139" t="inlineStr">
        <is>
          <t>Metric (LTM, or next-12m DPS for yield)</t>
        </is>
      </c>
      <c r="C139" s="13" t="n">
        <v>5222.175</v>
      </c>
    </row>
    <row r="140">
      <c r="A140" t="inlineStr">
        <is>
          <t>Value per share (IDR) — EV/EBITDA</t>
        </is>
      </c>
      <c r="C140" s="27">
        <f>MAX(0,($C$138*$C$139-($C$105-$C$106)-$C$107+$C$108+$C$109)/$C$103*$C$111*1)</f>
        <v/>
      </c>
    </row>
    <row r="142">
      <c r="A142" s="1" t="inlineStr">
        <is>
          <t>Dividend yield</t>
        </is>
      </c>
    </row>
    <row r="143">
      <c r="A143" t="inlineStr">
        <is>
          <t>Target multiple (average of peer median and own five-year average)</t>
        </is>
      </c>
      <c r="C143" s="4" t="n">
        <v>0.117969</v>
      </c>
    </row>
    <row r="144">
      <c r="A144" t="inlineStr">
        <is>
          <t>Metric (LTM, or next-12m DPS for yield)</t>
        </is>
      </c>
      <c r="C144" s="13" t="n">
        <v>397.57222</v>
      </c>
    </row>
    <row r="145">
      <c r="A145" t="inlineStr">
        <is>
          <t>Value per share (IDR) — Dividend yield</t>
        </is>
      </c>
      <c r="C145" s="27">
        <f>MAX(0,$C$144/$C$143*1)</f>
        <v/>
      </c>
    </row>
    <row r="147">
      <c r="A147" s="1" t="inlineStr">
        <is>
          <t>TARGET</t>
        </is>
      </c>
    </row>
    <row r="148">
      <c r="A148" t="inlineStr">
        <is>
          <t>Weight: DCF to end of life (no terminal value)</t>
        </is>
      </c>
      <c r="C148" s="4" t="n">
        <v>0.6</v>
      </c>
    </row>
    <row r="149">
      <c r="A149" t="inlineStr">
        <is>
          <t>Weight: EV/EBITDA</t>
        </is>
      </c>
      <c r="C149" s="4" t="n">
        <v>0.25</v>
      </c>
    </row>
    <row r="150">
      <c r="A150" t="inlineStr">
        <is>
          <t>Weight: Dividend yield</t>
        </is>
      </c>
      <c r="C150" s="4" t="n">
        <v>0.15</v>
      </c>
    </row>
    <row r="151">
      <c r="A151" t="inlineStr">
        <is>
          <t>Value today (weighted)</t>
        </is>
      </c>
      <c r="C151" s="27">
        <f>$C$135*$C$148+$C$140*$C$149+$C$145*$C$150</f>
        <v/>
      </c>
    </row>
    <row r="152">
      <c r="A152" t="inlineStr">
        <is>
          <t>DPS expected in next 12 months (IDR)</t>
        </is>
      </c>
      <c r="C152" s="20" t="n">
        <v>397.5722200270637</v>
      </c>
    </row>
    <row r="153">
      <c r="A153" t="inlineStr">
        <is>
          <t>Base-case 12-month value</t>
        </is>
      </c>
      <c r="C153" s="27">
        <f>MAX(0,$C$151*(1+$C$120)-$C$152)</f>
        <v/>
      </c>
    </row>
    <row r="154">
      <c r="A154" t="inlineStr">
        <is>
          <t>Bear probability</t>
        </is>
      </c>
      <c r="C154" s="4" t="n">
        <v>0.25</v>
      </c>
    </row>
    <row r="155">
      <c r="A155" t="inlineStr">
        <is>
          <t>Bear 12-month value (engine)</t>
        </is>
      </c>
      <c r="C155" s="20" t="n">
        <v>1833.669546520564</v>
      </c>
    </row>
    <row r="156">
      <c r="A156" t="inlineStr">
        <is>
          <t>Base probability</t>
        </is>
      </c>
      <c r="C156" s="4" t="n">
        <v>0.5</v>
      </c>
    </row>
    <row r="157">
      <c r="A157" t="inlineStr">
        <is>
          <t>Bull probability</t>
        </is>
      </c>
      <c r="C157" s="4" t="n">
        <v>0.25</v>
      </c>
    </row>
    <row r="158">
      <c r="A158" t="inlineStr">
        <is>
          <t>Bull 12-month value (engine)</t>
        </is>
      </c>
      <c r="C158" s="20" t="n">
        <v>9705.922740846487</v>
      </c>
    </row>
    <row r="159">
      <c r="A159" t="inlineStr">
        <is>
          <t>Probability-weighted 12-month value</t>
        </is>
      </c>
      <c r="C159" s="27">
        <f>$C$154*$C$155+$C$156*$C$153+$C$157*$C$158</f>
        <v/>
      </c>
    </row>
    <row r="160">
      <c r="A160" t="inlineStr">
        <is>
          <t>Liquidity discount (limits.yaml)</t>
        </is>
      </c>
      <c r="C160" s="4" t="n">
        <v>0</v>
      </c>
    </row>
    <row r="161">
      <c r="A161" t="inlineStr">
        <is>
          <t>TARGET PRICE (IDR)</t>
        </is>
      </c>
      <c r="C161" s="28">
        <f>$C$159*(1-$C$160)</f>
        <v/>
      </c>
    </row>
    <row r="162">
      <c r="A162" t="inlineStr">
        <is>
          <t>Expected 12-month total return</t>
        </is>
      </c>
      <c r="C162" s="29">
        <f>($C$161+$C$152)/$C$102-1</f>
        <v/>
      </c>
    </row>
    <row r="163">
      <c r="A163" t="inlineStr">
        <is>
          <t>Rating</t>
        </is>
      </c>
      <c r="C163" s="30">
        <f>IF($C$162&gt;=0.25,"BUY",IF($C$162&gt;=0.1,"ADD",IF($C$162&lt;=-0.25,"SELL",IF($C$162&lt;=-0.1,"REDUCE","HOLD"))))</f>
        <v/>
      </c>
    </row>
    <row r="165">
      <c r="A165" s="1" t="inlineStr">
        <is>
          <t>12-month value vs benchmark price and IDR/USD (engine values)</t>
        </is>
      </c>
    </row>
    <row r="166">
      <c r="A166" s="5" t="inlineStr">
        <is>
          <t>rows: IDR per USD (x deck) · columns: Benchmark price (x deck)</t>
        </is>
      </c>
      <c r="D166" s="1" t="n">
        <v>0.8</v>
      </c>
      <c r="E166" s="1" t="n">
        <v>0.9</v>
      </c>
      <c r="F166" s="1" t="n">
        <v>1</v>
      </c>
      <c r="G166" s="1" t="n">
        <v>1.1</v>
      </c>
      <c r="H166" s="1" t="n">
        <v>1.2</v>
      </c>
    </row>
    <row r="167">
      <c r="C167" s="1" t="n">
        <v>0.9</v>
      </c>
      <c r="D167" s="27" t="n">
        <v>2136.612582</v>
      </c>
      <c r="E167" s="27" t="n">
        <v>1848.267733</v>
      </c>
      <c r="F167" s="27" t="n">
        <v>2233.029892</v>
      </c>
      <c r="G167" s="27" t="n">
        <v>3265.679032</v>
      </c>
      <c r="H167" s="27" t="n">
        <v>4490.173924</v>
      </c>
    </row>
    <row r="168">
      <c r="C168" s="1" t="n">
        <v>0.95</v>
      </c>
      <c r="D168" s="27" t="n">
        <v>2136.612582</v>
      </c>
      <c r="E168" s="27" t="n">
        <v>1887.595246</v>
      </c>
      <c r="F168" s="27" t="n">
        <v>2774.134839</v>
      </c>
      <c r="G168" s="27" t="n">
        <v>4018.679636</v>
      </c>
      <c r="H168" s="27" t="n">
        <v>5419.767582</v>
      </c>
    </row>
    <row r="169">
      <c r="C169" s="1" t="n">
        <v>1</v>
      </c>
      <c r="D169" s="27" t="n">
        <v>1841.207283</v>
      </c>
      <c r="E169" s="27" t="n">
        <v>2233.029892</v>
      </c>
      <c r="F169" s="27" t="n">
        <v>3402.307128</v>
      </c>
      <c r="G169" s="27" t="n">
        <v>4836.730672</v>
      </c>
      <c r="H169" s="27" t="n">
        <v>6400.011949</v>
      </c>
    </row>
    <row r="170">
      <c r="C170" s="1" t="n">
        <v>1.05</v>
      </c>
      <c r="D170" s="27" t="n">
        <v>1869.449081</v>
      </c>
      <c r="E170" s="27" t="n">
        <v>2717.29781</v>
      </c>
      <c r="F170" s="27" t="n">
        <v>4097.211222</v>
      </c>
      <c r="G170" s="27" t="n">
        <v>5704.858757</v>
      </c>
      <c r="H170" s="27" t="n">
        <v>7419.144553</v>
      </c>
    </row>
    <row r="171">
      <c r="C171" s="1" t="n">
        <v>1.1</v>
      </c>
      <c r="D171" s="27" t="n">
        <v>2047.342299</v>
      </c>
      <c r="E171" s="27" t="n">
        <v>3271.816725</v>
      </c>
      <c r="F171" s="27" t="n">
        <v>4843.550331</v>
      </c>
      <c r="G171" s="27" t="n">
        <v>6615.303079</v>
      </c>
      <c r="H171" s="27" t="n">
        <v>8470.112539</v>
      </c>
    </row>
    <row r="173">
      <c r="A173" s="1" t="inlineStr">
        <is>
          <t>12-month value vs volume and unit cost intensity (engine values)</t>
        </is>
      </c>
    </row>
    <row r="174">
      <c r="A174" s="5" t="inlineStr">
        <is>
          <t>rows: Volume (x plan) · columns: Cost intensity / strip ratio (x)</t>
        </is>
      </c>
      <c r="D174" s="1" t="n">
        <v>0.85</v>
      </c>
      <c r="E174" s="1" t="n">
        <v>0.925</v>
      </c>
      <c r="F174" s="1" t="n">
        <v>1</v>
      </c>
      <c r="G174" s="1" t="n">
        <v>1.075</v>
      </c>
      <c r="H174" s="1" t="n">
        <v>1.15</v>
      </c>
    </row>
    <row r="175">
      <c r="C175" s="1" t="n">
        <v>0.9</v>
      </c>
      <c r="D175" s="27" t="n">
        <v>5409.241928</v>
      </c>
      <c r="E175" s="27" t="n">
        <v>4867.495035</v>
      </c>
      <c r="F175" s="27" t="n">
        <v>4338.911571</v>
      </c>
      <c r="G175" s="27" t="n">
        <v>3826.997542</v>
      </c>
      <c r="H175" s="27" t="n">
        <v>3335.579086</v>
      </c>
    </row>
    <row r="176">
      <c r="C176" s="1" t="n">
        <v>0.95</v>
      </c>
      <c r="D176" s="27" t="n">
        <v>5609.802042</v>
      </c>
      <c r="E176" s="27" t="n">
        <v>5037.970046</v>
      </c>
      <c r="F176" s="27" t="n">
        <v>4480.037394</v>
      </c>
      <c r="G176" s="27" t="n">
        <v>3939.706648</v>
      </c>
      <c r="H176" s="27" t="n">
        <v>3421.018978</v>
      </c>
    </row>
    <row r="177">
      <c r="C177" s="1" t="n">
        <v>1</v>
      </c>
      <c r="D177" s="27" t="n">
        <v>5810.362155</v>
      </c>
      <c r="E177" s="27" t="n">
        <v>5208.445057</v>
      </c>
      <c r="F177" s="27" t="n">
        <v>4621.163216</v>
      </c>
      <c r="G177" s="27" t="n">
        <v>4052.415754</v>
      </c>
      <c r="H177" s="27" t="n">
        <v>3506.45887</v>
      </c>
    </row>
    <row r="178">
      <c r="C178" s="1" t="n">
        <v>1.05</v>
      </c>
      <c r="D178" s="27" t="n">
        <v>6010.922268</v>
      </c>
      <c r="E178" s="27" t="n">
        <v>5378.920069</v>
      </c>
      <c r="F178" s="27" t="n">
        <v>4762.289039</v>
      </c>
      <c r="G178" s="27" t="n">
        <v>4165.12486</v>
      </c>
      <c r="H178" s="27" t="n">
        <v>3591.898762</v>
      </c>
    </row>
    <row r="179">
      <c r="C179" s="1" t="n">
        <v>1.1</v>
      </c>
      <c r="D179" s="27" t="n">
        <v>6211.482381</v>
      </c>
      <c r="E179" s="27" t="n">
        <v>5549.39508</v>
      </c>
      <c r="F179" s="27" t="n">
        <v>4903.414862</v>
      </c>
      <c r="G179" s="27" t="n">
        <v>4277.833966</v>
      </c>
      <c r="H179" s="27" t="n">
        <v>3677.338654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18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 Singaraja Putra Tbk (SINI.JK) — Coal producers</t>
        </is>
      </c>
    </row>
    <row r="2">
      <c r="A2" s="5" t="inlineStr">
        <is>
          <t>Units: IDR bn; per-share in IDR unless marked IDR. Model asof 2026-10-30 · data 2026-10-30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  <c r="R4" s="1" t="inlineStr">
        <is>
          <t>FY2036E</t>
        </is>
      </c>
      <c r="S4" s="1" t="inlineStr">
        <is>
          <t>FY2037E</t>
        </is>
      </c>
      <c r="T4" s="1" t="inlineStr">
        <is>
          <t>FY2038E</t>
        </is>
      </c>
      <c r="U4" s="1" t="inlineStr">
        <is>
          <t>FY2039E</t>
        </is>
      </c>
      <c r="V4" s="1" t="inlineStr">
        <is>
          <t>FY2040E</t>
        </is>
      </c>
      <c r="W4" s="1" t="inlineStr">
        <is>
          <t>FY2041E</t>
        </is>
      </c>
      <c r="X4" s="1" t="inlineStr">
        <is>
          <t>FY2042E</t>
        </is>
      </c>
      <c r="Y4" s="1" t="inlineStr">
        <is>
          <t>FY2043E</t>
        </is>
      </c>
      <c r="Z4" s="1" t="inlineStr">
        <is>
          <t>FY2044E</t>
        </is>
      </c>
      <c r="AA4" s="1" t="inlineStr">
        <is>
          <t>FY2045E</t>
        </is>
      </c>
      <c r="AB4" s="1" t="inlineStr">
        <is>
          <t>FY2046E</t>
        </is>
      </c>
      <c r="AC4" s="1" t="inlineStr">
        <is>
          <t>FY2047E</t>
        </is>
      </c>
      <c r="AD4" s="1" t="inlineStr">
        <is>
          <t>FY2048E</t>
        </is>
      </c>
      <c r="AE4" s="1" t="inlineStr">
        <is>
          <t>FY2049E</t>
        </is>
      </c>
      <c r="AF4" s="1" t="inlineStr">
        <is>
          <t>FY2050E</t>
        </is>
      </c>
      <c r="AG4" s="1" t="inlineStr">
        <is>
          <t>FY2051E</t>
        </is>
      </c>
      <c r="AH4" s="1" t="inlineStr">
        <is>
          <t>FY2052E</t>
        </is>
      </c>
      <c r="AI4" s="1" t="inlineStr">
        <is>
          <t>FY2053E</t>
        </is>
      </c>
      <c r="AJ4" s="1" t="inlineStr">
        <is>
          <t>FY2054E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29</v>
      </c>
    </row>
    <row r="8">
      <c r="A8" t="inlineStr">
        <is>
          <t>ps_factor</t>
        </is>
      </c>
      <c r="C8" s="6" t="n">
        <v>1000</v>
      </c>
    </row>
    <row r="9">
      <c r="A9" t="inlineStr">
        <is>
          <t>reserves</t>
        </is>
      </c>
      <c r="C9" s="6" t="n">
        <v>63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0.35</v>
      </c>
      <c r="I14" s="13" t="n">
        <v>2.2</v>
      </c>
      <c r="J14" s="13" t="n">
        <v>2.2</v>
      </c>
      <c r="K14" s="13" t="n">
        <v>2.2</v>
      </c>
      <c r="L14" s="13" t="n">
        <v>2.2</v>
      </c>
      <c r="M14" s="13" t="n">
        <v>2.2</v>
      </c>
      <c r="N14" s="13" t="n">
        <v>2.2</v>
      </c>
      <c r="O14" s="13" t="n">
        <v>2.2</v>
      </c>
      <c r="P14" s="13" t="n">
        <v>2.2</v>
      </c>
      <c r="Q14" s="13" t="n">
        <v>2.2</v>
      </c>
      <c r="R14" s="13" t="n">
        <v>2.2</v>
      </c>
      <c r="S14" s="13" t="n">
        <v>2.2</v>
      </c>
      <c r="T14" s="13" t="n">
        <v>2.2</v>
      </c>
      <c r="U14" s="13" t="n">
        <v>2.2</v>
      </c>
      <c r="V14" s="13" t="n">
        <v>2.2</v>
      </c>
      <c r="W14" s="13" t="n">
        <v>2.2</v>
      </c>
      <c r="X14" s="13" t="n">
        <v>2.2</v>
      </c>
      <c r="Y14" s="13" t="n">
        <v>2.2</v>
      </c>
      <c r="Z14" s="13" t="n">
        <v>2.2</v>
      </c>
      <c r="AA14" s="13" t="n">
        <v>2.2</v>
      </c>
      <c r="AB14" s="13" t="n">
        <v>2.2</v>
      </c>
      <c r="AC14" s="13" t="n">
        <v>2.2</v>
      </c>
      <c r="AD14" s="13" t="n">
        <v>2.2</v>
      </c>
      <c r="AE14" s="13" t="n">
        <v>2.2</v>
      </c>
      <c r="AF14" s="13" t="n">
        <v>2.2</v>
      </c>
      <c r="AG14" s="13" t="n">
        <v>2.2</v>
      </c>
      <c r="AH14" s="13" t="n">
        <v>2.2</v>
      </c>
      <c r="AI14" s="13" t="n">
        <v>2.2</v>
      </c>
      <c r="AJ14" s="13" t="n">
        <v>2.2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0.41</v>
      </c>
      <c r="I15" s="14" t="n">
        <v>0.41</v>
      </c>
      <c r="J15" s="14" t="n">
        <v>0.41</v>
      </c>
      <c r="K15" s="14" t="n">
        <v>0.41</v>
      </c>
      <c r="L15" s="14" t="n">
        <v>0.41</v>
      </c>
      <c r="M15" s="14" t="n">
        <v>0.41</v>
      </c>
      <c r="N15" s="14" t="n">
        <v>0.41</v>
      </c>
      <c r="O15" s="14" t="n">
        <v>0.41</v>
      </c>
      <c r="P15" s="14" t="n">
        <v>0.41</v>
      </c>
      <c r="Q15" s="14" t="n">
        <v>0.41</v>
      </c>
      <c r="R15" s="14" t="n">
        <v>0.41</v>
      </c>
      <c r="S15" s="14" t="n">
        <v>0.41</v>
      </c>
      <c r="T15" s="14" t="n">
        <v>0.41</v>
      </c>
      <c r="U15" s="14" t="n">
        <v>0.41</v>
      </c>
      <c r="V15" s="14" t="n">
        <v>0.41</v>
      </c>
      <c r="W15" s="14" t="n">
        <v>0.41</v>
      </c>
      <c r="X15" s="14" t="n">
        <v>0.41</v>
      </c>
      <c r="Y15" s="14" t="n">
        <v>0.41</v>
      </c>
      <c r="Z15" s="14" t="n">
        <v>0.41</v>
      </c>
      <c r="AA15" s="14" t="n">
        <v>0.41</v>
      </c>
      <c r="AB15" s="14" t="n">
        <v>0.41</v>
      </c>
      <c r="AC15" s="14" t="n">
        <v>0.41</v>
      </c>
      <c r="AD15" s="14" t="n">
        <v>0.41</v>
      </c>
      <c r="AE15" s="14" t="n">
        <v>0.41</v>
      </c>
      <c r="AF15" s="14" t="n">
        <v>0.41</v>
      </c>
      <c r="AG15" s="14" t="n">
        <v>0.41</v>
      </c>
      <c r="AH15" s="14" t="n">
        <v>0.41</v>
      </c>
      <c r="AI15" s="14" t="n">
        <v>0.41</v>
      </c>
      <c r="AJ15" s="14" t="n">
        <v>0.41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4</v>
      </c>
      <c r="I17" s="14" t="n">
        <v>4</v>
      </c>
      <c r="J17" s="14" t="n">
        <v>4</v>
      </c>
      <c r="K17" s="14" t="n">
        <v>4</v>
      </c>
      <c r="L17" s="14" t="n">
        <v>4</v>
      </c>
      <c r="M17" s="14" t="n">
        <v>4</v>
      </c>
      <c r="N17" s="14" t="n">
        <v>4</v>
      </c>
      <c r="O17" s="14" t="n">
        <v>4</v>
      </c>
      <c r="P17" s="14" t="n">
        <v>4</v>
      </c>
      <c r="Q17" s="14" t="n">
        <v>4</v>
      </c>
      <c r="R17" s="14" t="n">
        <v>4</v>
      </c>
      <c r="S17" s="14" t="n">
        <v>4</v>
      </c>
      <c r="T17" s="14" t="n">
        <v>4</v>
      </c>
      <c r="U17" s="14" t="n">
        <v>4</v>
      </c>
      <c r="V17" s="14" t="n">
        <v>4</v>
      </c>
      <c r="W17" s="14" t="n">
        <v>4</v>
      </c>
      <c r="X17" s="14" t="n">
        <v>4</v>
      </c>
      <c r="Y17" s="14" t="n">
        <v>4</v>
      </c>
      <c r="Z17" s="14" t="n">
        <v>4</v>
      </c>
      <c r="AA17" s="14" t="n">
        <v>4</v>
      </c>
      <c r="AB17" s="14" t="n">
        <v>4</v>
      </c>
      <c r="AC17" s="14" t="n">
        <v>4</v>
      </c>
      <c r="AD17" s="14" t="n">
        <v>4</v>
      </c>
      <c r="AE17" s="14" t="n">
        <v>4</v>
      </c>
      <c r="AF17" s="14" t="n">
        <v>4</v>
      </c>
      <c r="AG17" s="14" t="n">
        <v>4</v>
      </c>
      <c r="AH17" s="14" t="n">
        <v>4</v>
      </c>
      <c r="AI17" s="14" t="n">
        <v>4</v>
      </c>
      <c r="AJ17" s="14" t="n">
        <v>4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43750</v>
      </c>
      <c r="I18" s="3" t="n">
        <v>43750</v>
      </c>
      <c r="J18" s="3" t="n">
        <v>43750</v>
      </c>
      <c r="K18" s="3" t="n">
        <v>43750</v>
      </c>
      <c r="L18" s="3" t="n">
        <v>43750</v>
      </c>
      <c r="M18" s="3" t="n">
        <v>44843.74999999999</v>
      </c>
      <c r="N18" s="3" t="n">
        <v>45964.84375</v>
      </c>
      <c r="O18" s="3" t="n">
        <v>47113.96484374999</v>
      </c>
      <c r="P18" s="3" t="n">
        <v>48291.81396484373</v>
      </c>
      <c r="Q18" s="3" t="n">
        <v>49499.10931396482</v>
      </c>
      <c r="R18" s="3" t="n">
        <v>50736.58704681393</v>
      </c>
      <c r="S18" s="3" t="n">
        <v>52005.00172298429</v>
      </c>
      <c r="T18" s="3" t="n">
        <v>53305.12676605888</v>
      </c>
      <c r="U18" s="3" t="n">
        <v>54637.75493521035</v>
      </c>
      <c r="V18" s="3" t="n">
        <v>56003.69880859061</v>
      </c>
      <c r="W18" s="3" t="n">
        <v>57403.79127880537</v>
      </c>
      <c r="X18" s="3" t="n">
        <v>58838.8860607755</v>
      </c>
      <c r="Y18" s="3" t="n">
        <v>60309.85821229487</v>
      </c>
      <c r="Z18" s="3" t="n">
        <v>61817.60466760225</v>
      </c>
      <c r="AA18" s="3" t="n">
        <v>63363.04478429229</v>
      </c>
      <c r="AB18" s="3" t="n">
        <v>64947.12090389959</v>
      </c>
      <c r="AC18" s="3" t="n">
        <v>66570.79892649708</v>
      </c>
      <c r="AD18" s="3" t="n">
        <v>68235.0688996595</v>
      </c>
      <c r="AE18" s="3" t="n">
        <v>69940.94562215098</v>
      </c>
      <c r="AF18" s="3" t="n">
        <v>71689.46926270475</v>
      </c>
      <c r="AG18" s="3" t="n">
        <v>73481.70599427237</v>
      </c>
      <c r="AH18" s="3" t="n">
        <v>75318.74864412917</v>
      </c>
      <c r="AI18" s="3" t="n">
        <v>77201.71736023239</v>
      </c>
      <c r="AJ18" s="3" t="n">
        <v>79131.76029423819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0.065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373400</v>
      </c>
      <c r="I20" s="3" t="n">
        <v>373400</v>
      </c>
      <c r="J20" s="3" t="n">
        <v>373400</v>
      </c>
      <c r="K20" s="3" t="n">
        <v>373400</v>
      </c>
      <c r="L20" s="3" t="n">
        <v>373400</v>
      </c>
      <c r="M20" s="3" t="n">
        <v>382734.9999999999</v>
      </c>
      <c r="N20" s="3" t="n">
        <v>392303.3749999999</v>
      </c>
      <c r="O20" s="3" t="n">
        <v>402110.9593749999</v>
      </c>
      <c r="P20" s="3" t="n">
        <v>412163.7333593748</v>
      </c>
      <c r="Q20" s="3" t="n">
        <v>422467.8266933592</v>
      </c>
      <c r="R20" s="3" t="n">
        <v>433029.5223606931</v>
      </c>
      <c r="S20" s="3" t="n">
        <v>443855.2604197105</v>
      </c>
      <c r="T20" s="3" t="n">
        <v>454951.6419302031</v>
      </c>
      <c r="U20" s="3" t="n">
        <v>466325.4329784582</v>
      </c>
      <c r="V20" s="3" t="n">
        <v>477983.5688029196</v>
      </c>
      <c r="W20" s="3" t="n">
        <v>489933.1580229925</v>
      </c>
      <c r="X20" s="3" t="n">
        <v>502181.4869735673</v>
      </c>
      <c r="Y20" s="3" t="n">
        <v>514736.0241479064</v>
      </c>
      <c r="Z20" s="3" t="n">
        <v>527604.4247516041</v>
      </c>
      <c r="AA20" s="3" t="n">
        <v>540794.5353703941</v>
      </c>
      <c r="AB20" s="3" t="n">
        <v>554314.398754654</v>
      </c>
      <c r="AC20" s="3" t="n">
        <v>568172.2587235202</v>
      </c>
      <c r="AD20" s="3" t="n">
        <v>582376.5651916082</v>
      </c>
      <c r="AE20" s="3" t="n">
        <v>596935.9793213983</v>
      </c>
      <c r="AF20" s="3" t="n">
        <v>611859.3788044332</v>
      </c>
      <c r="AG20" s="3" t="n">
        <v>627155.863274544</v>
      </c>
      <c r="AH20" s="3" t="n">
        <v>642834.7598564075</v>
      </c>
      <c r="AI20" s="3" t="n">
        <v>658905.6288528177</v>
      </c>
      <c r="AJ20" s="3" t="n">
        <v>675378.269574138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0.089</v>
      </c>
      <c r="I21" s="4" t="n">
        <v>0.089</v>
      </c>
      <c r="J21" s="4" t="n">
        <v>0.089</v>
      </c>
      <c r="K21" s="4" t="n">
        <v>0.089</v>
      </c>
      <c r="L21" s="4" t="n">
        <v>0.089</v>
      </c>
      <c r="M21" s="4" t="n">
        <v>0.089</v>
      </c>
      <c r="N21" s="4" t="n">
        <v>0.089</v>
      </c>
      <c r="O21" s="4" t="n">
        <v>0.089</v>
      </c>
      <c r="P21" s="4" t="n">
        <v>0.089</v>
      </c>
      <c r="Q21" s="4" t="n">
        <v>0.089</v>
      </c>
      <c r="R21" s="4" t="n">
        <v>0.089</v>
      </c>
      <c r="S21" s="4" t="n">
        <v>0.089</v>
      </c>
      <c r="T21" s="4" t="n">
        <v>0.089</v>
      </c>
      <c r="U21" s="4" t="n">
        <v>0.089</v>
      </c>
      <c r="V21" s="4" t="n">
        <v>0.089</v>
      </c>
      <c r="W21" s="4" t="n">
        <v>0.089</v>
      </c>
      <c r="X21" s="4" t="n">
        <v>0.089</v>
      </c>
      <c r="Y21" s="4" t="n">
        <v>0.089</v>
      </c>
      <c r="Z21" s="4" t="n">
        <v>0.089</v>
      </c>
      <c r="AA21" s="4" t="n">
        <v>0.089</v>
      </c>
      <c r="AB21" s="4" t="n">
        <v>0.089</v>
      </c>
      <c r="AC21" s="4" t="n">
        <v>0.089</v>
      </c>
      <c r="AD21" s="4" t="n">
        <v>0.089</v>
      </c>
      <c r="AE21" s="4" t="n">
        <v>0.089</v>
      </c>
      <c r="AF21" s="4" t="n">
        <v>0.089</v>
      </c>
      <c r="AG21" s="4" t="n">
        <v>0.089</v>
      </c>
      <c r="AH21" s="4" t="n">
        <v>0.089</v>
      </c>
      <c r="AI21" s="4" t="n">
        <v>0.089</v>
      </c>
      <c r="AJ21" s="4" t="n">
        <v>0.089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0.1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20000</v>
      </c>
      <c r="I24" s="3" t="n">
        <v>20000</v>
      </c>
      <c r="J24" s="3" t="n">
        <v>20000</v>
      </c>
      <c r="K24" s="3" t="n">
        <v>20000</v>
      </c>
      <c r="L24" s="3" t="n">
        <v>20000</v>
      </c>
      <c r="M24" s="3" t="n">
        <v>20500</v>
      </c>
      <c r="N24" s="3" t="n">
        <v>21012.5</v>
      </c>
      <c r="O24" s="3" t="n">
        <v>21537.81249999999</v>
      </c>
      <c r="P24" s="3" t="n">
        <v>22076.25781249999</v>
      </c>
      <c r="Q24" s="3" t="n">
        <v>22628.16425781249</v>
      </c>
      <c r="R24" s="3" t="n">
        <v>23193.8683642578</v>
      </c>
      <c r="S24" s="3" t="n">
        <v>23773.71507336424</v>
      </c>
      <c r="T24" s="3" t="n">
        <v>24368.05795019834</v>
      </c>
      <c r="U24" s="3" t="n">
        <v>24977.25939895331</v>
      </c>
      <c r="V24" s="3" t="n">
        <v>25601.69088392713</v>
      </c>
      <c r="W24" s="3" t="n">
        <v>26241.73315602531</v>
      </c>
      <c r="X24" s="3" t="n">
        <v>26897.77648492594</v>
      </c>
      <c r="Y24" s="3" t="n">
        <v>27570.22089704909</v>
      </c>
      <c r="Z24" s="3" t="n">
        <v>28259.47641947532</v>
      </c>
      <c r="AA24" s="3" t="n">
        <v>28965.96332996219</v>
      </c>
      <c r="AB24" s="3" t="n">
        <v>29690.11241321125</v>
      </c>
      <c r="AC24" s="3" t="n">
        <v>30432.36522354152</v>
      </c>
      <c r="AD24" s="3" t="n">
        <v>31193.17435413006</v>
      </c>
      <c r="AE24" s="3" t="n">
        <v>31973.00371298331</v>
      </c>
      <c r="AF24" s="3" t="n">
        <v>32772.32880580788</v>
      </c>
      <c r="AG24" s="3" t="n">
        <v>33591.63702595308</v>
      </c>
      <c r="AH24" s="3" t="n">
        <v>34431.4279516019</v>
      </c>
      <c r="AI24" s="3" t="n">
        <v>35292.21365039195</v>
      </c>
      <c r="AJ24" s="3" t="n">
        <v>36174.51899165174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15000</v>
      </c>
      <c r="I25" s="3" t="n">
        <v>15000</v>
      </c>
      <c r="J25" s="3" t="n">
        <v>15000</v>
      </c>
      <c r="K25" s="3" t="n">
        <v>15000</v>
      </c>
      <c r="L25" s="3" t="n">
        <v>15000</v>
      </c>
      <c r="M25" s="3" t="n">
        <v>15375</v>
      </c>
      <c r="N25" s="3" t="n">
        <v>15759.375</v>
      </c>
      <c r="O25" s="3" t="n">
        <v>16153.35937499999</v>
      </c>
      <c r="P25" s="3" t="n">
        <v>16557.19335937499</v>
      </c>
      <c r="Q25" s="3" t="n">
        <v>16971.12319335937</v>
      </c>
      <c r="R25" s="3" t="n">
        <v>17395.40127319335</v>
      </c>
      <c r="S25" s="3" t="n">
        <v>17830.28630502318</v>
      </c>
      <c r="T25" s="3" t="n">
        <v>18276.04346264876</v>
      </c>
      <c r="U25" s="3" t="n">
        <v>18732.94454921498</v>
      </c>
      <c r="V25" s="3" t="n">
        <v>19201.26816294535</v>
      </c>
      <c r="W25" s="3" t="n">
        <v>19681.29986701898</v>
      </c>
      <c r="X25" s="3" t="n">
        <v>20173.33236369446</v>
      </c>
      <c r="Y25" s="3" t="n">
        <v>20677.66567278681</v>
      </c>
      <c r="Z25" s="3" t="n">
        <v>21194.60731460648</v>
      </c>
      <c r="AA25" s="3" t="n">
        <v>21724.47249747164</v>
      </c>
      <c r="AB25" s="3" t="n">
        <v>22267.58430990843</v>
      </c>
      <c r="AC25" s="3" t="n">
        <v>22824.27391765614</v>
      </c>
      <c r="AD25" s="3" t="n">
        <v>23394.88076559754</v>
      </c>
      <c r="AE25" s="3" t="n">
        <v>23979.75278473748</v>
      </c>
      <c r="AF25" s="3" t="n">
        <v>24579.24660435591</v>
      </c>
      <c r="AG25" s="3" t="n">
        <v>25193.72776946481</v>
      </c>
      <c r="AH25" s="3" t="n">
        <v>25823.57096370143</v>
      </c>
      <c r="AI25" s="3" t="n">
        <v>26469.16023779396</v>
      </c>
      <c r="AJ25" s="3" t="n">
        <v>27130.88924373881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0</v>
      </c>
      <c r="AD26" s="13" t="n">
        <v>0</v>
      </c>
      <c r="AE26" s="13" t="n">
        <v>0</v>
      </c>
      <c r="AF26" s="13" t="n">
        <v>0</v>
      </c>
      <c r="AG26" s="13" t="n">
        <v>0</v>
      </c>
      <c r="AH26" s="13" t="n">
        <v>0</v>
      </c>
      <c r="AI26" s="13" t="n">
        <v>0</v>
      </c>
      <c r="AJ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-0.163987</v>
      </c>
      <c r="I27" s="4" t="n">
        <v>-0.163987</v>
      </c>
      <c r="J27" s="4" t="n">
        <v>-0.163987</v>
      </c>
      <c r="K27" s="4" t="n">
        <v>-0.163987</v>
      </c>
      <c r="L27" s="4" t="n">
        <v>-0.163987</v>
      </c>
      <c r="M27" s="4" t="n">
        <v>-0.163987</v>
      </c>
      <c r="N27" s="4" t="n">
        <v>-0.163987</v>
      </c>
      <c r="O27" s="4" t="n">
        <v>-0.163987</v>
      </c>
      <c r="P27" s="4" t="n">
        <v>-0.163987</v>
      </c>
      <c r="Q27" s="4" t="n">
        <v>-0.163987</v>
      </c>
      <c r="R27" s="4" t="n">
        <v>-0.163987</v>
      </c>
      <c r="S27" s="4" t="n">
        <v>-0.163987</v>
      </c>
      <c r="T27" s="4" t="n">
        <v>-0.163987</v>
      </c>
      <c r="U27" s="4" t="n">
        <v>-0.163987</v>
      </c>
      <c r="V27" s="4" t="n">
        <v>-0.163987</v>
      </c>
      <c r="W27" s="4" t="n">
        <v>-0.163987</v>
      </c>
      <c r="X27" s="4" t="n">
        <v>-0.163987</v>
      </c>
      <c r="Y27" s="4" t="n">
        <v>-0.163987</v>
      </c>
      <c r="Z27" s="4" t="n">
        <v>-0.163987</v>
      </c>
      <c r="AA27" s="4" t="n">
        <v>-0.163987</v>
      </c>
      <c r="AB27" s="4" t="n">
        <v>-0.163987</v>
      </c>
      <c r="AC27" s="4" t="n">
        <v>-0.163987</v>
      </c>
      <c r="AD27" s="4" t="n">
        <v>-0.163987</v>
      </c>
      <c r="AE27" s="4" t="n">
        <v>-0.163987</v>
      </c>
      <c r="AF27" s="4" t="n">
        <v>-0.163987</v>
      </c>
      <c r="AG27" s="4" t="n">
        <v>-0.163987</v>
      </c>
      <c r="AH27" s="4" t="n">
        <v>-0.163987</v>
      </c>
      <c r="AI27" s="4" t="n">
        <v>-0.163987</v>
      </c>
      <c r="AJ27" s="4" t="n">
        <v>-0.163987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0.22</v>
      </c>
      <c r="I28" s="4" t="n">
        <v>0.22</v>
      </c>
      <c r="J28" s="4" t="n">
        <v>0.22</v>
      </c>
      <c r="K28" s="4" t="n">
        <v>0.22</v>
      </c>
      <c r="L28" s="4" t="n">
        <v>0.22</v>
      </c>
      <c r="M28" s="4" t="n">
        <v>0.22</v>
      </c>
      <c r="N28" s="4" t="n">
        <v>0.22</v>
      </c>
      <c r="O28" s="4" t="n">
        <v>0.22</v>
      </c>
      <c r="P28" s="4" t="n">
        <v>0.22</v>
      </c>
      <c r="Q28" s="4" t="n">
        <v>0.22</v>
      </c>
      <c r="R28" s="4" t="n">
        <v>0.22</v>
      </c>
      <c r="S28" s="4" t="n">
        <v>0.22</v>
      </c>
      <c r="T28" s="4" t="n">
        <v>0.22</v>
      </c>
      <c r="U28" s="4" t="n">
        <v>0.22</v>
      </c>
      <c r="V28" s="4" t="n">
        <v>0.22</v>
      </c>
      <c r="W28" s="4" t="n">
        <v>0.22</v>
      </c>
      <c r="X28" s="4" t="n">
        <v>0.22</v>
      </c>
      <c r="Y28" s="4" t="n">
        <v>0.22</v>
      </c>
      <c r="Z28" s="4" t="n">
        <v>0.22</v>
      </c>
      <c r="AA28" s="4" t="n">
        <v>0.22</v>
      </c>
      <c r="AB28" s="4" t="n">
        <v>0.22</v>
      </c>
      <c r="AC28" s="4" t="n">
        <v>0.22</v>
      </c>
      <c r="AD28" s="4" t="n">
        <v>0.22</v>
      </c>
      <c r="AE28" s="4" t="n">
        <v>0.22</v>
      </c>
      <c r="AF28" s="4" t="n">
        <v>0.22</v>
      </c>
      <c r="AG28" s="4" t="n">
        <v>0.22</v>
      </c>
      <c r="AH28" s="4" t="n">
        <v>0.22</v>
      </c>
      <c r="AI28" s="4" t="n">
        <v>0.22</v>
      </c>
      <c r="AJ28" s="4" t="n">
        <v>0.22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0.128948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0.07000000000000001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  <c r="AG31" s="13" t="n">
        <v>0</v>
      </c>
      <c r="AH31" s="13" t="n">
        <v>0</v>
      </c>
      <c r="AI31" s="13" t="n">
        <v>0</v>
      </c>
      <c r="AJ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0.0002</v>
      </c>
      <c r="I33" s="4" t="n">
        <v>0.0002</v>
      </c>
      <c r="J33" s="4" t="n">
        <v>0.0002</v>
      </c>
      <c r="K33" s="4" t="n">
        <v>0.0002</v>
      </c>
      <c r="L33" s="4" t="n">
        <v>0.0002</v>
      </c>
      <c r="M33" s="4" t="n">
        <v>0.0002</v>
      </c>
      <c r="N33" s="4" t="n">
        <v>0.0002</v>
      </c>
      <c r="O33" s="4" t="n">
        <v>0.0002</v>
      </c>
      <c r="P33" s="4" t="n">
        <v>0.0002</v>
      </c>
      <c r="Q33" s="4" t="n">
        <v>0.0002</v>
      </c>
      <c r="R33" s="4" t="n">
        <v>0.0002</v>
      </c>
      <c r="S33" s="4" t="n">
        <v>0.0002</v>
      </c>
      <c r="T33" s="4" t="n">
        <v>0.0002</v>
      </c>
      <c r="U33" s="4" t="n">
        <v>0.0002</v>
      </c>
      <c r="V33" s="4" t="n">
        <v>0.0002</v>
      </c>
      <c r="W33" s="4" t="n">
        <v>0.0002</v>
      </c>
      <c r="X33" s="4" t="n">
        <v>0.0002</v>
      </c>
      <c r="Y33" s="4" t="n">
        <v>0.0002</v>
      </c>
      <c r="Z33" s="4" t="n">
        <v>0.0002</v>
      </c>
      <c r="AA33" s="4" t="n">
        <v>0.0002</v>
      </c>
      <c r="AB33" s="4" t="n">
        <v>0.0002</v>
      </c>
      <c r="AC33" s="4" t="n">
        <v>0.0002</v>
      </c>
      <c r="AD33" s="4" t="n">
        <v>0.0002</v>
      </c>
      <c r="AE33" s="4" t="n">
        <v>0.0002</v>
      </c>
      <c r="AF33" s="4" t="n">
        <v>0.0002</v>
      </c>
      <c r="AG33" s="4" t="n">
        <v>0.0002</v>
      </c>
      <c r="AH33" s="4" t="n">
        <v>0.0002</v>
      </c>
      <c r="AI33" s="4" t="n">
        <v>0.0002</v>
      </c>
      <c r="AJ33" s="4" t="n">
        <v>0.0002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0.04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0.13</v>
      </c>
      <c r="I37" s="4" t="n">
        <v>0.13</v>
      </c>
      <c r="J37" s="4" t="n">
        <v>0.13</v>
      </c>
      <c r="K37" s="4" t="n">
        <v>0.13</v>
      </c>
      <c r="L37" s="4" t="n">
        <v>0.13</v>
      </c>
      <c r="M37" s="4" t="n">
        <v>0.13</v>
      </c>
      <c r="N37" s="4" t="n">
        <v>0.13</v>
      </c>
      <c r="O37" s="4" t="n">
        <v>0.13</v>
      </c>
      <c r="P37" s="4" t="n">
        <v>0.13</v>
      </c>
      <c r="Q37" s="4" t="n">
        <v>0.13</v>
      </c>
      <c r="R37" s="4" t="n">
        <v>0.13</v>
      </c>
      <c r="S37" s="4" t="n">
        <v>0.13</v>
      </c>
      <c r="T37" s="4" t="n">
        <v>0.13</v>
      </c>
      <c r="U37" s="4" t="n">
        <v>0.13</v>
      </c>
      <c r="V37" s="4" t="n">
        <v>0.13</v>
      </c>
      <c r="W37" s="4" t="n">
        <v>0.13</v>
      </c>
      <c r="X37" s="4" t="n">
        <v>0.13</v>
      </c>
      <c r="Y37" s="4" t="n">
        <v>0.13</v>
      </c>
      <c r="Z37" s="4" t="n">
        <v>0.13</v>
      </c>
      <c r="AA37" s="4" t="n">
        <v>0.13</v>
      </c>
      <c r="AB37" s="4" t="n">
        <v>0.13</v>
      </c>
      <c r="AC37" s="4" t="n">
        <v>0.13</v>
      </c>
      <c r="AD37" s="4" t="n">
        <v>0.13</v>
      </c>
      <c r="AE37" s="4" t="n">
        <v>0.13</v>
      </c>
      <c r="AF37" s="4" t="n">
        <v>0.13</v>
      </c>
      <c r="AG37" s="4" t="n">
        <v>0.13</v>
      </c>
      <c r="AH37" s="4" t="n">
        <v>0.13</v>
      </c>
      <c r="AI37" s="4" t="n">
        <v>0.13</v>
      </c>
      <c r="AJ37" s="4" t="n">
        <v>0.13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>
        <v>63</v>
      </c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  <c r="P40" s="15">
        <f>MAX((O40-P41),0)</f>
        <v/>
      </c>
      <c r="Q40" s="15">
        <f>MAX((P40-Q41),0)</f>
        <v/>
      </c>
      <c r="R40" s="15">
        <f>MAX((Q40-R41),0)</f>
        <v/>
      </c>
      <c r="S40" s="15">
        <f>MAX((R40-S41),0)</f>
        <v/>
      </c>
      <c r="T40" s="15">
        <f>MAX((S40-T41),0)</f>
        <v/>
      </c>
      <c r="U40" s="15">
        <f>MAX((T40-U41),0)</f>
        <v/>
      </c>
      <c r="V40" s="15">
        <f>MAX((U40-V41),0)</f>
        <v/>
      </c>
      <c r="W40" s="15">
        <f>MAX((V40-W41),0)</f>
        <v/>
      </c>
      <c r="X40" s="15">
        <f>MAX((W40-X41),0)</f>
        <v/>
      </c>
      <c r="Y40" s="15">
        <f>MAX((X40-Y41),0)</f>
        <v/>
      </c>
      <c r="Z40" s="15">
        <f>MAX((Y40-Z41),0)</f>
        <v/>
      </c>
      <c r="AA40" s="15">
        <f>MAX((Z40-AA41),0)</f>
        <v/>
      </c>
      <c r="AB40" s="15">
        <f>MAX((AA40-AB41),0)</f>
        <v/>
      </c>
      <c r="AC40" s="15">
        <f>MAX((AB40-AC41),0)</f>
        <v/>
      </c>
      <c r="AD40" s="15">
        <f>MAX((AC40-AD41),0)</f>
        <v/>
      </c>
      <c r="AE40" s="15">
        <f>MAX((AD40-AE41),0)</f>
        <v/>
      </c>
      <c r="AF40" s="15">
        <f>MAX((AE40-AF41),0)</f>
        <v/>
      </c>
      <c r="AG40" s="15">
        <f>MAX((AF40-AG41),0)</f>
        <v/>
      </c>
      <c r="AH40" s="15">
        <f>MAX((AG40-AH41),0)</f>
        <v/>
      </c>
      <c r="AI40" s="15">
        <f>MAX((AH40-AI41),0)</f>
        <v/>
      </c>
      <c r="AJ40" s="15">
        <f>MAX((AI40-AJ41),0)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/>
      <c r="F41" s="13" t="n"/>
      <c r="G41" s="13" t="n">
        <v>0.21079121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  <c r="P41" s="15">
        <f>IF(($C$9&gt;0),MIN(P14,MAX(O40,0)),P14)</f>
        <v/>
      </c>
      <c r="Q41" s="15">
        <f>IF(($C$9&gt;0),MIN(Q14,MAX(P40,0)),Q14)</f>
        <v/>
      </c>
      <c r="R41" s="15">
        <f>IF(($C$9&gt;0),MIN(R14,MAX(Q40,0)),R14)</f>
        <v/>
      </c>
      <c r="S41" s="15">
        <f>IF(($C$9&gt;0),MIN(S14,MAX(R40,0)),S14)</f>
        <v/>
      </c>
      <c r="T41" s="15">
        <f>IF(($C$9&gt;0),MIN(T14,MAX(S40,0)),T14)</f>
        <v/>
      </c>
      <c r="U41" s="15">
        <f>IF(($C$9&gt;0),MIN(U14,MAX(T40,0)),U14)</f>
        <v/>
      </c>
      <c r="V41" s="15">
        <f>IF(($C$9&gt;0),MIN(V14,MAX(U40,0)),V14)</f>
        <v/>
      </c>
      <c r="W41" s="15">
        <f>IF(($C$9&gt;0),MIN(W14,MAX(V40,0)),W14)</f>
        <v/>
      </c>
      <c r="X41" s="15">
        <f>IF(($C$9&gt;0),MIN(X14,MAX(W40,0)),X14)</f>
        <v/>
      </c>
      <c r="Y41" s="15">
        <f>IF(($C$9&gt;0),MIN(Y14,MAX(X40,0)),Y14)</f>
        <v/>
      </c>
      <c r="Z41" s="15">
        <f>IF(($C$9&gt;0),MIN(Z14,MAX(Y40,0)),Z14)</f>
        <v/>
      </c>
      <c r="AA41" s="15">
        <f>IF(($C$9&gt;0),MIN(AA14,MAX(Z40,0)),AA14)</f>
        <v/>
      </c>
      <c r="AB41" s="15">
        <f>IF(($C$9&gt;0),MIN(AB14,MAX(AA40,0)),AB14)</f>
        <v/>
      </c>
      <c r="AC41" s="15">
        <f>IF(($C$9&gt;0),MIN(AC14,MAX(AB40,0)),AC14)</f>
        <v/>
      </c>
      <c r="AD41" s="15">
        <f>IF(($C$9&gt;0),MIN(AD14,MAX(AC40,0)),AD14)</f>
        <v/>
      </c>
      <c r="AE41" s="15">
        <f>IF(($C$9&gt;0),MIN(AE14,MAX(AD40,0)),AE14)</f>
        <v/>
      </c>
      <c r="AF41" s="15">
        <f>IF(($C$9&gt;0),MIN(AF14,MAX(AE40,0)),AF14)</f>
        <v/>
      </c>
      <c r="AG41" s="15">
        <f>IF(($C$9&gt;0),MIN(AG14,MAX(AF40,0)),AG14)</f>
        <v/>
      </c>
      <c r="AH41" s="15">
        <f>IF(($C$9&gt;0),MIN(AH14,MAX(AG40,0)),AH14)</f>
        <v/>
      </c>
      <c r="AI41" s="15">
        <f>IF(($C$9&gt;0),MIN(AI14,MAX(AH40,0)),AI14)</f>
        <v/>
      </c>
      <c r="AJ41" s="15">
        <f>IF(($C$9&gt;0),MIN(AJ14,MAX(AI40,0)),AJ14)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  <c r="K42" s="16">
        <f>Drivers!$O$6</f>
        <v/>
      </c>
      <c r="L42" s="16">
        <f>Drivers!$P$6</f>
        <v/>
      </c>
      <c r="M42" s="16">
        <f>Drivers!$Q$6</f>
        <v/>
      </c>
      <c r="N42" s="16">
        <f>Drivers!$R$6</f>
        <v/>
      </c>
      <c r="O42" s="16">
        <f>Drivers!$S$6</f>
        <v/>
      </c>
      <c r="P42" s="16">
        <f>Drivers!$T$6</f>
        <v/>
      </c>
      <c r="Q42" s="16">
        <f>Drivers!$U$6</f>
        <v/>
      </c>
      <c r="R42" s="16">
        <f>Drivers!$V$6</f>
        <v/>
      </c>
      <c r="S42" s="16">
        <f>Drivers!$W$6</f>
        <v/>
      </c>
      <c r="T42" s="16">
        <f>Drivers!$X$6</f>
        <v/>
      </c>
      <c r="U42" s="16">
        <f>Drivers!$Y$6</f>
        <v/>
      </c>
      <c r="V42" s="16">
        <f>Drivers!$Z$6</f>
        <v/>
      </c>
      <c r="W42" s="16">
        <f>Drivers!$AA$6</f>
        <v/>
      </c>
      <c r="X42" s="16">
        <f>Drivers!$AB$6</f>
        <v/>
      </c>
      <c r="Y42" s="16">
        <f>Drivers!$AC$6</f>
        <v/>
      </c>
      <c r="Z42" s="16">
        <f>Drivers!$AD$6</f>
        <v/>
      </c>
      <c r="AA42" s="16">
        <f>Drivers!$AE$6</f>
        <v/>
      </c>
      <c r="AB42" s="16">
        <f>Drivers!$AF$6</f>
        <v/>
      </c>
      <c r="AC42" s="16">
        <f>Drivers!$AG$6</f>
        <v/>
      </c>
      <c r="AD42" s="16">
        <f>Drivers!$AH$6</f>
        <v/>
      </c>
      <c r="AE42" s="16">
        <f>Drivers!$AI$6</f>
        <v/>
      </c>
      <c r="AF42" s="16">
        <f>Drivers!$AJ$6</f>
        <v/>
      </c>
      <c r="AG42" s="16">
        <f>Drivers!$AK$6</f>
        <v/>
      </c>
      <c r="AH42" s="16">
        <f>Drivers!$AL$6</f>
        <v/>
      </c>
      <c r="AI42" s="16">
        <f>Drivers!$AM$6</f>
        <v/>
      </c>
      <c r="AJ42" s="16">
        <f>Drivers!$AN$6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/>
      <c r="G43" s="3" t="n"/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  <c r="K43" s="16">
        <f>(((K15*K42)*(1-K16))+(MIN(Drivers!$O$4,(K15*K42))*K16))</f>
        <v/>
      </c>
      <c r="L43" s="16">
        <f>(((L15*L42)*(1-L16))+(MIN(Drivers!$P$4,(L15*L42))*L16))</f>
        <v/>
      </c>
      <c r="M43" s="16">
        <f>(((M15*M42)*(1-M16))+(MIN(Drivers!$Q$4,(M15*M42))*M16))</f>
        <v/>
      </c>
      <c r="N43" s="16">
        <f>(((N15*N42)*(1-N16))+(MIN(Drivers!$R$4,(N15*N42))*N16))</f>
        <v/>
      </c>
      <c r="O43" s="16">
        <f>(((O15*O42)*(1-O16))+(MIN(Drivers!$S$4,(O15*O42))*O16))</f>
        <v/>
      </c>
      <c r="P43" s="16">
        <f>(((P15*P42)*(1-P16))+(MIN(Drivers!$T$4,(P15*P42))*P16))</f>
        <v/>
      </c>
      <c r="Q43" s="16">
        <f>(((Q15*Q42)*(1-Q16))+(MIN(Drivers!$U$4,(Q15*Q42))*Q16))</f>
        <v/>
      </c>
      <c r="R43" s="16">
        <f>(((R15*R42)*(1-R16))+(MIN(Drivers!$V$4,(R15*R42))*R16))</f>
        <v/>
      </c>
      <c r="S43" s="16">
        <f>(((S15*S42)*(1-S16))+(MIN(Drivers!$W$4,(S15*S42))*S16))</f>
        <v/>
      </c>
      <c r="T43" s="16">
        <f>(((T15*T42)*(1-T16))+(MIN(Drivers!$X$4,(T15*T42))*T16))</f>
        <v/>
      </c>
      <c r="U43" s="16">
        <f>(((U15*U42)*(1-U16))+(MIN(Drivers!$Y$4,(U15*U42))*U16))</f>
        <v/>
      </c>
      <c r="V43" s="16">
        <f>(((V15*V42)*(1-V16))+(MIN(Drivers!$Z$4,(V15*V42))*V16))</f>
        <v/>
      </c>
      <c r="W43" s="16">
        <f>(((W15*W42)*(1-W16))+(MIN(Drivers!$AA$4,(W15*W42))*W16))</f>
        <v/>
      </c>
      <c r="X43" s="16">
        <f>(((X15*X42)*(1-X16))+(MIN(Drivers!$AB$4,(X15*X42))*X16))</f>
        <v/>
      </c>
      <c r="Y43" s="16">
        <f>(((Y15*Y42)*(1-Y16))+(MIN(Drivers!$AC$4,(Y15*Y42))*Y16))</f>
        <v/>
      </c>
      <c r="Z43" s="16">
        <f>(((Z15*Z42)*(1-Z16))+(MIN(Drivers!$AD$4,(Z15*Z42))*Z16))</f>
        <v/>
      </c>
      <c r="AA43" s="16">
        <f>(((AA15*AA42)*(1-AA16))+(MIN(Drivers!$AE$4,(AA15*AA42))*AA16))</f>
        <v/>
      </c>
      <c r="AB43" s="16">
        <f>(((AB15*AB42)*(1-AB16))+(MIN(Drivers!$AF$4,(AB15*AB42))*AB16))</f>
        <v/>
      </c>
      <c r="AC43" s="16">
        <f>(((AC15*AC42)*(1-AC16))+(MIN(Drivers!$AG$4,(AC15*AC42))*AC16))</f>
        <v/>
      </c>
      <c r="AD43" s="16">
        <f>(((AD15*AD42)*(1-AD16))+(MIN(Drivers!$AH$4,(AD15*AD42))*AD16))</f>
        <v/>
      </c>
      <c r="AE43" s="16">
        <f>(((AE15*AE42)*(1-AE16))+(MIN(Drivers!$AI$4,(AE15*AE42))*AE16))</f>
        <v/>
      </c>
      <c r="AF43" s="16">
        <f>(((AF15*AF42)*(1-AF16))+(MIN(Drivers!$AJ$4,(AF15*AF42))*AF16))</f>
        <v/>
      </c>
      <c r="AG43" s="16">
        <f>(((AG15*AG42)*(1-AG16))+(MIN(Drivers!$AK$4,(AG15*AG42))*AG16))</f>
        <v/>
      </c>
      <c r="AH43" s="16">
        <f>(((AH15*AH42)*(1-AH16))+(MIN(Drivers!$AL$4,(AH15*AH42))*AH16))</f>
        <v/>
      </c>
      <c r="AI43" s="16">
        <f>(((AI15*AI42)*(1-AI16))+(MIN(Drivers!$AM$4,(AI15*AI42))*AI16))</f>
        <v/>
      </c>
      <c r="AJ43" s="16">
        <f>(((AJ15*AJ42)*(1-AJ16))+(MIN(Drivers!$AN$4,(AJ15*AJ42))*AJ16))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  <c r="L44" s="17">
        <f>IF(L42=0,0,L43/L42)</f>
        <v/>
      </c>
      <c r="M44" s="17">
        <f>IF(M42=0,0,M43/M42)</f>
        <v/>
      </c>
      <c r="N44" s="17">
        <f>IF(N42=0,0,N43/N42)</f>
        <v/>
      </c>
      <c r="O44" s="17">
        <f>IF(O42=0,0,O43/O42)</f>
        <v/>
      </c>
      <c r="P44" s="17">
        <f>IF(P42=0,0,P43/P42)</f>
        <v/>
      </c>
      <c r="Q44" s="17">
        <f>IF(Q42=0,0,Q43/Q42)</f>
        <v/>
      </c>
      <c r="R44" s="17">
        <f>IF(R42=0,0,R43/R42)</f>
        <v/>
      </c>
      <c r="S44" s="17">
        <f>IF(S42=0,0,S43/S42)</f>
        <v/>
      </c>
      <c r="T44" s="17">
        <f>IF(T42=0,0,T43/T42)</f>
        <v/>
      </c>
      <c r="U44" s="17">
        <f>IF(U42=0,0,U43/U42)</f>
        <v/>
      </c>
      <c r="V44" s="17">
        <f>IF(V42=0,0,V43/V42)</f>
        <v/>
      </c>
      <c r="W44" s="17">
        <f>IF(W42=0,0,W43/W42)</f>
        <v/>
      </c>
      <c r="X44" s="17">
        <f>IF(X42=0,0,X43/X42)</f>
        <v/>
      </c>
      <c r="Y44" s="17">
        <f>IF(Y42=0,0,Y43/Y42)</f>
        <v/>
      </c>
      <c r="Z44" s="17">
        <f>IF(Z42=0,0,Z43/Z42)</f>
        <v/>
      </c>
      <c r="AA44" s="17">
        <f>IF(AA42=0,0,AA43/AA42)</f>
        <v/>
      </c>
      <c r="AB44" s="17">
        <f>IF(AB42=0,0,AB43/AB42)</f>
        <v/>
      </c>
      <c r="AC44" s="17">
        <f>IF(AC42=0,0,AC43/AC42)</f>
        <v/>
      </c>
      <c r="AD44" s="17">
        <f>IF(AD42=0,0,AD43/AD42)</f>
        <v/>
      </c>
      <c r="AE44" s="17">
        <f>IF(AE42=0,0,AE43/AE42)</f>
        <v/>
      </c>
      <c r="AF44" s="17">
        <f>IF(AF42=0,0,AF43/AF42)</f>
        <v/>
      </c>
      <c r="AG44" s="17">
        <f>IF(AG42=0,0,AG43/AG42)</f>
        <v/>
      </c>
      <c r="AH44" s="17">
        <f>IF(AH42=0,0,AH43/AH42)</f>
        <v/>
      </c>
      <c r="AI44" s="17">
        <f>IF(AI42=0,0,AI43/AI42)</f>
        <v/>
      </c>
      <c r="AJ44" s="17">
        <f>IF(AJ42=0,0,AJ43/AJ42)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6">
        <f>(((H17*H18)*(1+($C$19*(IF(Drivers!$J$8=0,0,Drivers!$L$8/Drivers!$J$8)-1))))+H20)</f>
        <v/>
      </c>
      <c r="I45" s="16">
        <f>(((I17*I18)*(1+($C$19*(IF(Drivers!$J$8=0,0,Drivers!$M$8/Drivers!$J$8)-1))))+I20)</f>
        <v/>
      </c>
      <c r="J45" s="16">
        <f>(((J17*J18)*(1+($C$19*(IF(Drivers!$J$8=0,0,Drivers!$N$8/Drivers!$J$8)-1))))+J20)</f>
        <v/>
      </c>
      <c r="K45" s="16">
        <f>(((K17*K18)*(1+($C$19*(IF(Drivers!$J$8=0,0,Drivers!$O$8/Drivers!$J$8)-1))))+K20)</f>
        <v/>
      </c>
      <c r="L45" s="16">
        <f>(((L17*L18)*(1+($C$19*(IF(Drivers!$J$8=0,0,Drivers!$P$8/Drivers!$J$8)-1))))+L20)</f>
        <v/>
      </c>
      <c r="M45" s="16">
        <f>(((M17*M18)*(1+($C$19*(IF(Drivers!$J$8=0,0,Drivers!$Q$8/Drivers!$J$8)-1))))+M20)</f>
        <v/>
      </c>
      <c r="N45" s="16">
        <f>(((N17*N18)*(1+($C$19*(IF(Drivers!$J$8=0,0,Drivers!$R$8/Drivers!$J$8)-1))))+N20)</f>
        <v/>
      </c>
      <c r="O45" s="16">
        <f>(((O17*O18)*(1+($C$19*(IF(Drivers!$J$8=0,0,Drivers!$S$8/Drivers!$J$8)-1))))+O20)</f>
        <v/>
      </c>
      <c r="P45" s="16">
        <f>(((P17*P18)*(1+($C$19*(IF(Drivers!$J$8=0,0,Drivers!$T$8/Drivers!$J$8)-1))))+P20)</f>
        <v/>
      </c>
      <c r="Q45" s="16">
        <f>(((Q17*Q18)*(1+($C$19*(IF(Drivers!$J$8=0,0,Drivers!$U$8/Drivers!$J$8)-1))))+Q20)</f>
        <v/>
      </c>
      <c r="R45" s="16">
        <f>(((R17*R18)*(1+($C$19*(IF(Drivers!$J$8=0,0,Drivers!$V$8/Drivers!$J$8)-1))))+R20)</f>
        <v/>
      </c>
      <c r="S45" s="16">
        <f>(((S17*S18)*(1+($C$19*(IF(Drivers!$J$8=0,0,Drivers!$W$8/Drivers!$J$8)-1))))+S20)</f>
        <v/>
      </c>
      <c r="T45" s="16">
        <f>(((T17*T18)*(1+($C$19*(IF(Drivers!$J$8=0,0,Drivers!$X$8/Drivers!$J$8)-1))))+T20)</f>
        <v/>
      </c>
      <c r="U45" s="16">
        <f>(((U17*U18)*(1+($C$19*(IF(Drivers!$J$8=0,0,Drivers!$Y$8/Drivers!$J$8)-1))))+U20)</f>
        <v/>
      </c>
      <c r="V45" s="16">
        <f>(((V17*V18)*(1+($C$19*(IF(Drivers!$J$8=0,0,Drivers!$Z$8/Drivers!$J$8)-1))))+V20)</f>
        <v/>
      </c>
      <c r="W45" s="16">
        <f>(((W17*W18)*(1+($C$19*(IF(Drivers!$J$8=0,0,Drivers!$AA$8/Drivers!$J$8)-1))))+W20)</f>
        <v/>
      </c>
      <c r="X45" s="16">
        <f>(((X17*X18)*(1+($C$19*(IF(Drivers!$J$8=0,0,Drivers!$AB$8/Drivers!$J$8)-1))))+X20)</f>
        <v/>
      </c>
      <c r="Y45" s="16">
        <f>(((Y17*Y18)*(1+($C$19*(IF(Drivers!$J$8=0,0,Drivers!$AC$8/Drivers!$J$8)-1))))+Y20)</f>
        <v/>
      </c>
      <c r="Z45" s="16">
        <f>(((Z17*Z18)*(1+($C$19*(IF(Drivers!$J$8=0,0,Drivers!$AD$8/Drivers!$J$8)-1))))+Z20)</f>
        <v/>
      </c>
      <c r="AA45" s="16">
        <f>(((AA17*AA18)*(1+($C$19*(IF(Drivers!$J$8=0,0,Drivers!$AE$8/Drivers!$J$8)-1))))+AA20)</f>
        <v/>
      </c>
      <c r="AB45" s="16">
        <f>(((AB17*AB18)*(1+($C$19*(IF(Drivers!$J$8=0,0,Drivers!$AF$8/Drivers!$J$8)-1))))+AB20)</f>
        <v/>
      </c>
      <c r="AC45" s="16">
        <f>(((AC17*AC18)*(1+($C$19*(IF(Drivers!$J$8=0,0,Drivers!$AG$8/Drivers!$J$8)-1))))+AC20)</f>
        <v/>
      </c>
      <c r="AD45" s="16">
        <f>(((AD17*AD18)*(1+($C$19*(IF(Drivers!$J$8=0,0,Drivers!$AH$8/Drivers!$J$8)-1))))+AD20)</f>
        <v/>
      </c>
      <c r="AE45" s="16">
        <f>(((AE17*AE18)*(1+($C$19*(IF(Drivers!$J$8=0,0,Drivers!$AI$8/Drivers!$J$8)-1))))+AE20)</f>
        <v/>
      </c>
      <c r="AF45" s="16">
        <f>(((AF17*AF18)*(1+($C$19*(IF(Drivers!$J$8=0,0,Drivers!$AJ$8/Drivers!$J$8)-1))))+AF20)</f>
        <v/>
      </c>
      <c r="AG45" s="16">
        <f>(((AG17*AG18)*(1+($C$19*(IF(Drivers!$J$8=0,0,Drivers!$AK$8/Drivers!$J$8)-1))))+AG20)</f>
        <v/>
      </c>
      <c r="AH45" s="16">
        <f>(((AH17*AH18)*(1+($C$19*(IF(Drivers!$J$8=0,0,Drivers!$AL$8/Drivers!$J$8)-1))))+AH20)</f>
        <v/>
      </c>
      <c r="AI45" s="16">
        <f>(((AI17*AI18)*(1+($C$19*(IF(Drivers!$J$8=0,0,Drivers!$AM$8/Drivers!$J$8)-1))))+AI20)</f>
        <v/>
      </c>
      <c r="AJ45" s="16">
        <f>(((AJ17*AJ18)*(1+($C$19*(IF(Drivers!$J$8=0,0,Drivers!$AN$8/Drivers!$J$8)-1))))+AJ20)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/>
      <c r="H46" s="18">
        <f>H17</f>
        <v/>
      </c>
      <c r="I46" s="18">
        <f>I17</f>
        <v/>
      </c>
      <c r="J46" s="18">
        <f>J17</f>
        <v/>
      </c>
      <c r="K46" s="18">
        <f>K17</f>
        <v/>
      </c>
      <c r="L46" s="18">
        <f>L17</f>
        <v/>
      </c>
      <c r="M46" s="18">
        <f>M17</f>
        <v/>
      </c>
      <c r="N46" s="18">
        <f>N17</f>
        <v/>
      </c>
      <c r="O46" s="18">
        <f>O17</f>
        <v/>
      </c>
      <c r="P46" s="18">
        <f>P17</f>
        <v/>
      </c>
      <c r="Q46" s="18">
        <f>Q17</f>
        <v/>
      </c>
      <c r="R46" s="18">
        <f>R17</f>
        <v/>
      </c>
      <c r="S46" s="18">
        <f>S17</f>
        <v/>
      </c>
      <c r="T46" s="18">
        <f>T17</f>
        <v/>
      </c>
      <c r="U46" s="18">
        <f>U17</f>
        <v/>
      </c>
      <c r="V46" s="18">
        <f>V17</f>
        <v/>
      </c>
      <c r="W46" s="18">
        <f>W17</f>
        <v/>
      </c>
      <c r="X46" s="18">
        <f>X17</f>
        <v/>
      </c>
      <c r="Y46" s="18">
        <f>Y17</f>
        <v/>
      </c>
      <c r="Z46" s="18">
        <f>Z17</f>
        <v/>
      </c>
      <c r="AA46" s="18">
        <f>AA17</f>
        <v/>
      </c>
      <c r="AB46" s="18">
        <f>AB17</f>
        <v/>
      </c>
      <c r="AC46" s="18">
        <f>AC17</f>
        <v/>
      </c>
      <c r="AD46" s="18">
        <f>AD17</f>
        <v/>
      </c>
      <c r="AE46" s="18">
        <f>AE17</f>
        <v/>
      </c>
      <c r="AF46" s="18">
        <f>AF17</f>
        <v/>
      </c>
      <c r="AG46" s="18">
        <f>AG17</f>
        <v/>
      </c>
      <c r="AH46" s="18">
        <f>AH17</f>
        <v/>
      </c>
      <c r="AI46" s="18">
        <f>AI17</f>
        <v/>
      </c>
      <c r="AJ46" s="18">
        <f>AJ17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7">
        <f>H21</f>
        <v/>
      </c>
      <c r="I47" s="17">
        <f>I21</f>
        <v/>
      </c>
      <c r="J47" s="17">
        <f>J21</f>
        <v/>
      </c>
      <c r="K47" s="17">
        <f>K21</f>
        <v/>
      </c>
      <c r="L47" s="17">
        <f>L21</f>
        <v/>
      </c>
      <c r="M47" s="17">
        <f>M21</f>
        <v/>
      </c>
      <c r="N47" s="17">
        <f>N21</f>
        <v/>
      </c>
      <c r="O47" s="17">
        <f>O21</f>
        <v/>
      </c>
      <c r="P47" s="17">
        <f>P21</f>
        <v/>
      </c>
      <c r="Q47" s="17">
        <f>Q21</f>
        <v/>
      </c>
      <c r="R47" s="17">
        <f>R21</f>
        <v/>
      </c>
      <c r="S47" s="17">
        <f>S21</f>
        <v/>
      </c>
      <c r="T47" s="17">
        <f>T21</f>
        <v/>
      </c>
      <c r="U47" s="17">
        <f>U21</f>
        <v/>
      </c>
      <c r="V47" s="17">
        <f>V21</f>
        <v/>
      </c>
      <c r="W47" s="17">
        <f>W21</f>
        <v/>
      </c>
      <c r="X47" s="17">
        <f>X21</f>
        <v/>
      </c>
      <c r="Y47" s="17">
        <f>Y21</f>
        <v/>
      </c>
      <c r="Z47" s="17">
        <f>Z21</f>
        <v/>
      </c>
      <c r="AA47" s="17">
        <f>AA21</f>
        <v/>
      </c>
      <c r="AB47" s="17">
        <f>AB21</f>
        <v/>
      </c>
      <c r="AC47" s="17">
        <f>AC21</f>
        <v/>
      </c>
      <c r="AD47" s="17">
        <f>AD21</f>
        <v/>
      </c>
      <c r="AE47" s="17">
        <f>AE21</f>
        <v/>
      </c>
      <c r="AF47" s="17">
        <f>AF21</f>
        <v/>
      </c>
      <c r="AG47" s="17">
        <f>AG21</f>
        <v/>
      </c>
      <c r="AH47" s="17">
        <f>AH21</f>
        <v/>
      </c>
      <c r="AI47" s="17">
        <f>AI21</f>
        <v/>
      </c>
      <c r="AJ47" s="17">
        <f>AJ21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/>
      <c r="F48" s="3" t="n"/>
      <c r="G48" s="3" t="n">
        <v>4.25392837929746</v>
      </c>
      <c r="H48" s="16">
        <f>IF(IF(1000=0,0,((H41*$C$10)*Drivers!$L$7)/1000)=0,0,H61/IF(1000=0,0,((H41*$C$10)*Drivers!$L$7)/1000))</f>
        <v/>
      </c>
      <c r="I48" s="16">
        <f>IF(IF(1000=0,0,((I41*$C$10)*Drivers!$M$7)/1000)=0,0,I61/IF(1000=0,0,((I41*$C$10)*Drivers!$M$7)/1000))</f>
        <v/>
      </c>
      <c r="J48" s="16">
        <f>IF(IF(1000=0,0,((J41*$C$10)*Drivers!$N$7)/1000)=0,0,J61/IF(1000=0,0,((J41*$C$10)*Drivers!$N$7)/1000))</f>
        <v/>
      </c>
      <c r="K48" s="16">
        <f>IF(IF(1000=0,0,((K41*$C$10)*Drivers!$O$7)/1000)=0,0,K61/IF(1000=0,0,((K41*$C$10)*Drivers!$O$7)/1000))</f>
        <v/>
      </c>
      <c r="L48" s="16">
        <f>IF(IF(1000=0,0,((L41*$C$10)*Drivers!$P$7)/1000)=0,0,L61/IF(1000=0,0,((L41*$C$10)*Drivers!$P$7)/1000))</f>
        <v/>
      </c>
      <c r="M48" s="16">
        <f>IF(IF(1000=0,0,((M41*$C$10)*Drivers!$Q$7)/1000)=0,0,M61/IF(1000=0,0,((M41*$C$10)*Drivers!$Q$7)/1000))</f>
        <v/>
      </c>
      <c r="N48" s="16">
        <f>IF(IF(1000=0,0,((N41*$C$10)*Drivers!$R$7)/1000)=0,0,N61/IF(1000=0,0,((N41*$C$10)*Drivers!$R$7)/1000))</f>
        <v/>
      </c>
      <c r="O48" s="16">
        <f>IF(IF(1000=0,0,((O41*$C$10)*Drivers!$S$7)/1000)=0,0,O61/IF(1000=0,0,((O41*$C$10)*Drivers!$S$7)/1000))</f>
        <v/>
      </c>
      <c r="P48" s="16">
        <f>IF(IF(1000=0,0,((P41*$C$10)*Drivers!$T$7)/1000)=0,0,P61/IF(1000=0,0,((P41*$C$10)*Drivers!$T$7)/1000))</f>
        <v/>
      </c>
      <c r="Q48" s="16">
        <f>IF(IF(1000=0,0,((Q41*$C$10)*Drivers!$U$7)/1000)=0,0,Q61/IF(1000=0,0,((Q41*$C$10)*Drivers!$U$7)/1000))</f>
        <v/>
      </c>
      <c r="R48" s="16">
        <f>IF(IF(1000=0,0,((R41*$C$10)*Drivers!$V$7)/1000)=0,0,R61/IF(1000=0,0,((R41*$C$10)*Drivers!$V$7)/1000))</f>
        <v/>
      </c>
      <c r="S48" s="16">
        <f>IF(IF(1000=0,0,((S41*$C$10)*Drivers!$W$7)/1000)=0,0,S61/IF(1000=0,0,((S41*$C$10)*Drivers!$W$7)/1000))</f>
        <v/>
      </c>
      <c r="T48" s="16">
        <f>IF(IF(1000=0,0,((T41*$C$10)*Drivers!$X$7)/1000)=0,0,T61/IF(1000=0,0,((T41*$C$10)*Drivers!$X$7)/1000))</f>
        <v/>
      </c>
      <c r="U48" s="16">
        <f>IF(IF(1000=0,0,((U41*$C$10)*Drivers!$Y$7)/1000)=0,0,U61/IF(1000=0,0,((U41*$C$10)*Drivers!$Y$7)/1000))</f>
        <v/>
      </c>
      <c r="V48" s="16">
        <f>IF(IF(1000=0,0,((V41*$C$10)*Drivers!$Z$7)/1000)=0,0,V61/IF(1000=0,0,((V41*$C$10)*Drivers!$Z$7)/1000))</f>
        <v/>
      </c>
      <c r="W48" s="16">
        <f>IF(IF(1000=0,0,((W41*$C$10)*Drivers!$AA$7)/1000)=0,0,W61/IF(1000=0,0,((W41*$C$10)*Drivers!$AA$7)/1000))</f>
        <v/>
      </c>
      <c r="X48" s="16">
        <f>IF(IF(1000=0,0,((X41*$C$10)*Drivers!$AB$7)/1000)=0,0,X61/IF(1000=0,0,((X41*$C$10)*Drivers!$AB$7)/1000))</f>
        <v/>
      </c>
      <c r="Y48" s="16">
        <f>IF(IF(1000=0,0,((Y41*$C$10)*Drivers!$AC$7)/1000)=0,0,Y61/IF(1000=0,0,((Y41*$C$10)*Drivers!$AC$7)/1000))</f>
        <v/>
      </c>
      <c r="Z48" s="16">
        <f>IF(IF(1000=0,0,((Z41*$C$10)*Drivers!$AD$7)/1000)=0,0,Z61/IF(1000=0,0,((Z41*$C$10)*Drivers!$AD$7)/1000))</f>
        <v/>
      </c>
      <c r="AA48" s="16">
        <f>IF(IF(1000=0,0,((AA41*$C$10)*Drivers!$AE$7)/1000)=0,0,AA61/IF(1000=0,0,((AA41*$C$10)*Drivers!$AE$7)/1000))</f>
        <v/>
      </c>
      <c r="AB48" s="16">
        <f>IF(IF(1000=0,0,((AB41*$C$10)*Drivers!$AF$7)/1000)=0,0,AB61/IF(1000=0,0,((AB41*$C$10)*Drivers!$AF$7)/1000))</f>
        <v/>
      </c>
      <c r="AC48" s="16">
        <f>IF(IF(1000=0,0,((AC41*$C$10)*Drivers!$AG$7)/1000)=0,0,AC61/IF(1000=0,0,((AC41*$C$10)*Drivers!$AG$7)/1000))</f>
        <v/>
      </c>
      <c r="AD48" s="16">
        <f>IF(IF(1000=0,0,((AD41*$C$10)*Drivers!$AH$7)/1000)=0,0,AD61/IF(1000=0,0,((AD41*$C$10)*Drivers!$AH$7)/1000))</f>
        <v/>
      </c>
      <c r="AE48" s="16">
        <f>IF(IF(1000=0,0,((AE41*$C$10)*Drivers!$AI$7)/1000)=0,0,AE61/IF(1000=0,0,((AE41*$C$10)*Drivers!$AI$7)/1000))</f>
        <v/>
      </c>
      <c r="AF48" s="16">
        <f>IF(IF(1000=0,0,((AF41*$C$10)*Drivers!$AJ$7)/1000)=0,0,AF61/IF(1000=0,0,((AF41*$C$10)*Drivers!$AJ$7)/1000))</f>
        <v/>
      </c>
      <c r="AG48" s="16">
        <f>IF(IF(1000=0,0,((AG41*$C$10)*Drivers!$AK$7)/1000)=0,0,AG61/IF(1000=0,0,((AG41*$C$10)*Drivers!$AK$7)/1000))</f>
        <v/>
      </c>
      <c r="AH48" s="16">
        <f>IF(IF(1000=0,0,((AH41*$C$10)*Drivers!$AL$7)/1000)=0,0,AH61/IF(1000=0,0,((AH41*$C$10)*Drivers!$AL$7)/1000))</f>
        <v/>
      </c>
      <c r="AI48" s="16">
        <f>IF(IF(1000=0,0,((AI41*$C$10)*Drivers!$AM$7)/1000)=0,0,AI61/IF(1000=0,0,((AI41*$C$10)*Drivers!$AM$7)/1000))</f>
        <v/>
      </c>
      <c r="AJ48" s="16">
        <f>IF(IF(1000=0,0,((AJ41*$C$10)*Drivers!$AN$7)/1000)=0,0,AJ61/IF(1000=0,0,((AJ41*$C$10)*Drivers!$AN$7)/1000))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6">
        <f>IF(IF(1000=0,0,((H41*$C$10)*Drivers!$L$7)/1000)=0,0,(H53+H52)/IF(1000=0,0,((H41*$C$10)*Drivers!$L$7)/1000))</f>
        <v/>
      </c>
      <c r="I49" s="16">
        <f>IF(IF(1000=0,0,((I41*$C$10)*Drivers!$M$7)/1000)=0,0,(I53+I52)/IF(1000=0,0,((I41*$C$10)*Drivers!$M$7)/1000))</f>
        <v/>
      </c>
      <c r="J49" s="16">
        <f>IF(IF(1000=0,0,((J41*$C$10)*Drivers!$N$7)/1000)=0,0,(J53+J52)/IF(1000=0,0,((J41*$C$10)*Drivers!$N$7)/1000))</f>
        <v/>
      </c>
      <c r="K49" s="16">
        <f>IF(IF(1000=0,0,((K41*$C$10)*Drivers!$O$7)/1000)=0,0,(K53+K52)/IF(1000=0,0,((K41*$C$10)*Drivers!$O$7)/1000))</f>
        <v/>
      </c>
      <c r="L49" s="16">
        <f>IF(IF(1000=0,0,((L41*$C$10)*Drivers!$P$7)/1000)=0,0,(L53+L52)/IF(1000=0,0,((L41*$C$10)*Drivers!$P$7)/1000))</f>
        <v/>
      </c>
      <c r="M49" s="16">
        <f>IF(IF(1000=0,0,((M41*$C$10)*Drivers!$Q$7)/1000)=0,0,(M53+M52)/IF(1000=0,0,((M41*$C$10)*Drivers!$Q$7)/1000))</f>
        <v/>
      </c>
      <c r="N49" s="16">
        <f>IF(IF(1000=0,0,((N41*$C$10)*Drivers!$R$7)/1000)=0,0,(N53+N52)/IF(1000=0,0,((N41*$C$10)*Drivers!$R$7)/1000))</f>
        <v/>
      </c>
      <c r="O49" s="16">
        <f>IF(IF(1000=0,0,((O41*$C$10)*Drivers!$S$7)/1000)=0,0,(O53+O52)/IF(1000=0,0,((O41*$C$10)*Drivers!$S$7)/1000))</f>
        <v/>
      </c>
      <c r="P49" s="16">
        <f>IF(IF(1000=0,0,((P41*$C$10)*Drivers!$T$7)/1000)=0,0,(P53+P52)/IF(1000=0,0,((P41*$C$10)*Drivers!$T$7)/1000))</f>
        <v/>
      </c>
      <c r="Q49" s="16">
        <f>IF(IF(1000=0,0,((Q41*$C$10)*Drivers!$U$7)/1000)=0,0,(Q53+Q52)/IF(1000=0,0,((Q41*$C$10)*Drivers!$U$7)/1000))</f>
        <v/>
      </c>
      <c r="R49" s="16">
        <f>IF(IF(1000=0,0,((R41*$C$10)*Drivers!$V$7)/1000)=0,0,(R53+R52)/IF(1000=0,0,((R41*$C$10)*Drivers!$V$7)/1000))</f>
        <v/>
      </c>
      <c r="S49" s="16">
        <f>IF(IF(1000=0,0,((S41*$C$10)*Drivers!$W$7)/1000)=0,0,(S53+S52)/IF(1000=0,0,((S41*$C$10)*Drivers!$W$7)/1000))</f>
        <v/>
      </c>
      <c r="T49" s="16">
        <f>IF(IF(1000=0,0,((T41*$C$10)*Drivers!$X$7)/1000)=0,0,(T53+T52)/IF(1000=0,0,((T41*$C$10)*Drivers!$X$7)/1000))</f>
        <v/>
      </c>
      <c r="U49" s="16">
        <f>IF(IF(1000=0,0,((U41*$C$10)*Drivers!$Y$7)/1000)=0,0,(U53+U52)/IF(1000=0,0,((U41*$C$10)*Drivers!$Y$7)/1000))</f>
        <v/>
      </c>
      <c r="V49" s="16">
        <f>IF(IF(1000=0,0,((V41*$C$10)*Drivers!$Z$7)/1000)=0,0,(V53+V52)/IF(1000=0,0,((V41*$C$10)*Drivers!$Z$7)/1000))</f>
        <v/>
      </c>
      <c r="W49" s="16">
        <f>IF(IF(1000=0,0,((W41*$C$10)*Drivers!$AA$7)/1000)=0,0,(W53+W52)/IF(1000=0,0,((W41*$C$10)*Drivers!$AA$7)/1000))</f>
        <v/>
      </c>
      <c r="X49" s="16">
        <f>IF(IF(1000=0,0,((X41*$C$10)*Drivers!$AB$7)/1000)=0,0,(X53+X52)/IF(1000=0,0,((X41*$C$10)*Drivers!$AB$7)/1000))</f>
        <v/>
      </c>
      <c r="Y49" s="16">
        <f>IF(IF(1000=0,0,((Y41*$C$10)*Drivers!$AC$7)/1000)=0,0,(Y53+Y52)/IF(1000=0,0,((Y41*$C$10)*Drivers!$AC$7)/1000))</f>
        <v/>
      </c>
      <c r="Z49" s="16">
        <f>IF(IF(1000=0,0,((Z41*$C$10)*Drivers!$AD$7)/1000)=0,0,(Z53+Z52)/IF(1000=0,0,((Z41*$C$10)*Drivers!$AD$7)/1000))</f>
        <v/>
      </c>
      <c r="AA49" s="16">
        <f>IF(IF(1000=0,0,((AA41*$C$10)*Drivers!$AE$7)/1000)=0,0,(AA53+AA52)/IF(1000=0,0,((AA41*$C$10)*Drivers!$AE$7)/1000))</f>
        <v/>
      </c>
      <c r="AB49" s="16">
        <f>IF(IF(1000=0,0,((AB41*$C$10)*Drivers!$AF$7)/1000)=0,0,(AB53+AB52)/IF(1000=0,0,((AB41*$C$10)*Drivers!$AF$7)/1000))</f>
        <v/>
      </c>
      <c r="AC49" s="16">
        <f>IF(IF(1000=0,0,((AC41*$C$10)*Drivers!$AG$7)/1000)=0,0,(AC53+AC52)/IF(1000=0,0,((AC41*$C$10)*Drivers!$AG$7)/1000))</f>
        <v/>
      </c>
      <c r="AD49" s="16">
        <f>IF(IF(1000=0,0,((AD41*$C$10)*Drivers!$AH$7)/1000)=0,0,(AD53+AD52)/IF(1000=0,0,((AD41*$C$10)*Drivers!$AH$7)/1000))</f>
        <v/>
      </c>
      <c r="AE49" s="16">
        <f>IF(IF(1000=0,0,((AE41*$C$10)*Drivers!$AI$7)/1000)=0,0,(AE53+AE52)/IF(1000=0,0,((AE41*$C$10)*Drivers!$AI$7)/1000))</f>
        <v/>
      </c>
      <c r="AF49" s="16">
        <f>IF(IF(1000=0,0,((AF41*$C$10)*Drivers!$AJ$7)/1000)=0,0,(AF53+AF52)/IF(1000=0,0,((AF41*$C$10)*Drivers!$AJ$7)/1000))</f>
        <v/>
      </c>
      <c r="AG49" s="16">
        <f>IF(IF(1000=0,0,((AG41*$C$10)*Drivers!$AK$7)/1000)=0,0,(AG53+AG52)/IF(1000=0,0,((AG41*$C$10)*Drivers!$AK$7)/1000))</f>
        <v/>
      </c>
      <c r="AH49" s="16">
        <f>IF(IF(1000=0,0,((AH41*$C$10)*Drivers!$AL$7)/1000)=0,0,(AH53+AH52)/IF(1000=0,0,((AH41*$C$10)*Drivers!$AL$7)/1000))</f>
        <v/>
      </c>
      <c r="AI49" s="16">
        <f>IF(IF(1000=0,0,((AI41*$C$10)*Drivers!$AM$7)/1000)=0,0,(AI53+AI52)/IF(1000=0,0,((AI41*$C$10)*Drivers!$AM$7)/1000))</f>
        <v/>
      </c>
      <c r="AJ49" s="16">
        <f>IF(IF(1000=0,0,((AJ41*$C$10)*Drivers!$AN$7)/1000)=0,0,(AJ53+AJ52)/IF(1000=0,0,((AJ41*$C$10)*Drivers!$AN$7)/1000))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31">
        <f>IF(1000=0,0,(((H41*H43)*$C$10)*Drivers!$L$7)/1000)</f>
        <v/>
      </c>
      <c r="I50" s="31">
        <f>IF(1000=0,0,(((I41*I43)*$C$10)*Drivers!$M$7)/1000)</f>
        <v/>
      </c>
      <c r="J50" s="31">
        <f>IF(1000=0,0,(((J41*J43)*$C$10)*Drivers!$N$7)/1000)</f>
        <v/>
      </c>
      <c r="K50" s="31">
        <f>IF(1000=0,0,(((K41*K43)*$C$10)*Drivers!$O$7)/1000)</f>
        <v/>
      </c>
      <c r="L50" s="31">
        <f>IF(1000=0,0,(((L41*L43)*$C$10)*Drivers!$P$7)/1000)</f>
        <v/>
      </c>
      <c r="M50" s="31">
        <f>IF(1000=0,0,(((M41*M43)*$C$10)*Drivers!$Q$7)/1000)</f>
        <v/>
      </c>
      <c r="N50" s="31">
        <f>IF(1000=0,0,(((N41*N43)*$C$10)*Drivers!$R$7)/1000)</f>
        <v/>
      </c>
      <c r="O50" s="31">
        <f>IF(1000=0,0,(((O41*O43)*$C$10)*Drivers!$S$7)/1000)</f>
        <v/>
      </c>
      <c r="P50" s="31">
        <f>IF(1000=0,0,(((P41*P43)*$C$10)*Drivers!$T$7)/1000)</f>
        <v/>
      </c>
      <c r="Q50" s="31">
        <f>IF(1000=0,0,(((Q41*Q43)*$C$10)*Drivers!$U$7)/1000)</f>
        <v/>
      </c>
      <c r="R50" s="31">
        <f>IF(1000=0,0,(((R41*R43)*$C$10)*Drivers!$V$7)/1000)</f>
        <v/>
      </c>
      <c r="S50" s="31">
        <f>IF(1000=0,0,(((S41*S43)*$C$10)*Drivers!$W$7)/1000)</f>
        <v/>
      </c>
      <c r="T50" s="31">
        <f>IF(1000=0,0,(((T41*T43)*$C$10)*Drivers!$X$7)/1000)</f>
        <v/>
      </c>
      <c r="U50" s="31">
        <f>IF(1000=0,0,(((U41*U43)*$C$10)*Drivers!$Y$7)/1000)</f>
        <v/>
      </c>
      <c r="V50" s="31">
        <f>IF(1000=0,0,(((V41*V43)*$C$10)*Drivers!$Z$7)/1000)</f>
        <v/>
      </c>
      <c r="W50" s="31">
        <f>IF(1000=0,0,(((W41*W43)*$C$10)*Drivers!$AA$7)/1000)</f>
        <v/>
      </c>
      <c r="X50" s="31">
        <f>IF(1000=0,0,(((X41*X43)*$C$10)*Drivers!$AB$7)/1000)</f>
        <v/>
      </c>
      <c r="Y50" s="31">
        <f>IF(1000=0,0,(((Y41*Y43)*$C$10)*Drivers!$AC$7)/1000)</f>
        <v/>
      </c>
      <c r="Z50" s="31">
        <f>IF(1000=0,0,(((Z41*Z43)*$C$10)*Drivers!$AD$7)/1000)</f>
        <v/>
      </c>
      <c r="AA50" s="31">
        <f>IF(1000=0,0,(((AA41*AA43)*$C$10)*Drivers!$AE$7)/1000)</f>
        <v/>
      </c>
      <c r="AB50" s="31">
        <f>IF(1000=0,0,(((AB41*AB43)*$C$10)*Drivers!$AF$7)/1000)</f>
        <v/>
      </c>
      <c r="AC50" s="31">
        <f>IF(1000=0,0,(((AC41*AC43)*$C$10)*Drivers!$AG$7)/1000)</f>
        <v/>
      </c>
      <c r="AD50" s="31">
        <f>IF(1000=0,0,(((AD41*AD43)*$C$10)*Drivers!$AH$7)/1000)</f>
        <v/>
      </c>
      <c r="AE50" s="31">
        <f>IF(1000=0,0,(((AE41*AE43)*$C$10)*Drivers!$AI$7)/1000)</f>
        <v/>
      </c>
      <c r="AF50" s="31">
        <f>IF(1000=0,0,(((AF41*AF43)*$C$10)*Drivers!$AJ$7)/1000)</f>
        <v/>
      </c>
      <c r="AG50" s="31">
        <f>IF(1000=0,0,(((AG41*AG43)*$C$10)*Drivers!$AK$7)/1000)</f>
        <v/>
      </c>
      <c r="AH50" s="31">
        <f>IF(1000=0,0,(((AH41*AH43)*$C$10)*Drivers!$AL$7)/1000)</f>
        <v/>
      </c>
      <c r="AI50" s="31">
        <f>IF(1000=0,0,(((AI41*AI43)*$C$10)*Drivers!$AM$7)/1000)</f>
        <v/>
      </c>
      <c r="AJ50" s="31">
        <f>IF(1000=0,0,(((AJ41*AJ43)*$C$10)*Drivers!$AN$7)/1000)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  <c r="P51" s="15">
        <f>P22</f>
        <v/>
      </c>
      <c r="Q51" s="15">
        <f>Q22</f>
        <v/>
      </c>
      <c r="R51" s="15">
        <f>R22</f>
        <v/>
      </c>
      <c r="S51" s="15">
        <f>S22</f>
        <v/>
      </c>
      <c r="T51" s="15">
        <f>T22</f>
        <v/>
      </c>
      <c r="U51" s="15">
        <f>U22</f>
        <v/>
      </c>
      <c r="V51" s="15">
        <f>V22</f>
        <v/>
      </c>
      <c r="W51" s="15">
        <f>W22</f>
        <v/>
      </c>
      <c r="X51" s="15">
        <f>X22</f>
        <v/>
      </c>
      <c r="Y51" s="15">
        <f>Y22</f>
        <v/>
      </c>
      <c r="Z51" s="15">
        <f>Z22</f>
        <v/>
      </c>
      <c r="AA51" s="15">
        <f>AA22</f>
        <v/>
      </c>
      <c r="AB51" s="15">
        <f>AB22</f>
        <v/>
      </c>
      <c r="AC51" s="15">
        <f>AC22</f>
        <v/>
      </c>
      <c r="AD51" s="15">
        <f>AD22</f>
        <v/>
      </c>
      <c r="AE51" s="15">
        <f>AE22</f>
        <v/>
      </c>
      <c r="AF51" s="15">
        <f>AF22</f>
        <v/>
      </c>
      <c r="AG51" s="15">
        <f>AG22</f>
        <v/>
      </c>
      <c r="AH51" s="15">
        <f>AH22</f>
        <v/>
      </c>
      <c r="AI51" s="15">
        <f>AI22</f>
        <v/>
      </c>
      <c r="AJ51" s="15">
        <f>AJ22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  <c r="P52" s="15">
        <f>(P50*P47)</f>
        <v/>
      </c>
      <c r="Q52" s="15">
        <f>(Q50*Q47)</f>
        <v/>
      </c>
      <c r="R52" s="15">
        <f>(R50*R47)</f>
        <v/>
      </c>
      <c r="S52" s="15">
        <f>(S50*S47)</f>
        <v/>
      </c>
      <c r="T52" s="15">
        <f>(T50*T47)</f>
        <v/>
      </c>
      <c r="U52" s="15">
        <f>(U50*U47)</f>
        <v/>
      </c>
      <c r="V52" s="15">
        <f>(V50*V47)</f>
        <v/>
      </c>
      <c r="W52" s="15">
        <f>(W50*W47)</f>
        <v/>
      </c>
      <c r="X52" s="15">
        <f>(X50*X47)</f>
        <v/>
      </c>
      <c r="Y52" s="15">
        <f>(Y50*Y47)</f>
        <v/>
      </c>
      <c r="Z52" s="15">
        <f>(Z50*Z47)</f>
        <v/>
      </c>
      <c r="AA52" s="15">
        <f>(AA50*AA47)</f>
        <v/>
      </c>
      <c r="AB52" s="15">
        <f>(AB50*AB47)</f>
        <v/>
      </c>
      <c r="AC52" s="15">
        <f>(AC50*AC47)</f>
        <v/>
      </c>
      <c r="AD52" s="15">
        <f>(AD50*AD47)</f>
        <v/>
      </c>
      <c r="AE52" s="15">
        <f>(AE50*AE47)</f>
        <v/>
      </c>
      <c r="AF52" s="15">
        <f>(AF50*AF47)</f>
        <v/>
      </c>
      <c r="AG52" s="15">
        <f>(AG50*AG47)</f>
        <v/>
      </c>
      <c r="AH52" s="15">
        <f>(AH50*AH47)</f>
        <v/>
      </c>
      <c r="AI52" s="15">
        <f>(AI50*AI47)</f>
        <v/>
      </c>
      <c r="AJ52" s="15">
        <f>(AJ50*AJ47)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IF(1000=0,0,((H41*H45)*$C$10)/1000)</f>
        <v/>
      </c>
      <c r="I53" s="15">
        <f>IF(1000=0,0,((I41*I45)*$C$10)/1000)</f>
        <v/>
      </c>
      <c r="J53" s="15">
        <f>IF(1000=0,0,((J41*J45)*$C$10)/1000)</f>
        <v/>
      </c>
      <c r="K53" s="15">
        <f>IF(1000=0,0,((K41*K45)*$C$10)/1000)</f>
        <v/>
      </c>
      <c r="L53" s="15">
        <f>IF(1000=0,0,((L41*L45)*$C$10)/1000)</f>
        <v/>
      </c>
      <c r="M53" s="15">
        <f>IF(1000=0,0,((M41*M45)*$C$10)/1000)</f>
        <v/>
      </c>
      <c r="N53" s="15">
        <f>IF(1000=0,0,((N41*N45)*$C$10)/1000)</f>
        <v/>
      </c>
      <c r="O53" s="15">
        <f>IF(1000=0,0,((O41*O45)*$C$10)/1000)</f>
        <v/>
      </c>
      <c r="P53" s="15">
        <f>IF(1000=0,0,((P41*P45)*$C$10)/1000)</f>
        <v/>
      </c>
      <c r="Q53" s="15">
        <f>IF(1000=0,0,((Q41*Q45)*$C$10)/1000)</f>
        <v/>
      </c>
      <c r="R53" s="15">
        <f>IF(1000=0,0,((R41*R45)*$C$10)/1000)</f>
        <v/>
      </c>
      <c r="S53" s="15">
        <f>IF(1000=0,0,((S41*S45)*$C$10)/1000)</f>
        <v/>
      </c>
      <c r="T53" s="15">
        <f>IF(1000=0,0,((T41*T45)*$C$10)/1000)</f>
        <v/>
      </c>
      <c r="U53" s="15">
        <f>IF(1000=0,0,((U41*U45)*$C$10)/1000)</f>
        <v/>
      </c>
      <c r="V53" s="15">
        <f>IF(1000=0,0,((V41*V45)*$C$10)/1000)</f>
        <v/>
      </c>
      <c r="W53" s="15">
        <f>IF(1000=0,0,((W41*W45)*$C$10)/1000)</f>
        <v/>
      </c>
      <c r="X53" s="15">
        <f>IF(1000=0,0,((X41*X45)*$C$10)/1000)</f>
        <v/>
      </c>
      <c r="Y53" s="15">
        <f>IF(1000=0,0,((Y41*Y45)*$C$10)/1000)</f>
        <v/>
      </c>
      <c r="Z53" s="15">
        <f>IF(1000=0,0,((Z41*Z45)*$C$10)/1000)</f>
        <v/>
      </c>
      <c r="AA53" s="15">
        <f>IF(1000=0,0,((AA41*AA45)*$C$10)/1000)</f>
        <v/>
      </c>
      <c r="AB53" s="15">
        <f>IF(1000=0,0,((AB41*AB45)*$C$10)/1000)</f>
        <v/>
      </c>
      <c r="AC53" s="15">
        <f>IF(1000=0,0,((AC41*AC45)*$C$10)/1000)</f>
        <v/>
      </c>
      <c r="AD53" s="15">
        <f>IF(1000=0,0,((AD41*AD45)*$C$10)/1000)</f>
        <v/>
      </c>
      <c r="AE53" s="15">
        <f>IF(1000=0,0,((AE41*AE45)*$C$10)/1000)</f>
        <v/>
      </c>
      <c r="AF53" s="15">
        <f>IF(1000=0,0,((AF41*AF45)*$C$10)/1000)</f>
        <v/>
      </c>
      <c r="AG53" s="15">
        <f>IF(1000=0,0,((AG41*AG45)*$C$10)/1000)</f>
        <v/>
      </c>
      <c r="AH53" s="15">
        <f>IF(1000=0,0,((AH41*AH45)*$C$10)/1000)</f>
        <v/>
      </c>
      <c r="AI53" s="15">
        <f>IF(1000=0,0,((AI41*AI45)*$C$10)/1000)</f>
        <v/>
      </c>
      <c r="AJ53" s="15">
        <f>IF(1000=0,0,((AJ41*AJ45)*$C$10)/1000)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  <c r="P54" s="15">
        <f>(P51*(1-$C$23))</f>
        <v/>
      </c>
      <c r="Q54" s="15">
        <f>(Q51*(1-$C$23))</f>
        <v/>
      </c>
      <c r="R54" s="15">
        <f>(R51*(1-$C$23))</f>
        <v/>
      </c>
      <c r="S54" s="15">
        <f>(S51*(1-$C$23))</f>
        <v/>
      </c>
      <c r="T54" s="15">
        <f>(T51*(1-$C$23))</f>
        <v/>
      </c>
      <c r="U54" s="15">
        <f>(U51*(1-$C$23))</f>
        <v/>
      </c>
      <c r="V54" s="15">
        <f>(V51*(1-$C$23))</f>
        <v/>
      </c>
      <c r="W54" s="15">
        <f>(W51*(1-$C$23))</f>
        <v/>
      </c>
      <c r="X54" s="15">
        <f>(X51*(1-$C$23))</f>
        <v/>
      </c>
      <c r="Y54" s="15">
        <f>(Y51*(1-$C$23))</f>
        <v/>
      </c>
      <c r="Z54" s="15">
        <f>(Z51*(1-$C$23))</f>
        <v/>
      </c>
      <c r="AA54" s="15">
        <f>(AA51*(1-$C$23))</f>
        <v/>
      </c>
      <c r="AB54" s="15">
        <f>(AB51*(1-$C$23))</f>
        <v/>
      </c>
      <c r="AC54" s="15">
        <f>(AC51*(1-$C$23))</f>
        <v/>
      </c>
      <c r="AD54" s="15">
        <f>(AD51*(1-$C$23))</f>
        <v/>
      </c>
      <c r="AE54" s="15">
        <f>(AE51*(1-$C$23))</f>
        <v/>
      </c>
      <c r="AF54" s="15">
        <f>(AF51*(1-$C$23))</f>
        <v/>
      </c>
      <c r="AG54" s="15">
        <f>(AG51*(1-$C$23))</f>
        <v/>
      </c>
      <c r="AH54" s="15">
        <f>(AH51*(1-$C$23))</f>
        <v/>
      </c>
      <c r="AI54" s="15">
        <f>(AI51*(1-$C$23))</f>
        <v/>
      </c>
      <c r="AJ54" s="15">
        <f>(AJ51*(1-$C$23))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413.645245865</v>
      </c>
      <c r="E55" s="13" t="n">
        <v>297.41148321</v>
      </c>
      <c r="F55" s="13" t="n">
        <v>435.143362568</v>
      </c>
      <c r="G55" s="13" t="n">
        <v>534.021405626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  <c r="P55" s="15">
        <f>(P50+P51)</f>
        <v/>
      </c>
      <c r="Q55" s="15">
        <f>(Q50+Q51)</f>
        <v/>
      </c>
      <c r="R55" s="15">
        <f>(R50+R51)</f>
        <v/>
      </c>
      <c r="S55" s="15">
        <f>(S50+S51)</f>
        <v/>
      </c>
      <c r="T55" s="15">
        <f>(T50+T51)</f>
        <v/>
      </c>
      <c r="U55" s="15">
        <f>(U50+U51)</f>
        <v/>
      </c>
      <c r="V55" s="15">
        <f>(V50+V51)</f>
        <v/>
      </c>
      <c r="W55" s="15">
        <f>(W50+W51)</f>
        <v/>
      </c>
      <c r="X55" s="15">
        <f>(X50+X51)</f>
        <v/>
      </c>
      <c r="Y55" s="15">
        <f>(Y50+Y51)</f>
        <v/>
      </c>
      <c r="Z55" s="15">
        <f>(Z50+Z51)</f>
        <v/>
      </c>
      <c r="AA55" s="15">
        <f>(AA50+AA51)</f>
        <v/>
      </c>
      <c r="AB55" s="15">
        <f>(AB50+AB51)</f>
        <v/>
      </c>
      <c r="AC55" s="15">
        <f>(AC50+AC51)</f>
        <v/>
      </c>
      <c r="AD55" s="15">
        <f>(AD50+AD51)</f>
        <v/>
      </c>
      <c r="AE55" s="15">
        <f>(AE50+AE51)</f>
        <v/>
      </c>
      <c r="AF55" s="15">
        <f>(AF50+AF51)</f>
        <v/>
      </c>
      <c r="AG55" s="15">
        <f>(AG50+AG51)</f>
        <v/>
      </c>
      <c r="AH55" s="15">
        <f>(AH50+AH51)</f>
        <v/>
      </c>
      <c r="AI55" s="15">
        <f>(AI50+AI51)</f>
        <v/>
      </c>
      <c r="AJ55" s="15">
        <f>(AJ50+AJ51)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320.86028022</v>
      </c>
      <c r="E56" s="13" t="n">
        <v>244.709364377</v>
      </c>
      <c r="F56" s="13" t="n">
        <v>344.973111187</v>
      </c>
      <c r="G56" s="13" t="n">
        <v>435.913902844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  <c r="P56" s="15">
        <f>(((P53+P52)+P54)+P60)</f>
        <v/>
      </c>
      <c r="Q56" s="15">
        <f>(((Q53+Q52)+Q54)+Q60)</f>
        <v/>
      </c>
      <c r="R56" s="15">
        <f>(((R53+R52)+R54)+R60)</f>
        <v/>
      </c>
      <c r="S56" s="15">
        <f>(((S53+S52)+S54)+S60)</f>
        <v/>
      </c>
      <c r="T56" s="15">
        <f>(((T53+T52)+T54)+T60)</f>
        <v/>
      </c>
      <c r="U56" s="15">
        <f>(((U53+U52)+U54)+U60)</f>
        <v/>
      </c>
      <c r="V56" s="15">
        <f>(((V53+V52)+V54)+V60)</f>
        <v/>
      </c>
      <c r="W56" s="15">
        <f>(((W53+W52)+W54)+W60)</f>
        <v/>
      </c>
      <c r="X56" s="15">
        <f>(((X53+X52)+X54)+X60)</f>
        <v/>
      </c>
      <c r="Y56" s="15">
        <f>(((Y53+Y52)+Y54)+Y60)</f>
        <v/>
      </c>
      <c r="Z56" s="15">
        <f>(((Z53+Z52)+Z54)+Z60)</f>
        <v/>
      </c>
      <c r="AA56" s="15">
        <f>(((AA53+AA52)+AA54)+AA60)</f>
        <v/>
      </c>
      <c r="AB56" s="15">
        <f>(((AB53+AB52)+AB54)+AB60)</f>
        <v/>
      </c>
      <c r="AC56" s="15">
        <f>(((AC53+AC52)+AC54)+AC60)</f>
        <v/>
      </c>
      <c r="AD56" s="15">
        <f>(((AD53+AD52)+AD54)+AD60)</f>
        <v/>
      </c>
      <c r="AE56" s="15">
        <f>(((AE53+AE52)+AE54)+AE60)</f>
        <v/>
      </c>
      <c r="AF56" s="15">
        <f>(((AF53+AF52)+AF54)+AF60)</f>
        <v/>
      </c>
      <c r="AG56" s="15">
        <f>(((AG53+AG52)+AG54)+AG60)</f>
        <v/>
      </c>
      <c r="AH56" s="15">
        <f>(((AH53+AH52)+AH54)+AH60)</f>
        <v/>
      </c>
      <c r="AI56" s="15">
        <f>(((AI53+AI52)+AI54)+AI60)</f>
        <v/>
      </c>
      <c r="AJ56" s="15">
        <f>(((AJ53+AJ52)+AJ54)+AJ60)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92.784965645</v>
      </c>
      <c r="E57" s="13" t="n">
        <v>52.702118833</v>
      </c>
      <c r="F57" s="13" t="n">
        <v>90.170251381</v>
      </c>
      <c r="G57" s="13" t="n">
        <v>98.107502782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  <c r="P57" s="15">
        <f>(P55-P56)</f>
        <v/>
      </c>
      <c r="Q57" s="15">
        <f>(Q55-Q56)</f>
        <v/>
      </c>
      <c r="R57" s="15">
        <f>(R55-R56)</f>
        <v/>
      </c>
      <c r="S57" s="15">
        <f>(S55-S56)</f>
        <v/>
      </c>
      <c r="T57" s="15">
        <f>(T55-T56)</f>
        <v/>
      </c>
      <c r="U57" s="15">
        <f>(U55-U56)</f>
        <v/>
      </c>
      <c r="V57" s="15">
        <f>(V55-V56)</f>
        <v/>
      </c>
      <c r="W57" s="15">
        <f>(W55-W56)</f>
        <v/>
      </c>
      <c r="X57" s="15">
        <f>(X55-X56)</f>
        <v/>
      </c>
      <c r="Y57" s="15">
        <f>(Y55-Y56)</f>
        <v/>
      </c>
      <c r="Z57" s="15">
        <f>(Z55-Z56)</f>
        <v/>
      </c>
      <c r="AA57" s="15">
        <f>(AA55-AA56)</f>
        <v/>
      </c>
      <c r="AB57" s="15">
        <f>(AB55-AB56)</f>
        <v/>
      </c>
      <c r="AC57" s="15">
        <f>(AC55-AC56)</f>
        <v/>
      </c>
      <c r="AD57" s="15">
        <f>(AD55-AD56)</f>
        <v/>
      </c>
      <c r="AE57" s="15">
        <f>(AE55-AE56)</f>
        <v/>
      </c>
      <c r="AF57" s="15">
        <f>(AF55-AF56)</f>
        <v/>
      </c>
      <c r="AG57" s="15">
        <f>(AG55-AG56)</f>
        <v/>
      </c>
      <c r="AH57" s="15">
        <f>(AH55-AH56)</f>
        <v/>
      </c>
      <c r="AI57" s="15">
        <f>(AI55-AI56)</f>
        <v/>
      </c>
      <c r="AJ57" s="15">
        <f>(AJ55-AJ56)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68.08503747099999</v>
      </c>
      <c r="E58" s="13" t="n">
        <v>33.170620137</v>
      </c>
      <c r="F58" s="13" t="n">
        <v>68.885830791</v>
      </c>
      <c r="G58" s="13" t="n">
        <v>90.16969760799999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  <c r="P58" s="15">
        <f>(P55*P37)</f>
        <v/>
      </c>
      <c r="Q58" s="15">
        <f>(Q55*Q37)</f>
        <v/>
      </c>
      <c r="R58" s="15">
        <f>(R55*R37)</f>
        <v/>
      </c>
      <c r="S58" s="15">
        <f>(S55*S37)</f>
        <v/>
      </c>
      <c r="T58" s="15">
        <f>(T55*T37)</f>
        <v/>
      </c>
      <c r="U58" s="15">
        <f>(U55*U37)</f>
        <v/>
      </c>
      <c r="V58" s="15">
        <f>(V55*V37)</f>
        <v/>
      </c>
      <c r="W58" s="15">
        <f>(W55*W37)</f>
        <v/>
      </c>
      <c r="X58" s="15">
        <f>(X55*X37)</f>
        <v/>
      </c>
      <c r="Y58" s="15">
        <f>(Y55*Y37)</f>
        <v/>
      </c>
      <c r="Z58" s="15">
        <f>(Z55*Z37)</f>
        <v/>
      </c>
      <c r="AA58" s="15">
        <f>(AA55*AA37)</f>
        <v/>
      </c>
      <c r="AB58" s="15">
        <f>(AB55*AB37)</f>
        <v/>
      </c>
      <c r="AC58" s="15">
        <f>(AC55*AC37)</f>
        <v/>
      </c>
      <c r="AD58" s="15">
        <f>(AD55*AD37)</f>
        <v/>
      </c>
      <c r="AE58" s="15">
        <f>(AE55*AE37)</f>
        <v/>
      </c>
      <c r="AF58" s="15">
        <f>(AF55*AF37)</f>
        <v/>
      </c>
      <c r="AG58" s="15">
        <f>(AG55*AG37)</f>
        <v/>
      </c>
      <c r="AH58" s="15">
        <f>(AH55*AH37)</f>
        <v/>
      </c>
      <c r="AI58" s="15">
        <f>(AI55*AI37)</f>
        <v/>
      </c>
      <c r="AJ58" s="15">
        <f>(AJ55*AJ37)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24.699928174</v>
      </c>
      <c r="E59" s="13" t="n">
        <v>19.531498696</v>
      </c>
      <c r="F59" s="13" t="n">
        <v>21.28442059</v>
      </c>
      <c r="G59" s="13" t="n">
        <v>7.937805174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  <c r="P59" s="15">
        <f>(P57-P58)</f>
        <v/>
      </c>
      <c r="Q59" s="15">
        <f>(Q57-Q58)</f>
        <v/>
      </c>
      <c r="R59" s="15">
        <f>(R57-R58)</f>
        <v/>
      </c>
      <c r="S59" s="15">
        <f>(S57-S58)</f>
        <v/>
      </c>
      <c r="T59" s="15">
        <f>(T57-T58)</f>
        <v/>
      </c>
      <c r="U59" s="15">
        <f>(U57-U58)</f>
        <v/>
      </c>
      <c r="V59" s="15">
        <f>(V57-V58)</f>
        <v/>
      </c>
      <c r="W59" s="15">
        <f>(W57-W58)</f>
        <v/>
      </c>
      <c r="X59" s="15">
        <f>(X57-X58)</f>
        <v/>
      </c>
      <c r="Y59" s="15">
        <f>(Y57-Y58)</f>
        <v/>
      </c>
      <c r="Z59" s="15">
        <f>(Z57-Z58)</f>
        <v/>
      </c>
      <c r="AA59" s="15">
        <f>(AA57-AA58)</f>
        <v/>
      </c>
      <c r="AB59" s="15">
        <f>(AB57-AB58)</f>
        <v/>
      </c>
      <c r="AC59" s="15">
        <f>(AC57-AC58)</f>
        <v/>
      </c>
      <c r="AD59" s="15">
        <f>(AD57-AD58)</f>
        <v/>
      </c>
      <c r="AE59" s="15">
        <f>(AE57-AE58)</f>
        <v/>
      </c>
      <c r="AF59" s="15">
        <f>(AF57-AF58)</f>
        <v/>
      </c>
      <c r="AG59" s="15">
        <f>(AG57-AG58)</f>
        <v/>
      </c>
      <c r="AH59" s="15">
        <f>(AH57-AH58)</f>
        <v/>
      </c>
      <c r="AI59" s="15">
        <f>(AI57-AI58)</f>
        <v/>
      </c>
      <c r="AJ59" s="15">
        <f>(AJ57-AJ58)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0.7083710009999999</v>
      </c>
      <c r="E60" s="13" t="n">
        <v>0.66277369</v>
      </c>
      <c r="F60" s="13" t="n">
        <v>9.926047242999999</v>
      </c>
      <c r="G60" s="13" t="n">
        <v>6.811046932</v>
      </c>
      <c r="H60" s="15">
        <f>IF(1000=0,0,((H41*H24)*$C$10)/1000)</f>
        <v/>
      </c>
      <c r="I60" s="15">
        <f>IF(1000=0,0,((I41*I24)*$C$10)/1000)</f>
        <v/>
      </c>
      <c r="J60" s="15">
        <f>IF(1000=0,0,((J41*J24)*$C$10)/1000)</f>
        <v/>
      </c>
      <c r="K60" s="15">
        <f>IF(1000=0,0,((K41*K24)*$C$10)/1000)</f>
        <v/>
      </c>
      <c r="L60" s="15">
        <f>IF(1000=0,0,((L41*L24)*$C$10)/1000)</f>
        <v/>
      </c>
      <c r="M60" s="15">
        <f>IF(1000=0,0,((M41*M24)*$C$10)/1000)</f>
        <v/>
      </c>
      <c r="N60" s="15">
        <f>IF(1000=0,0,((N41*N24)*$C$10)/1000)</f>
        <v/>
      </c>
      <c r="O60" s="15">
        <f>IF(1000=0,0,((O41*O24)*$C$10)/1000)</f>
        <v/>
      </c>
      <c r="P60" s="15">
        <f>IF(1000=0,0,((P41*P24)*$C$10)/1000)</f>
        <v/>
      </c>
      <c r="Q60" s="15">
        <f>IF(1000=0,0,((Q41*Q24)*$C$10)/1000)</f>
        <v/>
      </c>
      <c r="R60" s="15">
        <f>IF(1000=0,0,((R41*R24)*$C$10)/1000)</f>
        <v/>
      </c>
      <c r="S60" s="15">
        <f>IF(1000=0,0,((S41*S24)*$C$10)/1000)</f>
        <v/>
      </c>
      <c r="T60" s="15">
        <f>IF(1000=0,0,((T41*T24)*$C$10)/1000)</f>
        <v/>
      </c>
      <c r="U60" s="15">
        <f>IF(1000=0,0,((U41*U24)*$C$10)/1000)</f>
        <v/>
      </c>
      <c r="V60" s="15">
        <f>IF(1000=0,0,((V41*V24)*$C$10)/1000)</f>
        <v/>
      </c>
      <c r="W60" s="15">
        <f>IF(1000=0,0,((W41*W24)*$C$10)/1000)</f>
        <v/>
      </c>
      <c r="X60" s="15">
        <f>IF(1000=0,0,((X41*X24)*$C$10)/1000)</f>
        <v/>
      </c>
      <c r="Y60" s="15">
        <f>IF(1000=0,0,((Y41*Y24)*$C$10)/1000)</f>
        <v/>
      </c>
      <c r="Z60" s="15">
        <f>IF(1000=0,0,((Z41*Z24)*$C$10)/1000)</f>
        <v/>
      </c>
      <c r="AA60" s="15">
        <f>IF(1000=0,0,((AA41*AA24)*$C$10)/1000)</f>
        <v/>
      </c>
      <c r="AB60" s="15">
        <f>IF(1000=0,0,((AB41*AB24)*$C$10)/1000)</f>
        <v/>
      </c>
      <c r="AC60" s="15">
        <f>IF(1000=0,0,((AC41*AC24)*$C$10)/1000)</f>
        <v/>
      </c>
      <c r="AD60" s="15">
        <f>IF(1000=0,0,((AD41*AD24)*$C$10)/1000)</f>
        <v/>
      </c>
      <c r="AE60" s="15">
        <f>IF(1000=0,0,((AE41*AE24)*$C$10)/1000)</f>
        <v/>
      </c>
      <c r="AF60" s="15">
        <f>IF(1000=0,0,((AF41*AF24)*$C$10)/1000)</f>
        <v/>
      </c>
      <c r="AG60" s="15">
        <f>IF(1000=0,0,((AG41*AG24)*$C$10)/1000)</f>
        <v/>
      </c>
      <c r="AH60" s="15">
        <f>IF(1000=0,0,((AH41*AH24)*$C$10)/1000)</f>
        <v/>
      </c>
      <c r="AI60" s="15">
        <f>IF(1000=0,0,((AI41*AI24)*$C$10)/1000)</f>
        <v/>
      </c>
      <c r="AJ60" s="15">
        <f>IF(1000=0,0,((AJ41*AJ24)*$C$10)/1000)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25.408299175</v>
      </c>
      <c r="E61" s="13" t="n">
        <v>20.194272386</v>
      </c>
      <c r="F61" s="13" t="n">
        <v>31.210467833</v>
      </c>
      <c r="G61" s="13" t="n">
        <v>14.748852106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  <c r="P61" s="15">
        <f>(P59+P60)</f>
        <v/>
      </c>
      <c r="Q61" s="15">
        <f>(Q59+Q60)</f>
        <v/>
      </c>
      <c r="R61" s="15">
        <f>(R59+R60)</f>
        <v/>
      </c>
      <c r="S61" s="15">
        <f>(S59+S60)</f>
        <v/>
      </c>
      <c r="T61" s="15">
        <f>(T59+T60)</f>
        <v/>
      </c>
      <c r="U61" s="15">
        <f>(U59+U60)</f>
        <v/>
      </c>
      <c r="V61" s="15">
        <f>(V59+V60)</f>
        <v/>
      </c>
      <c r="W61" s="15">
        <f>(W59+W60)</f>
        <v/>
      </c>
      <c r="X61" s="15">
        <f>(X59+X60)</f>
        <v/>
      </c>
      <c r="Y61" s="15">
        <f>(Y59+Y60)</f>
        <v/>
      </c>
      <c r="Z61" s="15">
        <f>(Z59+Z60)</f>
        <v/>
      </c>
      <c r="AA61" s="15">
        <f>(AA59+AA60)</f>
        <v/>
      </c>
      <c r="AB61" s="15">
        <f>(AB59+AB60)</f>
        <v/>
      </c>
      <c r="AC61" s="15">
        <f>(AC59+AC60)</f>
        <v/>
      </c>
      <c r="AD61" s="15">
        <f>(AD59+AD60)</f>
        <v/>
      </c>
      <c r="AE61" s="15">
        <f>(AE59+AE60)</f>
        <v/>
      </c>
      <c r="AF61" s="15">
        <f>(AF59+AF60)</f>
        <v/>
      </c>
      <c r="AG61" s="15">
        <f>(AG59+AG60)</f>
        <v/>
      </c>
      <c r="AH61" s="15">
        <f>(AH59+AH60)</f>
        <v/>
      </c>
      <c r="AI61" s="15">
        <f>(AI59+AI60)</f>
        <v/>
      </c>
      <c r="AJ61" s="15">
        <f>(AJ59+AJ60)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6.633527072</v>
      </c>
      <c r="E62" s="13" t="n">
        <v>19.547188867</v>
      </c>
      <c r="F62" s="13" t="n">
        <v>49.006817292</v>
      </c>
      <c r="G62" s="13" t="n">
        <v>48.639230051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  <c r="P62" s="15">
        <f>(O82*$C$29)</f>
        <v/>
      </c>
      <c r="Q62" s="15">
        <f>(P82*$C$29)</f>
        <v/>
      </c>
      <c r="R62" s="15">
        <f>(Q82*$C$29)</f>
        <v/>
      </c>
      <c r="S62" s="15">
        <f>(R82*$C$29)</f>
        <v/>
      </c>
      <c r="T62" s="15">
        <f>(S82*$C$29)</f>
        <v/>
      </c>
      <c r="U62" s="15">
        <f>(T82*$C$29)</f>
        <v/>
      </c>
      <c r="V62" s="15">
        <f>(U82*$C$29)</f>
        <v/>
      </c>
      <c r="W62" s="15">
        <f>(V82*$C$29)</f>
        <v/>
      </c>
      <c r="X62" s="15">
        <f>(W82*$C$29)</f>
        <v/>
      </c>
      <c r="Y62" s="15">
        <f>(X82*$C$29)</f>
        <v/>
      </c>
      <c r="Z62" s="15">
        <f>(Y82*$C$29)</f>
        <v/>
      </c>
      <c r="AA62" s="15">
        <f>(Z82*$C$29)</f>
        <v/>
      </c>
      <c r="AB62" s="15">
        <f>(AA82*$C$29)</f>
        <v/>
      </c>
      <c r="AC62" s="15">
        <f>(AB82*$C$29)</f>
        <v/>
      </c>
      <c r="AD62" s="15">
        <f>(AC82*$C$29)</f>
        <v/>
      </c>
      <c r="AE62" s="15">
        <f>(AD82*$C$29)</f>
        <v/>
      </c>
      <c r="AF62" s="15">
        <f>(AE82*$C$29)</f>
        <v/>
      </c>
      <c r="AG62" s="15">
        <f>(AF82*$C$29)</f>
        <v/>
      </c>
      <c r="AH62" s="15">
        <f>(AG82*$C$29)</f>
        <v/>
      </c>
      <c r="AI62" s="15">
        <f>(AH82*$C$29)</f>
        <v/>
      </c>
      <c r="AJ62" s="15">
        <f>(AI82*$C$29)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0.812846977</v>
      </c>
      <c r="E63" s="13" t="n">
        <v>1.869525104</v>
      </c>
      <c r="F63" s="13" t="n">
        <v>1.995126399</v>
      </c>
      <c r="G63" s="13" t="n">
        <v>2.631526329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  <c r="P63" s="15">
        <f>(O81*$C$30)</f>
        <v/>
      </c>
      <c r="Q63" s="15">
        <f>(P81*$C$30)</f>
        <v/>
      </c>
      <c r="R63" s="15">
        <f>(Q81*$C$30)</f>
        <v/>
      </c>
      <c r="S63" s="15">
        <f>(R81*$C$30)</f>
        <v/>
      </c>
      <c r="T63" s="15">
        <f>(S81*$C$30)</f>
        <v/>
      </c>
      <c r="U63" s="15">
        <f>(T81*$C$30)</f>
        <v/>
      </c>
      <c r="V63" s="15">
        <f>(U81*$C$30)</f>
        <v/>
      </c>
      <c r="W63" s="15">
        <f>(V81*$C$30)</f>
        <v/>
      </c>
      <c r="X63" s="15">
        <f>(W81*$C$30)</f>
        <v/>
      </c>
      <c r="Y63" s="15">
        <f>(X81*$C$30)</f>
        <v/>
      </c>
      <c r="Z63" s="15">
        <f>(Y81*$C$30)</f>
        <v/>
      </c>
      <c r="AA63" s="15">
        <f>(Z81*$C$30)</f>
        <v/>
      </c>
      <c r="AB63" s="15">
        <f>(AA81*$C$30)</f>
        <v/>
      </c>
      <c r="AC63" s="15">
        <f>(AB81*$C$30)</f>
        <v/>
      </c>
      <c r="AD63" s="15">
        <f>(AC81*$C$30)</f>
        <v/>
      </c>
      <c r="AE63" s="15">
        <f>(AD81*$C$30)</f>
        <v/>
      </c>
      <c r="AF63" s="15">
        <f>(AE81*$C$30)</f>
        <v/>
      </c>
      <c r="AG63" s="15">
        <f>(AF81*$C$30)</f>
        <v/>
      </c>
      <c r="AH63" s="15">
        <f>(AG81*$C$30)</f>
        <v/>
      </c>
      <c r="AI63" s="15">
        <f>(AH81*$C$30)</f>
        <v/>
      </c>
      <c r="AJ63" s="15">
        <f>(AI81*$C$30)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-4.031746759000001</v>
      </c>
      <c r="E64" s="13" t="n">
        <v>-7.034167633000002</v>
      </c>
      <c r="F64" s="13" t="n">
        <v>6.957944400999999</v>
      </c>
      <c r="G64" s="13" t="n">
        <v>-3.290732686000002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  <c r="P64" s="15">
        <f>P32</f>
        <v/>
      </c>
      <c r="Q64" s="15">
        <f>Q32</f>
        <v/>
      </c>
      <c r="R64" s="15">
        <f>R32</f>
        <v/>
      </c>
      <c r="S64" s="15">
        <f>S32</f>
        <v/>
      </c>
      <c r="T64" s="15">
        <f>T32</f>
        <v/>
      </c>
      <c r="U64" s="15">
        <f>U32</f>
        <v/>
      </c>
      <c r="V64" s="15">
        <f>V32</f>
        <v/>
      </c>
      <c r="W64" s="15">
        <f>W32</f>
        <v/>
      </c>
      <c r="X64" s="15">
        <f>X32</f>
        <v/>
      </c>
      <c r="Y64" s="15">
        <f>Y32</f>
        <v/>
      </c>
      <c r="Z64" s="15">
        <f>Z32</f>
        <v/>
      </c>
      <c r="AA64" s="15">
        <f>AA32</f>
        <v/>
      </c>
      <c r="AB64" s="15">
        <f>AB32</f>
        <v/>
      </c>
      <c r="AC64" s="15">
        <f>AC32</f>
        <v/>
      </c>
      <c r="AD64" s="15">
        <f>AD32</f>
        <v/>
      </c>
      <c r="AE64" s="15">
        <f>AE32</f>
        <v/>
      </c>
      <c r="AF64" s="15">
        <f>AF32</f>
        <v/>
      </c>
      <c r="AG64" s="15">
        <f>AG32</f>
        <v/>
      </c>
      <c r="AH64" s="15">
        <f>AH32</f>
        <v/>
      </c>
      <c r="AI64" s="15">
        <f>AI32</f>
        <v/>
      </c>
      <c r="AJ64" s="15">
        <f>AJ32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14.84750132</v>
      </c>
      <c r="E65" s="13" t="n">
        <v>-5.1803327</v>
      </c>
      <c r="F65" s="13" t="n">
        <v>-18.769325902</v>
      </c>
      <c r="G65" s="13" t="n">
        <v>-41.360631234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  <c r="P65" s="15">
        <f>(((P59-P62)+P63)+P64)</f>
        <v/>
      </c>
      <c r="Q65" s="15">
        <f>(((Q59-Q62)+Q63)+Q64)</f>
        <v/>
      </c>
      <c r="R65" s="15">
        <f>(((R59-R62)+R63)+R64)</f>
        <v/>
      </c>
      <c r="S65" s="15">
        <f>(((S59-S62)+S63)+S64)</f>
        <v/>
      </c>
      <c r="T65" s="15">
        <f>(((T59-T62)+T63)+T64)</f>
        <v/>
      </c>
      <c r="U65" s="15">
        <f>(((U59-U62)+U63)+U64)</f>
        <v/>
      </c>
      <c r="V65" s="15">
        <f>(((V59-V62)+V63)+V64)</f>
        <v/>
      </c>
      <c r="W65" s="15">
        <f>(((W59-W62)+W63)+W64)</f>
        <v/>
      </c>
      <c r="X65" s="15">
        <f>(((X59-X62)+X63)+X64)</f>
        <v/>
      </c>
      <c r="Y65" s="15">
        <f>(((Y59-Y62)+Y63)+Y64)</f>
        <v/>
      </c>
      <c r="Z65" s="15">
        <f>(((Z59-Z62)+Z63)+Z64)</f>
        <v/>
      </c>
      <c r="AA65" s="15">
        <f>(((AA59-AA62)+AA63)+AA64)</f>
        <v/>
      </c>
      <c r="AB65" s="15">
        <f>(((AB59-AB62)+AB63)+AB64)</f>
        <v/>
      </c>
      <c r="AC65" s="15">
        <f>(((AC59-AC62)+AC63)+AC64)</f>
        <v/>
      </c>
      <c r="AD65" s="15">
        <f>(((AD59-AD62)+AD63)+AD64)</f>
        <v/>
      </c>
      <c r="AE65" s="15">
        <f>(((AE59-AE62)+AE63)+AE64)</f>
        <v/>
      </c>
      <c r="AF65" s="15">
        <f>(((AF59-AF62)+AF63)+AF64)</f>
        <v/>
      </c>
      <c r="AG65" s="15">
        <f>(((AG59-AG62)+AG63)+AG64)</f>
        <v/>
      </c>
      <c r="AH65" s="15">
        <f>(((AH59-AH62)+AH63)+AH64)</f>
        <v/>
      </c>
      <c r="AI65" s="15">
        <f>(((AI59-AI62)+AI63)+AI64)</f>
        <v/>
      </c>
      <c r="AJ65" s="15">
        <f>(((AJ59-AJ62)+AJ63)+AJ64)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4.334984386</v>
      </c>
      <c r="E66" s="13" t="n">
        <v>3.68427927</v>
      </c>
      <c r="F66" s="13" t="n">
        <v>4.85865835</v>
      </c>
      <c r="G66" s="13" t="n">
        <v>-0.14926068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  <c r="P66" s="15">
        <f>(MAX(P65,0)*P28)</f>
        <v/>
      </c>
      <c r="Q66" s="15">
        <f>(MAX(Q65,0)*Q28)</f>
        <v/>
      </c>
      <c r="R66" s="15">
        <f>(MAX(R65,0)*R28)</f>
        <v/>
      </c>
      <c r="S66" s="15">
        <f>(MAX(S65,0)*S28)</f>
        <v/>
      </c>
      <c r="T66" s="15">
        <f>(MAX(T65,0)*T28)</f>
        <v/>
      </c>
      <c r="U66" s="15">
        <f>(MAX(U65,0)*U28)</f>
        <v/>
      </c>
      <c r="V66" s="15">
        <f>(MAX(V65,0)*V28)</f>
        <v/>
      </c>
      <c r="W66" s="15">
        <f>(MAX(W65,0)*W28)</f>
        <v/>
      </c>
      <c r="X66" s="15">
        <f>(MAX(X65,0)*X28)</f>
        <v/>
      </c>
      <c r="Y66" s="15">
        <f>(MAX(Y65,0)*Y28)</f>
        <v/>
      </c>
      <c r="Z66" s="15">
        <f>(MAX(Z65,0)*Z28)</f>
        <v/>
      </c>
      <c r="AA66" s="15">
        <f>(MAX(AA65,0)*AA28)</f>
        <v/>
      </c>
      <c r="AB66" s="15">
        <f>(MAX(AB65,0)*AB28)</f>
        <v/>
      </c>
      <c r="AC66" s="15">
        <f>(MAX(AC65,0)*AC28)</f>
        <v/>
      </c>
      <c r="AD66" s="15">
        <f>(MAX(AD65,0)*AD28)</f>
        <v/>
      </c>
      <c r="AE66" s="15">
        <f>(MAX(AE65,0)*AE28)</f>
        <v/>
      </c>
      <c r="AF66" s="15">
        <f>(MAX(AF65,0)*AF28)</f>
        <v/>
      </c>
      <c r="AG66" s="15">
        <f>(MAX(AG65,0)*AG28)</f>
        <v/>
      </c>
      <c r="AH66" s="15">
        <f>(MAX(AH65,0)*AH28)</f>
        <v/>
      </c>
      <c r="AI66" s="15">
        <f>(MAX(AI65,0)*AI28)</f>
        <v/>
      </c>
      <c r="AJ66" s="15">
        <f>(MAX(AJ65,0)*AJ28)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10.654021317</v>
      </c>
      <c r="E67" s="13" t="n">
        <v>-9.621222825</v>
      </c>
      <c r="F67" s="13" t="n">
        <v>-23.627984252</v>
      </c>
      <c r="G67" s="13" t="n">
        <v>-41.211370554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  <c r="P67" s="15">
        <f>(P65-P66)</f>
        <v/>
      </c>
      <c r="Q67" s="15">
        <f>(Q65-Q66)</f>
        <v/>
      </c>
      <c r="R67" s="15">
        <f>(R65-R66)</f>
        <v/>
      </c>
      <c r="S67" s="15">
        <f>(S65-S66)</f>
        <v/>
      </c>
      <c r="T67" s="15">
        <f>(T65-T66)</f>
        <v/>
      </c>
      <c r="U67" s="15">
        <f>(U65-U66)</f>
        <v/>
      </c>
      <c r="V67" s="15">
        <f>(V65-V66)</f>
        <v/>
      </c>
      <c r="W67" s="15">
        <f>(W65-W66)</f>
        <v/>
      </c>
      <c r="X67" s="15">
        <f>(X65-X66)</f>
        <v/>
      </c>
      <c r="Y67" s="15">
        <f>(Y65-Y66)</f>
        <v/>
      </c>
      <c r="Z67" s="15">
        <f>(Z65-Z66)</f>
        <v/>
      </c>
      <c r="AA67" s="15">
        <f>(AA65-AA66)</f>
        <v/>
      </c>
      <c r="AB67" s="15">
        <f>(AB65-AB66)</f>
        <v/>
      </c>
      <c r="AC67" s="15">
        <f>(AC65-AC66)</f>
        <v/>
      </c>
      <c r="AD67" s="15">
        <f>(AD65-AD66)</f>
        <v/>
      </c>
      <c r="AE67" s="15">
        <f>(AE65-AE66)</f>
        <v/>
      </c>
      <c r="AF67" s="15">
        <f>(AF65-AF66)</f>
        <v/>
      </c>
      <c r="AG67" s="15">
        <f>(AG65-AG66)</f>
        <v/>
      </c>
      <c r="AH67" s="15">
        <f>(AH65-AH66)</f>
        <v/>
      </c>
      <c r="AI67" s="15">
        <f>(AI65-AI66)</f>
        <v/>
      </c>
      <c r="AJ67" s="15">
        <f>(AJ65-AJ66)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5.664714678999999</v>
      </c>
      <c r="E68" s="13" t="n">
        <v>6.872303377999998</v>
      </c>
      <c r="F68" s="13" t="n">
        <v>7.332108509999998</v>
      </c>
      <c r="G68" s="13" t="n">
        <v>1.876624116999999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  <c r="P68" s="15">
        <f>(P67*P33)</f>
        <v/>
      </c>
      <c r="Q68" s="15">
        <f>(Q67*Q33)</f>
        <v/>
      </c>
      <c r="R68" s="15">
        <f>(R67*R33)</f>
        <v/>
      </c>
      <c r="S68" s="15">
        <f>(S67*S33)</f>
        <v/>
      </c>
      <c r="T68" s="15">
        <f>(T67*T33)</f>
        <v/>
      </c>
      <c r="U68" s="15">
        <f>(U67*U33)</f>
        <v/>
      </c>
      <c r="V68" s="15">
        <f>(V67*V33)</f>
        <v/>
      </c>
      <c r="W68" s="15">
        <f>(W67*W33)</f>
        <v/>
      </c>
      <c r="X68" s="15">
        <f>(X67*X33)</f>
        <v/>
      </c>
      <c r="Y68" s="15">
        <f>(Y67*Y33)</f>
        <v/>
      </c>
      <c r="Z68" s="15">
        <f>(Z67*Z33)</f>
        <v/>
      </c>
      <c r="AA68" s="15">
        <f>(AA67*AA33)</f>
        <v/>
      </c>
      <c r="AB68" s="15">
        <f>(AB67*AB33)</f>
        <v/>
      </c>
      <c r="AC68" s="15">
        <f>(AC67*AC33)</f>
        <v/>
      </c>
      <c r="AD68" s="15">
        <f>(AD67*AD33)</f>
        <v/>
      </c>
      <c r="AE68" s="15">
        <f>(AE67*AE33)</f>
        <v/>
      </c>
      <c r="AF68" s="15">
        <f>(AF67*AF33)</f>
        <v/>
      </c>
      <c r="AG68" s="15">
        <f>(AG67*AG33)</f>
        <v/>
      </c>
      <c r="AH68" s="15">
        <f>(AH67*AH33)</f>
        <v/>
      </c>
      <c r="AI68" s="15">
        <f>(AI67*AI33)</f>
        <v/>
      </c>
      <c r="AJ68" s="15">
        <f>(AJ67*AJ33)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4.989306638</v>
      </c>
      <c r="E69" s="13" t="n">
        <v>-16.493526203</v>
      </c>
      <c r="F69" s="13" t="n">
        <v>-30.960092762</v>
      </c>
      <c r="G69" s="13" t="n">
        <v>-43.087994671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  <c r="P69" s="15">
        <f>(P67-P68)</f>
        <v/>
      </c>
      <c r="Q69" s="15">
        <f>(Q67-Q68)</f>
        <v/>
      </c>
      <c r="R69" s="15">
        <f>(R67-R68)</f>
        <v/>
      </c>
      <c r="S69" s="15">
        <f>(S67-S68)</f>
        <v/>
      </c>
      <c r="T69" s="15">
        <f>(T67-T68)</f>
        <v/>
      </c>
      <c r="U69" s="15">
        <f>(U67-U68)</f>
        <v/>
      </c>
      <c r="V69" s="15">
        <f>(V67-V68)</f>
        <v/>
      </c>
      <c r="W69" s="15">
        <f>(W67-W68)</f>
        <v/>
      </c>
      <c r="X69" s="15">
        <f>(X67-X68)</f>
        <v/>
      </c>
      <c r="Y69" s="15">
        <f>(Y67-Y68)</f>
        <v/>
      </c>
      <c r="Z69" s="15">
        <f>(Z67-Z68)</f>
        <v/>
      </c>
      <c r="AA69" s="15">
        <f>(AA67-AA68)</f>
        <v/>
      </c>
      <c r="AB69" s="15">
        <f>(AB67-AB68)</f>
        <v/>
      </c>
      <c r="AC69" s="15">
        <f>(AC67-AC68)</f>
        <v/>
      </c>
      <c r="AD69" s="15">
        <f>(AD67-AD68)</f>
        <v/>
      </c>
      <c r="AE69" s="15">
        <f>(AE67-AE68)</f>
        <v/>
      </c>
      <c r="AF69" s="15">
        <f>(AF67-AF68)</f>
        <v/>
      </c>
      <c r="AG69" s="15">
        <f>(AG67-AG68)</f>
        <v/>
      </c>
      <c r="AH69" s="15">
        <f>(AH67-AH68)</f>
        <v/>
      </c>
      <c r="AI69" s="15">
        <f>(AI67-AI68)</f>
        <v/>
      </c>
      <c r="AJ69" s="15">
        <f>(AJ67-AJ68)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713.678861</v>
      </c>
      <c r="E70" s="13" t="n">
        <v>713.678861</v>
      </c>
      <c r="F70" s="13" t="n">
        <v>713.678861</v>
      </c>
      <c r="G70" s="13" t="n">
        <v>713.678861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  <c r="P70" s="15">
        <f>(O70*(1+P35))</f>
        <v/>
      </c>
      <c r="Q70" s="15">
        <f>(P70*(1+Q35))</f>
        <v/>
      </c>
      <c r="R70" s="15">
        <f>(Q70*(1+R35))</f>
        <v/>
      </c>
      <c r="S70" s="15">
        <f>(R70*(1+S35))</f>
        <v/>
      </c>
      <c r="T70" s="15">
        <f>(S70*(1+T35))</f>
        <v/>
      </c>
      <c r="U70" s="15">
        <f>(T70*(1+U35))</f>
        <v/>
      </c>
      <c r="V70" s="15">
        <f>(U70*(1+V35))</f>
        <v/>
      </c>
      <c r="W70" s="15">
        <f>(V70*(1+W35))</f>
        <v/>
      </c>
      <c r="X70" s="15">
        <f>(W70*(1+X35))</f>
        <v/>
      </c>
      <c r="Y70" s="15">
        <f>(X70*(1+Y35))</f>
        <v/>
      </c>
      <c r="Z70" s="15">
        <f>(Y70*(1+Z35))</f>
        <v/>
      </c>
      <c r="AA70" s="15">
        <f>(Z70*(1+AA35))</f>
        <v/>
      </c>
      <c r="AB70" s="15">
        <f>(AA70*(1+AB35))</f>
        <v/>
      </c>
      <c r="AC70" s="15">
        <f>(AB70*(1+AC35))</f>
        <v/>
      </c>
      <c r="AD70" s="15">
        <f>(AC70*(1+AD35))</f>
        <v/>
      </c>
      <c r="AE70" s="15">
        <f>(AD70*(1+AE35))</f>
        <v/>
      </c>
      <c r="AF70" s="15">
        <f>(AE70*(1+AF35))</f>
        <v/>
      </c>
      <c r="AG70" s="15">
        <f>(AF70*(1+AG35))</f>
        <v/>
      </c>
      <c r="AH70" s="15">
        <f>(AG70*(1+AH35))</f>
        <v/>
      </c>
      <c r="AI70" s="15">
        <f>(AH70*(1+AI35))</f>
        <v/>
      </c>
      <c r="AJ70" s="15">
        <f>(AI70*(1+AJ35))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6.990968782526404</v>
      </c>
      <c r="E71" s="20" t="n">
        <v>-23.11057130078006</v>
      </c>
      <c r="F71" s="20" t="n">
        <v>-43.38098611834882</v>
      </c>
      <c r="G71" s="20" t="n">
        <v>-60.37448637700368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  <c r="M71" s="21">
        <f>(IF(M70=0,0,M69/M70)*$C$8)</f>
        <v/>
      </c>
      <c r="N71" s="21">
        <f>(IF(N70=0,0,N69/N70)*$C$8)</f>
        <v/>
      </c>
      <c r="O71" s="21">
        <f>(IF(O70=0,0,O69/O70)*$C$8)</f>
        <v/>
      </c>
      <c r="P71" s="21">
        <f>(IF(P70=0,0,P69/P70)*$C$8)</f>
        <v/>
      </c>
      <c r="Q71" s="21">
        <f>(IF(Q70=0,0,Q69/Q70)*$C$8)</f>
        <v/>
      </c>
      <c r="R71" s="21">
        <f>(IF(R70=0,0,R69/R70)*$C$8)</f>
        <v/>
      </c>
      <c r="S71" s="21">
        <f>(IF(S70=0,0,S69/S70)*$C$8)</f>
        <v/>
      </c>
      <c r="T71" s="21">
        <f>(IF(T70=0,0,T69/T70)*$C$8)</f>
        <v/>
      </c>
      <c r="U71" s="21">
        <f>(IF(U70=0,0,U69/U70)*$C$8)</f>
        <v/>
      </c>
      <c r="V71" s="21">
        <f>(IF(V70=0,0,V69/V70)*$C$8)</f>
        <v/>
      </c>
      <c r="W71" s="21">
        <f>(IF(W70=0,0,W69/W70)*$C$8)</f>
        <v/>
      </c>
      <c r="X71" s="21">
        <f>(IF(X70=0,0,X69/X70)*$C$8)</f>
        <v/>
      </c>
      <c r="Y71" s="21">
        <f>(IF(Y70=0,0,Y69/Y70)*$C$8)</f>
        <v/>
      </c>
      <c r="Z71" s="21">
        <f>(IF(Z70=0,0,Z69/Z70)*$C$8)</f>
        <v/>
      </c>
      <c r="AA71" s="21">
        <f>(IF(AA70=0,0,AA69/AA70)*$C$8)</f>
        <v/>
      </c>
      <c r="AB71" s="21">
        <f>(IF(AB70=0,0,AB69/AB70)*$C$8)</f>
        <v/>
      </c>
      <c r="AC71" s="21">
        <f>(IF(AC70=0,0,AC69/AC70)*$C$8)</f>
        <v/>
      </c>
      <c r="AD71" s="21">
        <f>(IF(AD70=0,0,AD69/AD70)*$C$8)</f>
        <v/>
      </c>
      <c r="AE71" s="21">
        <f>(IF(AE70=0,0,AE69/AE70)*$C$8)</f>
        <v/>
      </c>
      <c r="AF71" s="21">
        <f>(IF(AF70=0,0,AF69/AF70)*$C$8)</f>
        <v/>
      </c>
      <c r="AG71" s="21">
        <f>(IF(AG70=0,0,AG69/AG70)*$C$8)</f>
        <v/>
      </c>
      <c r="AH71" s="21">
        <f>(IF(AH70=0,0,AH69/AH70)*$C$8)</f>
        <v/>
      </c>
      <c r="AI71" s="21">
        <f>(IF(AI70=0,0,AI69/AI70)*$C$8)</f>
        <v/>
      </c>
      <c r="AJ71" s="21">
        <f>(IF(AJ70=0,0,AJ69/AJ70)*$C$8)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</v>
      </c>
      <c r="E72" s="20" t="n">
        <v>0</v>
      </c>
      <c r="F72" s="20" t="n">
        <v>0</v>
      </c>
      <c r="G72" s="20" t="n">
        <v>0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  <c r="M72" s="21">
        <f>(MAX(M71,0)*M34)</f>
        <v/>
      </c>
      <c r="N72" s="21">
        <f>(MAX(N71,0)*N34)</f>
        <v/>
      </c>
      <c r="O72" s="21">
        <f>(MAX(O71,0)*O34)</f>
        <v/>
      </c>
      <c r="P72" s="21">
        <f>(MAX(P71,0)*P34)</f>
        <v/>
      </c>
      <c r="Q72" s="21">
        <f>(MAX(Q71,0)*Q34)</f>
        <v/>
      </c>
      <c r="R72" s="21">
        <f>(MAX(R71,0)*R34)</f>
        <v/>
      </c>
      <c r="S72" s="21">
        <f>(MAX(S71,0)*S34)</f>
        <v/>
      </c>
      <c r="T72" s="21">
        <f>(MAX(T71,0)*T34)</f>
        <v/>
      </c>
      <c r="U72" s="21">
        <f>(MAX(U71,0)*U34)</f>
        <v/>
      </c>
      <c r="V72" s="21">
        <f>(MAX(V71,0)*V34)</f>
        <v/>
      </c>
      <c r="W72" s="21">
        <f>(MAX(W71,0)*W34)</f>
        <v/>
      </c>
      <c r="X72" s="21">
        <f>(MAX(X71,0)*X34)</f>
        <v/>
      </c>
      <c r="Y72" s="21">
        <f>(MAX(Y71,0)*Y34)</f>
        <v/>
      </c>
      <c r="Z72" s="21">
        <f>(MAX(Z71,0)*Z34)</f>
        <v/>
      </c>
      <c r="AA72" s="21">
        <f>(MAX(AA71,0)*AA34)</f>
        <v/>
      </c>
      <c r="AB72" s="21">
        <f>(MAX(AB71,0)*AB34)</f>
        <v/>
      </c>
      <c r="AC72" s="21">
        <f>(MAX(AC71,0)*AC34)</f>
        <v/>
      </c>
      <c r="AD72" s="21">
        <f>(MAX(AD71,0)*AD34)</f>
        <v/>
      </c>
      <c r="AE72" s="21">
        <f>(MAX(AE71,0)*AE34)</f>
        <v/>
      </c>
      <c r="AF72" s="21">
        <f>(MAX(AF71,0)*AF34)</f>
        <v/>
      </c>
      <c r="AG72" s="21">
        <f>(MAX(AG71,0)*AG34)</f>
        <v/>
      </c>
      <c r="AH72" s="21">
        <f>(MAX(AH71,0)*AH34)</f>
        <v/>
      </c>
      <c r="AI72" s="21">
        <f>(MAX(AI71,0)*AI34)</f>
        <v/>
      </c>
      <c r="AJ72" s="21">
        <f>(MAX(AJ71,0)*AJ34)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/>
      <c r="E73" s="13" t="n"/>
      <c r="F73" s="13" t="n"/>
      <c r="G73" s="13" t="n"/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  <c r="P73" s="15">
        <f>IF($C$8=0,0,(O72*O70)/$C$8)</f>
        <v/>
      </c>
      <c r="Q73" s="15">
        <f>IF($C$8=0,0,(P72*P70)/$C$8)</f>
        <v/>
      </c>
      <c r="R73" s="15">
        <f>IF($C$8=0,0,(Q72*Q70)/$C$8)</f>
        <v/>
      </c>
      <c r="S73" s="15">
        <f>IF($C$8=0,0,(R72*R70)/$C$8)</f>
        <v/>
      </c>
      <c r="T73" s="15">
        <f>IF($C$8=0,0,(S72*S70)/$C$8)</f>
        <v/>
      </c>
      <c r="U73" s="15">
        <f>IF($C$8=0,0,(T72*T70)/$C$8)</f>
        <v/>
      </c>
      <c r="V73" s="15">
        <f>IF($C$8=0,0,(U72*U70)/$C$8)</f>
        <v/>
      </c>
      <c r="W73" s="15">
        <f>IF($C$8=0,0,(V72*V70)/$C$8)</f>
        <v/>
      </c>
      <c r="X73" s="15">
        <f>IF($C$8=0,0,(W72*W70)/$C$8)</f>
        <v/>
      </c>
      <c r="Y73" s="15">
        <f>IF($C$8=0,0,(X72*X70)/$C$8)</f>
        <v/>
      </c>
      <c r="Z73" s="15">
        <f>IF($C$8=0,0,(Y72*Y70)/$C$8)</f>
        <v/>
      </c>
      <c r="AA73" s="15">
        <f>IF($C$8=0,0,(Z72*Z70)/$C$8)</f>
        <v/>
      </c>
      <c r="AB73" s="15">
        <f>IF($C$8=0,0,(AA72*AA70)/$C$8)</f>
        <v/>
      </c>
      <c r="AC73" s="15">
        <f>IF($C$8=0,0,(AB72*AB70)/$C$8)</f>
        <v/>
      </c>
      <c r="AD73" s="15">
        <f>IF($C$8=0,0,(AC72*AC70)/$C$8)</f>
        <v/>
      </c>
      <c r="AE73" s="15">
        <f>IF($C$8=0,0,(AD72*AD70)/$C$8)</f>
        <v/>
      </c>
      <c r="AF73" s="15">
        <f>IF($C$8=0,0,(AE72*AE70)/$C$8)</f>
        <v/>
      </c>
      <c r="AG73" s="15">
        <f>IF($C$8=0,0,(AF72*AF70)/$C$8)</f>
        <v/>
      </c>
      <c r="AH73" s="15">
        <f>IF($C$8=0,0,(AG72*AG70)/$C$8)</f>
        <v/>
      </c>
      <c r="AI73" s="15">
        <f>IF($C$8=0,0,(AH72*AH70)/$C$8)</f>
        <v/>
      </c>
      <c r="AJ73" s="15">
        <f>IF($C$8=0,0,(AI72*AI70)/$C$8)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35.79837933</v>
      </c>
      <c r="E74" s="13" t="n">
        <v>35.651367912</v>
      </c>
      <c r="F74" s="13" t="n">
        <v>91.608720077</v>
      </c>
      <c r="G74" s="13" t="n">
        <v>91.370544116</v>
      </c>
      <c r="H74" s="15">
        <f>(IF(1000=0,0,((H41*H25)*$C$10)/1000)+H26)</f>
        <v/>
      </c>
      <c r="I74" s="15">
        <f>(IF(1000=0,0,((I41*I25)*$C$10)/1000)+I26)</f>
        <v/>
      </c>
      <c r="J74" s="15">
        <f>(IF(1000=0,0,((J41*J25)*$C$10)/1000)+J26)</f>
        <v/>
      </c>
      <c r="K74" s="15">
        <f>(IF(1000=0,0,((K41*K25)*$C$10)/1000)+K26)</f>
        <v/>
      </c>
      <c r="L74" s="15">
        <f>(IF(1000=0,0,((L41*L25)*$C$10)/1000)+L26)</f>
        <v/>
      </c>
      <c r="M74" s="15">
        <f>(IF(1000=0,0,((M41*M25)*$C$10)/1000)+M26)</f>
        <v/>
      </c>
      <c r="N74" s="15">
        <f>(IF(1000=0,0,((N41*N25)*$C$10)/1000)+N26)</f>
        <v/>
      </c>
      <c r="O74" s="15">
        <f>(IF(1000=0,0,((O41*O25)*$C$10)/1000)+O26)</f>
        <v/>
      </c>
      <c r="P74" s="15">
        <f>(IF(1000=0,0,((P41*P25)*$C$10)/1000)+P26)</f>
        <v/>
      </c>
      <c r="Q74" s="15">
        <f>(IF(1000=0,0,((Q41*Q25)*$C$10)/1000)+Q26)</f>
        <v/>
      </c>
      <c r="R74" s="15">
        <f>(IF(1000=0,0,((R41*R25)*$C$10)/1000)+R26)</f>
        <v/>
      </c>
      <c r="S74" s="15">
        <f>(IF(1000=0,0,((S41*S25)*$C$10)/1000)+S26)</f>
        <v/>
      </c>
      <c r="T74" s="15">
        <f>(IF(1000=0,0,((T41*T25)*$C$10)/1000)+T26)</f>
        <v/>
      </c>
      <c r="U74" s="15">
        <f>(IF(1000=0,0,((U41*U25)*$C$10)/1000)+U26)</f>
        <v/>
      </c>
      <c r="V74" s="15">
        <f>(IF(1000=0,0,((V41*V25)*$C$10)/1000)+V26)</f>
        <v/>
      </c>
      <c r="W74" s="15">
        <f>(IF(1000=0,0,((W41*W25)*$C$10)/1000)+W26)</f>
        <v/>
      </c>
      <c r="X74" s="15">
        <f>(IF(1000=0,0,((X41*X25)*$C$10)/1000)+X26)</f>
        <v/>
      </c>
      <c r="Y74" s="15">
        <f>(IF(1000=0,0,((Y41*Y25)*$C$10)/1000)+Y26)</f>
        <v/>
      </c>
      <c r="Z74" s="15">
        <f>(IF(1000=0,0,((Z41*Z25)*$C$10)/1000)+Z26)</f>
        <v/>
      </c>
      <c r="AA74" s="15">
        <f>(IF(1000=0,0,((AA41*AA25)*$C$10)/1000)+AA26)</f>
        <v/>
      </c>
      <c r="AB74" s="15">
        <f>(IF(1000=0,0,((AB41*AB25)*$C$10)/1000)+AB26)</f>
        <v/>
      </c>
      <c r="AC74" s="15">
        <f>(IF(1000=0,0,((AC41*AC25)*$C$10)/1000)+AC26)</f>
        <v/>
      </c>
      <c r="AD74" s="15">
        <f>(IF(1000=0,0,((AD41*AD25)*$C$10)/1000)+AD26)</f>
        <v/>
      </c>
      <c r="AE74" s="15">
        <f>(IF(1000=0,0,((AE41*AE25)*$C$10)/1000)+AE26)</f>
        <v/>
      </c>
      <c r="AF74" s="15">
        <f>(IF(1000=0,0,((AF41*AF25)*$C$10)/1000)+AF26)</f>
        <v/>
      </c>
      <c r="AG74" s="15">
        <f>(IF(1000=0,0,((AG41*AG25)*$C$10)/1000)+AG26)</f>
        <v/>
      </c>
      <c r="AH74" s="15">
        <f>(IF(1000=0,0,((AH41*AH25)*$C$10)/1000)+AH26)</f>
        <v/>
      </c>
      <c r="AI74" s="15">
        <f>(IF(1000=0,0,((AI41*AI25)*$C$10)/1000)+AI26)</f>
        <v/>
      </c>
      <c r="AJ74" s="15">
        <f>(IF(1000=0,0,((AJ41*AJ25)*$C$10)/1000)+AJ26)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-13.86510929799996</v>
      </c>
      <c r="F75" s="13" t="n">
        <v>-112.588380807</v>
      </c>
      <c r="G75" s="13" t="n">
        <v>-178.3817949780001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  <c r="P75" s="15">
        <f>(P80-O80)</f>
        <v/>
      </c>
      <c r="Q75" s="15">
        <f>(Q80-P80)</f>
        <v/>
      </c>
      <c r="R75" s="15">
        <f>(R80-Q80)</f>
        <v/>
      </c>
      <c r="S75" s="15">
        <f>(S80-R80)</f>
        <v/>
      </c>
      <c r="T75" s="15">
        <f>(T80-S80)</f>
        <v/>
      </c>
      <c r="U75" s="15">
        <f>(U80-T80)</f>
        <v/>
      </c>
      <c r="V75" s="15">
        <f>(V80-U80)</f>
        <v/>
      </c>
      <c r="W75" s="15">
        <f>(W80-V80)</f>
        <v/>
      </c>
      <c r="X75" s="15">
        <f>(X80-W80)</f>
        <v/>
      </c>
      <c r="Y75" s="15">
        <f>(Y80-X80)</f>
        <v/>
      </c>
      <c r="Z75" s="15">
        <f>(Z80-Y80)</f>
        <v/>
      </c>
      <c r="AA75" s="15">
        <f>(AA80-Z80)</f>
        <v/>
      </c>
      <c r="AB75" s="15">
        <f>(AB80-AA80)</f>
        <v/>
      </c>
      <c r="AC75" s="15">
        <f>(AC80-AB80)</f>
        <v/>
      </c>
      <c r="AD75" s="15">
        <f>(AD80-AC80)</f>
        <v/>
      </c>
      <c r="AE75" s="15">
        <f>(AE80-AD80)</f>
        <v/>
      </c>
      <c r="AF75" s="15">
        <f>(AF80-AE80)</f>
        <v/>
      </c>
      <c r="AG75" s="15">
        <f>(AG80-AF80)</f>
        <v/>
      </c>
      <c r="AH75" s="15">
        <f>(AH80-AG80)</f>
        <v/>
      </c>
      <c r="AI75" s="15">
        <f>(AI80-AH80)</f>
        <v/>
      </c>
      <c r="AJ75" s="15">
        <f>(AJ80-AI80)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12.29891613773119</v>
      </c>
      <c r="F76" s="13" t="n">
        <v>57.69984843064302</v>
      </c>
      <c r="G76" s="13" t="n">
        <v>101.7314573172295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  <c r="P76" s="15">
        <f>((((P59*(1-P28))+P60)-P74)-P75)</f>
        <v/>
      </c>
      <c r="Q76" s="15">
        <f>((((Q59*(1-Q28))+Q60)-Q74)-Q75)</f>
        <v/>
      </c>
      <c r="R76" s="15">
        <f>((((R59*(1-R28))+R60)-R74)-R75)</f>
        <v/>
      </c>
      <c r="S76" s="15">
        <f>((((S59*(1-S28))+S60)-S74)-S75)</f>
        <v/>
      </c>
      <c r="T76" s="15">
        <f>((((T59*(1-T28))+T60)-T74)-T75)</f>
        <v/>
      </c>
      <c r="U76" s="15">
        <f>((((U59*(1-U28))+U60)-U74)-U75)</f>
        <v/>
      </c>
      <c r="V76" s="15">
        <f>((((V59*(1-V28))+V60)-V74)-V75)</f>
        <v/>
      </c>
      <c r="W76" s="15">
        <f>((((W59*(1-W28))+W60)-W74)-W75)</f>
        <v/>
      </c>
      <c r="X76" s="15">
        <f>((((X59*(1-X28))+X60)-X74)-X75)</f>
        <v/>
      </c>
      <c r="Y76" s="15">
        <f>((((Y59*(1-Y28))+Y60)-Y74)-Y75)</f>
        <v/>
      </c>
      <c r="Z76" s="15">
        <f>((((Z59*(1-Z28))+Z60)-Z74)-Z75)</f>
        <v/>
      </c>
      <c r="AA76" s="15">
        <f>((((AA59*(1-AA28))+AA60)-AA74)-AA75)</f>
        <v/>
      </c>
      <c r="AB76" s="15">
        <f>((((AB59*(1-AB28))+AB60)-AB74)-AB75)</f>
        <v/>
      </c>
      <c r="AC76" s="15">
        <f>((((AC59*(1-AC28))+AC60)-AC74)-AC75)</f>
        <v/>
      </c>
      <c r="AD76" s="15">
        <f>((((AD59*(1-AD28))+AD60)-AD74)-AD75)</f>
        <v/>
      </c>
      <c r="AE76" s="15">
        <f>((((AE59*(1-AE28))+AE60)-AE74)-AE75)</f>
        <v/>
      </c>
      <c r="AF76" s="15">
        <f>((((AF59*(1-AF28))+AF60)-AF74)-AF75)</f>
        <v/>
      </c>
      <c r="AG76" s="15">
        <f>((((AG59*(1-AG28))+AG60)-AG74)-AG75)</f>
        <v/>
      </c>
      <c r="AH76" s="15">
        <f>((((AH59*(1-AH28))+AH60)-AH74)-AH75)</f>
        <v/>
      </c>
      <c r="AI76" s="15">
        <f>((((AI59*(1-AI28))+AI60)-AI74)-AI75)</f>
        <v/>
      </c>
      <c r="AJ76" s="15">
        <f>((((AJ59*(1-AJ28))+AJ60)-AJ74)-AJ75)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894.667318801</v>
      </c>
      <c r="F77" s="13" t="n">
        <v>47.21438722599999</v>
      </c>
      <c r="G77" s="13" t="n">
        <v>-55.96052069999996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  <c r="P77" s="15">
        <f>P31</f>
        <v/>
      </c>
      <c r="Q77" s="15">
        <f>Q31</f>
        <v/>
      </c>
      <c r="R77" s="15">
        <f>R31</f>
        <v/>
      </c>
      <c r="S77" s="15">
        <f>S31</f>
        <v/>
      </c>
      <c r="T77" s="15">
        <f>T31</f>
        <v/>
      </c>
      <c r="U77" s="15">
        <f>U31</f>
        <v/>
      </c>
      <c r="V77" s="15">
        <f>V31</f>
        <v/>
      </c>
      <c r="W77" s="15">
        <f>W31</f>
        <v/>
      </c>
      <c r="X77" s="15">
        <f>X31</f>
        <v/>
      </c>
      <c r="Y77" s="15">
        <f>Y31</f>
        <v/>
      </c>
      <c r="Z77" s="15">
        <f>Z31</f>
        <v/>
      </c>
      <c r="AA77" s="15">
        <f>AA31</f>
        <v/>
      </c>
      <c r="AB77" s="15">
        <f>AB31</f>
        <v/>
      </c>
      <c r="AC77" s="15">
        <f>AC31</f>
        <v/>
      </c>
      <c r="AD77" s="15">
        <f>AD31</f>
        <v/>
      </c>
      <c r="AE77" s="15">
        <f>AE31</f>
        <v/>
      </c>
      <c r="AF77" s="15">
        <f>AF31</f>
        <v/>
      </c>
      <c r="AG77" s="15">
        <f>AG31</f>
        <v/>
      </c>
      <c r="AH77" s="15">
        <f>AH31</f>
        <v/>
      </c>
      <c r="AI77" s="15">
        <f>AI31</f>
        <v/>
      </c>
      <c r="AJ77" s="15">
        <f>AJ31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  <c r="P78" s="15">
        <f>(MAX(O68,0)*P34)</f>
        <v/>
      </c>
      <c r="Q78" s="15">
        <f>(MAX(P68,0)*Q34)</f>
        <v/>
      </c>
      <c r="R78" s="15">
        <f>(MAX(Q68,0)*R34)</f>
        <v/>
      </c>
      <c r="S78" s="15">
        <f>(MAX(R68,0)*S34)</f>
        <v/>
      </c>
      <c r="T78" s="15">
        <f>(MAX(S68,0)*T34)</f>
        <v/>
      </c>
      <c r="U78" s="15">
        <f>(MAX(T68,0)*U34)</f>
        <v/>
      </c>
      <c r="V78" s="15">
        <f>(MAX(U68,0)*V34)</f>
        <v/>
      </c>
      <c r="W78" s="15">
        <f>(MAX(V68,0)*W34)</f>
        <v/>
      </c>
      <c r="X78" s="15">
        <f>(MAX(W68,0)*X34)</f>
        <v/>
      </c>
      <c r="Y78" s="15">
        <f>(MAX(X68,0)*Y34)</f>
        <v/>
      </c>
      <c r="Z78" s="15">
        <f>(MAX(Y68,0)*Z34)</f>
        <v/>
      </c>
      <c r="AA78" s="15">
        <f>(MAX(Z68,0)*AA34)</f>
        <v/>
      </c>
      <c r="AB78" s="15">
        <f>(MAX(AA68,0)*AB34)</f>
        <v/>
      </c>
      <c r="AC78" s="15">
        <f>(MAX(AB68,0)*AC34)</f>
        <v/>
      </c>
      <c r="AD78" s="15">
        <f>(MAX(AC68,0)*AD34)</f>
        <v/>
      </c>
      <c r="AE78" s="15">
        <f>(MAX(AD68,0)*AE34)</f>
        <v/>
      </c>
      <c r="AF78" s="15">
        <f>(MAX(AE68,0)*AF34)</f>
        <v/>
      </c>
      <c r="AG78" s="15">
        <f>(MAX(AF68,0)*AG34)</f>
        <v/>
      </c>
      <c r="AH78" s="15">
        <f>(MAX(AG68,0)*AH34)</f>
        <v/>
      </c>
      <c r="AI78" s="15">
        <f>(MAX(AH68,0)*AI34)</f>
        <v/>
      </c>
      <c r="AJ78" s="15">
        <f>(MAX(AI68,0)*AJ34)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  <c r="P79" s="15">
        <f>(((((P67+P60)-P74)-P75)+P77)-P78)</f>
        <v/>
      </c>
      <c r="Q79" s="15">
        <f>(((((Q67+Q60)-Q74)-Q75)+Q77)-Q78)</f>
        <v/>
      </c>
      <c r="R79" s="15">
        <f>(((((R67+R60)-R74)-R75)+R77)-R78)</f>
        <v/>
      </c>
      <c r="S79" s="15">
        <f>(((((S67+S60)-S74)-S75)+S77)-S78)</f>
        <v/>
      </c>
      <c r="T79" s="15">
        <f>(((((T67+T60)-T74)-T75)+T77)-T78)</f>
        <v/>
      </c>
      <c r="U79" s="15">
        <f>(((((U67+U60)-U74)-U75)+U77)-U78)</f>
        <v/>
      </c>
      <c r="V79" s="15">
        <f>(((((V67+V60)-V74)-V75)+V77)-V78)</f>
        <v/>
      </c>
      <c r="W79" s="15">
        <f>(((((W67+W60)-W74)-W75)+W77)-W78)</f>
        <v/>
      </c>
      <c r="X79" s="15">
        <f>(((((X67+X60)-X74)-X75)+X77)-X78)</f>
        <v/>
      </c>
      <c r="Y79" s="15">
        <f>(((((Y67+Y60)-Y74)-Y75)+Y77)-Y78)</f>
        <v/>
      </c>
      <c r="Z79" s="15">
        <f>(((((Z67+Z60)-Z74)-Z75)+Z77)-Z78)</f>
        <v/>
      </c>
      <c r="AA79" s="15">
        <f>(((((AA67+AA60)-AA74)-AA75)+AA77)-AA78)</f>
        <v/>
      </c>
      <c r="AB79" s="15">
        <f>(((((AB67+AB60)-AB74)-AB75)+AB77)-AB78)</f>
        <v/>
      </c>
      <c r="AC79" s="15">
        <f>(((((AC67+AC60)-AC74)-AC75)+AC77)-AC78)</f>
        <v/>
      </c>
      <c r="AD79" s="15">
        <f>(((((AD67+AD60)-AD74)-AD75)+AD77)-AD78)</f>
        <v/>
      </c>
      <c r="AE79" s="15">
        <f>(((((AE67+AE60)-AE74)-AE75)+AE77)-AE78)</f>
        <v/>
      </c>
      <c r="AF79" s="15">
        <f>(((((AF67+AF60)-AF74)-AF75)+AF77)-AF78)</f>
        <v/>
      </c>
      <c r="AG79" s="15">
        <f>(((((AG67+AG60)-AG74)-AG75)+AG77)-AG78)</f>
        <v/>
      </c>
      <c r="AH79" s="15">
        <f>(((((AH67+AH60)-AH74)-AH75)+AH77)-AH78)</f>
        <v/>
      </c>
      <c r="AI79" s="15">
        <f>(((((AI67+AI60)-AI74)-AI75)+AI77)-AI78)</f>
        <v/>
      </c>
      <c r="AJ79" s="15">
        <f>(((((AJ67+AJ60)-AJ74)-AJ75)+AJ77)-AJ78)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55.23533991200001</v>
      </c>
      <c r="E80" s="13" t="n">
        <v>41.37023061400005</v>
      </c>
      <c r="F80" s="13" t="n">
        <v>-71.21815019299999</v>
      </c>
      <c r="G80" s="13" t="n">
        <v>-249.5999451710001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  <c r="P80" s="15">
        <f>(P55*P27)</f>
        <v/>
      </c>
      <c r="Q80" s="15">
        <f>(Q55*Q27)</f>
        <v/>
      </c>
      <c r="R80" s="15">
        <f>(R55*R27)</f>
        <v/>
      </c>
      <c r="S80" s="15">
        <f>(S55*S27)</f>
        <v/>
      </c>
      <c r="T80" s="15">
        <f>(T55*T27)</f>
        <v/>
      </c>
      <c r="U80" s="15">
        <f>(U55*U27)</f>
        <v/>
      </c>
      <c r="V80" s="15">
        <f>(V55*V27)</f>
        <v/>
      </c>
      <c r="W80" s="15">
        <f>(W55*W27)</f>
        <v/>
      </c>
      <c r="X80" s="15">
        <f>(X55*X27)</f>
        <v/>
      </c>
      <c r="Y80" s="15">
        <f>(Y55*Y27)</f>
        <v/>
      </c>
      <c r="Z80" s="15">
        <f>(Z55*Z27)</f>
        <v/>
      </c>
      <c r="AA80" s="15">
        <f>(AA55*AA27)</f>
        <v/>
      </c>
      <c r="AB80" s="15">
        <f>(AB55*AB27)</f>
        <v/>
      </c>
      <c r="AC80" s="15">
        <f>(AC55*AC27)</f>
        <v/>
      </c>
      <c r="AD80" s="15">
        <f>(AD55*AD27)</f>
        <v/>
      </c>
      <c r="AE80" s="15">
        <f>(AE55*AE27)</f>
        <v/>
      </c>
      <c r="AF80" s="15">
        <f>(AF55*AF27)</f>
        <v/>
      </c>
      <c r="AG80" s="15">
        <f>(AG55*AG27)</f>
        <v/>
      </c>
      <c r="AH80" s="15">
        <f>(AH55*AH27)</f>
        <v/>
      </c>
      <c r="AI80" s="15">
        <f>(AI55*AI27)</f>
        <v/>
      </c>
      <c r="AJ80" s="15">
        <f>(AJ55*AJ27)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4.512013841</v>
      </c>
      <c r="E81" s="13" t="n">
        <v>14.59356883</v>
      </c>
      <c r="F81" s="13" t="n">
        <v>28.283751545</v>
      </c>
      <c r="G81" s="13" t="n">
        <v>54.325278625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  <c r="P81" s="15">
        <f>(((((((O81+P67)+P60)-P74)-P75)+P77)-P73)-P78)</f>
        <v/>
      </c>
      <c r="Q81" s="15">
        <f>(((((((P81+Q67)+Q60)-Q74)-Q75)+Q77)-Q73)-Q78)</f>
        <v/>
      </c>
      <c r="R81" s="15">
        <f>(((((((Q81+R67)+R60)-R74)-R75)+R77)-R73)-R78)</f>
        <v/>
      </c>
      <c r="S81" s="15">
        <f>(((((((R81+S67)+S60)-S74)-S75)+S77)-S73)-S78)</f>
        <v/>
      </c>
      <c r="T81" s="15">
        <f>(((((((S81+T67)+T60)-T74)-T75)+T77)-T73)-T78)</f>
        <v/>
      </c>
      <c r="U81" s="15">
        <f>(((((((T81+U67)+U60)-U74)-U75)+U77)-U73)-U78)</f>
        <v/>
      </c>
      <c r="V81" s="15">
        <f>(((((((U81+V67)+V60)-V74)-V75)+V77)-V73)-V78)</f>
        <v/>
      </c>
      <c r="W81" s="15">
        <f>(((((((V81+W67)+W60)-W74)-W75)+W77)-W73)-W78)</f>
        <v/>
      </c>
      <c r="X81" s="15">
        <f>(((((((W81+X67)+X60)-X74)-X75)+X77)-X73)-X78)</f>
        <v/>
      </c>
      <c r="Y81" s="15">
        <f>(((((((X81+Y67)+Y60)-Y74)-Y75)+Y77)-Y73)-Y78)</f>
        <v/>
      </c>
      <c r="Z81" s="15">
        <f>(((((((Y81+Z67)+Z60)-Z74)-Z75)+Z77)-Z73)-Z78)</f>
        <v/>
      </c>
      <c r="AA81" s="15">
        <f>(((((((Z81+AA67)+AA60)-AA74)-AA75)+AA77)-AA73)-AA78)</f>
        <v/>
      </c>
      <c r="AB81" s="15">
        <f>(((((((AA81+AB67)+AB60)-AB74)-AB75)+AB77)-AB73)-AB78)</f>
        <v/>
      </c>
      <c r="AC81" s="15">
        <f>(((((((AB81+AC67)+AC60)-AC74)-AC75)+AC77)-AC73)-AC78)</f>
        <v/>
      </c>
      <c r="AD81" s="15">
        <f>(((((((AC81+AD67)+AD60)-AD74)-AD75)+AD77)-AD73)-AD78)</f>
        <v/>
      </c>
      <c r="AE81" s="15">
        <f>(((((((AD81+AE67)+AE60)-AE74)-AE75)+AE77)-AE73)-AE78)</f>
        <v/>
      </c>
      <c r="AF81" s="15">
        <f>(((((((AE81+AF67)+AF60)-AF74)-AF75)+AF77)-AF73)-AF78)</f>
        <v/>
      </c>
      <c r="AG81" s="15">
        <f>(((((((AF81+AG67)+AG60)-AG74)-AG75)+AG77)-AG73)-AG78)</f>
        <v/>
      </c>
      <c r="AH81" s="15">
        <f>(((((((AG81+AH67)+AH60)-AH74)-AH75)+AH77)-AH73)-AH78)</f>
        <v/>
      </c>
      <c r="AI81" s="15">
        <f>(((((((AH81+AI67)+AI60)-AI74)-AI75)+AI77)-AI73)-AI78)</f>
        <v/>
      </c>
      <c r="AJ81" s="15">
        <f>(((((((AI81+AJ67)+AJ60)-AJ74)-AJ75)+AJ77)-AJ73)-AJ78)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67.927416275</v>
      </c>
      <c r="E82" s="13" t="n">
        <v>962.594735076</v>
      </c>
      <c r="F82" s="13" t="n">
        <v>1009.809122302</v>
      </c>
      <c r="G82" s="13" t="n">
        <v>953.848601602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  <c r="P82" s="15">
        <f>(O82+P77)</f>
        <v/>
      </c>
      <c r="Q82" s="15">
        <f>(P82+Q77)</f>
        <v/>
      </c>
      <c r="R82" s="15">
        <f>(Q82+R77)</f>
        <v/>
      </c>
      <c r="S82" s="15">
        <f>(R82+S77)</f>
        <v/>
      </c>
      <c r="T82" s="15">
        <f>(S82+T77)</f>
        <v/>
      </c>
      <c r="U82" s="15">
        <f>(T82+U77)</f>
        <v/>
      </c>
      <c r="V82" s="15">
        <f>(U82+V77)</f>
        <v/>
      </c>
      <c r="W82" s="15">
        <f>(V82+W77)</f>
        <v/>
      </c>
      <c r="X82" s="15">
        <f>(W82+X77)</f>
        <v/>
      </c>
      <c r="Y82" s="15">
        <f>(X82+Y77)</f>
        <v/>
      </c>
      <c r="Z82" s="15">
        <f>(Y82+Z77)</f>
        <v/>
      </c>
      <c r="AA82" s="15">
        <f>(Z82+AA77)</f>
        <v/>
      </c>
      <c r="AB82" s="15">
        <f>(AA82+AB77)</f>
        <v/>
      </c>
      <c r="AC82" s="15">
        <f>(AB82+AC77)</f>
        <v/>
      </c>
      <c r="AD82" s="15">
        <f>(AC82+AD77)</f>
        <v/>
      </c>
      <c r="AE82" s="15">
        <f>(AD82+AE77)</f>
        <v/>
      </c>
      <c r="AF82" s="15">
        <f>(AE82+AF77)</f>
        <v/>
      </c>
      <c r="AG82" s="15">
        <f>(AF82+AG77)</f>
        <v/>
      </c>
      <c r="AH82" s="15">
        <f>(AG82+AH77)</f>
        <v/>
      </c>
      <c r="AI82" s="15">
        <f>(AH82+AI77)</f>
        <v/>
      </c>
      <c r="AJ82" s="15">
        <f>(AI82+AJ77)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334.253397397</v>
      </c>
      <c r="E83" s="13" t="n">
        <v>384.681569538</v>
      </c>
      <c r="F83" s="13" t="n">
        <v>461.059680132</v>
      </c>
      <c r="G83" s="13" t="n">
        <v>554.2900480980001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  <c r="P83" s="15">
        <f>((O83+P74)-P60)</f>
        <v/>
      </c>
      <c r="Q83" s="15">
        <f>((P83+Q74)-Q60)</f>
        <v/>
      </c>
      <c r="R83" s="15">
        <f>((Q83+R74)-R60)</f>
        <v/>
      </c>
      <c r="S83" s="15">
        <f>((R83+S74)-S60)</f>
        <v/>
      </c>
      <c r="T83" s="15">
        <f>((S83+T74)-T60)</f>
        <v/>
      </c>
      <c r="U83" s="15">
        <f>((T83+U74)-U60)</f>
        <v/>
      </c>
      <c r="V83" s="15">
        <f>((U83+V74)-V60)</f>
        <v/>
      </c>
      <c r="W83" s="15">
        <f>((V83+W74)-W60)</f>
        <v/>
      </c>
      <c r="X83" s="15">
        <f>((W83+X74)-X60)</f>
        <v/>
      </c>
      <c r="Y83" s="15">
        <f>((X83+Y74)-Y60)</f>
        <v/>
      </c>
      <c r="Z83" s="15">
        <f>((Y83+Z74)-Z60)</f>
        <v/>
      </c>
      <c r="AA83" s="15">
        <f>((Z83+AA74)-AA60)</f>
        <v/>
      </c>
      <c r="AB83" s="15">
        <f>((AA83+AB74)-AB60)</f>
        <v/>
      </c>
      <c r="AC83" s="15">
        <f>((AB83+AC74)-AC60)</f>
        <v/>
      </c>
      <c r="AD83" s="15">
        <f>((AC83+AD74)-AD60)</f>
        <v/>
      </c>
      <c r="AE83" s="15">
        <f>((AD83+AE74)-AE60)</f>
        <v/>
      </c>
      <c r="AF83" s="15">
        <f>((AE83+AF74)-AF60)</f>
        <v/>
      </c>
      <c r="AG83" s="15">
        <f>((AF83+AG74)-AG60)</f>
        <v/>
      </c>
      <c r="AH83" s="15">
        <f>((AG83+AH74)-AH60)</f>
        <v/>
      </c>
      <c r="AI83" s="15">
        <f>((AH83+AI74)-AI60)</f>
        <v/>
      </c>
      <c r="AJ83" s="15">
        <f>((AI83+AJ74)-AJ60)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264.997410457</v>
      </c>
      <c r="E84" s="13" t="n">
        <v>-689.955339428</v>
      </c>
      <c r="F84" s="13" t="n">
        <v>-720.293836665</v>
      </c>
      <c r="G84" s="13" t="n">
        <v>-763.526872554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  <c r="P84" s="15">
        <f>((O84+P69)-P73)</f>
        <v/>
      </c>
      <c r="Q84" s="15">
        <f>((P84+Q69)-Q73)</f>
        <v/>
      </c>
      <c r="R84" s="15">
        <f>((Q84+R69)-R73)</f>
        <v/>
      </c>
      <c r="S84" s="15">
        <f>((R84+S69)-S73)</f>
        <v/>
      </c>
      <c r="T84" s="15">
        <f>((S84+T69)-T73)</f>
        <v/>
      </c>
      <c r="U84" s="15">
        <f>((T84+U69)-U73)</f>
        <v/>
      </c>
      <c r="V84" s="15">
        <f>((U84+V69)-V73)</f>
        <v/>
      </c>
      <c r="W84" s="15">
        <f>((V84+W69)-W73)</f>
        <v/>
      </c>
      <c r="X84" s="15">
        <f>((W84+X69)-X73)</f>
        <v/>
      </c>
      <c r="Y84" s="15">
        <f>((X84+Y69)-Y73)</f>
        <v/>
      </c>
      <c r="Z84" s="15">
        <f>((Y84+Z69)-Z73)</f>
        <v/>
      </c>
      <c r="AA84" s="15">
        <f>((Z84+AA69)-AA73)</f>
        <v/>
      </c>
      <c r="AB84" s="15">
        <f>((AA84+AB69)-AB73)</f>
        <v/>
      </c>
      <c r="AC84" s="15">
        <f>((AB84+AC69)-AC73)</f>
        <v/>
      </c>
      <c r="AD84" s="15">
        <f>((AC84+AD69)-AD73)</f>
        <v/>
      </c>
      <c r="AE84" s="15">
        <f>((AD84+AE69)-AE73)</f>
        <v/>
      </c>
      <c r="AF84" s="15">
        <f>((AE84+AF69)-AF73)</f>
        <v/>
      </c>
      <c r="AG84" s="15">
        <f>((AF84+AG69)-AG73)</f>
        <v/>
      </c>
      <c r="AH84" s="15">
        <f>((AG84+AH69)-AH73)</f>
        <v/>
      </c>
      <c r="AI84" s="15">
        <f>((AH84+AI69)-AI73)</f>
        <v/>
      </c>
      <c r="AJ84" s="15">
        <f>((AI84+AJ69)-AJ73)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15.234188661</v>
      </c>
      <c r="E85" s="13" t="n">
        <v>66.383215001</v>
      </c>
      <c r="F85" s="13" t="n">
        <v>74.238497326</v>
      </c>
      <c r="G85" s="13" t="n">
        <v>76.11090603700001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  <c r="P85" s="15">
        <f>((O85+P68)-P78)</f>
        <v/>
      </c>
      <c r="Q85" s="15">
        <f>((P85+Q68)-Q78)</f>
        <v/>
      </c>
      <c r="R85" s="15">
        <f>((Q85+R68)-R78)</f>
        <v/>
      </c>
      <c r="S85" s="15">
        <f>((R85+S68)-S78)</f>
        <v/>
      </c>
      <c r="T85" s="15">
        <f>((S85+T68)-T78)</f>
        <v/>
      </c>
      <c r="U85" s="15">
        <f>((T85+U68)-U78)</f>
        <v/>
      </c>
      <c r="V85" s="15">
        <f>((U85+V68)-V78)</f>
        <v/>
      </c>
      <c r="W85" s="15">
        <f>((V85+W68)-W78)</f>
        <v/>
      </c>
      <c r="X85" s="15">
        <f>((W85+X68)-X78)</f>
        <v/>
      </c>
      <c r="Y85" s="15">
        <f>((X85+Y68)-Y78)</f>
        <v/>
      </c>
      <c r="Z85" s="15">
        <f>((Y85+Z68)-Z78)</f>
        <v/>
      </c>
      <c r="AA85" s="15">
        <f>((Z85+AA68)-AA78)</f>
        <v/>
      </c>
      <c r="AB85" s="15">
        <f>((AA85+AB68)-AB78)</f>
        <v/>
      </c>
      <c r="AC85" s="15">
        <f>((AB85+AC68)-AC78)</f>
        <v/>
      </c>
      <c r="AD85" s="15">
        <f>((AC85+AD68)-AD78)</f>
        <v/>
      </c>
      <c r="AE85" s="15">
        <f>((AD85+AE68)-AE78)</f>
        <v/>
      </c>
      <c r="AF85" s="15">
        <f>((AE85+AF68)-AF78)</f>
        <v/>
      </c>
      <c r="AG85" s="15">
        <f>((AF85+AG68)-AG78)</f>
        <v/>
      </c>
      <c r="AH85" s="15">
        <f>((AG85+AH68)-AH78)</f>
        <v/>
      </c>
      <c r="AI85" s="15">
        <f>((AH85+AI68)-AI78)</f>
        <v/>
      </c>
      <c r="AJ85" s="15">
        <f>((AI85+AJ68)-AJ78)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-45.84173575700004</v>
      </c>
      <c r="E86" s="13" t="n">
        <v>-101.622758333</v>
      </c>
      <c r="F86" s="13" t="n">
        <v>-54.37149852099992</v>
      </c>
      <c r="G86" s="13" t="n">
        <v>-92.58274646699994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  <c r="P86" s="15">
        <f>O86</f>
        <v/>
      </c>
      <c r="Q86" s="15">
        <f>P86</f>
        <v/>
      </c>
      <c r="R86" s="15">
        <f>Q86</f>
        <v/>
      </c>
      <c r="S86" s="15">
        <f>R86</f>
        <v/>
      </c>
      <c r="T86" s="15">
        <f>S86</f>
        <v/>
      </c>
      <c r="U86" s="15">
        <f>T86</f>
        <v/>
      </c>
      <c r="V86" s="15">
        <f>U86</f>
        <v/>
      </c>
      <c r="W86" s="15">
        <f>V86</f>
        <v/>
      </c>
      <c r="X86" s="15">
        <f>W86</f>
        <v/>
      </c>
      <c r="Y86" s="15">
        <f>X86</f>
        <v/>
      </c>
      <c r="Z86" s="15">
        <f>Y86</f>
        <v/>
      </c>
      <c r="AA86" s="15">
        <f>Z86</f>
        <v/>
      </c>
      <c r="AB86" s="15">
        <f>AA86</f>
        <v/>
      </c>
      <c r="AC86" s="15">
        <f>AB86</f>
        <v/>
      </c>
      <c r="AD86" s="15">
        <f>AC86</f>
        <v/>
      </c>
      <c r="AE86" s="15">
        <f>AD86</f>
        <v/>
      </c>
      <c r="AF86" s="15">
        <f>AE86</f>
        <v/>
      </c>
      <c r="AG86" s="15">
        <f>AF86</f>
        <v/>
      </c>
      <c r="AH86" s="15">
        <f>AG86</f>
        <v/>
      </c>
      <c r="AI86" s="15">
        <f>AH86</f>
        <v/>
      </c>
      <c r="AJ86" s="15">
        <f>AI86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  <c r="P87" s="15">
        <f>((((((P81+P80)+P83)+P86)-P82)-P84)-P85)</f>
        <v/>
      </c>
      <c r="Q87" s="15">
        <f>((((((Q81+Q80)+Q83)+Q86)-Q82)-Q84)-Q85)</f>
        <v/>
      </c>
      <c r="R87" s="15">
        <f>((((((R81+R80)+R83)+R86)-R82)-R84)-R85)</f>
        <v/>
      </c>
      <c r="S87" s="15">
        <f>((((((S81+S80)+S83)+S86)-S82)-S84)-S85)</f>
        <v/>
      </c>
      <c r="T87" s="15">
        <f>((((((T81+T80)+T83)+T86)-T82)-T84)-T85)</f>
        <v/>
      </c>
      <c r="U87" s="15">
        <f>((((((U81+U80)+U83)+U86)-U82)-U84)-U85)</f>
        <v/>
      </c>
      <c r="V87" s="15">
        <f>((((((V81+V80)+V83)+V86)-V82)-V84)-V85)</f>
        <v/>
      </c>
      <c r="W87" s="15">
        <f>((((((W81+W80)+W83)+W86)-W82)-W84)-W85)</f>
        <v/>
      </c>
      <c r="X87" s="15">
        <f>((((((X81+X80)+X83)+X86)-X82)-X84)-X85)</f>
        <v/>
      </c>
      <c r="Y87" s="15">
        <f>((((((Y81+Y80)+Y83)+Y86)-Y82)-Y84)-Y85)</f>
        <v/>
      </c>
      <c r="Z87" s="15">
        <f>((((((Z81+Z80)+Z83)+Z86)-Z82)-Z84)-Z85)</f>
        <v/>
      </c>
      <c r="AA87" s="15">
        <f>((((((AA81+AA80)+AA83)+AA86)-AA82)-AA84)-AA85)</f>
        <v/>
      </c>
      <c r="AB87" s="15">
        <f>((((((AB81+AB80)+AB83)+AB86)-AB82)-AB84)-AB85)</f>
        <v/>
      </c>
      <c r="AC87" s="15">
        <f>((((((AC81+AC80)+AC83)+AC86)-AC82)-AC84)-AC85)</f>
        <v/>
      </c>
      <c r="AD87" s="15">
        <f>((((((AD81+AD80)+AD83)+AD86)-AD82)-AD84)-AD85)</f>
        <v/>
      </c>
      <c r="AE87" s="15">
        <f>((((((AE81+AE80)+AE83)+AE86)-AE82)-AE84)-AE85)</f>
        <v/>
      </c>
      <c r="AF87" s="15">
        <f>((((((AF81+AF80)+AF83)+AF86)-AF82)-AF84)-AF85)</f>
        <v/>
      </c>
      <c r="AG87" s="15">
        <f>((((((AG81+AG80)+AG83)+AG86)-AG82)-AG84)-AG85)</f>
        <v/>
      </c>
      <c r="AH87" s="15">
        <f>((((((AH81+AH80)+AH83)+AH86)-AH82)-AH84)-AH85)</f>
        <v/>
      </c>
      <c r="AI87" s="15">
        <f>((((((AI81+AI80)+AI83)+AI86)-AI82)-AI84)-AI85)</f>
        <v/>
      </c>
      <c r="AJ87" s="15">
        <f>((((((AJ81+AJ80)+AJ83)+AJ86)-AJ82)-AJ84)-AJ85)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63.415402434</v>
      </c>
      <c r="E88" s="13" t="n">
        <v>948.001166246</v>
      </c>
      <c r="F88" s="13" t="n">
        <v>981.525370757</v>
      </c>
      <c r="G88" s="13" t="n">
        <v>899.523322977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  <c r="P88" s="15">
        <f>(P82-P81)</f>
        <v/>
      </c>
      <c r="Q88" s="15">
        <f>(Q82-Q81)</f>
        <v/>
      </c>
      <c r="R88" s="15">
        <f>(R82-R81)</f>
        <v/>
      </c>
      <c r="S88" s="15">
        <f>(S82-S81)</f>
        <v/>
      </c>
      <c r="T88" s="15">
        <f>(T82-T81)</f>
        <v/>
      </c>
      <c r="U88" s="15">
        <f>(U82-U81)</f>
        <v/>
      </c>
      <c r="V88" s="15">
        <f>(V82-V81)</f>
        <v/>
      </c>
      <c r="W88" s="15">
        <f>(W82-W81)</f>
        <v/>
      </c>
      <c r="X88" s="15">
        <f>(X82-X81)</f>
        <v/>
      </c>
      <c r="Y88" s="15">
        <f>(Y82-Y81)</f>
        <v/>
      </c>
      <c r="Z88" s="15">
        <f>(Z82-Z81)</f>
        <v/>
      </c>
      <c r="AA88" s="15">
        <f>(AA82-AA81)</f>
        <v/>
      </c>
      <c r="AB88" s="15">
        <f>(AB82-AB81)</f>
        <v/>
      </c>
      <c r="AC88" s="15">
        <f>(AC82-AC81)</f>
        <v/>
      </c>
      <c r="AD88" s="15">
        <f>(AD82-AD81)</f>
        <v/>
      </c>
      <c r="AE88" s="15">
        <f>(AE82-AE81)</f>
        <v/>
      </c>
      <c r="AF88" s="15">
        <f>(AF82-AF81)</f>
        <v/>
      </c>
      <c r="AG88" s="15">
        <f>(AG82-AG81)</f>
        <v/>
      </c>
      <c r="AH88" s="15">
        <f>(AH82-AH81)</f>
        <v/>
      </c>
      <c r="AI88" s="15">
        <f>(AI82-AI81)</f>
        <v/>
      </c>
      <c r="AJ88" s="15">
        <f>(AJ82-AJ81)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371.3118391732777</v>
      </c>
      <c r="E89" s="20" t="n">
        <v>-966.7588282792084</v>
      </c>
      <c r="F89" s="20" t="n">
        <v>-1009.268840687997</v>
      </c>
      <c r="G89" s="20" t="n">
        <v>-1069.846557433624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  <c r="M89" s="21">
        <f>(IF(M70=0,0,M84/M70)*$C$8)</f>
        <v/>
      </c>
      <c r="N89" s="21">
        <f>(IF(N70=0,0,N84/N70)*$C$8)</f>
        <v/>
      </c>
      <c r="O89" s="21">
        <f>(IF(O70=0,0,O84/O70)*$C$8)</f>
        <v/>
      </c>
      <c r="P89" s="21">
        <f>(IF(P70=0,0,P84/P70)*$C$8)</f>
        <v/>
      </c>
      <c r="Q89" s="21">
        <f>(IF(Q70=0,0,Q84/Q70)*$C$8)</f>
        <v/>
      </c>
      <c r="R89" s="21">
        <f>(IF(R70=0,0,R84/R70)*$C$8)</f>
        <v/>
      </c>
      <c r="S89" s="21">
        <f>(IF(S70=0,0,S84/S70)*$C$8)</f>
        <v/>
      </c>
      <c r="T89" s="21">
        <f>(IF(T70=0,0,T84/T70)*$C$8)</f>
        <v/>
      </c>
      <c r="U89" s="21">
        <f>(IF(U70=0,0,U84/U70)*$C$8)</f>
        <v/>
      </c>
      <c r="V89" s="21">
        <f>(IF(V70=0,0,V84/V70)*$C$8)</f>
        <v/>
      </c>
      <c r="W89" s="21">
        <f>(IF(W70=0,0,W84/W70)*$C$8)</f>
        <v/>
      </c>
      <c r="X89" s="21">
        <f>(IF(X70=0,0,X84/X70)*$C$8)</f>
        <v/>
      </c>
      <c r="Y89" s="21">
        <f>(IF(Y70=0,0,Y84/Y70)*$C$8)</f>
        <v/>
      </c>
      <c r="Z89" s="21">
        <f>(IF(Z70=0,0,Z84/Z70)*$C$8)</f>
        <v/>
      </c>
      <c r="AA89" s="21">
        <f>(IF(AA70=0,0,AA84/AA70)*$C$8)</f>
        <v/>
      </c>
      <c r="AB89" s="21">
        <f>(IF(AB70=0,0,AB84/AB70)*$C$8)</f>
        <v/>
      </c>
      <c r="AC89" s="21">
        <f>(IF(AC70=0,0,AC84/AC70)*$C$8)</f>
        <v/>
      </c>
      <c r="AD89" s="21">
        <f>(IF(AD70=0,0,AD84/AD70)*$C$8)</f>
        <v/>
      </c>
      <c r="AE89" s="21">
        <f>(IF(AE70=0,0,AE84/AE70)*$C$8)</f>
        <v/>
      </c>
      <c r="AF89" s="21">
        <f>(IF(AF70=0,0,AF84/AF70)*$C$8)</f>
        <v/>
      </c>
      <c r="AG89" s="21">
        <f>(IF(AG70=0,0,AG84/AG70)*$C$8)</f>
        <v/>
      </c>
      <c r="AH89" s="21">
        <f>(IF(AH70=0,0,AH84/AH70)*$C$8)</f>
        <v/>
      </c>
      <c r="AI89" s="21">
        <f>(IF(AI70=0,0,AI84/AI70)*$C$8)</f>
        <v/>
      </c>
      <c r="AJ89" s="21">
        <f>(IF(AJ70=0,0,AJ84/AJ70)*$C$8)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-0.2809986668937441</v>
      </c>
      <c r="F90" s="4" t="n">
        <v>0.4631020896417393</v>
      </c>
      <c r="G90" s="4" t="n">
        <v>0.2272309578031271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  <c r="L90" s="17">
        <f>(IF(K55=0,0,L55/K55)-1)</f>
        <v/>
      </c>
      <c r="M90" s="17">
        <f>(IF(L55=0,0,M55/L55)-1)</f>
        <v/>
      </c>
      <c r="N90" s="17">
        <f>(IF(M55=0,0,N55/M55)-1)</f>
        <v/>
      </c>
      <c r="O90" s="17">
        <f>(IF(N55=0,0,O55/N55)-1)</f>
        <v/>
      </c>
      <c r="P90" s="17">
        <f>(IF(O55=0,0,P55/O55)-1)</f>
        <v/>
      </c>
      <c r="Q90" s="17">
        <f>(IF(P55=0,0,Q55/P55)-1)</f>
        <v/>
      </c>
      <c r="R90" s="17">
        <f>(IF(Q55=0,0,R55/Q55)-1)</f>
        <v/>
      </c>
      <c r="S90" s="17">
        <f>(IF(R55=0,0,S55/R55)-1)</f>
        <v/>
      </c>
      <c r="T90" s="17">
        <f>(IF(S55=0,0,T55/S55)-1)</f>
        <v/>
      </c>
      <c r="U90" s="17">
        <f>(IF(T55=0,0,U55/T55)-1)</f>
        <v/>
      </c>
      <c r="V90" s="17">
        <f>(IF(U55=0,0,V55/U55)-1)</f>
        <v/>
      </c>
      <c r="W90" s="17">
        <f>(IF(V55=0,0,W55/V55)-1)</f>
        <v/>
      </c>
      <c r="X90" s="17">
        <f>(IF(W55=0,0,X55/W55)-1)</f>
        <v/>
      </c>
      <c r="Y90" s="17">
        <f>(IF(X55=0,0,Y55/X55)-1)</f>
        <v/>
      </c>
      <c r="Z90" s="17">
        <f>(IF(Y55=0,0,Z55/Y55)-1)</f>
        <v/>
      </c>
      <c r="AA90" s="17">
        <f>(IF(Z55=0,0,AA55/Z55)-1)</f>
        <v/>
      </c>
      <c r="AB90" s="17">
        <f>(IF(AA55=0,0,AB55/AA55)-1)</f>
        <v/>
      </c>
      <c r="AC90" s="17">
        <f>(IF(AB55=0,0,AC55/AB55)-1)</f>
        <v/>
      </c>
      <c r="AD90" s="17">
        <f>(IF(AC55=0,0,AD55/AC55)-1)</f>
        <v/>
      </c>
      <c r="AE90" s="17">
        <f>(IF(AD55=0,0,AE55/AD55)-1)</f>
        <v/>
      </c>
      <c r="AF90" s="17">
        <f>(IF(AE55=0,0,AF55/AE55)-1)</f>
        <v/>
      </c>
      <c r="AG90" s="17">
        <f>(IF(AF55=0,0,AG55/AF55)-1)</f>
        <v/>
      </c>
      <c r="AH90" s="17">
        <f>(IF(AG55=0,0,AH55/AG55)-1)</f>
        <v/>
      </c>
      <c r="AI90" s="17">
        <f>(IF(AH55=0,0,AI55/AH55)-1)</f>
        <v/>
      </c>
      <c r="AJ90" s="17">
        <f>(IF(AI55=0,0,AJ55/AI55)-1)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0.2243104848237079</v>
      </c>
      <c r="E91" s="4" t="n">
        <v>0.1772027033528744</v>
      </c>
      <c r="F91" s="4" t="n">
        <v>0.2072196410140786</v>
      </c>
      <c r="G91" s="4" t="n">
        <v>0.1837145510431266</v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  <c r="L91" s="17">
        <f>IF(L55=0,0,L57/L55)</f>
        <v/>
      </c>
      <c r="M91" s="17">
        <f>IF(M55=0,0,M57/M55)</f>
        <v/>
      </c>
      <c r="N91" s="17">
        <f>IF(N55=0,0,N57/N55)</f>
        <v/>
      </c>
      <c r="O91" s="17">
        <f>IF(O55=0,0,O57/O55)</f>
        <v/>
      </c>
      <c r="P91" s="17">
        <f>IF(P55=0,0,P57/P55)</f>
        <v/>
      </c>
      <c r="Q91" s="17">
        <f>IF(Q55=0,0,Q57/Q55)</f>
        <v/>
      </c>
      <c r="R91" s="17">
        <f>IF(R55=0,0,R57/R55)</f>
        <v/>
      </c>
      <c r="S91" s="17">
        <f>IF(S55=0,0,S57/S55)</f>
        <v/>
      </c>
      <c r="T91" s="17">
        <f>IF(T55=0,0,T57/T55)</f>
        <v/>
      </c>
      <c r="U91" s="17">
        <f>IF(U55=0,0,U57/U55)</f>
        <v/>
      </c>
      <c r="V91" s="17">
        <f>IF(V55=0,0,V57/V55)</f>
        <v/>
      </c>
      <c r="W91" s="17">
        <f>IF(W55=0,0,W57/W55)</f>
        <v/>
      </c>
      <c r="X91" s="17">
        <f>IF(X55=0,0,X57/X55)</f>
        <v/>
      </c>
      <c r="Y91" s="17">
        <f>IF(Y55=0,0,Y57/Y55)</f>
        <v/>
      </c>
      <c r="Z91" s="17">
        <f>IF(Z55=0,0,Z57/Z55)</f>
        <v/>
      </c>
      <c r="AA91" s="17">
        <f>IF(AA55=0,0,AA57/AA55)</f>
        <v/>
      </c>
      <c r="AB91" s="17">
        <f>IF(AB55=0,0,AB57/AB55)</f>
        <v/>
      </c>
      <c r="AC91" s="17">
        <f>IF(AC55=0,0,AC57/AC55)</f>
        <v/>
      </c>
      <c r="AD91" s="17">
        <f>IF(AD55=0,0,AD57/AD55)</f>
        <v/>
      </c>
      <c r="AE91" s="17">
        <f>IF(AE55=0,0,AE57/AE55)</f>
        <v/>
      </c>
      <c r="AF91" s="17">
        <f>IF(AF55=0,0,AF57/AF55)</f>
        <v/>
      </c>
      <c r="AG91" s="17">
        <f>IF(AG55=0,0,AG57/AG55)</f>
        <v/>
      </c>
      <c r="AH91" s="17">
        <f>IF(AH55=0,0,AH57/AH55)</f>
        <v/>
      </c>
      <c r="AI91" s="17">
        <f>IF(AI55=0,0,AI57/AI55)</f>
        <v/>
      </c>
      <c r="AJ91" s="17">
        <f>IF(AJ55=0,0,AJ57/AJ55)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0.06142533832793626</v>
      </c>
      <c r="E92" s="4" t="n">
        <v>0.0679001098681216</v>
      </c>
      <c r="F92" s="4" t="n">
        <v>0.07172456371346519</v>
      </c>
      <c r="G92" s="4" t="n">
        <v>0.02761846613378885</v>
      </c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  <c r="L92" s="17">
        <f>IF(L55=0,0,L61/L55)</f>
        <v/>
      </c>
      <c r="M92" s="17">
        <f>IF(M55=0,0,M61/M55)</f>
        <v/>
      </c>
      <c r="N92" s="17">
        <f>IF(N55=0,0,N61/N55)</f>
        <v/>
      </c>
      <c r="O92" s="17">
        <f>IF(O55=0,0,O61/O55)</f>
        <v/>
      </c>
      <c r="P92" s="17">
        <f>IF(P55=0,0,P61/P55)</f>
        <v/>
      </c>
      <c r="Q92" s="17">
        <f>IF(Q55=0,0,Q61/Q55)</f>
        <v/>
      </c>
      <c r="R92" s="17">
        <f>IF(R55=0,0,R61/R55)</f>
        <v/>
      </c>
      <c r="S92" s="17">
        <f>IF(S55=0,0,S61/S55)</f>
        <v/>
      </c>
      <c r="T92" s="17">
        <f>IF(T55=0,0,T61/T55)</f>
        <v/>
      </c>
      <c r="U92" s="17">
        <f>IF(U55=0,0,U61/U55)</f>
        <v/>
      </c>
      <c r="V92" s="17">
        <f>IF(V55=0,0,V61/V55)</f>
        <v/>
      </c>
      <c r="W92" s="17">
        <f>IF(W55=0,0,W61/W55)</f>
        <v/>
      </c>
      <c r="X92" s="17">
        <f>IF(X55=0,0,X61/X55)</f>
        <v/>
      </c>
      <c r="Y92" s="17">
        <f>IF(Y55=0,0,Y61/Y55)</f>
        <v/>
      </c>
      <c r="Z92" s="17">
        <f>IF(Z55=0,0,Z61/Z55)</f>
        <v/>
      </c>
      <c r="AA92" s="17">
        <f>IF(AA55=0,0,AA61/AA55)</f>
        <v/>
      </c>
      <c r="AB92" s="17">
        <f>IF(AB55=0,0,AB61/AB55)</f>
        <v/>
      </c>
      <c r="AC92" s="17">
        <f>IF(AC55=0,0,AC61/AC55)</f>
        <v/>
      </c>
      <c r="AD92" s="17">
        <f>IF(AD55=0,0,AD61/AD55)</f>
        <v/>
      </c>
      <c r="AE92" s="17">
        <f>IF(AE55=0,0,AE61/AE55)</f>
        <v/>
      </c>
      <c r="AF92" s="17">
        <f>IF(AF55=0,0,AF61/AF55)</f>
        <v/>
      </c>
      <c r="AG92" s="17">
        <f>IF(AG55=0,0,AG61/AG55)</f>
        <v/>
      </c>
      <c r="AH92" s="17">
        <f>IF(AH55=0,0,AH61/AH55)</f>
        <v/>
      </c>
      <c r="AI92" s="17">
        <f>IF(AI55=0,0,AI61/AI55)</f>
        <v/>
      </c>
      <c r="AJ92" s="17">
        <f>IF(AJ55=0,0,AJ61/AJ55)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0.05971282982437862</v>
      </c>
      <c r="E93" s="4" t="n">
        <v>0.06567163609553353</v>
      </c>
      <c r="F93" s="4" t="n">
        <v>0.04891358209944861</v>
      </c>
      <c r="G93" s="4" t="n">
        <v>0.01486420785828801</v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  <c r="L93" s="17">
        <f>IF(L55=0,0,L59/L55)</f>
        <v/>
      </c>
      <c r="M93" s="17">
        <f>IF(M55=0,0,M59/M55)</f>
        <v/>
      </c>
      <c r="N93" s="17">
        <f>IF(N55=0,0,N59/N55)</f>
        <v/>
      </c>
      <c r="O93" s="17">
        <f>IF(O55=0,0,O59/O55)</f>
        <v/>
      </c>
      <c r="P93" s="17">
        <f>IF(P55=0,0,P59/P55)</f>
        <v/>
      </c>
      <c r="Q93" s="17">
        <f>IF(Q55=0,0,Q59/Q55)</f>
        <v/>
      </c>
      <c r="R93" s="17">
        <f>IF(R55=0,0,R59/R55)</f>
        <v/>
      </c>
      <c r="S93" s="17">
        <f>IF(S55=0,0,S59/S55)</f>
        <v/>
      </c>
      <c r="T93" s="17">
        <f>IF(T55=0,0,T59/T55)</f>
        <v/>
      </c>
      <c r="U93" s="17">
        <f>IF(U55=0,0,U59/U55)</f>
        <v/>
      </c>
      <c r="V93" s="17">
        <f>IF(V55=0,0,V59/V55)</f>
        <v/>
      </c>
      <c r="W93" s="17">
        <f>IF(W55=0,0,W59/W55)</f>
        <v/>
      </c>
      <c r="X93" s="17">
        <f>IF(X55=0,0,X59/X55)</f>
        <v/>
      </c>
      <c r="Y93" s="17">
        <f>IF(Y55=0,0,Y59/Y55)</f>
        <v/>
      </c>
      <c r="Z93" s="17">
        <f>IF(Z55=0,0,Z59/Z55)</f>
        <v/>
      </c>
      <c r="AA93" s="17">
        <f>IF(AA55=0,0,AA59/AA55)</f>
        <v/>
      </c>
      <c r="AB93" s="17">
        <f>IF(AB55=0,0,AB59/AB55)</f>
        <v/>
      </c>
      <c r="AC93" s="17">
        <f>IF(AC55=0,0,AC59/AC55)</f>
        <v/>
      </c>
      <c r="AD93" s="17">
        <f>IF(AD55=0,0,AD59/AD55)</f>
        <v/>
      </c>
      <c r="AE93" s="17">
        <f>IF(AE55=0,0,AE59/AE55)</f>
        <v/>
      </c>
      <c r="AF93" s="17">
        <f>IF(AF55=0,0,AF59/AF55)</f>
        <v/>
      </c>
      <c r="AG93" s="17">
        <f>IF(AG55=0,0,AG59/AG55)</f>
        <v/>
      </c>
      <c r="AH93" s="17">
        <f>IF(AH55=0,0,AH59/AH55)</f>
        <v/>
      </c>
      <c r="AI93" s="17">
        <f>IF(AI55=0,0,AI59/AI55)</f>
        <v/>
      </c>
      <c r="AJ93" s="17">
        <f>IF(AJ55=0,0,AJ59/AJ55)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0.0120618009946338</v>
      </c>
      <c r="E94" s="4" t="n">
        <v>-0.05545692461159627</v>
      </c>
      <c r="F94" s="4" t="n">
        <v>-0.07114917846681358</v>
      </c>
      <c r="G94" s="4" t="n">
        <v>-0.08068589426764761</v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  <c r="L94" s="17">
        <f>IF(L55=0,0,L69/L55)</f>
        <v/>
      </c>
      <c r="M94" s="17">
        <f>IF(M55=0,0,M69/M55)</f>
        <v/>
      </c>
      <c r="N94" s="17">
        <f>IF(N55=0,0,N69/N55)</f>
        <v/>
      </c>
      <c r="O94" s="17">
        <f>IF(O55=0,0,O69/O55)</f>
        <v/>
      </c>
      <c r="P94" s="17">
        <f>IF(P55=0,0,P69/P55)</f>
        <v/>
      </c>
      <c r="Q94" s="17">
        <f>IF(Q55=0,0,Q69/Q55)</f>
        <v/>
      </c>
      <c r="R94" s="17">
        <f>IF(R55=0,0,R69/R55)</f>
        <v/>
      </c>
      <c r="S94" s="17">
        <f>IF(S55=0,0,S69/S55)</f>
        <v/>
      </c>
      <c r="T94" s="17">
        <f>IF(T55=0,0,T69/T55)</f>
        <v/>
      </c>
      <c r="U94" s="17">
        <f>IF(U55=0,0,U69/U55)</f>
        <v/>
      </c>
      <c r="V94" s="17">
        <f>IF(V55=0,0,V69/V55)</f>
        <v/>
      </c>
      <c r="W94" s="17">
        <f>IF(W55=0,0,W69/W55)</f>
        <v/>
      </c>
      <c r="X94" s="17">
        <f>IF(X55=0,0,X69/X55)</f>
        <v/>
      </c>
      <c r="Y94" s="17">
        <f>IF(Y55=0,0,Y69/Y55)</f>
        <v/>
      </c>
      <c r="Z94" s="17">
        <f>IF(Z55=0,0,Z69/Z55)</f>
        <v/>
      </c>
      <c r="AA94" s="17">
        <f>IF(AA55=0,0,AA69/AA55)</f>
        <v/>
      </c>
      <c r="AB94" s="17">
        <f>IF(AB55=0,0,AB69/AB55)</f>
        <v/>
      </c>
      <c r="AC94" s="17">
        <f>IF(AC55=0,0,AC69/AC55)</f>
        <v/>
      </c>
      <c r="AD94" s="17">
        <f>IF(AD55=0,0,AD69/AD55)</f>
        <v/>
      </c>
      <c r="AE94" s="17">
        <f>IF(AE55=0,0,AE69/AE55)</f>
        <v/>
      </c>
      <c r="AF94" s="17">
        <f>IF(AF55=0,0,AF69/AF55)</f>
        <v/>
      </c>
      <c r="AG94" s="17">
        <f>IF(AG55=0,0,AG69/AG55)</f>
        <v/>
      </c>
      <c r="AH94" s="17">
        <f>IF(AH55=0,0,AH69/AH55)</f>
        <v/>
      </c>
      <c r="AI94" s="17">
        <f>IF(AI55=0,0,AI69/AI55)</f>
        <v/>
      </c>
      <c r="AJ94" s="17">
        <f>IF(AJ55=0,0,AJ69/AJ55)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-4.305775210803949</v>
      </c>
      <c r="F95" s="4" t="n">
        <v>0.8771057432442</v>
      </c>
      <c r="G95" s="4" t="n">
        <v>0.3917269241481609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  <c r="L95" s="17">
        <f>(IF(K71=0,0,L71/K71)-1)</f>
        <v/>
      </c>
      <c r="M95" s="17">
        <f>(IF(L71=0,0,M71/L71)-1)</f>
        <v/>
      </c>
      <c r="N95" s="17">
        <f>(IF(M71=0,0,N71/M71)-1)</f>
        <v/>
      </c>
      <c r="O95" s="17">
        <f>(IF(N71=0,0,O71/N71)-1)</f>
        <v/>
      </c>
      <c r="P95" s="17">
        <f>(IF(O71=0,0,P71/O71)-1)</f>
        <v/>
      </c>
      <c r="Q95" s="17">
        <f>(IF(P71=0,0,Q71/P71)-1)</f>
        <v/>
      </c>
      <c r="R95" s="17">
        <f>(IF(Q71=0,0,R71/Q71)-1)</f>
        <v/>
      </c>
      <c r="S95" s="17">
        <f>(IF(R71=0,0,S71/R71)-1)</f>
        <v/>
      </c>
      <c r="T95" s="17">
        <f>(IF(S71=0,0,T71/S71)-1)</f>
        <v/>
      </c>
      <c r="U95" s="17">
        <f>(IF(T71=0,0,U71/T71)-1)</f>
        <v/>
      </c>
      <c r="V95" s="17">
        <f>(IF(U71=0,0,V71/U71)-1)</f>
        <v/>
      </c>
      <c r="W95" s="17">
        <f>(IF(V71=0,0,W71/V71)-1)</f>
        <v/>
      </c>
      <c r="X95" s="17">
        <f>(IF(W71=0,0,X71/W71)-1)</f>
        <v/>
      </c>
      <c r="Y95" s="17">
        <f>(IF(X71=0,0,Y71/X71)-1)</f>
        <v/>
      </c>
      <c r="Z95" s="17">
        <f>(IF(Y71=0,0,Z71/Y71)-1)</f>
        <v/>
      </c>
      <c r="AA95" s="17">
        <f>(IF(Z71=0,0,AA71/Z71)-1)</f>
        <v/>
      </c>
      <c r="AB95" s="17">
        <f>(IF(AA71=0,0,AB71/AA71)-1)</f>
        <v/>
      </c>
      <c r="AC95" s="17">
        <f>(IF(AB71=0,0,AC71/AB71)-1)</f>
        <v/>
      </c>
      <c r="AD95" s="17">
        <f>(IF(AC71=0,0,AD71/AC71)-1)</f>
        <v/>
      </c>
      <c r="AE95" s="17">
        <f>(IF(AD71=0,0,AE71/AD71)-1)</f>
        <v/>
      </c>
      <c r="AF95" s="17">
        <f>(IF(AE71=0,0,AF71/AE71)-1)</f>
        <v/>
      </c>
      <c r="AG95" s="17">
        <f>(IF(AF71=0,0,AG71/AF71)-1)</f>
        <v/>
      </c>
      <c r="AH95" s="17">
        <f>(IF(AG71=0,0,AH71/AG71)-1)</f>
        <v/>
      </c>
      <c r="AI95" s="17">
        <f>(IF(AH71=0,0,AI71/AH71)-1)</f>
        <v/>
      </c>
      <c r="AJ95" s="17">
        <f>(IF(AI71=0,0,AJ71/AI71)-1)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0.07762427797470535</v>
      </c>
      <c r="F96" s="4" t="n">
        <v>0.04390726587449297</v>
      </c>
      <c r="G96" s="4" t="n">
        <v>0.05807709031595751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  <c r="L96" s="17">
        <f>IF(IF(2=0,0,(L84+K84)/2)=0,0,L69/IF(2=0,0,(L84+K84)/2))</f>
        <v/>
      </c>
      <c r="M96" s="17">
        <f>IF(IF(2=0,0,(M84+L84)/2)=0,0,M69/IF(2=0,0,(M84+L84)/2))</f>
        <v/>
      </c>
      <c r="N96" s="17">
        <f>IF(IF(2=0,0,(N84+M84)/2)=0,0,N69/IF(2=0,0,(N84+M84)/2))</f>
        <v/>
      </c>
      <c r="O96" s="17">
        <f>IF(IF(2=0,0,(O84+N84)/2)=0,0,O69/IF(2=0,0,(O84+N84)/2))</f>
        <v/>
      </c>
      <c r="P96" s="17">
        <f>IF(IF(2=0,0,(P84+O84)/2)=0,0,P69/IF(2=0,0,(P84+O84)/2))</f>
        <v/>
      </c>
      <c r="Q96" s="17">
        <f>IF(IF(2=0,0,(Q84+P84)/2)=0,0,Q69/IF(2=0,0,(Q84+P84)/2))</f>
        <v/>
      </c>
      <c r="R96" s="17">
        <f>IF(IF(2=0,0,(R84+Q84)/2)=0,0,R69/IF(2=0,0,(R84+Q84)/2))</f>
        <v/>
      </c>
      <c r="S96" s="17">
        <f>IF(IF(2=0,0,(S84+R84)/2)=0,0,S69/IF(2=0,0,(S84+R84)/2))</f>
        <v/>
      </c>
      <c r="T96" s="17">
        <f>IF(IF(2=0,0,(T84+S84)/2)=0,0,T69/IF(2=0,0,(T84+S84)/2))</f>
        <v/>
      </c>
      <c r="U96" s="17">
        <f>IF(IF(2=0,0,(U84+T84)/2)=0,0,U69/IF(2=0,0,(U84+T84)/2))</f>
        <v/>
      </c>
      <c r="V96" s="17">
        <f>IF(IF(2=0,0,(V84+U84)/2)=0,0,V69/IF(2=0,0,(V84+U84)/2))</f>
        <v/>
      </c>
      <c r="W96" s="17">
        <f>IF(IF(2=0,0,(W84+V84)/2)=0,0,W69/IF(2=0,0,(W84+V84)/2))</f>
        <v/>
      </c>
      <c r="X96" s="17">
        <f>IF(IF(2=0,0,(X84+W84)/2)=0,0,X69/IF(2=0,0,(X84+W84)/2))</f>
        <v/>
      </c>
      <c r="Y96" s="17">
        <f>IF(IF(2=0,0,(Y84+X84)/2)=0,0,Y69/IF(2=0,0,(Y84+X84)/2))</f>
        <v/>
      </c>
      <c r="Z96" s="17">
        <f>IF(IF(2=0,0,(Z84+Y84)/2)=0,0,Z69/IF(2=0,0,(Z84+Y84)/2))</f>
        <v/>
      </c>
      <c r="AA96" s="17">
        <f>IF(IF(2=0,0,(AA84+Z84)/2)=0,0,AA69/IF(2=0,0,(AA84+Z84)/2))</f>
        <v/>
      </c>
      <c r="AB96" s="17">
        <f>IF(IF(2=0,0,(AB84+AA84)/2)=0,0,AB69/IF(2=0,0,(AB84+AA84)/2))</f>
        <v/>
      </c>
      <c r="AC96" s="17">
        <f>IF(IF(2=0,0,(AC84+AB84)/2)=0,0,AC69/IF(2=0,0,(AC84+AB84)/2))</f>
        <v/>
      </c>
      <c r="AD96" s="17">
        <f>IF(IF(2=0,0,(AD84+AC84)/2)=0,0,AD69/IF(2=0,0,(AD84+AC84)/2))</f>
        <v/>
      </c>
      <c r="AE96" s="17">
        <f>IF(IF(2=0,0,(AE84+AD84)/2)=0,0,AE69/IF(2=0,0,(AE84+AD84)/2))</f>
        <v/>
      </c>
      <c r="AF96" s="17">
        <f>IF(IF(2=0,0,(AF84+AE84)/2)=0,0,AF69/IF(2=0,0,(AF84+AE84)/2))</f>
        <v/>
      </c>
      <c r="AG96" s="17">
        <f>IF(IF(2=0,0,(AG84+AF84)/2)=0,0,AG69/IF(2=0,0,(AG84+AF84)/2))</f>
        <v/>
      </c>
      <c r="AH96" s="17">
        <f>IF(IF(2=0,0,(AH84+AG84)/2)=0,0,AH69/IF(2=0,0,(AH84+AG84)/2))</f>
        <v/>
      </c>
      <c r="AI96" s="17">
        <f>IF(IF(2=0,0,(AI84+AH84)/2)=0,0,AI69/IF(2=0,0,(AI84+AH84)/2))</f>
        <v/>
      </c>
      <c r="AJ96" s="17">
        <f>IF(IF(2=0,0,(AJ84+AI84)/2)=0,0,AJ69/IF(2=0,0,(AJ84+AI84)/2))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>
        <v>2.495853893927554</v>
      </c>
      <c r="E97" s="22" t="n">
        <v>46.94406156981506</v>
      </c>
      <c r="F97" s="22" t="n">
        <v>31.44859526005555</v>
      </c>
      <c r="G97" s="22" t="n">
        <v>60.989378462278</v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  <c r="M97" s="23">
        <f>IF(M61=0,0,M88/M61)</f>
        <v/>
      </c>
      <c r="N97" s="23">
        <f>IF(N61=0,0,N88/N61)</f>
        <v/>
      </c>
      <c r="O97" s="23">
        <f>IF(O61=0,0,O88/O61)</f>
        <v/>
      </c>
      <c r="P97" s="23">
        <f>IF(P61=0,0,P88/P61)</f>
        <v/>
      </c>
      <c r="Q97" s="23">
        <f>IF(Q61=0,0,Q88/Q61)</f>
        <v/>
      </c>
      <c r="R97" s="23">
        <f>IF(R61=0,0,R88/R61)</f>
        <v/>
      </c>
      <c r="S97" s="23">
        <f>IF(S61=0,0,S88/S61)</f>
        <v/>
      </c>
      <c r="T97" s="23">
        <f>IF(T61=0,0,T88/T61)</f>
        <v/>
      </c>
      <c r="U97" s="23">
        <f>IF(U61=0,0,U88/U61)</f>
        <v/>
      </c>
      <c r="V97" s="23">
        <f>IF(V61=0,0,V88/V61)</f>
        <v/>
      </c>
      <c r="W97" s="23">
        <f>IF(W61=0,0,W88/W61)</f>
        <v/>
      </c>
      <c r="X97" s="23">
        <f>IF(X61=0,0,X88/X61)</f>
        <v/>
      </c>
      <c r="Y97" s="23">
        <f>IF(Y61=0,0,Y88/Y61)</f>
        <v/>
      </c>
      <c r="Z97" s="23">
        <f>IF(Z61=0,0,Z88/Z61)</f>
        <v/>
      </c>
      <c r="AA97" s="23">
        <f>IF(AA61=0,0,AA88/AA61)</f>
        <v/>
      </c>
      <c r="AB97" s="23">
        <f>IF(AB61=0,0,AB88/AB61)</f>
        <v/>
      </c>
      <c r="AC97" s="23">
        <f>IF(AC61=0,0,AC88/AC61)</f>
        <v/>
      </c>
      <c r="AD97" s="23">
        <f>IF(AD61=0,0,AD88/AD61)</f>
        <v/>
      </c>
      <c r="AE97" s="23">
        <f>IF(AE61=0,0,AE88/AE61)</f>
        <v/>
      </c>
      <c r="AF97" s="23">
        <f>IF(AF61=0,0,AF88/AF61)</f>
        <v/>
      </c>
      <c r="AG97" s="23">
        <f>IF(AG61=0,0,AG88/AG61)</f>
        <v/>
      </c>
      <c r="AH97" s="23">
        <f>IF(AH61=0,0,AH88/AH61)</f>
        <v/>
      </c>
      <c r="AI97" s="23">
        <f>IF(AI61=0,0,AI88/AI61)</f>
        <v/>
      </c>
      <c r="AJ97" s="23">
        <f>IF(AJ61=0,0,AJ88/AJ61)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</v>
      </c>
      <c r="E98" s="4" t="n">
        <v>-0</v>
      </c>
      <c r="F98" s="4" t="n">
        <v>-0</v>
      </c>
      <c r="G98" s="4" t="n">
        <v>-0</v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  <c r="L98" s="17">
        <f>IF(L71=0,0,L72/L71)</f>
        <v/>
      </c>
      <c r="M98" s="17">
        <f>IF(M71=0,0,M72/M71)</f>
        <v/>
      </c>
      <c r="N98" s="17">
        <f>IF(N71=0,0,N72/N71)</f>
        <v/>
      </c>
      <c r="O98" s="17">
        <f>IF(O71=0,0,O72/O71)</f>
        <v/>
      </c>
      <c r="P98" s="17">
        <f>IF(P71=0,0,P72/P71)</f>
        <v/>
      </c>
      <c r="Q98" s="17">
        <f>IF(Q71=0,0,Q72/Q71)</f>
        <v/>
      </c>
      <c r="R98" s="17">
        <f>IF(R71=0,0,R72/R71)</f>
        <v/>
      </c>
      <c r="S98" s="17">
        <f>IF(S71=0,0,S72/S71)</f>
        <v/>
      </c>
      <c r="T98" s="17">
        <f>IF(T71=0,0,T72/T71)</f>
        <v/>
      </c>
      <c r="U98" s="17">
        <f>IF(U71=0,0,U72/U71)</f>
        <v/>
      </c>
      <c r="V98" s="17">
        <f>IF(V71=0,0,V72/V71)</f>
        <v/>
      </c>
      <c r="W98" s="17">
        <f>IF(W71=0,0,W72/W71)</f>
        <v/>
      </c>
      <c r="X98" s="17">
        <f>IF(X71=0,0,X72/X71)</f>
        <v/>
      </c>
      <c r="Y98" s="17">
        <f>IF(Y71=0,0,Y72/Y71)</f>
        <v/>
      </c>
      <c r="Z98" s="17">
        <f>IF(Z71=0,0,Z72/Z71)</f>
        <v/>
      </c>
      <c r="AA98" s="17">
        <f>IF(AA71=0,0,AA72/AA71)</f>
        <v/>
      </c>
      <c r="AB98" s="17">
        <f>IF(AB71=0,0,AB72/AB71)</f>
        <v/>
      </c>
      <c r="AC98" s="17">
        <f>IF(AC71=0,0,AC72/AC71)</f>
        <v/>
      </c>
      <c r="AD98" s="17">
        <f>IF(AD71=0,0,AD72/AD71)</f>
        <v/>
      </c>
      <c r="AE98" s="17">
        <f>IF(AE71=0,0,AE72/AE71)</f>
        <v/>
      </c>
      <c r="AF98" s="17">
        <f>IF(AF71=0,0,AF72/AF71)</f>
        <v/>
      </c>
      <c r="AG98" s="17">
        <f>IF(AG71=0,0,AG72/AG71)</f>
        <v/>
      </c>
      <c r="AH98" s="17">
        <f>IF(AH71=0,0,AH72/AH71)</f>
        <v/>
      </c>
      <c r="AI98" s="17">
        <f>IF(AI71=0,0,AI72/AI71)</f>
        <v/>
      </c>
      <c r="AJ98" s="17">
        <f>IF(AJ71=0,0,AJ72/AJ71)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0.08654367404885731</v>
      </c>
      <c r="E99" s="4" t="n">
        <v>0.1198721970221534</v>
      </c>
      <c r="F99" s="4" t="n">
        <v>0.2105253761343637</v>
      </c>
      <c r="G99" s="4" t="n">
        <v>0.1710990292774725</v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  <c r="L99" s="17">
        <f>IF(L55=0,0,L74/L55)</f>
        <v/>
      </c>
      <c r="M99" s="17">
        <f>IF(M55=0,0,M74/M55)</f>
        <v/>
      </c>
      <c r="N99" s="17">
        <f>IF(N55=0,0,N74/N55)</f>
        <v/>
      </c>
      <c r="O99" s="17">
        <f>IF(O55=0,0,O74/O55)</f>
        <v/>
      </c>
      <c r="P99" s="17">
        <f>IF(P55=0,0,P74/P55)</f>
        <v/>
      </c>
      <c r="Q99" s="17">
        <f>IF(Q55=0,0,Q74/Q55)</f>
        <v/>
      </c>
      <c r="R99" s="17">
        <f>IF(R55=0,0,R74/R55)</f>
        <v/>
      </c>
      <c r="S99" s="17">
        <f>IF(S55=0,0,S74/S55)</f>
        <v/>
      </c>
      <c r="T99" s="17">
        <f>IF(T55=0,0,T74/T55)</f>
        <v/>
      </c>
      <c r="U99" s="17">
        <f>IF(U55=0,0,U74/U55)</f>
        <v/>
      </c>
      <c r="V99" s="17">
        <f>IF(V55=0,0,V74/V55)</f>
        <v/>
      </c>
      <c r="W99" s="17">
        <f>IF(W55=0,0,W74/W55)</f>
        <v/>
      </c>
      <c r="X99" s="17">
        <f>IF(X55=0,0,X74/X55)</f>
        <v/>
      </c>
      <c r="Y99" s="17">
        <f>IF(Y55=0,0,Y74/Y55)</f>
        <v/>
      </c>
      <c r="Z99" s="17">
        <f>IF(Z55=0,0,Z74/Z55)</f>
        <v/>
      </c>
      <c r="AA99" s="17">
        <f>IF(AA55=0,0,AA74/AA55)</f>
        <v/>
      </c>
      <c r="AB99" s="17">
        <f>IF(AB55=0,0,AB74/AB55)</f>
        <v/>
      </c>
      <c r="AC99" s="17">
        <f>IF(AC55=0,0,AC74/AC55)</f>
        <v/>
      </c>
      <c r="AD99" s="17">
        <f>IF(AD55=0,0,AD74/AD55)</f>
        <v/>
      </c>
      <c r="AE99" s="17">
        <f>IF(AE55=0,0,AE74/AE55)</f>
        <v/>
      </c>
      <c r="AF99" s="17">
        <f>IF(AF55=0,0,AF74/AF55)</f>
        <v/>
      </c>
      <c r="AG99" s="17">
        <f>IF(AG55=0,0,AG74/AG55)</f>
        <v/>
      </c>
      <c r="AH99" s="17">
        <f>IF(AH55=0,0,AH74/AH55)</f>
        <v/>
      </c>
      <c r="AI99" s="17">
        <f>IF(AI55=0,0,AI74/AI55)</f>
        <v/>
      </c>
      <c r="AJ99" s="17">
        <f>IF(AJ55=0,0,AJ74/AJ55)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8825</v>
      </c>
    </row>
    <row r="103">
      <c r="A103" t="inlineStr">
        <is>
          <t>Shares outstanding (m)</t>
        </is>
      </c>
      <c r="C103" s="13" t="n">
        <v>1202.5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1138.663126452</v>
      </c>
    </row>
    <row r="106">
      <c r="A106" t="inlineStr">
        <is>
          <t>Cash at balance-sheet date</t>
        </is>
      </c>
      <c r="C106" s="13" t="n">
        <v>357.072602984</v>
      </c>
    </row>
    <row r="107">
      <c r="A107" t="inlineStr">
        <is>
          <t>Minority interest (book)</t>
        </is>
      </c>
      <c r="C107" s="13" t="n">
        <v>0.162698963</v>
      </c>
    </row>
    <row r="108">
      <c r="A108" t="inlineStr">
        <is>
          <t>Associates &amp; investments (book)</t>
        </is>
      </c>
      <c r="C108" s="13" t="n">
        <v>1.10272824</v>
      </c>
    </row>
    <row r="109">
      <c r="A109" t="inlineStr">
        <is>
          <t>Post-balance-sheet &amp; other items (sourced, probability-weighted)</t>
        </is>
      </c>
      <c r="C109" s="13" t="n">
        <v>1586.115</v>
      </c>
    </row>
    <row r="110">
      <c r="A110" t="inlineStr">
        <is>
          <t>Parent equity at balance-sheet date</t>
        </is>
      </c>
      <c r="C110" s="13" t="n">
        <v>-125.264266582</v>
      </c>
    </row>
    <row r="111">
      <c r="A111" t="inlineStr">
        <is>
          <t>Per-share factor</t>
        </is>
      </c>
      <c r="C111" s="24" t="n">
        <v>1000</v>
      </c>
    </row>
    <row r="112">
      <c r="A112" t="inlineStr">
        <is>
          <t>Risk-free rate</t>
        </is>
      </c>
      <c r="C112" s="9">
        <f>Drivers!$C$11</f>
        <v/>
      </c>
    </row>
    <row r="113">
      <c r="A113" t="inlineStr">
        <is>
          <t>Less: default spread (IDR only)</t>
        </is>
      </c>
      <c r="C113" s="9">
        <f>Drivers!$C$13</f>
        <v/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0.1807913758109271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0.04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  <c r="K126" s="6" t="n">
        <v>0.996578</v>
      </c>
      <c r="L126" s="6" t="n">
        <v>0.996578</v>
      </c>
      <c r="M126" s="6" t="n">
        <v>0.996578</v>
      </c>
      <c r="N126" s="6" t="n">
        <v>0.999316</v>
      </c>
      <c r="O126" s="6" t="n">
        <v>0.996578</v>
      </c>
      <c r="P126" s="6" t="n">
        <v>0.996578</v>
      </c>
      <c r="Q126" s="6" t="n">
        <v>0.996578</v>
      </c>
      <c r="R126" s="6" t="n">
        <v>0.999316</v>
      </c>
      <c r="S126" s="6" t="n">
        <v>0.996578</v>
      </c>
      <c r="T126" s="6" t="n">
        <v>0.996578</v>
      </c>
      <c r="U126" s="6" t="n">
        <v>0.996578</v>
      </c>
      <c r="V126" s="6" t="n">
        <v>0.999316</v>
      </c>
      <c r="W126" s="6" t="n">
        <v>0.996578</v>
      </c>
      <c r="X126" s="6" t="n">
        <v>0.996578</v>
      </c>
      <c r="Y126" s="6" t="n">
        <v>0.996578</v>
      </c>
      <c r="Z126" s="6" t="n">
        <v>0.999316</v>
      </c>
      <c r="AA126" s="6" t="n">
        <v>0.996578</v>
      </c>
      <c r="AB126" s="6" t="n">
        <v>0.996578</v>
      </c>
      <c r="AC126" s="6" t="n">
        <v>0.996578</v>
      </c>
      <c r="AD126" s="6" t="n">
        <v>0.999316</v>
      </c>
      <c r="AE126" s="6" t="n">
        <v>0.996578</v>
      </c>
      <c r="AF126" s="6" t="n">
        <v>0.996578</v>
      </c>
      <c r="AG126" s="6" t="n">
        <v>0.996578</v>
      </c>
      <c r="AH126" s="6" t="n">
        <v>0.999316</v>
      </c>
      <c r="AI126" s="6" t="n">
        <v>0.996578</v>
      </c>
      <c r="AJ126" s="6" t="n">
        <v>0.996578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  <c r="K127" s="6" t="n">
        <v>2.672142</v>
      </c>
      <c r="L127" s="6" t="n">
        <v>3.671458</v>
      </c>
      <c r="M127" s="6" t="n">
        <v>4.670773</v>
      </c>
      <c r="N127" s="6" t="n">
        <v>5.670089</v>
      </c>
      <c r="O127" s="6" t="n">
        <v>6.672142</v>
      </c>
      <c r="P127" s="6" t="n">
        <v>7.671458</v>
      </c>
      <c r="Q127" s="6" t="n">
        <v>8.670773000000001</v>
      </c>
      <c r="R127" s="6" t="n">
        <v>9.670089000000001</v>
      </c>
      <c r="S127" s="6" t="n">
        <v>10.672142</v>
      </c>
      <c r="T127" s="6" t="n">
        <v>11.671458</v>
      </c>
      <c r="U127" s="6" t="n">
        <v>12.670773</v>
      </c>
      <c r="V127" s="6" t="n">
        <v>13.670089</v>
      </c>
      <c r="W127" s="6" t="n">
        <v>14.672142</v>
      </c>
      <c r="X127" s="6" t="n">
        <v>15.671458</v>
      </c>
      <c r="Y127" s="6" t="n">
        <v>16.670773</v>
      </c>
      <c r="Z127" s="6" t="n">
        <v>17.670089</v>
      </c>
      <c r="AA127" s="6" t="n">
        <v>18.672142</v>
      </c>
      <c r="AB127" s="6" t="n">
        <v>19.671458</v>
      </c>
      <c r="AC127" s="6" t="n">
        <v>20.670773</v>
      </c>
      <c r="AD127" s="6" t="n">
        <v>21.670089</v>
      </c>
      <c r="AE127" s="6" t="n">
        <v>22.672142</v>
      </c>
      <c r="AF127" s="6" t="n">
        <v>23.671458</v>
      </c>
      <c r="AG127" s="6" t="n">
        <v>24.670773</v>
      </c>
      <c r="AH127" s="6" t="n">
        <v>25.670089</v>
      </c>
      <c r="AI127" s="6" t="n">
        <v>26.672142</v>
      </c>
      <c r="AJ127" s="6" t="n">
        <v>27.671458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  <c r="P128">
        <f>1/(1+$C$122)^P127</f>
        <v/>
      </c>
      <c r="Q128">
        <f>1/(1+$C$122)^Q127</f>
        <v/>
      </c>
      <c r="R128">
        <f>1/(1+$C$122)^R127</f>
        <v/>
      </c>
      <c r="S128">
        <f>1/(1+$C$122)^S127</f>
        <v/>
      </c>
      <c r="T128">
        <f>1/(1+$C$122)^T127</f>
        <v/>
      </c>
      <c r="U128">
        <f>1/(1+$C$122)^U127</f>
        <v/>
      </c>
      <c r="V128">
        <f>1/(1+$C$122)^V127</f>
        <v/>
      </c>
      <c r="W128">
        <f>1/(1+$C$122)^W127</f>
        <v/>
      </c>
      <c r="X128">
        <f>1/(1+$C$122)^X127</f>
        <v/>
      </c>
      <c r="Y128">
        <f>1/(1+$C$122)^Y127</f>
        <v/>
      </c>
      <c r="Z128">
        <f>1/(1+$C$122)^Z127</f>
        <v/>
      </c>
      <c r="AA128">
        <f>1/(1+$C$122)^AA127</f>
        <v/>
      </c>
      <c r="AB128">
        <f>1/(1+$C$122)^AB127</f>
        <v/>
      </c>
      <c r="AC128">
        <f>1/(1+$C$122)^AC127</f>
        <v/>
      </c>
      <c r="AD128">
        <f>1/(1+$C$122)^AD127</f>
        <v/>
      </c>
      <c r="AE128">
        <f>1/(1+$C$122)^AE127</f>
        <v/>
      </c>
      <c r="AF128">
        <f>1/(1+$C$122)^AF127</f>
        <v/>
      </c>
      <c r="AG128">
        <f>1/(1+$C$122)^AG127</f>
        <v/>
      </c>
      <c r="AH128">
        <f>1/(1+$C$122)^AH127</f>
        <v/>
      </c>
      <c r="AI128">
        <f>1/(1+$C$122)^AI127</f>
        <v/>
      </c>
      <c r="AJ128">
        <f>1/(1+$C$122)^AJ127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  <c r="M129" s="26">
        <f>M76*M126*M128</f>
        <v/>
      </c>
      <c r="N129" s="26">
        <f>N76*N126*N128</f>
        <v/>
      </c>
      <c r="O129" s="26">
        <f>O76*O126*O128</f>
        <v/>
      </c>
      <c r="P129" s="26">
        <f>P76*P126*P128</f>
        <v/>
      </c>
      <c r="Q129" s="26">
        <f>Q76*Q126*Q128</f>
        <v/>
      </c>
      <c r="R129" s="26">
        <f>R76*R126*R128</f>
        <v/>
      </c>
      <c r="S129" s="26">
        <f>S76*S126*S128</f>
        <v/>
      </c>
      <c r="T129" s="26">
        <f>T76*T126*T128</f>
        <v/>
      </c>
      <c r="U129" s="26">
        <f>U76*U126*U128</f>
        <v/>
      </c>
      <c r="V129" s="26">
        <f>V76*V126*V128</f>
        <v/>
      </c>
      <c r="W129" s="26">
        <f>W76*W126*W128</f>
        <v/>
      </c>
      <c r="X129" s="26">
        <f>X76*X126*X128</f>
        <v/>
      </c>
      <c r="Y129" s="26">
        <f>Y76*Y126*Y128</f>
        <v/>
      </c>
      <c r="Z129" s="26">
        <f>Z76*Z126*Z128</f>
        <v/>
      </c>
      <c r="AA129" s="26">
        <f>AA76*AA126*AA128</f>
        <v/>
      </c>
      <c r="AB129" s="26">
        <f>AB76*AB126*AB128</f>
        <v/>
      </c>
      <c r="AC129" s="26">
        <f>AC76*AC126*AC128</f>
        <v/>
      </c>
      <c r="AD129" s="26">
        <f>AD76*AD126*AD128</f>
        <v/>
      </c>
      <c r="AE129" s="26">
        <f>AE76*AE126*AE128</f>
        <v/>
      </c>
      <c r="AF129" s="26">
        <f>AF76*AF126*AF128</f>
        <v/>
      </c>
      <c r="AG129" s="26">
        <f>AG76*AG126*AG128</f>
        <v/>
      </c>
      <c r="AH129" s="26">
        <f>AH76*AH126*AH128</f>
        <v/>
      </c>
      <c r="AI129" s="26">
        <f>AI76*AI126*AI128</f>
        <v/>
      </c>
      <c r="AJ129" s="26">
        <f>AJ76*AJ126*AJ128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  <c r="M130" s="26">
        <f>L130+M129</f>
        <v/>
      </c>
      <c r="N130" s="26">
        <f>M130+N129</f>
        <v/>
      </c>
      <c r="O130" s="26">
        <f>N130+O129</f>
        <v/>
      </c>
      <c r="P130" s="26">
        <f>O130+P129</f>
        <v/>
      </c>
      <c r="Q130" s="26">
        <f>P130+Q129</f>
        <v/>
      </c>
      <c r="R130" s="26">
        <f>Q130+R129</f>
        <v/>
      </c>
      <c r="S130" s="26">
        <f>R130+S129</f>
        <v/>
      </c>
      <c r="T130" s="26">
        <f>S130+T129</f>
        <v/>
      </c>
      <c r="U130" s="26">
        <f>T130+U129</f>
        <v/>
      </c>
      <c r="V130" s="26">
        <f>U130+V129</f>
        <v/>
      </c>
      <c r="W130" s="26">
        <f>V130+W129</f>
        <v/>
      </c>
      <c r="X130" s="26">
        <f>W130+X129</f>
        <v/>
      </c>
      <c r="Y130" s="26">
        <f>X130+Y129</f>
        <v/>
      </c>
      <c r="Z130" s="26">
        <f>Y130+Z129</f>
        <v/>
      </c>
      <c r="AA130" s="26">
        <f>Z130+AA129</f>
        <v/>
      </c>
      <c r="AB130" s="26">
        <f>AA130+AB129</f>
        <v/>
      </c>
      <c r="AC130" s="26">
        <f>AB130+AC129</f>
        <v/>
      </c>
      <c r="AD130" s="26">
        <f>AC130+AD129</f>
        <v/>
      </c>
      <c r="AE130" s="26">
        <f>AD130+AE129</f>
        <v/>
      </c>
      <c r="AF130" s="26">
        <f>AE130+AF129</f>
        <v/>
      </c>
      <c r="AG130" s="26">
        <f>AF130+AG129</f>
        <v/>
      </c>
      <c r="AH130" s="26">
        <f>AG130+AH129</f>
        <v/>
      </c>
      <c r="AI130" s="26">
        <f>AH130+AI129</f>
        <v/>
      </c>
      <c r="AJ130" s="26">
        <f>AI130+AJ129</f>
        <v/>
      </c>
    </row>
    <row r="131">
      <c r="A131" t="inlineStr">
        <is>
          <t>Best cumulative PV (never below zero)</t>
        </is>
      </c>
      <c r="C131" s="26">
        <f>MAX(0,MAX(H130:AJ130))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MAX(0,$C$134/$C$103*$C$111*1)</f>
        <v/>
      </c>
    </row>
    <row r="137">
      <c r="A137" s="1" t="inlineStr">
        <is>
          <t>EV/EBITDA</t>
        </is>
      </c>
    </row>
    <row r="138">
      <c r="A138" t="inlineStr">
        <is>
          <t>Target multiple (peer median)</t>
        </is>
      </c>
      <c r="C138" s="22" t="n">
        <v>6.327323</v>
      </c>
    </row>
    <row r="139">
      <c r="A139" t="inlineStr">
        <is>
          <t>Metric (LTM, or next-12m DPS for yield)</t>
        </is>
      </c>
      <c r="C139" s="13" t="n">
        <v>29.309344</v>
      </c>
    </row>
    <row r="140">
      <c r="A140" t="inlineStr">
        <is>
          <t>Value per share (IDR) — EV/EBITDA</t>
        </is>
      </c>
      <c r="C140" s="27">
        <f>MAX(0,($C$138*$C$139-($C$105-$C$106)-$C$107+$C$108+$C$109)/$C$103*$C$111*1)</f>
        <v/>
      </c>
    </row>
    <row r="142">
      <c r="A142" s="1" t="inlineStr">
        <is>
          <t>TARGET</t>
        </is>
      </c>
    </row>
    <row r="143">
      <c r="A143" t="inlineStr">
        <is>
          <t>Weight: DCF to end of life (no terminal value)</t>
        </is>
      </c>
      <c r="C143" s="4" t="n">
        <v>0.9</v>
      </c>
    </row>
    <row r="144">
      <c r="A144" t="inlineStr">
        <is>
          <t>Weight: EV/EBITDA</t>
        </is>
      </c>
      <c r="C144" s="4" t="n">
        <v>0.1</v>
      </c>
    </row>
    <row r="145">
      <c r="A145" t="inlineStr">
        <is>
          <t>Value today (weighted)</t>
        </is>
      </c>
      <c r="C145" s="27">
        <f>$C$135*$C$143+$C$140*$C$144</f>
        <v/>
      </c>
    </row>
    <row r="146">
      <c r="A146" t="inlineStr">
        <is>
          <t>DPS expected in next 12 months (IDR)</t>
        </is>
      </c>
      <c r="C146" s="20" t="n">
        <v>0</v>
      </c>
    </row>
    <row r="147">
      <c r="A147" t="inlineStr">
        <is>
          <t>Base-case 12-month value</t>
        </is>
      </c>
      <c r="C147" s="27">
        <f>MAX(0,$C$145*(1+$C$120)-$C$146)</f>
        <v/>
      </c>
    </row>
    <row r="148">
      <c r="A148" t="inlineStr">
        <is>
          <t>Bear probability</t>
        </is>
      </c>
      <c r="C148" s="4" t="n">
        <v>0.25</v>
      </c>
    </row>
    <row r="149">
      <c r="A149" t="inlineStr">
        <is>
          <t>Bear 12-month value (engine)</t>
        </is>
      </c>
      <c r="C149" s="20" t="n">
        <v>828.5066021162419</v>
      </c>
    </row>
    <row r="150">
      <c r="A150" t="inlineStr">
        <is>
          <t>Base probability</t>
        </is>
      </c>
      <c r="C150" s="4" t="n">
        <v>0.5</v>
      </c>
    </row>
    <row r="151">
      <c r="A151" t="inlineStr">
        <is>
          <t>Bull probability</t>
        </is>
      </c>
      <c r="C151" s="4" t="n">
        <v>0.25</v>
      </c>
    </row>
    <row r="152">
      <c r="A152" t="inlineStr">
        <is>
          <t>Bull 12-month value (engine)</t>
        </is>
      </c>
      <c r="C152" s="20" t="n">
        <v>3169.119652341361</v>
      </c>
    </row>
    <row r="153">
      <c r="A153" t="inlineStr">
        <is>
          <t>Probability-weighted 12-month value</t>
        </is>
      </c>
      <c r="C153" s="27">
        <f>$C$148*$C$149+$C$150*$C$147+$C$151*$C$152</f>
        <v/>
      </c>
    </row>
    <row r="154">
      <c r="A154" t="inlineStr">
        <is>
          <t>Liquidity discount (limits.yaml)</t>
        </is>
      </c>
      <c r="C154" s="4" t="n">
        <v>0</v>
      </c>
    </row>
    <row r="155">
      <c r="A155" t="inlineStr">
        <is>
          <t>Fundamental 12-month value (after liquidity discount)</t>
        </is>
      </c>
      <c r="C155" s="27">
        <f>$C$153*(1-$C$154)</f>
        <v/>
      </c>
    </row>
    <row r="156">
      <c r="A156" t="inlineStr">
        <is>
          <t>Konglo lens: price / fundamental value today (engine)</t>
        </is>
      </c>
      <c r="C156" s="22" t="n">
        <v>4.642749</v>
      </c>
    </row>
    <row r="157">
      <c r="A157" t="inlineStr">
        <is>
          <t>Regime bear: probability (konglo deck)</t>
        </is>
      </c>
      <c r="C157" s="4" t="n">
        <v>0.25</v>
      </c>
    </row>
    <row r="158">
      <c r="A158" t="inlineStr">
        <is>
          <t>Regime bear: share of the log gap closed in 12 months</t>
        </is>
      </c>
      <c r="C158" s="4" t="n">
        <v>0.7</v>
      </c>
    </row>
    <row r="159">
      <c r="A159" t="inlineStr">
        <is>
          <t>Regime base: probability (konglo deck)</t>
        </is>
      </c>
      <c r="C159" s="4" t="n">
        <v>0.5</v>
      </c>
    </row>
    <row r="160">
      <c r="A160" t="inlineStr">
        <is>
          <t>Regime base: share of the log gap closed in 12 months</t>
        </is>
      </c>
      <c r="C160" s="4" t="n">
        <v>0.3</v>
      </c>
    </row>
    <row r="161">
      <c r="A161" t="inlineStr">
        <is>
          <t>Regime bull: probability (konglo deck)</t>
        </is>
      </c>
      <c r="C161" s="4" t="n">
        <v>0.25</v>
      </c>
    </row>
    <row r="162">
      <c r="A162" t="inlineStr">
        <is>
          <t>Regime bull: share of the log gap closed in 12 months</t>
        </is>
      </c>
      <c r="C162" s="4" t="n">
        <v>-0.15</v>
      </c>
    </row>
    <row r="163">
      <c r="A163" t="inlineStr">
        <is>
          <t>Share of today's premium kept (probability-weighted)</t>
        </is>
      </c>
      <c r="C163" s="32">
        <f>$C$157*$C$156^(1-$C$158)+$C$159*$C$156^(1-$C$160)+$C$161*$C$156^(1-$C$162)</f>
        <v/>
      </c>
    </row>
    <row r="164">
      <c r="A164" t="inlineStr">
        <is>
          <t>TARGET PRICE (IDR) — konglo lens</t>
        </is>
      </c>
      <c r="C164" s="28">
        <f>$C$155*$C$163</f>
        <v/>
      </c>
    </row>
    <row r="165">
      <c r="A165" t="inlineStr">
        <is>
          <t>Expected 12-month total return</t>
        </is>
      </c>
      <c r="C165" s="29">
        <f>($C$164+$C$146)/$C$102-1</f>
        <v/>
      </c>
    </row>
    <row r="166">
      <c r="A166" t="inlineStr">
        <is>
          <t>Rating</t>
        </is>
      </c>
      <c r="C166" s="30">
        <f>IF($C$165&gt;=0.25,"BUY",IF($C$165&gt;=0.1,"ADD",IF($C$165&lt;=-0.25,"SELL",IF($C$165&lt;=-0.1,"REDUCE","HOLD"))))</f>
        <v/>
      </c>
    </row>
    <row r="168">
      <c r="A168" s="1" t="inlineStr">
        <is>
          <t>12-month value vs benchmark price and IDR/USD (engine values)</t>
        </is>
      </c>
    </row>
    <row r="169">
      <c r="A169" s="5" t="inlineStr">
        <is>
          <t>rows: IDR per USD (x deck) · columns: Benchmark price (x deck)</t>
        </is>
      </c>
      <c r="D169" s="1" t="n">
        <v>0.8</v>
      </c>
      <c r="E169" s="1" t="n">
        <v>0.9</v>
      </c>
      <c r="F169" s="1" t="n">
        <v>1</v>
      </c>
      <c r="G169" s="1" t="n">
        <v>1.1</v>
      </c>
      <c r="H169" s="1" t="n">
        <v>1.2</v>
      </c>
    </row>
    <row r="170">
      <c r="C170" s="1" t="n">
        <v>0.9</v>
      </c>
      <c r="D170" s="27" t="n">
        <v>767.084852</v>
      </c>
      <c r="E170" s="27" t="n">
        <v>849.709641</v>
      </c>
      <c r="F170" s="27" t="n">
        <v>1023.089723</v>
      </c>
      <c r="G170" s="27" t="n">
        <v>1468.239457</v>
      </c>
      <c r="H170" s="27" t="n">
        <v>2028.718792</v>
      </c>
    </row>
    <row r="171">
      <c r="C171" s="1" t="n">
        <v>0.95</v>
      </c>
      <c r="D171" s="27" t="n">
        <v>787.581191</v>
      </c>
      <c r="E171" s="27" t="n">
        <v>905.6252459999999</v>
      </c>
      <c r="F171" s="27" t="n">
        <v>1251.790826</v>
      </c>
      <c r="G171" s="27" t="n">
        <v>1800.457994</v>
      </c>
      <c r="H171" s="27" t="n">
        <v>2445.973133</v>
      </c>
    </row>
    <row r="172">
      <c r="C172" s="1" t="n">
        <v>1</v>
      </c>
      <c r="D172" s="27" t="n">
        <v>837.283951</v>
      </c>
      <c r="E172" s="27" t="n">
        <v>1023.089723</v>
      </c>
      <c r="F172" s="27" t="n">
        <v>1524.909252</v>
      </c>
      <c r="G172" s="27" t="n">
        <v>2165.06687</v>
      </c>
      <c r="H172" s="27" t="n">
        <v>2887.239552</v>
      </c>
    </row>
    <row r="173">
      <c r="C173" s="1" t="n">
        <v>1.05</v>
      </c>
      <c r="D173" s="27" t="n">
        <v>886.986711</v>
      </c>
      <c r="E173" s="27" t="n">
        <v>1227.389659</v>
      </c>
      <c r="F173" s="27" t="n">
        <v>1831.976295</v>
      </c>
      <c r="G173" s="27" t="n">
        <v>2554.470461</v>
      </c>
      <c r="H173" s="27" t="n">
        <v>3346.955486</v>
      </c>
    </row>
    <row r="174">
      <c r="C174" s="1" t="n">
        <v>1.1</v>
      </c>
      <c r="D174" s="27" t="n">
        <v>946.313351</v>
      </c>
      <c r="E174" s="27" t="n">
        <v>1468.239457</v>
      </c>
      <c r="F174" s="27" t="n">
        <v>2165.06687</v>
      </c>
      <c r="G174" s="27" t="n">
        <v>2962.925839</v>
      </c>
      <c r="H174" s="27" t="n">
        <v>3821.042818</v>
      </c>
    </row>
    <row r="176">
      <c r="A176" s="1" t="inlineStr">
        <is>
          <t>12-month value vs volume and unit cost intensity (engine values)</t>
        </is>
      </c>
    </row>
    <row r="177">
      <c r="A177" s="5" t="inlineStr">
        <is>
          <t>rows: Volume (x plan) · columns: Cost intensity / strip ratio (x)</t>
        </is>
      </c>
      <c r="D177" s="1" t="n">
        <v>0.85</v>
      </c>
      <c r="E177" s="1" t="n">
        <v>0.925</v>
      </c>
      <c r="F177" s="1" t="n">
        <v>1</v>
      </c>
      <c r="G177" s="1" t="n">
        <v>1.075</v>
      </c>
      <c r="H177" s="1" t="n">
        <v>1.15</v>
      </c>
    </row>
    <row r="178">
      <c r="C178" s="1" t="n">
        <v>0.9</v>
      </c>
      <c r="D178" s="27" t="n">
        <v>2445.763731</v>
      </c>
      <c r="E178" s="27" t="n">
        <v>2271.544894</v>
      </c>
      <c r="F178" s="27" t="n">
        <v>2097.326057</v>
      </c>
      <c r="G178" s="27" t="n">
        <v>1923.107219</v>
      </c>
      <c r="H178" s="27" t="n">
        <v>1748.888382</v>
      </c>
    </row>
    <row r="179">
      <c r="C179" s="1" t="n">
        <v>0.95</v>
      </c>
      <c r="D179" s="27" t="n">
        <v>2544.876329</v>
      </c>
      <c r="E179" s="27" t="n">
        <v>2360.978667</v>
      </c>
      <c r="F179" s="27" t="n">
        <v>2177.081006</v>
      </c>
      <c r="G179" s="27" t="n">
        <v>1993.183344</v>
      </c>
      <c r="H179" s="27" t="n">
        <v>1809.285683</v>
      </c>
    </row>
    <row r="180">
      <c r="C180" s="1" t="n">
        <v>1</v>
      </c>
      <c r="D180" s="27" t="n">
        <v>2643.988926</v>
      </c>
      <c r="E180" s="27" t="n">
        <v>2450.412441</v>
      </c>
      <c r="F180" s="27" t="n">
        <v>2256.835955</v>
      </c>
      <c r="G180" s="27" t="n">
        <v>2063.259469</v>
      </c>
      <c r="H180" s="27" t="n">
        <v>1869.682983</v>
      </c>
    </row>
    <row r="181">
      <c r="C181" s="1" t="n">
        <v>1.05</v>
      </c>
      <c r="D181" s="27" t="n">
        <v>2726.616412</v>
      </c>
      <c r="E181" s="27" t="n">
        <v>2525.331828</v>
      </c>
      <c r="F181" s="27" t="n">
        <v>2324.047245</v>
      </c>
      <c r="G181" s="27" t="n">
        <v>2122.762661</v>
      </c>
      <c r="H181" s="27" t="n">
        <v>1921.478078</v>
      </c>
    </row>
    <row r="182">
      <c r="C182" s="1" t="n">
        <v>1.1</v>
      </c>
      <c r="D182" s="27" t="n">
        <v>2799.733787</v>
      </c>
      <c r="E182" s="27" t="n">
        <v>2591.405868</v>
      </c>
      <c r="F182" s="27" t="n">
        <v>2383.07795</v>
      </c>
      <c r="G182" s="27" t="n">
        <v>2174.750032</v>
      </c>
      <c r="H182" s="27" t="n">
        <v>1966.422113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2" t="inlineStr">
        <is>
          <t>PT Golden Eagle Energy Tbk (SMMT.JK) — Coal producers</t>
        </is>
      </c>
    </row>
    <row r="2">
      <c r="A2" s="5" t="inlineStr">
        <is>
          <t>Units: USD m; per-share in USD unless marked IDR. Model asof 2026-10-30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6" t="n">
        <v>5</v>
      </c>
    </row>
    <row r="8">
      <c r="A8" t="inlineStr">
        <is>
          <t>ps_factor</t>
        </is>
      </c>
      <c r="C8" s="6" t="n">
        <v>1</v>
      </c>
    </row>
    <row r="9">
      <c r="A9" t="inlineStr">
        <is>
          <t>reserves</t>
        </is>
      </c>
      <c r="C9" s="6" t="n">
        <v>314</v>
      </c>
    </row>
    <row r="10">
      <c r="A10" t="inlineStr">
        <is>
          <t>unit_factor</t>
        </is>
      </c>
      <c r="C10" s="6" t="n">
        <v>1</v>
      </c>
    </row>
    <row r="11">
      <c r="A11" t="inlineStr">
        <is>
          <t>vp_factor</t>
        </is>
      </c>
      <c r="C11" s="6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2.7</v>
      </c>
      <c r="I14" s="13" t="n">
        <v>2.85</v>
      </c>
      <c r="J14" s="13" t="n">
        <v>2.95</v>
      </c>
      <c r="K14" s="13" t="n">
        <v>3</v>
      </c>
      <c r="L14" s="13" t="n">
        <v>3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0.372</v>
      </c>
      <c r="I15" s="14" t="n">
        <v>0.372</v>
      </c>
      <c r="J15" s="14" t="n">
        <v>0.372</v>
      </c>
      <c r="K15" s="14" t="n">
        <v>0.372</v>
      </c>
      <c r="L15" s="14" t="n">
        <v>0.372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2.85</v>
      </c>
      <c r="I17" s="14" t="n">
        <v>2.85</v>
      </c>
      <c r="J17" s="14" t="n">
        <v>2.85</v>
      </c>
      <c r="K17" s="14" t="n">
        <v>2.85</v>
      </c>
      <c r="L17" s="14" t="n">
        <v>2.85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1.15</v>
      </c>
      <c r="I18" s="3" t="n">
        <v>1.15</v>
      </c>
      <c r="J18" s="3" t="n">
        <v>1.15</v>
      </c>
      <c r="K18" s="3" t="n">
        <v>1.15</v>
      </c>
      <c r="L18" s="3" t="n">
        <v>1.15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0.04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28.59</v>
      </c>
      <c r="I20" s="3" t="n">
        <v>28.59</v>
      </c>
      <c r="J20" s="3" t="n">
        <v>28.59</v>
      </c>
      <c r="K20" s="3" t="n">
        <v>28.59</v>
      </c>
      <c r="L20" s="3" t="n">
        <v>28.59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0.0786</v>
      </c>
      <c r="I21" s="4" t="n">
        <v>0.0786</v>
      </c>
      <c r="J21" s="4" t="n">
        <v>0.0786</v>
      </c>
      <c r="K21" s="4" t="n">
        <v>0.0786</v>
      </c>
      <c r="L21" s="4" t="n">
        <v>0.0786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0.1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2.114</v>
      </c>
      <c r="I24" s="3" t="n">
        <v>2.114</v>
      </c>
      <c r="J24" s="3" t="n">
        <v>2.114</v>
      </c>
      <c r="K24" s="3" t="n">
        <v>2.114</v>
      </c>
      <c r="L24" s="3" t="n">
        <v>2.114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2.11</v>
      </c>
      <c r="I25" s="3" t="n">
        <v>2.11</v>
      </c>
      <c r="J25" s="3" t="n">
        <v>2.11</v>
      </c>
      <c r="K25" s="3" t="n">
        <v>2.11</v>
      </c>
      <c r="L25" s="3" t="n">
        <v>2.11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-0.067577</v>
      </c>
      <c r="I27" s="4" t="n">
        <v>-0.067577</v>
      </c>
      <c r="J27" s="4" t="n">
        <v>-0.067577</v>
      </c>
      <c r="K27" s="4" t="n">
        <v>-0.067577</v>
      </c>
      <c r="L27" s="4" t="n">
        <v>-0.067577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0.169922</v>
      </c>
      <c r="I28" s="4" t="n">
        <v>0.169922</v>
      </c>
      <c r="J28" s="4" t="n">
        <v>0.169922</v>
      </c>
      <c r="K28" s="4" t="n">
        <v>0.169922</v>
      </c>
      <c r="L28" s="4" t="n">
        <v>0.169922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0.03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0.032718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0.032575</v>
      </c>
      <c r="I33" s="4" t="n">
        <v>0.032575</v>
      </c>
      <c r="J33" s="4" t="n">
        <v>0.032575</v>
      </c>
      <c r="K33" s="4" t="n">
        <v>0.032575</v>
      </c>
      <c r="L33" s="4" t="n">
        <v>0.032575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0.25</v>
      </c>
      <c r="I34" s="4" t="n">
        <v>0.25</v>
      </c>
      <c r="J34" s="4" t="n">
        <v>0.25</v>
      </c>
      <c r="K34" s="4" t="n">
        <v>0.25</v>
      </c>
      <c r="L34" s="4" t="n">
        <v>0.25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0.02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0.0396</v>
      </c>
      <c r="I37" s="4" t="n">
        <v>0.0396</v>
      </c>
      <c r="J37" s="4" t="n">
        <v>0.0396</v>
      </c>
      <c r="K37" s="4" t="n">
        <v>0.0396</v>
      </c>
      <c r="L37" s="4" t="n">
        <v>0.0396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>
        <v>314</v>
      </c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>
        <v>1.67398</v>
      </c>
      <c r="F41" s="13" t="n">
        <v>1.097011</v>
      </c>
      <c r="G41" s="13" t="n">
        <v>2.569381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Drivers!$L$6</f>
        <v/>
      </c>
      <c r="I42" s="16">
        <f>Drivers!$M$6</f>
        <v/>
      </c>
      <c r="J42" s="16">
        <f>Drivers!$N$6</f>
        <v/>
      </c>
      <c r="K42" s="16">
        <f>Drivers!$O$6</f>
        <v/>
      </c>
      <c r="L42" s="16">
        <f>Drivers!$P$6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/>
      <c r="G43" s="3" t="n"/>
      <c r="H43" s="16">
        <f>(((H15*H42)*(1-H16))+(MIN(Drivers!$L$4,(H15*H42))*H16))</f>
        <v/>
      </c>
      <c r="I43" s="16">
        <f>(((I15*I42)*(1-I16))+(MIN(Drivers!$M$4,(I15*I42))*I16))</f>
        <v/>
      </c>
      <c r="J43" s="16">
        <f>(((J15*J42)*(1-J16))+(MIN(Drivers!$N$4,(J15*J42))*J16))</f>
        <v/>
      </c>
      <c r="K43" s="16">
        <f>(((K15*K42)*(1-K16))+(MIN(Drivers!$O$4,(K15*K42))*K16))</f>
        <v/>
      </c>
      <c r="L43" s="16">
        <f>(((L15*L42)*(1-L16))+(MIN(Drivers!$P$4,(L15*L42))*L16))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7">
        <f>IF(H42=0,0,H43/H42)</f>
        <v/>
      </c>
      <c r="I44" s="17">
        <f>IF(I42=0,0,I43/I42)</f>
        <v/>
      </c>
      <c r="J44" s="17">
        <f>IF(J42=0,0,J43/J42)</f>
        <v/>
      </c>
      <c r="K44" s="17">
        <f>IF(K42=0,0,K43/K42)</f>
        <v/>
      </c>
      <c r="L44" s="17">
        <f>IF(L42=0,0,L43/L42)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6">
        <f>(((H17*H18)*(1+($C$19*(IF(Drivers!$J$8=0,0,Drivers!$L$8/Drivers!$J$8)-1))))+H20)</f>
        <v/>
      </c>
      <c r="I45" s="16">
        <f>(((I17*I18)*(1+($C$19*(IF(Drivers!$J$8=0,0,Drivers!$M$8/Drivers!$J$8)-1))))+I20)</f>
        <v/>
      </c>
      <c r="J45" s="16">
        <f>(((J17*J18)*(1+($C$19*(IF(Drivers!$J$8=0,0,Drivers!$N$8/Drivers!$J$8)-1))))+J20)</f>
        <v/>
      </c>
      <c r="K45" s="16">
        <f>(((K17*K18)*(1+($C$19*(IF(Drivers!$J$8=0,0,Drivers!$O$8/Drivers!$J$8)-1))))+K20)</f>
        <v/>
      </c>
      <c r="L45" s="16">
        <f>(((L17*L18)*(1+($C$19*(IF(Drivers!$J$8=0,0,Drivers!$P$8/Drivers!$J$8)-1))))+L20)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/>
      <c r="H46" s="18">
        <f>H17</f>
        <v/>
      </c>
      <c r="I46" s="18">
        <f>I17</f>
        <v/>
      </c>
      <c r="J46" s="18">
        <f>J17</f>
        <v/>
      </c>
      <c r="K46" s="18">
        <f>K17</f>
        <v/>
      </c>
      <c r="L46" s="18">
        <f>L17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7">
        <f>H21</f>
        <v/>
      </c>
      <c r="I47" s="17">
        <f>I21</f>
        <v/>
      </c>
      <c r="J47" s="17">
        <f>J21</f>
        <v/>
      </c>
      <c r="K47" s="17">
        <f>K21</f>
        <v/>
      </c>
      <c r="L47" s="17">
        <f>L21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>
        <v>3.849163331776963</v>
      </c>
      <c r="F48" s="3" t="n">
        <v>9.668837413663127</v>
      </c>
      <c r="G48" s="3" t="n">
        <v>3.782432422439491</v>
      </c>
      <c r="H48" s="19">
        <f>IF((H41*$C$10)=0,0,H61/(H41*$C$10))</f>
        <v/>
      </c>
      <c r="I48" s="19">
        <f>IF((I41*$C$10)=0,0,I61/(I41*$C$10))</f>
        <v/>
      </c>
      <c r="J48" s="19">
        <f>IF((J41*$C$10)=0,0,J61/(J41*$C$10))</f>
        <v/>
      </c>
      <c r="K48" s="19">
        <f>IF((K41*$C$10)=0,0,K61/(K41*$C$10))</f>
        <v/>
      </c>
      <c r="L48" s="19">
        <f>IF((L41*$C$10)=0,0,L61/(L41*$C$10))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9">
        <f>IF((H41*$C$10)=0,0,(H53+H52)/(H41*$C$10))</f>
        <v/>
      </c>
      <c r="I49" s="19">
        <f>IF((I41*$C$10)=0,0,(I53+I52)/(I41*$C$10))</f>
        <v/>
      </c>
      <c r="J49" s="19">
        <f>IF((J41*$C$10)=0,0,(J53+J52)/(J41*$C$10))</f>
        <v/>
      </c>
      <c r="K49" s="19">
        <f>IF((K41*$C$10)=0,0,(K53+K52)/(K41*$C$10))</f>
        <v/>
      </c>
      <c r="L49" s="19">
        <f>IF((L41*$C$10)=0,0,(L53+L52)/(L41*$C$10))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15">
        <f>((H41*H43)*$C$10)</f>
        <v/>
      </c>
      <c r="I50" s="15">
        <f>((I41*I43)*$C$10)</f>
        <v/>
      </c>
      <c r="J50" s="15">
        <f>((J41*J43)*$C$10)</f>
        <v/>
      </c>
      <c r="K50" s="15">
        <f>((K41*K43)*$C$10)</f>
        <v/>
      </c>
      <c r="L50" s="15">
        <f>((L41*L43)*$C$10)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((H41*H45)*$C$10)</f>
        <v/>
      </c>
      <c r="I53" s="15">
        <f>((I41*I45)*$C$10)</f>
        <v/>
      </c>
      <c r="J53" s="15">
        <f>((J41*J45)*$C$10)</f>
        <v/>
      </c>
      <c r="K53" s="15">
        <f>((K41*K45)*$C$10)</f>
        <v/>
      </c>
      <c r="L53" s="15">
        <f>((L41*L45)*$C$10)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67.44254689699601</v>
      </c>
      <c r="E55" s="13" t="n">
        <v>65.08276126129201</v>
      </c>
      <c r="F55" s="13" t="n">
        <v>51.361902</v>
      </c>
      <c r="G55" s="13" t="n">
        <v>103.617931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45.758502417471</v>
      </c>
      <c r="E56" s="13" t="n">
        <v>53.723398443075</v>
      </c>
      <c r="F56" s="13" t="n">
        <v>48.581325</v>
      </c>
      <c r="G56" s="13" t="n">
        <v>95.230328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21.684044479525</v>
      </c>
      <c r="E57" s="13" t="n">
        <v>11.359362818217</v>
      </c>
      <c r="F57" s="13" t="n">
        <v>2.780577</v>
      </c>
      <c r="G57" s="13" t="n">
        <v>8.387603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3.936442493887998</v>
      </c>
      <c r="E58" s="13" t="n">
        <v>5.098718179743001</v>
      </c>
      <c r="F58" s="13" t="n">
        <v>2.652052</v>
      </c>
      <c r="G58" s="13" t="n">
        <v>4.102146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17.747601985637</v>
      </c>
      <c r="E59" s="13" t="n">
        <v>6.260644638474</v>
      </c>
      <c r="F59" s="13" t="n">
        <v>0.128525</v>
      </c>
      <c r="G59" s="13" t="n">
        <v>4.285457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0.158706080302</v>
      </c>
      <c r="E60" s="13" t="n">
        <v>0.182777795654</v>
      </c>
      <c r="F60" s="13" t="n">
        <v>10.478296</v>
      </c>
      <c r="G60" s="13" t="n">
        <v>5.433053</v>
      </c>
      <c r="H60" s="15">
        <f>((H41*H24)*$C$10)</f>
        <v/>
      </c>
      <c r="I60" s="15">
        <f>((I41*I24)*$C$10)</f>
        <v/>
      </c>
      <c r="J60" s="15">
        <f>((J41*J24)*$C$10)</f>
        <v/>
      </c>
      <c r="K60" s="15">
        <f>((K41*K24)*$C$10)</f>
        <v/>
      </c>
      <c r="L60" s="15">
        <f>((L41*L24)*$C$10)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17.906308065939</v>
      </c>
      <c r="E61" s="13" t="n">
        <v>6.443422434128</v>
      </c>
      <c r="F61" s="13" t="n">
        <v>10.606821</v>
      </c>
      <c r="G61" s="13" t="n">
        <v>9.71851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0.424230586761</v>
      </c>
      <c r="E62" s="13" t="n">
        <v>0.455179270215</v>
      </c>
      <c r="F62" s="13" t="n">
        <v>0.083568</v>
      </c>
      <c r="G62" s="13" t="n">
        <v>0.84027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0.105883606009</v>
      </c>
      <c r="E63" s="13" t="n">
        <v>0.08547405649600001</v>
      </c>
      <c r="F63" s="13" t="n">
        <v>0.171589</v>
      </c>
      <c r="G63" s="13" t="n">
        <v>0.195277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12.340991623324</v>
      </c>
      <c r="E64" s="13" t="n">
        <v>12.044020591477</v>
      </c>
      <c r="F64" s="13" t="n">
        <v>2.237665</v>
      </c>
      <c r="G64" s="13" t="n">
        <v>2.538167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29.770246628209</v>
      </c>
      <c r="E65" s="13" t="n">
        <v>17.934960016232</v>
      </c>
      <c r="F65" s="13" t="n">
        <v>2.454211</v>
      </c>
      <c r="G65" s="13" t="n">
        <v>6.178631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3.874882351147</v>
      </c>
      <c r="E66" s="13" t="n">
        <v>1.542091379278</v>
      </c>
      <c r="F66" s="13" t="n">
        <v>0.204022</v>
      </c>
      <c r="G66" s="13" t="n">
        <v>2.104771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25.895364277062</v>
      </c>
      <c r="E67" s="13" t="n">
        <v>16.392868636954</v>
      </c>
      <c r="F67" s="13" t="n">
        <v>2.250189</v>
      </c>
      <c r="G67" s="13" t="n">
        <v>4.07386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2.606270450635996</v>
      </c>
      <c r="E68" s="13" t="n">
        <v>0.7389408655039986</v>
      </c>
      <c r="F68" s="13" t="n">
        <v>0.1130140000000002</v>
      </c>
      <c r="G68" s="13" t="n">
        <v>0.009870999999999519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23.289093826426</v>
      </c>
      <c r="E69" s="13" t="n">
        <v>15.65392777145</v>
      </c>
      <c r="F69" s="13" t="n">
        <v>2.137175</v>
      </c>
      <c r="G69" s="13" t="n">
        <v>4.063989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3150</v>
      </c>
      <c r="E70" s="13" t="n">
        <v>3150</v>
      </c>
      <c r="F70" s="13" t="n">
        <v>3150</v>
      </c>
      <c r="G70" s="13" t="n">
        <v>3425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0.007393363119500318</v>
      </c>
      <c r="E71" s="20" t="n">
        <v>0.004969500879825397</v>
      </c>
      <c r="F71" s="20" t="n">
        <v>0.000678468253968254</v>
      </c>
      <c r="G71" s="20" t="n">
        <v>0.001186566131386861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0.007091577923057167</v>
      </c>
      <c r="E72" s="20" t="n">
        <v>0</v>
      </c>
      <c r="F72" s="20" t="n">
        <v>0</v>
      </c>
      <c r="G72" s="20" t="n">
        <v>0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>
        <v>15.152981499647</v>
      </c>
      <c r="E73" s="13" t="n">
        <v>29.602434803982</v>
      </c>
      <c r="F73" s="13" t="n">
        <v>0</v>
      </c>
      <c r="G73" s="13" t="n"/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0.619461406466</v>
      </c>
      <c r="E74" s="13" t="n">
        <v>0.508244938181</v>
      </c>
      <c r="F74" s="13" t="n">
        <v>11.100606</v>
      </c>
      <c r="G74" s="13" t="n">
        <v>10.024753</v>
      </c>
      <c r="H74" s="15">
        <f>(((H41*H25)*$C$10)+H26)</f>
        <v/>
      </c>
      <c r="I74" s="15">
        <f>(((I41*I25)*$C$10)+I26)</f>
        <v/>
      </c>
      <c r="J74" s="15">
        <f>(((J41*J25)*$C$10)+J26)</f>
        <v/>
      </c>
      <c r="K74" s="15">
        <f>(((K41*K25)*$C$10)+K26)</f>
        <v/>
      </c>
      <c r="L74" s="15">
        <f>(((L41*L25)*$C$10)+L26)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2.494384508699999</v>
      </c>
      <c r="F75" s="13" t="n">
        <v>-5.437750999999997</v>
      </c>
      <c r="G75" s="13" t="n">
        <v>4.494436999999998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2.902487570509188</v>
      </c>
      <c r="F76" s="13" t="n">
        <v>4.933281536622561</v>
      </c>
      <c r="G76" s="13" t="n">
        <v>-6.260535041569401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0</v>
      </c>
      <c r="F77" s="13" t="n">
        <v>0</v>
      </c>
      <c r="G77" s="13" t="n">
        <v>27.291145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-4.4670565087</v>
      </c>
      <c r="E80" s="13" t="n">
        <v>-1.972672000000001</v>
      </c>
      <c r="F80" s="13" t="n">
        <v>-7.410422999999998</v>
      </c>
      <c r="G80" s="13" t="n">
        <v>-2.915986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5.314447237537</v>
      </c>
      <c r="E81" s="13" t="n">
        <v>2.846832</v>
      </c>
      <c r="F81" s="13" t="n">
        <v>8.959327999999999</v>
      </c>
      <c r="G81" s="13" t="n">
        <v>4.245525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0</v>
      </c>
      <c r="E82" s="13" t="n">
        <v>0</v>
      </c>
      <c r="F82" s="13" t="n">
        <v>0</v>
      </c>
      <c r="G82" s="13" t="n">
        <v>27.291145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19.714843145859</v>
      </c>
      <c r="E83" s="13" t="n">
        <v>22.248155</v>
      </c>
      <c r="F83" s="13" t="n">
        <v>21.254272</v>
      </c>
      <c r="G83" s="13" t="n">
        <v>29.845962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62.495075285544</v>
      </c>
      <c r="E84" s="13" t="n">
        <v>52.364147</v>
      </c>
      <c r="F84" s="13" t="n">
        <v>52.813296</v>
      </c>
      <c r="G84" s="13" t="n">
        <v>32.351633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2.866536693605</v>
      </c>
      <c r="E85" s="13" t="n">
        <v>3.611846</v>
      </c>
      <c r="F85" s="13" t="n">
        <v>3.842964</v>
      </c>
      <c r="G85" s="13" t="n">
        <v>0.176615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44.79937810445301</v>
      </c>
      <c r="E86" s="13" t="n">
        <v>32.853678</v>
      </c>
      <c r="F86" s="13" t="n">
        <v>33.853083</v>
      </c>
      <c r="G86" s="13" t="n">
        <v>28.64389199999999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-5.314447237537</v>
      </c>
      <c r="E88" s="13" t="n">
        <v>-2.846832</v>
      </c>
      <c r="F88" s="13" t="n">
        <v>-8.959327999999999</v>
      </c>
      <c r="G88" s="13" t="n">
        <v>23.04562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0.01983970643985524</v>
      </c>
      <c r="E89" s="20" t="n">
        <v>0.01662353873015873</v>
      </c>
      <c r="F89" s="20" t="n">
        <v>0.01676612571428571</v>
      </c>
      <c r="G89" s="20" t="n">
        <v>0.009445732262773723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-0.03498956881489168</v>
      </c>
      <c r="F90" s="4" t="n">
        <v>-0.2108217136978251</v>
      </c>
      <c r="G90" s="4" t="n">
        <v>1.01740837011838</v>
      </c>
      <c r="H90" s="17">
        <f>(IF(G55=0,0,H55/G55)-1)</f>
        <v/>
      </c>
      <c r="I90" s="17">
        <f>(IF(H55=0,0,I55/H55)-1)</f>
        <v/>
      </c>
      <c r="J90" s="17">
        <f>(IF(I55=0,0,J55/I55)-1)</f>
        <v/>
      </c>
      <c r="K90" s="17">
        <f>(IF(J55=0,0,K55/J55)-1)</f>
        <v/>
      </c>
      <c r="L90" s="17">
        <f>(IF(K55=0,0,L55/K55)-1)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0.3215187663752189</v>
      </c>
      <c r="E91" s="4" t="n">
        <v>0.1745371984543161</v>
      </c>
      <c r="F91" s="4" t="n">
        <v>0.05413695544218748</v>
      </c>
      <c r="G91" s="4" t="n">
        <v>0.08094740861019509</v>
      </c>
      <c r="H91" s="17">
        <f>IF(H55=0,0,H57/H55)</f>
        <v/>
      </c>
      <c r="I91" s="17">
        <f>IF(I55=0,0,I57/I55)</f>
        <v/>
      </c>
      <c r="J91" s="17">
        <f>IF(J55=0,0,J57/J55)</f>
        <v/>
      </c>
      <c r="K91" s="17">
        <f>IF(K55=0,0,K57/K55)</f>
        <v/>
      </c>
      <c r="L91" s="17">
        <f>IF(L55=0,0,L57/L55)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0.2655046241549424</v>
      </c>
      <c r="E92" s="4" t="n">
        <v>0.0990035196610539</v>
      </c>
      <c r="F92" s="4" t="n">
        <v>0.206511452788489</v>
      </c>
      <c r="G92" s="4" t="n">
        <v>0.09379177818171258</v>
      </c>
      <c r="H92" s="17">
        <f>IF(H55=0,0,H61/H55)</f>
        <v/>
      </c>
      <c r="I92" s="17">
        <f>IF(I55=0,0,I61/I55)</f>
        <v/>
      </c>
      <c r="J92" s="17">
        <f>IF(J55=0,0,J61/J55)</f>
        <v/>
      </c>
      <c r="K92" s="17">
        <f>IF(K55=0,0,K61/K55)</f>
        <v/>
      </c>
      <c r="L92" s="17">
        <f>IF(L55=0,0,L61/L55)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0.2631514200189184</v>
      </c>
      <c r="E93" s="4" t="n">
        <v>0.09619512935751115</v>
      </c>
      <c r="F93" s="4" t="n">
        <v>0.002502341132148883</v>
      </c>
      <c r="G93" s="4" t="n">
        <v>0.04135825680595765</v>
      </c>
      <c r="H93" s="17">
        <f>IF(H55=0,0,H59/H55)</f>
        <v/>
      </c>
      <c r="I93" s="17">
        <f>IF(I55=0,0,I59/I55)</f>
        <v/>
      </c>
      <c r="J93" s="17">
        <f>IF(J55=0,0,J59/J55)</f>
        <v/>
      </c>
      <c r="K93" s="17">
        <f>IF(K55=0,0,K59/K55)</f>
        <v/>
      </c>
      <c r="L93" s="17">
        <f>IF(L55=0,0,L59/L55)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0.3453175317058397</v>
      </c>
      <c r="E94" s="4" t="n">
        <v>0.2405234115467713</v>
      </c>
      <c r="F94" s="4" t="n">
        <v>0.04161012183699895</v>
      </c>
      <c r="G94" s="4" t="n">
        <v>0.03922090472931756</v>
      </c>
      <c r="H94" s="17">
        <f>IF(H55=0,0,H69/H55)</f>
        <v/>
      </c>
      <c r="I94" s="17">
        <f>IF(I55=0,0,I69/I55)</f>
        <v/>
      </c>
      <c r="J94" s="17">
        <f>IF(J55=0,0,J69/J55)</f>
        <v/>
      </c>
      <c r="K94" s="17">
        <f>IF(K55=0,0,K69/K55)</f>
        <v/>
      </c>
      <c r="L94" s="17">
        <f>IF(L55=0,0,L69/L55)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-0.3278429857289004</v>
      </c>
      <c r="F95" s="4" t="n">
        <v>-0.8634735619581796</v>
      </c>
      <c r="G95" s="4" t="n">
        <v>0.7488896856217266</v>
      </c>
      <c r="H95" s="17">
        <f>(IF(G71=0,0,H71/G71)-1)</f>
        <v/>
      </c>
      <c r="I95" s="17">
        <f>(IF(H71=0,0,I71/H71)-1)</f>
        <v/>
      </c>
      <c r="J95" s="17">
        <f>(IF(I71=0,0,J71/I71)-1)</f>
        <v/>
      </c>
      <c r="K95" s="17">
        <f>(IF(J71=0,0,K71/J71)-1)</f>
        <v/>
      </c>
      <c r="L95" s="17">
        <f>(IF(K71=0,0,L71/K71)-1)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0.2725758969973485</v>
      </c>
      <c r="F96" s="4" t="n">
        <v>0.04063941733209848</v>
      </c>
      <c r="G96" s="4" t="n">
        <v>0.09543808813602135</v>
      </c>
      <c r="H96" s="17">
        <f>IF(IF(2=0,0,(H84+G84)/2)=0,0,H69/IF(2=0,0,(H84+G84)/2))</f>
        <v/>
      </c>
      <c r="I96" s="17">
        <f>IF(IF(2=0,0,(I84+H84)/2)=0,0,I69/IF(2=0,0,(I84+H84)/2))</f>
        <v/>
      </c>
      <c r="J96" s="17">
        <f>IF(IF(2=0,0,(J84+I84)/2)=0,0,J69/IF(2=0,0,(J84+I84)/2))</f>
        <v/>
      </c>
      <c r="K96" s="17">
        <f>IF(IF(2=0,0,(K84+J84)/2)=0,0,K69/IF(2=0,0,(K84+J84)/2))</f>
        <v/>
      </c>
      <c r="L96" s="17">
        <f>IF(IF(2=0,0,(L84+K84)/2)=0,0,L69/IF(2=0,0,(L84+K84)/2))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>
        <v>-0.2967919024941846</v>
      </c>
      <c r="E97" s="22" t="n">
        <v>-0.4418198603465096</v>
      </c>
      <c r="F97" s="22" t="n">
        <v>-0.8446760815516732</v>
      </c>
      <c r="G97" s="22" t="n">
        <v>2.371312063268958</v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0.9591816076709152</v>
      </c>
      <c r="E98" s="4" t="n">
        <v>0</v>
      </c>
      <c r="F98" s="4" t="n">
        <v>0</v>
      </c>
      <c r="G98" s="4" t="n">
        <v>0</v>
      </c>
      <c r="H98" s="17">
        <f>IF(H71=0,0,H72/H71)</f>
        <v/>
      </c>
      <c r="I98" s="17">
        <f>IF(I71=0,0,I72/I71)</f>
        <v/>
      </c>
      <c r="J98" s="17">
        <f>IF(J71=0,0,J72/J71)</f>
        <v/>
      </c>
      <c r="K98" s="17">
        <f>IF(K71=0,0,K72/K71)</f>
        <v/>
      </c>
      <c r="L98" s="17">
        <f>IF(L71=0,0,L72/L71)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0.009185023919872038</v>
      </c>
      <c r="E99" s="4" t="n">
        <v>0.007809209817335744</v>
      </c>
      <c r="F99" s="4" t="n">
        <v>0.2161252906872491</v>
      </c>
      <c r="G99" s="4" t="n">
        <v>0.09674728015945426</v>
      </c>
      <c r="H99" s="17">
        <f>IF(H55=0,0,H74/H55)</f>
        <v/>
      </c>
      <c r="I99" s="17">
        <f>IF(I55=0,0,I74/I55)</f>
        <v/>
      </c>
      <c r="J99" s="17">
        <f>IF(J55=0,0,J74/J55)</f>
        <v/>
      </c>
      <c r="K99" s="17">
        <f>IF(K55=0,0,K74/K55)</f>
        <v/>
      </c>
      <c r="L99" s="17">
        <f>IF(L55=0,0,L74/L55)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3100</v>
      </c>
    </row>
    <row r="103">
      <c r="A103" t="inlineStr">
        <is>
          <t>Shares outstanding (m)</t>
        </is>
      </c>
      <c r="C103" s="13" t="n">
        <v>3425</v>
      </c>
    </row>
    <row r="104">
      <c r="A104" t="inlineStr">
        <is>
          <t>IDR per USD (spot)</t>
        </is>
      </c>
      <c r="C104" s="3" t="n">
        <v>18138</v>
      </c>
    </row>
    <row r="105">
      <c r="A105" t="inlineStr">
        <is>
          <t>Debt at balance-sheet date</t>
        </is>
      </c>
      <c r="C105" s="13" t="n">
        <v>32.262393</v>
      </c>
    </row>
    <row r="106">
      <c r="A106" t="inlineStr">
        <is>
          <t>Cash at balance-sheet date</t>
        </is>
      </c>
      <c r="C106" s="13" t="n">
        <v>2.22115</v>
      </c>
    </row>
    <row r="107">
      <c r="A107" t="inlineStr">
        <is>
          <t>Minority interest (book)</t>
        </is>
      </c>
      <c r="C107" s="13" t="n">
        <v>0.168761</v>
      </c>
    </row>
    <row r="108">
      <c r="A108" t="inlineStr">
        <is>
          <t>Associates &amp; investments (book)</t>
        </is>
      </c>
      <c r="C108" s="13" t="n">
        <v>24.29668</v>
      </c>
    </row>
    <row r="109">
      <c r="A109" t="inlineStr">
        <is>
          <t>Post-balance-sheet &amp; other items (sourced, probability-weighted)</t>
        </is>
      </c>
      <c r="C109" s="13" t="n">
        <v>5.798</v>
      </c>
    </row>
    <row r="110">
      <c r="A110" t="inlineStr">
        <is>
          <t>Parent equity at balance-sheet date</t>
        </is>
      </c>
      <c r="C110" s="13" t="n">
        <v>36.166812</v>
      </c>
    </row>
    <row r="111">
      <c r="A111" t="inlineStr">
        <is>
          <t>Per-share factor</t>
        </is>
      </c>
      <c r="C111" s="24" t="n">
        <v>1</v>
      </c>
    </row>
    <row r="112">
      <c r="A112" t="inlineStr">
        <is>
          <t>Risk-free rate</t>
        </is>
      </c>
      <c r="C112" s="9">
        <f>Drivers!$C$12</f>
        <v/>
      </c>
    </row>
    <row r="113">
      <c r="A113" t="inlineStr">
        <is>
          <t>Less: default spread (IDR only)</t>
        </is>
      </c>
      <c r="C113" s="9" t="n">
        <v>0</v>
      </c>
    </row>
    <row r="114">
      <c r="A114" t="inlineStr">
        <is>
          <t>Mature ERP + Indonesia CRP</t>
        </is>
      </c>
      <c r="C114" s="9">
        <f>Drivers!$C$14+Drivers!$C$15</f>
        <v/>
      </c>
    </row>
    <row r="115">
      <c r="A115" t="inlineStr">
        <is>
          <t>Tax rate</t>
        </is>
      </c>
      <c r="C115" s="9">
        <f>Drivers!$C$17</f>
        <v/>
      </c>
    </row>
    <row r="116">
      <c r="A116" t="inlineStr">
        <is>
          <t>Unlevered beta (industry median of 19 regressions vs ^JKSE)</t>
        </is>
      </c>
      <c r="C116" s="14" t="n">
        <v>0.8008</v>
      </c>
    </row>
    <row r="117">
      <c r="A117" t="inlineStr">
        <is>
          <t>Debt / equity (market)</t>
        </is>
      </c>
      <c r="C117" s="14" t="n">
        <v>0.0551142250279256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</v>
      </c>
    </row>
    <row r="120">
      <c r="A120" t="inlineStr">
        <is>
          <t>Cost of equity</t>
        </is>
      </c>
      <c r="C120" s="11">
        <f>$C$112-$C$113+$C$118*$C$114+$C$119</f>
        <v/>
      </c>
    </row>
    <row r="121">
      <c r="A121" t="inlineStr">
        <is>
          <t>Pre-tax cost of debt</t>
        </is>
      </c>
      <c r="C121" s="11">
        <f>$C$112+Drivers!$C$16</f>
        <v/>
      </c>
    </row>
    <row r="122">
      <c r="A122" t="inlineStr">
        <is>
          <t>WACC</t>
        </is>
      </c>
      <c r="C122" s="11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0.02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6" t="n">
        <v>0.503765</v>
      </c>
      <c r="I126" s="6" t="n">
        <v>0.996578</v>
      </c>
      <c r="J126" s="6" t="n">
        <v>0.999316</v>
      </c>
      <c r="K126" s="6" t="n">
        <v>0.996578</v>
      </c>
      <c r="L126" s="6" t="n">
        <v>0.996578</v>
      </c>
    </row>
    <row r="127">
      <c r="A127" t="inlineStr">
        <is>
          <t>Discount time from valuation date (years)</t>
        </is>
      </c>
      <c r="H127" s="6" t="n">
        <v>0</v>
      </c>
      <c r="I127" s="6" t="n">
        <v>0.670773</v>
      </c>
      <c r="J127" s="6" t="n">
        <v>1.670089</v>
      </c>
      <c r="K127" s="6" t="n">
        <v>2.672142</v>
      </c>
      <c r="L127" s="6" t="n">
        <v>3.671458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</row>
    <row r="131">
      <c r="A131" t="inlineStr">
        <is>
          <t>Best cumulative PV (never below zero)</t>
        </is>
      </c>
      <c r="C131" s="26">
        <f>MAX(0,MAX(H130:L130))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MAX(0,$C$134/$C$103*$C$111*$C$104)</f>
        <v/>
      </c>
    </row>
    <row r="137">
      <c r="A137" s="1" t="inlineStr">
        <is>
          <t>Dividend yield</t>
        </is>
      </c>
    </row>
    <row r="138">
      <c r="A138" t="inlineStr">
        <is>
          <t>Target multiple (peer median)</t>
        </is>
      </c>
      <c r="C138" s="4" t="n">
        <v>0.072703</v>
      </c>
    </row>
    <row r="139">
      <c r="A139" t="inlineStr">
        <is>
          <t>Metric (LTM, or next-12m DPS for yield)</t>
        </is>
      </c>
      <c r="C139" s="13" t="n">
        <v>0.001686</v>
      </c>
    </row>
    <row r="140">
      <c r="A140" t="inlineStr">
        <is>
          <t>Value per share (IDR) — Dividend yield</t>
        </is>
      </c>
      <c r="C140" s="27">
        <f>MAX(0,$C$139/$C$138*$C$104)</f>
        <v/>
      </c>
    </row>
    <row r="142">
      <c r="A142" s="1" t="inlineStr">
        <is>
          <t>TARGET</t>
        </is>
      </c>
    </row>
    <row r="143">
      <c r="A143" t="inlineStr">
        <is>
          <t>Weight: DCF to end of life (no terminal value)</t>
        </is>
      </c>
      <c r="C143" s="4" t="n">
        <v>0.8</v>
      </c>
    </row>
    <row r="144">
      <c r="A144" t="inlineStr">
        <is>
          <t>Weight: Dividend yield</t>
        </is>
      </c>
      <c r="C144" s="4" t="n">
        <v>0.2</v>
      </c>
    </row>
    <row r="145">
      <c r="A145" t="inlineStr">
        <is>
          <t>Value today (weighted)</t>
        </is>
      </c>
      <c r="C145" s="27">
        <f>$C$135*$C$143+$C$140*$C$144</f>
        <v/>
      </c>
    </row>
    <row r="146">
      <c r="A146" t="inlineStr">
        <is>
          <t>DPS expected in next 12 months (IDR)</t>
        </is>
      </c>
      <c r="C146" s="20" t="n">
        <v>30.58040133641683</v>
      </c>
    </row>
    <row r="147">
      <c r="A147" t="inlineStr">
        <is>
          <t>Base-case 12-month value</t>
        </is>
      </c>
      <c r="C147" s="27">
        <f>MAX(0,$C$145*(1+$C$120)-$C$146)</f>
        <v/>
      </c>
    </row>
    <row r="148">
      <c r="A148" t="inlineStr">
        <is>
          <t>Bear probability</t>
        </is>
      </c>
      <c r="C148" s="4" t="n">
        <v>0.25</v>
      </c>
    </row>
    <row r="149">
      <c r="A149" t="inlineStr">
        <is>
          <t>Bear 12-month value (engine)</t>
        </is>
      </c>
      <c r="C149" s="20" t="n">
        <v>0</v>
      </c>
    </row>
    <row r="150">
      <c r="A150" t="inlineStr">
        <is>
          <t>Base probability</t>
        </is>
      </c>
      <c r="C150" s="4" t="n">
        <v>0.5</v>
      </c>
    </row>
    <row r="151">
      <c r="A151" t="inlineStr">
        <is>
          <t>Bull probability</t>
        </is>
      </c>
      <c r="C151" s="4" t="n">
        <v>0.25</v>
      </c>
    </row>
    <row r="152">
      <c r="A152" t="inlineStr">
        <is>
          <t>Bull 12-month value (engine)</t>
        </is>
      </c>
      <c r="C152" s="20" t="n">
        <v>848.3150639947938</v>
      </c>
    </row>
    <row r="153">
      <c r="A153" t="inlineStr">
        <is>
          <t>Probability-weighted 12-month value</t>
        </is>
      </c>
      <c r="C153" s="27">
        <f>$C$148*$C$149+$C$150*$C$147+$C$151*$C$152</f>
        <v/>
      </c>
    </row>
    <row r="154">
      <c r="A154" t="inlineStr">
        <is>
          <t>Liquidity discount (limits.yaml)</t>
        </is>
      </c>
      <c r="C154" s="4" t="n">
        <v>0</v>
      </c>
    </row>
    <row r="155">
      <c r="A155" t="inlineStr">
        <is>
          <t>Fundamental 12-month value (after liquidity discount)</t>
        </is>
      </c>
      <c r="C155" s="27">
        <f>$C$153*(1-$C$154)</f>
        <v/>
      </c>
    </row>
    <row r="156">
      <c r="A156" t="inlineStr">
        <is>
          <t>Konglo lens: price / fundamental value today (engine)</t>
        </is>
      </c>
      <c r="C156" s="22" t="n">
        <v>9.737447</v>
      </c>
    </row>
    <row r="157">
      <c r="A157" t="inlineStr">
        <is>
          <t>Regime bear: probability (konglo deck)</t>
        </is>
      </c>
      <c r="C157" s="4" t="n">
        <v>0.25</v>
      </c>
    </row>
    <row r="158">
      <c r="A158" t="inlineStr">
        <is>
          <t>Regime bear: share of the log gap closed in 12 months</t>
        </is>
      </c>
      <c r="C158" s="4" t="n">
        <v>0.8</v>
      </c>
    </row>
    <row r="159">
      <c r="A159" t="inlineStr">
        <is>
          <t>Regime base: probability (konglo deck)</t>
        </is>
      </c>
      <c r="C159" s="4" t="n">
        <v>0.5</v>
      </c>
    </row>
    <row r="160">
      <c r="A160" t="inlineStr">
        <is>
          <t>Regime base: share of the log gap closed in 12 months</t>
        </is>
      </c>
      <c r="C160" s="4" t="n">
        <v>0.4</v>
      </c>
    </row>
    <row r="161">
      <c r="A161" t="inlineStr">
        <is>
          <t>Regime bull: probability (konglo deck)</t>
        </is>
      </c>
      <c r="C161" s="4" t="n">
        <v>0.25</v>
      </c>
    </row>
    <row r="162">
      <c r="A162" t="inlineStr">
        <is>
          <t>Regime bull: share of the log gap closed in 12 months</t>
        </is>
      </c>
      <c r="C162" s="4" t="n">
        <v>-0.05</v>
      </c>
    </row>
    <row r="163">
      <c r="A163" t="inlineStr">
        <is>
          <t>Share of today's premium kept (probability-weighted)</t>
        </is>
      </c>
      <c r="C163" s="32">
        <f>$C$157*$C$156^(1-$C$158)+$C$159*$C$156^(1-$C$160)+$C$161*$C$156^(1-$C$162)</f>
        <v/>
      </c>
    </row>
    <row r="164">
      <c r="A164" t="inlineStr">
        <is>
          <t>TARGET PRICE (IDR) — konglo lens</t>
        </is>
      </c>
      <c r="C164" s="28">
        <f>$C$155*$C$163</f>
        <v/>
      </c>
    </row>
    <row r="165">
      <c r="A165" t="inlineStr">
        <is>
          <t>Expected 12-month total return</t>
        </is>
      </c>
      <c r="C165" s="29">
        <f>($C$164+$C$146)/$C$102-1</f>
        <v/>
      </c>
    </row>
    <row r="166">
      <c r="A166" t="inlineStr">
        <is>
          <t>Rating</t>
        </is>
      </c>
      <c r="C166" s="30">
        <f>IF($C$165&gt;=0.25,"BUY",IF($C$165&gt;=0.1,"ADD",IF($C$165&lt;=-0.25,"SELL",IF($C$165&lt;=-0.1,"REDUCE","HOLD"))))</f>
        <v/>
      </c>
    </row>
    <row r="168">
      <c r="A168" s="1" t="inlineStr">
        <is>
          <t>12-month value vs benchmark price and IDR/USD (engine values)</t>
        </is>
      </c>
    </row>
    <row r="169">
      <c r="A169" s="5" t="inlineStr">
        <is>
          <t>rows: IDR per USD (x deck) · columns: Benchmark price (x deck)</t>
        </is>
      </c>
      <c r="D169" s="1" t="n">
        <v>0.8</v>
      </c>
      <c r="E169" s="1" t="n">
        <v>0.9</v>
      </c>
      <c r="F169" s="1" t="n">
        <v>1</v>
      </c>
      <c r="G169" s="1" t="n">
        <v>1.1</v>
      </c>
      <c r="H169" s="1" t="n">
        <v>1.2</v>
      </c>
    </row>
    <row r="170">
      <c r="C170" s="1" t="n">
        <v>0.9</v>
      </c>
      <c r="D170" s="27" t="n">
        <v>27.045345</v>
      </c>
      <c r="E170" s="27" t="n">
        <v>78.836072</v>
      </c>
      <c r="F170" s="27" t="n">
        <v>190.37103</v>
      </c>
      <c r="G170" s="27" t="n">
        <v>357.927784</v>
      </c>
      <c r="H170" s="27" t="n">
        <v>525.484537</v>
      </c>
    </row>
    <row r="171">
      <c r="C171" s="1" t="n">
        <v>0.95</v>
      </c>
      <c r="D171" s="27" t="n">
        <v>28.551311</v>
      </c>
      <c r="E171" s="27" t="n">
        <v>83.226325</v>
      </c>
      <c r="F171" s="27" t="n">
        <v>200.97279</v>
      </c>
      <c r="G171" s="27" t="n">
        <v>377.862135</v>
      </c>
      <c r="H171" s="27" t="n">
        <v>554.751479</v>
      </c>
    </row>
    <row r="172">
      <c r="C172" s="1" t="n">
        <v>1</v>
      </c>
      <c r="D172" s="27" t="n">
        <v>30.05764</v>
      </c>
      <c r="E172" s="27" t="n">
        <v>87.61767999999999</v>
      </c>
      <c r="F172" s="27" t="n">
        <v>211.577235</v>
      </c>
      <c r="G172" s="27" t="n">
        <v>397.801663</v>
      </c>
      <c r="H172" s="27" t="n">
        <v>584.026091</v>
      </c>
    </row>
    <row r="173">
      <c r="C173" s="1" t="n">
        <v>1.05</v>
      </c>
      <c r="D173" s="27" t="n">
        <v>31.564331</v>
      </c>
      <c r="E173" s="27" t="n">
        <v>92.010138</v>
      </c>
      <c r="F173" s="27" t="n">
        <v>222.184364</v>
      </c>
      <c r="G173" s="27" t="n">
        <v>417.746365</v>
      </c>
      <c r="H173" s="27" t="n">
        <v>613.308365</v>
      </c>
    </row>
    <row r="174">
      <c r="C174" s="1" t="n">
        <v>1.1</v>
      </c>
      <c r="D174" s="27" t="n">
        <v>33.071385</v>
      </c>
      <c r="E174" s="27" t="n">
        <v>96.40369699999999</v>
      </c>
      <c r="F174" s="27" t="n">
        <v>232.794176</v>
      </c>
      <c r="G174" s="27" t="n">
        <v>437.696235</v>
      </c>
      <c r="H174" s="27" t="n">
        <v>642.598294</v>
      </c>
    </row>
    <row r="176">
      <c r="A176" s="1" t="inlineStr">
        <is>
          <t>12-month value vs volume and unit cost intensity (engine values)</t>
        </is>
      </c>
    </row>
    <row r="177">
      <c r="A177" s="5" t="inlineStr">
        <is>
          <t>rows: Volume (x plan) · columns: Cost intensity / strip ratio (x)</t>
        </is>
      </c>
      <c r="D177" s="1" t="n">
        <v>0.85</v>
      </c>
      <c r="E177" s="1" t="n">
        <v>0.925</v>
      </c>
      <c r="F177" s="1" t="n">
        <v>1</v>
      </c>
      <c r="G177" s="1" t="n">
        <v>1.075</v>
      </c>
      <c r="H177" s="1" t="n">
        <v>1.15</v>
      </c>
    </row>
    <row r="178">
      <c r="C178" s="1" t="n">
        <v>0.9</v>
      </c>
      <c r="D178" s="27" t="n">
        <v>211.084987</v>
      </c>
      <c r="E178" s="27" t="n">
        <v>200.30736</v>
      </c>
      <c r="F178" s="27" t="n">
        <v>189.529733</v>
      </c>
      <c r="G178" s="27" t="n">
        <v>178.752107</v>
      </c>
      <c r="H178" s="27" t="n">
        <v>167.97448</v>
      </c>
    </row>
    <row r="179">
      <c r="C179" s="1" t="n">
        <v>0.95</v>
      </c>
      <c r="D179" s="27" t="n">
        <v>223.306252</v>
      </c>
      <c r="E179" s="27" t="n">
        <v>211.929868</v>
      </c>
      <c r="F179" s="27" t="n">
        <v>200.553484</v>
      </c>
      <c r="G179" s="27" t="n">
        <v>189.1771</v>
      </c>
      <c r="H179" s="27" t="n">
        <v>177.800716</v>
      </c>
    </row>
    <row r="180">
      <c r="C180" s="1" t="n">
        <v>1</v>
      </c>
      <c r="D180" s="27" t="n">
        <v>235.527517</v>
      </c>
      <c r="E180" s="27" t="n">
        <v>223.552376</v>
      </c>
      <c r="F180" s="27" t="n">
        <v>211.577235</v>
      </c>
      <c r="G180" s="27" t="n">
        <v>199.602094</v>
      </c>
      <c r="H180" s="27" t="n">
        <v>187.626953</v>
      </c>
    </row>
    <row r="181">
      <c r="C181" s="1" t="n">
        <v>1.05</v>
      </c>
      <c r="D181" s="27" t="n">
        <v>247.748782</v>
      </c>
      <c r="E181" s="27" t="n">
        <v>235.174884</v>
      </c>
      <c r="F181" s="27" t="n">
        <v>222.600986</v>
      </c>
      <c r="G181" s="27" t="n">
        <v>210.027088</v>
      </c>
      <c r="H181" s="27" t="n">
        <v>197.45319</v>
      </c>
    </row>
    <row r="182">
      <c r="C182" s="1" t="n">
        <v>1.1</v>
      </c>
      <c r="D182" s="27" t="n">
        <v>259.970047</v>
      </c>
      <c r="E182" s="27" t="n">
        <v>246.797392</v>
      </c>
      <c r="F182" s="27" t="n">
        <v>233.624737</v>
      </c>
      <c r="G182" s="27" t="n">
        <v>220.452082</v>
      </c>
      <c r="H182" s="27" t="n">
        <v>207.279426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2026-10-30T16:33:12Z</dcterms:created>
  <dcterms:modified xsi:type="dcterms:W3CDTF">2026-10-30T16:33:13Z</dcterms:modified>
</cp:coreProperties>
</file>