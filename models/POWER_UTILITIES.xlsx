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rivers" sheetId="2" state="visible" r:id="rId2"/>
    <sheet name="Comps" sheetId="3" state="visible" r:id="rId3"/>
    <sheet name="BREN" sheetId="4" state="visible" r:id="rId4"/>
    <sheet name="CD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#,##0.00;(#,##0.00);&quot;-&quot;"/>
    <numFmt numFmtId="165" formatCode="0.0%;(0.0%);&quot;-&quot;"/>
    <numFmt numFmtId="166" formatCode="#,##0.0;(#,##0.0);&quot;-&quot;"/>
    <numFmt numFmtId="167" formatCode="#,##0;(#,##0);&quot;-&quot;"/>
    <numFmt numFmtId="168" formatCode="0.0&quot;x&quot;;(0.0&quot;x&quot;);&quot;-&quot;"/>
    <numFmt numFmtId="169" formatCode="#,##0.000;(#,##0.000);&quot;-&quot;"/>
    <numFmt numFmtId="170" formatCode="0.00;(0.00);&quot;-&quot;"/>
  </numFmts>
  <fonts count="8">
    <font>
      <name val="Calibri"/>
      <family val="2"/>
      <color theme="1"/>
      <sz val="11"/>
      <scheme val="minor"/>
    </font>
    <font>
      <b val="1"/>
    </font>
    <font>
      <color rgb="FF0000FF"/>
    </font>
    <font>
      <color rgb="FF6B7280"/>
    </font>
    <font>
      <b val="1"/>
      <sz val="12"/>
    </font>
    <font>
      <color rgb="FF000000"/>
    </font>
    <font>
      <color rgb="FF008000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0" fontId="3" fillId="0" borderId="0" pivotButton="0" quotePrefix="0" xfId="0"/>
    <xf numFmtId="49" fontId="6" fillId="0" borderId="0" pivotButton="0" quotePrefix="0" xfId="0"/>
    <xf numFmtId="167" fontId="6" fillId="0" borderId="0" pivotButton="0" quotePrefix="0" xfId="0"/>
    <xf numFmtId="165" fontId="6" fillId="0" borderId="0" pivotButton="0" quotePrefix="0" xfId="0"/>
    <xf numFmtId="168" fontId="0" fillId="0" borderId="0" pivotButton="0" quotePrefix="0" xfId="0"/>
    <xf numFmtId="165" fontId="0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166" fontId="2" fillId="0" borderId="0" pivotButton="0" quotePrefix="0" xfId="0"/>
    <xf numFmtId="166" fontId="5" fillId="0" borderId="0" pivotButton="0" quotePrefix="0" xfId="0"/>
    <xf numFmtId="167" fontId="2" fillId="0" borderId="0" pivotButton="0" quotePrefix="0" xfId="0"/>
    <xf numFmtId="167" fontId="5" fillId="0" borderId="0" pivotButton="0" quotePrefix="0" xfId="0"/>
    <xf numFmtId="165" fontId="5" fillId="0" borderId="0" pivotButton="0" quotePrefix="0" xfId="0"/>
    <xf numFmtId="168" fontId="2" fillId="0" borderId="0" pivotButton="0" quotePrefix="0" xfId="0"/>
    <xf numFmtId="168" fontId="5" fillId="0" borderId="0" pivotButton="0" quotePrefix="0" xfId="0"/>
    <xf numFmtId="169" fontId="2" fillId="0" borderId="0" pivotButton="0" quotePrefix="0" xfId="0"/>
    <xf numFmtId="170" fontId="2" fillId="0" borderId="0" pivotButton="0" quotePrefix="0" xfId="0"/>
    <xf numFmtId="170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9" fontId="0" fillId="0" borderId="0" pivotButton="0" quotePrefix="0" xfId="0"/>
    <xf numFmtId="167" fontId="1" fillId="0" borderId="0" pivotButton="0" quotePrefix="0" xfId="0"/>
    <xf numFmtId="165" fontId="1" fillId="0" borderId="0" pivotButton="0" quotePrefix="0" xfId="0"/>
    <xf numFmtId="49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Six South — Power producers &amp; utilities industry model</t>
        </is>
      </c>
    </row>
    <row r="2">
      <c r="A2" s="2" t="inlineStr">
        <is>
          <t>Generated 2026-10-29T23:12:35+07:00 by the coverage engine. The engine (scripts/cov_engine.py) is the source of truth; this workbook is a live rendering of it.</t>
        </is>
      </c>
    </row>
    <row r="3">
      <c r="A3" s="2" t="inlineStr">
        <is>
          <t>Colour key: blue = input or hard-coded history; black = formula; green = link to another sheet.</t>
        </is>
      </c>
    </row>
    <row r="4">
      <c r="A4" s="2" t="inlineStr">
        <is>
          <t>Drivers: every deck variable these models read. Change one and every ticker tab and the Comps sheet recalculate (forecasts, cash flows, DCF value, base-case value, target, rating).</t>
        </is>
      </c>
    </row>
    <row r="5">
      <c r="A5" s="2" t="inlineStr">
        <is>
          <t>Scenario (bear/bull) and sensitivity tables need full model re-runs and are engine values.</t>
        </is>
      </c>
    </row>
    <row r="6">
      <c r="A6" s="2" t="inlineStr">
        <is>
          <t>Paper fund — research for education and process transparency, not investment advice.</t>
        </is>
      </c>
    </row>
    <row r="7">
      <c r="A7" s="2" t="inlineStr"/>
    </row>
    <row r="8">
      <c r="A8" s="1" t="inlineStr">
        <is>
          <t>Tickers:</t>
        </is>
      </c>
    </row>
    <row r="9">
      <c r="A9" t="inlineStr">
        <is>
          <t>BREN.JK — PT Barito Renewables Energy Tbk</t>
        </is>
      </c>
    </row>
    <row r="10">
      <c r="A10" t="inlineStr">
        <is>
          <t>CDIA.JK — PT Chandra Daya Investasi TBK.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8" customWidth="1" min="2" max="2"/>
    <col width="16" customWidth="1" min="3" max="3"/>
  </cols>
  <sheetData>
    <row r="1">
      <c r="A1" s="1" t="inlineStr">
        <is>
          <t>Driver decks (state/drivers) — edit a blue cell to flow it through every ticker tab</t>
        </is>
      </c>
    </row>
    <row r="3">
      <c r="A3" s="1" t="inlineStr">
        <is>
          <t>Variable</t>
        </is>
      </c>
      <c r="B3" s="1" t="inlineStr">
        <is>
          <t>Key</t>
        </is>
      </c>
      <c r="C3" s="1" t="inlineStr">
        <is>
          <t>Unit / status</t>
        </is>
      </c>
      <c r="D3" s="1" t="inlineStr">
        <is>
          <t>FY2022A</t>
        </is>
      </c>
      <c r="E3" s="1" t="inlineStr">
        <is>
          <t>FY2023A</t>
        </is>
      </c>
      <c r="F3" s="1" t="inlineStr">
        <is>
          <t>FY2024A</t>
        </is>
      </c>
      <c r="G3" s="1" t="inlineStr">
        <is>
          <t>FY2025A</t>
        </is>
      </c>
      <c r="H3" s="1" t="inlineStr">
        <is>
          <t>FY2026E</t>
        </is>
      </c>
      <c r="I3" s="1" t="inlineStr">
        <is>
          <t>FY2027E</t>
        </is>
      </c>
      <c r="J3" s="1" t="inlineStr">
        <is>
          <t>FY2028E</t>
        </is>
      </c>
      <c r="K3" s="1" t="inlineStr">
        <is>
          <t>FY2029E</t>
        </is>
      </c>
      <c r="L3" s="1" t="inlineStr">
        <is>
          <t>FY2030E</t>
        </is>
      </c>
      <c r="M3" s="1" t="inlineStr">
        <is>
          <t>FY2031E</t>
        </is>
      </c>
      <c r="N3" s="1" t="inlineStr">
        <is>
          <t>FY2032E</t>
        </is>
      </c>
      <c r="O3" s="1" t="inlineStr">
        <is>
          <t>FY2033E</t>
        </is>
      </c>
      <c r="P3" s="1" t="inlineStr">
        <is>
          <t>FY2034E</t>
        </is>
      </c>
      <c r="Q3" s="1" t="inlineStr">
        <is>
          <t>FY2035E</t>
        </is>
      </c>
      <c r="R3" s="1" t="inlineStr">
        <is>
          <t>FY2036E</t>
        </is>
      </c>
      <c r="S3" s="1" t="inlineStr">
        <is>
          <t>FY2037E</t>
        </is>
      </c>
      <c r="T3" s="1" t="inlineStr">
        <is>
          <t>FY2038E</t>
        </is>
      </c>
      <c r="U3" s="1" t="inlineStr">
        <is>
          <t>FY2039E</t>
        </is>
      </c>
      <c r="V3" s="1" t="inlineStr">
        <is>
          <t>FY2040E</t>
        </is>
      </c>
      <c r="W3" s="1" t="inlineStr">
        <is>
          <t>FY2041E</t>
        </is>
      </c>
      <c r="X3" s="1" t="inlineStr">
        <is>
          <t>FY2042E</t>
        </is>
      </c>
      <c r="Y3" s="1" t="inlineStr">
        <is>
          <t>FY2043E</t>
        </is>
      </c>
      <c r="Z3" s="1" t="inlineStr">
        <is>
          <t>FY2044E</t>
        </is>
      </c>
      <c r="AA3" s="1" t="inlineStr">
        <is>
          <t>FY2045E</t>
        </is>
      </c>
      <c r="AB3" s="1" t="inlineStr">
        <is>
          <t>FY2046E</t>
        </is>
      </c>
      <c r="AC3" s="1" t="inlineStr">
        <is>
          <t>FY2047E</t>
        </is>
      </c>
      <c r="AD3" s="1" t="inlineStr">
        <is>
          <t>FY2048E</t>
        </is>
      </c>
    </row>
    <row r="4">
      <c r="A4" t="inlineStr">
        <is>
          <t>IDR per USD</t>
        </is>
      </c>
      <c r="B4" t="inlineStr">
        <is>
          <t>m.usd_idr</t>
        </is>
      </c>
      <c r="C4" t="inlineStr">
        <is>
          <t>IDR/USD · reviewed</t>
        </is>
      </c>
      <c r="D4" s="3" t="n">
        <v>14843.1773</v>
      </c>
      <c r="E4" s="3" t="n">
        <v>15228.8</v>
      </c>
      <c r="F4" s="3" t="n">
        <v>15846.2378</v>
      </c>
      <c r="G4" s="3" t="n">
        <v>16448.0929</v>
      </c>
      <c r="H4" s="3" t="n">
        <v>17570</v>
      </c>
      <c r="I4" s="3" t="n">
        <v>18350</v>
      </c>
      <c r="J4" s="3" t="n">
        <v>18600</v>
      </c>
      <c r="K4" s="3" t="n">
        <v>18850</v>
      </c>
      <c r="L4" s="3" t="n">
        <v>19093.13725490196</v>
      </c>
      <c r="M4" s="3" t="n">
        <v>19186.73106497501</v>
      </c>
      <c r="N4" s="3" t="n">
        <v>19280.78366823469</v>
      </c>
      <c r="O4" s="3" t="n">
        <v>19375.29731366722</v>
      </c>
      <c r="P4" s="3" t="n">
        <v>19470.27426128323</v>
      </c>
      <c r="Q4" s="3" t="n">
        <v>19565.71678217187</v>
      </c>
      <c r="R4" s="3" t="n">
        <v>19661.62715855507</v>
      </c>
      <c r="S4" s="3" t="n">
        <v>19758.0076838421</v>
      </c>
      <c r="T4" s="3" t="n">
        <v>19854.86066268446</v>
      </c>
      <c r="U4" s="3" t="n">
        <v>19952.18841103096</v>
      </c>
      <c r="V4" s="3" t="n">
        <v>20049.99325618306</v>
      </c>
      <c r="W4" s="3" t="n">
        <v>20148.27753685063</v>
      </c>
      <c r="X4" s="3" t="n">
        <v>20247.04360320774</v>
      </c>
      <c r="Y4" s="3" t="n">
        <v>20346.29381694896</v>
      </c>
      <c r="Z4" s="3" t="n">
        <v>20446.03055134577</v>
      </c>
      <c r="AA4" s="3" t="n">
        <v>20546.25619130334</v>
      </c>
      <c r="AB4" s="3" t="n">
        <v>20646.97313341757</v>
      </c>
      <c r="AC4" s="3" t="n">
        <v>20748.18378603236</v>
      </c>
      <c r="AD4" s="3" t="n">
        <v>20849.89056929723</v>
      </c>
    </row>
    <row r="6">
      <c r="A6" s="1" t="inlineStr">
        <is>
          <t>Cost-of-capital scalars (macro deck)</t>
        </is>
      </c>
    </row>
    <row r="7">
      <c r="A7" t="inlineStr">
        <is>
          <t>10-year Indonesian government bond yield (IDR)</t>
        </is>
      </c>
      <c r="B7" t="inlineStr">
        <is>
          <t>m.rf_idr</t>
        </is>
      </c>
      <c r="C7" s="4" t="n">
        <v>0.0745</v>
      </c>
      <c r="D7" s="5" t="inlineStr">
        <is>
          <t>investor.id — "Yield SUN 7,45%, Saatnya Borong atau Tunggu Lebih Tinggi?" (25 Okt 2026 20:58 WIB; deck source S3); corroborated by kalderanews S1 (10Y SUN 7.41%</t>
        </is>
      </c>
    </row>
    <row r="8">
      <c r="A8" t="inlineStr">
        <is>
          <t>10-year US Treasury yield</t>
        </is>
      </c>
      <c r="B8" t="inlineStr">
        <is>
          <t>m.rf_usd</t>
        </is>
      </c>
      <c r="C8" s="4" t="n">
        <v>0.05009</v>
      </c>
      <c r="D8" s="5" t="inlineStr">
        <is>
          <t>Yahoo Finance ^TNX (US 10-year Treasury yield)</t>
        </is>
      </c>
    </row>
    <row r="9">
      <c r="A9" t="inlineStr">
        <is>
          <t>Indonesia sovereign default spread (Damodaran)</t>
        </is>
      </c>
      <c r="B9" t="inlineStr">
        <is>
          <t>m.default_spread_id</t>
        </is>
      </c>
      <c r="C9" s="4" t="n">
        <v>0.0162</v>
      </c>
      <c r="D9" s="5" t="inlineStr">
        <is>
          <t>Damodaran country risk premiums (https://pages.stern.nyu.edu/~adamodar/New_Home_Page/datafile/ctryprem.html), page dated January 5, 2026, read 2026-10-29</t>
        </is>
      </c>
    </row>
    <row r="10">
      <c r="A10" t="inlineStr">
        <is>
          <t>Mature-market equity risk premium (Damodaran)</t>
        </is>
      </c>
      <c r="B10" t="inlineStr">
        <is>
          <t>m.erp_mature</t>
        </is>
      </c>
      <c r="C10" s="4" t="n">
        <v>0.0423</v>
      </c>
      <c r="D10" s="5" t="inlineStr">
        <is>
          <t>Damodaran country risk premiums (https://pages.stern.nyu.edu/~adamodar/New_Home_Page/datafile/ctryprem.html), page dated January 5, 2026, read 2026-10-29</t>
        </is>
      </c>
    </row>
    <row r="11">
      <c r="A11" t="inlineStr">
        <is>
          <t>Indonesia country risk premium (Damodaran)</t>
        </is>
      </c>
      <c r="B11" t="inlineStr">
        <is>
          <t>m.crp_id</t>
        </is>
      </c>
      <c r="C11" s="4" t="n">
        <v>0.0246</v>
      </c>
      <c r="D11" s="5" t="inlineStr">
        <is>
          <t>Damodaran country risk premiums (https://pages.stern.nyu.edu/~adamodar/New_Home_Page/datafile/ctryprem.html), page dated January 5, 2026, read 2026-10-29</t>
        </is>
      </c>
    </row>
    <row r="12">
      <c r="A12" t="inlineStr">
        <is>
          <t>House pre-tax corporate debt spread over the risk-free</t>
        </is>
      </c>
      <c r="B12" t="inlineStr">
        <is>
          <t>m.debt_spread_corp</t>
        </is>
      </c>
      <c r="C12" s="4" t="n">
        <v>0.02</v>
      </c>
      <c r="D12" s="5" t="inlineStr">
        <is>
          <t>SEED house assumption pending the macro desk: 200 bp over the risk-free rate for an average IDX corporate borrower</t>
        </is>
      </c>
    </row>
    <row r="13">
      <c r="A13" t="inlineStr">
        <is>
          <t>Indonesia statutory corporate income tax rate</t>
        </is>
      </c>
      <c r="B13" t="inlineStr">
        <is>
          <t>m.tax_rate_id</t>
        </is>
      </c>
      <c r="C13" s="4" t="n">
        <v>0.22</v>
      </c>
      <c r="D13" s="5" t="inlineStr">
        <is>
          <t>Law 7/2021 on Harmonisation of Tax Regulations (UU HPP): 22% corporate income tax from fiscal 2022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2" max="2"/>
  </cols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Rating</t>
        </is>
      </c>
      <c r="D1" s="1" t="inlineStr">
        <is>
          <t>Target (IDR)</t>
        </is>
      </c>
      <c r="E1" s="1" t="inlineStr">
        <is>
          <t>Price (IDR)</t>
        </is>
      </c>
      <c r="F1" s="1" t="inlineStr">
        <is>
          <t>Exp. 12m TR</t>
        </is>
      </c>
      <c r="G1" s="1" t="inlineStr">
        <is>
          <t>Value today</t>
        </is>
      </c>
      <c r="H1" s="1" t="inlineStr">
        <is>
          <t>P/E FY+0</t>
        </is>
      </c>
      <c r="I1" s="1" t="inlineStr">
        <is>
          <t>EV/EBITDA FY+0</t>
        </is>
      </c>
      <c r="J1" s="1" t="inlineStr">
        <is>
          <t>Div. yield FY+0</t>
        </is>
      </c>
    </row>
    <row r="2">
      <c r="A2" t="inlineStr">
        <is>
          <t>BREN.JK</t>
        </is>
      </c>
      <c r="B2" t="inlineStr">
        <is>
          <t>PT Barito Renewables Energy Tbk</t>
        </is>
      </c>
      <c r="C2" s="6">
        <f>'BREN'!$C$154</f>
        <v/>
      </c>
      <c r="D2" s="7">
        <f>'BREN'!$C$152</f>
        <v/>
      </c>
      <c r="E2" s="7">
        <f>'BREN'!$C$76</f>
        <v/>
      </c>
      <c r="F2" s="8">
        <f>'BREN'!$C$153</f>
        <v/>
      </c>
      <c r="G2" s="7">
        <f>'BREN'!$C$133</f>
        <v/>
      </c>
      <c r="H2" s="9" t="n">
        <v>119.772902</v>
      </c>
      <c r="I2" s="9" t="n">
        <v>34.539579</v>
      </c>
      <c r="J2" s="10" t="n">
        <v>0</v>
      </c>
    </row>
    <row r="3">
      <c r="A3" t="inlineStr">
        <is>
          <t>CDIA.JK</t>
        </is>
      </c>
      <c r="B3" t="inlineStr">
        <is>
          <t>PT Chandra Daya Investasi TBK.</t>
        </is>
      </c>
      <c r="C3" s="6">
        <f>'CDIA'!$C$147</f>
        <v/>
      </c>
      <c r="D3" s="7">
        <f>'CDIA'!$C$145</f>
        <v/>
      </c>
      <c r="E3" s="7">
        <f>'CDIA'!$C$76</f>
        <v/>
      </c>
      <c r="F3" s="8">
        <f>'CDIA'!$C$146</f>
        <v/>
      </c>
      <c r="G3" s="7">
        <f>'CDIA'!$C$126</f>
        <v/>
      </c>
      <c r="H3" s="9" t="n">
        <v>116.543845</v>
      </c>
      <c r="I3" s="9" t="n">
        <v>78.217111</v>
      </c>
      <c r="J3" s="10" t="n">
        <v>0.002145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20" customWidth="1" min="2" max="2"/>
    <col width="14" customWidth="1" min="3" max="3"/>
  </cols>
  <sheetData>
    <row r="1">
      <c r="A1" s="11" t="inlineStr">
        <is>
          <t>PT Barito Renewables Energy Tbk (BREN.JK) — Power producers &amp; utilities</t>
        </is>
      </c>
    </row>
    <row r="2">
      <c r="A2" s="5" t="inlineStr">
        <is>
          <t>Units: USD m; per-share in USD unless marked IDR. Model asof 2026-10-29 · data 2026-10-27</t>
        </is>
      </c>
    </row>
    <row r="4">
      <c r="A4" s="1" t="inlineStr">
        <is>
          <t>Line</t>
        </is>
      </c>
      <c r="C4" s="1" t="inlineStr">
        <is>
          <t>Scalar</t>
        </is>
      </c>
      <c r="D4" s="1" t="inlineStr">
        <is>
          <t>FY2022A</t>
        </is>
      </c>
      <c r="E4" s="1" t="inlineStr">
        <is>
          <t>FY2023A</t>
        </is>
      </c>
      <c r="F4" s="1" t="inlineStr">
        <is>
          <t>FY2024A</t>
        </is>
      </c>
      <c r="G4" s="1" t="inlineStr">
        <is>
          <t>FY2025A</t>
        </is>
      </c>
      <c r="H4" s="1" t="inlineStr">
        <is>
          <t>FY2026E</t>
        </is>
      </c>
      <c r="I4" s="1" t="inlineStr">
        <is>
          <t>FY2027E</t>
        </is>
      </c>
      <c r="J4" s="1" t="inlineStr">
        <is>
          <t>FY2028E</t>
        </is>
      </c>
      <c r="K4" s="1" t="inlineStr">
        <is>
          <t>FY2029E</t>
        </is>
      </c>
      <c r="L4" s="1" t="inlineStr">
        <is>
          <t>FY2030E</t>
        </is>
      </c>
      <c r="M4" s="1" t="inlineStr">
        <is>
          <t>FY2031E</t>
        </is>
      </c>
      <c r="N4" s="1" t="inlineStr">
        <is>
          <t>FY2032E</t>
        </is>
      </c>
      <c r="O4" s="1" t="inlineStr">
        <is>
          <t>FY2033E</t>
        </is>
      </c>
      <c r="P4" s="1" t="inlineStr">
        <is>
          <t>FY2034E</t>
        </is>
      </c>
      <c r="Q4" s="1" t="inlineStr">
        <is>
          <t>FY2035E</t>
        </is>
      </c>
      <c r="R4" s="1" t="inlineStr">
        <is>
          <t>FY2036E</t>
        </is>
      </c>
      <c r="S4" s="1" t="inlineStr">
        <is>
          <t>FY2037E</t>
        </is>
      </c>
      <c r="T4" s="1" t="inlineStr">
        <is>
          <t>FY2038E</t>
        </is>
      </c>
      <c r="U4" s="1" t="inlineStr">
        <is>
          <t>FY2039E</t>
        </is>
      </c>
      <c r="V4" s="1" t="inlineStr">
        <is>
          <t>FY2040E</t>
        </is>
      </c>
      <c r="W4" s="1" t="inlineStr">
        <is>
          <t>FY2041E</t>
        </is>
      </c>
      <c r="X4" s="1" t="inlineStr">
        <is>
          <t>FY2042E</t>
        </is>
      </c>
      <c r="Y4" s="1" t="inlineStr">
        <is>
          <t>FY2043E</t>
        </is>
      </c>
      <c r="Z4" s="1" t="inlineStr">
        <is>
          <t>FY2044E</t>
        </is>
      </c>
      <c r="AA4" s="1" t="inlineStr">
        <is>
          <t>FY2045E</t>
        </is>
      </c>
      <c r="AB4" s="1" t="inlineStr">
        <is>
          <t>FY2046E</t>
        </is>
      </c>
      <c r="AC4" s="1" t="inlineStr">
        <is>
          <t>FY2047E</t>
        </is>
      </c>
      <c r="AD4" s="1" t="inlineStr">
        <is>
          <t>FY2048E</t>
        </is>
      </c>
    </row>
    <row r="6">
      <c r="A6" s="1" t="inlineStr">
        <is>
          <t>PARAMETERS</t>
        </is>
      </c>
    </row>
    <row r="7">
      <c r="A7" t="inlineStr">
        <is>
          <t>horizon</t>
        </is>
      </c>
      <c r="C7" s="12" t="n">
        <v>23</v>
      </c>
    </row>
    <row r="8">
      <c r="A8" t="inlineStr">
        <is>
          <t>ps_factor</t>
        </is>
      </c>
      <c r="C8" s="12" t="n">
        <v>1</v>
      </c>
    </row>
    <row r="9">
      <c r="A9" t="inlineStr">
        <is>
          <t>vp_factor</t>
        </is>
      </c>
      <c r="C9" s="12" t="n">
        <v>1</v>
      </c>
    </row>
    <row r="11">
      <c r="A11" s="1" t="inlineStr">
        <is>
          <t>INPUTS (company assumptions)</t>
        </is>
      </c>
    </row>
    <row r="12">
      <c r="A12" t="inlineStr">
        <is>
          <t>Revenue growth</t>
        </is>
      </c>
      <c r="B12" t="inlineStr">
        <is>
          <t>a.revenue_growth</t>
        </is>
      </c>
      <c r="H12" s="4" t="n">
        <v>0.06</v>
      </c>
      <c r="I12" s="4" t="n">
        <v>0.04</v>
      </c>
      <c r="J12" s="4" t="n">
        <v>0.01</v>
      </c>
      <c r="K12" s="4" t="n">
        <v>0.02</v>
      </c>
      <c r="L12" s="4" t="n">
        <v>0.02</v>
      </c>
      <c r="M12" s="4" t="n">
        <v>0.02</v>
      </c>
      <c r="N12" s="4" t="n">
        <v>0.02</v>
      </c>
      <c r="O12" s="4" t="n">
        <v>0.02</v>
      </c>
      <c r="P12" s="4" t="n">
        <v>0.02</v>
      </c>
      <c r="Q12" s="4" t="n">
        <v>0.02</v>
      </c>
      <c r="R12" s="4" t="n">
        <v>0.02</v>
      </c>
      <c r="S12" s="4" t="n">
        <v>0.02</v>
      </c>
      <c r="T12" s="4" t="n">
        <v>0.02</v>
      </c>
      <c r="U12" s="4" t="n">
        <v>-0.2572</v>
      </c>
      <c r="V12" s="4" t="n">
        <v>-0.5528999999999999</v>
      </c>
      <c r="W12" s="4" t="n">
        <v>-0.4235</v>
      </c>
      <c r="X12" s="4" t="n">
        <v>0.02</v>
      </c>
      <c r="Y12" s="4" t="n">
        <v>0.02</v>
      </c>
      <c r="Z12" s="4" t="n">
        <v>0.02</v>
      </c>
      <c r="AA12" s="4" t="n">
        <v>0.02</v>
      </c>
      <c r="AB12" s="4" t="n">
        <v>0.02</v>
      </c>
      <c r="AC12" s="4" t="n">
        <v>-0.6289</v>
      </c>
      <c r="AD12" s="4" t="n">
        <v>0.02</v>
      </c>
    </row>
    <row r="13">
      <c r="A13" t="inlineStr">
        <is>
          <t>Gross margin at base input costs</t>
        </is>
      </c>
      <c r="B13" t="inlineStr">
        <is>
          <t>a.gross_margin</t>
        </is>
      </c>
      <c r="H13" s="4" t="n">
        <v>0.9723000000000001</v>
      </c>
      <c r="I13" s="4" t="n">
        <v>0.9723000000000001</v>
      </c>
      <c r="J13" s="4" t="n">
        <v>0.9723000000000001</v>
      </c>
      <c r="K13" s="4" t="n">
        <v>0.9723000000000001</v>
      </c>
      <c r="L13" s="4" t="n">
        <v>0.9723000000000001</v>
      </c>
      <c r="M13" s="4" t="n">
        <v>0.9723000000000001</v>
      </c>
      <c r="N13" s="4" t="n">
        <v>0.9723000000000001</v>
      </c>
      <c r="O13" s="4" t="n">
        <v>0.9723000000000001</v>
      </c>
      <c r="P13" s="4" t="n">
        <v>0.9723000000000001</v>
      </c>
      <c r="Q13" s="4" t="n">
        <v>0.9723000000000001</v>
      </c>
      <c r="R13" s="4" t="n">
        <v>0.9723000000000001</v>
      </c>
      <c r="S13" s="4" t="n">
        <v>0.9723000000000001</v>
      </c>
      <c r="T13" s="4" t="n">
        <v>0.9723000000000001</v>
      </c>
      <c r="U13" s="4" t="n">
        <v>0.9723000000000001</v>
      </c>
      <c r="V13" s="4" t="n">
        <v>0.9723000000000001</v>
      </c>
      <c r="W13" s="4" t="n">
        <v>0.9723000000000001</v>
      </c>
      <c r="X13" s="4" t="n">
        <v>0.9723000000000001</v>
      </c>
      <c r="Y13" s="4" t="n">
        <v>0.9723000000000001</v>
      </c>
      <c r="Z13" s="4" t="n">
        <v>0.9723000000000001</v>
      </c>
      <c r="AA13" s="4" t="n">
        <v>0.9723000000000001</v>
      </c>
      <c r="AB13" s="4" t="n">
        <v>0.9723000000000001</v>
      </c>
      <c r="AC13" s="4" t="n">
        <v>0.9723000000000001</v>
      </c>
      <c r="AD13" s="4" t="n">
        <v>0.9723000000000001</v>
      </c>
    </row>
    <row r="14">
      <c r="A14" t="inlineStr">
        <is>
          <t>SG&amp;A / revenue</t>
        </is>
      </c>
      <c r="B14" t="inlineStr">
        <is>
          <t>a.opex_pct</t>
        </is>
      </c>
      <c r="H14" s="4" t="n">
        <v>0.2569</v>
      </c>
      <c r="I14" s="4" t="n">
        <v>0.2569</v>
      </c>
      <c r="J14" s="4" t="n">
        <v>0.2569</v>
      </c>
      <c r="K14" s="4" t="n">
        <v>0.2569</v>
      </c>
      <c r="L14" s="4" t="n">
        <v>0.2569</v>
      </c>
      <c r="M14" s="4" t="n">
        <v>0.2569</v>
      </c>
      <c r="N14" s="4" t="n">
        <v>0.2569</v>
      </c>
      <c r="O14" s="4" t="n">
        <v>0.2569</v>
      </c>
      <c r="P14" s="4" t="n">
        <v>0.2569</v>
      </c>
      <c r="Q14" s="4" t="n">
        <v>0.2569</v>
      </c>
      <c r="R14" s="4" t="n">
        <v>0.2569</v>
      </c>
      <c r="S14" s="4" t="n">
        <v>0.2569</v>
      </c>
      <c r="T14" s="4" t="n">
        <v>0.2569</v>
      </c>
      <c r="U14" s="4" t="n">
        <v>0.2569</v>
      </c>
      <c r="V14" s="4" t="n">
        <v>0.2569</v>
      </c>
      <c r="W14" s="4" t="n">
        <v>0.2569</v>
      </c>
      <c r="X14" s="4" t="n">
        <v>0.2569</v>
      </c>
      <c r="Y14" s="4" t="n">
        <v>0.2569</v>
      </c>
      <c r="Z14" s="4" t="n">
        <v>0.2569</v>
      </c>
      <c r="AA14" s="4" t="n">
        <v>0.2569</v>
      </c>
      <c r="AB14" s="4" t="n">
        <v>0.2569</v>
      </c>
      <c r="AC14" s="4" t="n">
        <v>0.2569</v>
      </c>
      <c r="AD14" s="4" t="n">
        <v>0.2569</v>
      </c>
    </row>
    <row r="15">
      <c r="A15" t="inlineStr">
        <is>
          <t>D&amp;A / revenue</t>
        </is>
      </c>
      <c r="B15" t="inlineStr">
        <is>
          <t>a.da_pct</t>
        </is>
      </c>
      <c r="H15" s="4" t="n">
        <v>0.155</v>
      </c>
      <c r="I15" s="4" t="n">
        <v>0.156</v>
      </c>
      <c r="J15" s="4" t="n">
        <v>0.158</v>
      </c>
      <c r="K15" s="4" t="n">
        <v>0.16</v>
      </c>
      <c r="L15" s="4" t="n">
        <v>0.158</v>
      </c>
      <c r="M15" s="4" t="n">
        <v>0.155</v>
      </c>
      <c r="N15" s="4" t="n">
        <v>0.155</v>
      </c>
      <c r="O15" s="4" t="n">
        <v>0.155</v>
      </c>
      <c r="P15" s="4" t="n">
        <v>0.155</v>
      </c>
      <c r="Q15" s="4" t="n">
        <v>0.155</v>
      </c>
      <c r="R15" s="4" t="n">
        <v>0.155</v>
      </c>
      <c r="S15" s="4" t="n">
        <v>0.155</v>
      </c>
      <c r="T15" s="4" t="n">
        <v>0.155</v>
      </c>
      <c r="U15" s="4" t="n">
        <v>0.155</v>
      </c>
      <c r="V15" s="4" t="n">
        <v>0.155</v>
      </c>
      <c r="W15" s="4" t="n">
        <v>0.155</v>
      </c>
      <c r="X15" s="4" t="n">
        <v>0.155</v>
      </c>
      <c r="Y15" s="4" t="n">
        <v>0.155</v>
      </c>
      <c r="Z15" s="4" t="n">
        <v>0.155</v>
      </c>
      <c r="AA15" s="4" t="n">
        <v>0.155</v>
      </c>
      <c r="AB15" s="4" t="n">
        <v>0.155</v>
      </c>
      <c r="AC15" s="4" t="n">
        <v>0.155</v>
      </c>
      <c r="AD15" s="4" t="n">
        <v>0.155</v>
      </c>
    </row>
    <row r="16">
      <c r="A16" t="inlineStr">
        <is>
          <t>Capex / revenue</t>
        </is>
      </c>
      <c r="B16" t="inlineStr">
        <is>
          <t>a.capex_pct</t>
        </is>
      </c>
      <c r="H16" s="4" t="n">
        <v>0.3</v>
      </c>
      <c r="I16" s="4" t="n">
        <v>0.27</v>
      </c>
      <c r="J16" s="4" t="n">
        <v>0.22</v>
      </c>
      <c r="K16" s="4" t="n">
        <v>0.2</v>
      </c>
      <c r="L16" s="4" t="n">
        <v>0.18</v>
      </c>
      <c r="M16" s="4" t="n">
        <v>0.16</v>
      </c>
      <c r="N16" s="4" t="n">
        <v>0.16</v>
      </c>
      <c r="O16" s="4" t="n">
        <v>0.16</v>
      </c>
      <c r="P16" s="4" t="n">
        <v>0.16</v>
      </c>
      <c r="Q16" s="4" t="n">
        <v>0.16</v>
      </c>
      <c r="R16" s="4" t="n">
        <v>0.16</v>
      </c>
      <c r="S16" s="4" t="n">
        <v>0.16</v>
      </c>
      <c r="T16" s="4" t="n">
        <v>0.16</v>
      </c>
      <c r="U16" s="4" t="n">
        <v>0.16</v>
      </c>
      <c r="V16" s="4" t="n">
        <v>0.16</v>
      </c>
      <c r="W16" s="4" t="n">
        <v>0.16</v>
      </c>
      <c r="X16" s="4" t="n">
        <v>0.16</v>
      </c>
      <c r="Y16" s="4" t="n">
        <v>0.16</v>
      </c>
      <c r="Z16" s="4" t="n">
        <v>0.16</v>
      </c>
      <c r="AA16" s="4" t="n">
        <v>0.16</v>
      </c>
      <c r="AB16" s="4" t="n">
        <v>0.16</v>
      </c>
      <c r="AC16" s="4" t="n">
        <v>0.16</v>
      </c>
      <c r="AD16" s="4" t="n">
        <v>0.16</v>
      </c>
    </row>
    <row r="17">
      <c r="A17" t="inlineStr">
        <is>
          <t>Operating working capital / revenue</t>
        </is>
      </c>
      <c r="B17" t="inlineStr">
        <is>
          <t>a.nwc_pct</t>
        </is>
      </c>
      <c r="H17" s="4" t="n">
        <v>0.5467</v>
      </c>
      <c r="I17" s="4" t="n">
        <v>0.5467</v>
      </c>
      <c r="J17" s="4" t="n">
        <v>0.5467</v>
      </c>
      <c r="K17" s="4" t="n">
        <v>0.5467</v>
      </c>
      <c r="L17" s="4" t="n">
        <v>0.5467</v>
      </c>
      <c r="M17" s="4" t="n">
        <v>0.5467</v>
      </c>
      <c r="N17" s="4" t="n">
        <v>0.5467</v>
      </c>
      <c r="O17" s="4" t="n">
        <v>0.5467</v>
      </c>
      <c r="P17" s="4" t="n">
        <v>0.5467</v>
      </c>
      <c r="Q17" s="4" t="n">
        <v>0.5467</v>
      </c>
      <c r="R17" s="4" t="n">
        <v>0.5467</v>
      </c>
      <c r="S17" s="4" t="n">
        <v>0.5467</v>
      </c>
      <c r="T17" s="4" t="n">
        <v>0.5467</v>
      </c>
      <c r="U17" s="4" t="n">
        <v>0.5467</v>
      </c>
      <c r="V17" s="4" t="n">
        <v>0.5467</v>
      </c>
      <c r="W17" s="4" t="n">
        <v>0.5467</v>
      </c>
      <c r="X17" s="4" t="n">
        <v>0.5467</v>
      </c>
      <c r="Y17" s="4" t="n">
        <v>0.5467</v>
      </c>
      <c r="Z17" s="4" t="n">
        <v>0.5467</v>
      </c>
      <c r="AA17" s="4" t="n">
        <v>0.5467</v>
      </c>
      <c r="AB17" s="4" t="n">
        <v>0.5467</v>
      </c>
      <c r="AC17" s="4" t="n">
        <v>0.5467</v>
      </c>
      <c r="AD17" s="4" t="n">
        <v>0.5467</v>
      </c>
    </row>
    <row r="18">
      <c r="A18" t="inlineStr">
        <is>
          <t>Effective tax rate</t>
        </is>
      </c>
      <c r="B18" t="inlineStr">
        <is>
          <t>a.tax_rate</t>
        </is>
      </c>
      <c r="H18" s="4" t="n">
        <v>0.46</v>
      </c>
      <c r="I18" s="4" t="n">
        <v>0.46</v>
      </c>
      <c r="J18" s="4" t="n">
        <v>0.46</v>
      </c>
      <c r="K18" s="4" t="n">
        <v>0.46</v>
      </c>
      <c r="L18" s="4" t="n">
        <v>0.46</v>
      </c>
      <c r="M18" s="4" t="n">
        <v>0.46</v>
      </c>
      <c r="N18" s="4" t="n">
        <v>0.46</v>
      </c>
      <c r="O18" s="4" t="n">
        <v>0.46</v>
      </c>
      <c r="P18" s="4" t="n">
        <v>0.46</v>
      </c>
      <c r="Q18" s="4" t="n">
        <v>0.46</v>
      </c>
      <c r="R18" s="4" t="n">
        <v>0.46</v>
      </c>
      <c r="S18" s="4" t="n">
        <v>0.46</v>
      </c>
      <c r="T18" s="4" t="n">
        <v>0.46</v>
      </c>
      <c r="U18" s="4" t="n">
        <v>0.46</v>
      </c>
      <c r="V18" s="4" t="n">
        <v>0.46</v>
      </c>
      <c r="W18" s="4" t="n">
        <v>0.46</v>
      </c>
      <c r="X18" s="4" t="n">
        <v>0.46</v>
      </c>
      <c r="Y18" s="4" t="n">
        <v>0.46</v>
      </c>
      <c r="Z18" s="4" t="n">
        <v>0.46</v>
      </c>
      <c r="AA18" s="4" t="n">
        <v>0.46</v>
      </c>
      <c r="AB18" s="4" t="n">
        <v>0.46</v>
      </c>
      <c r="AC18" s="4" t="n">
        <v>0.46</v>
      </c>
      <c r="AD18" s="4" t="n">
        <v>0.46</v>
      </c>
    </row>
    <row r="19">
      <c r="A19" t="inlineStr">
        <is>
          <t>Cost of debt (on opening debt)</t>
        </is>
      </c>
      <c r="B19" t="inlineStr">
        <is>
          <t>a.cost_of_debt</t>
        </is>
      </c>
      <c r="C19" s="4" t="n">
        <v>0.0565</v>
      </c>
    </row>
    <row r="20">
      <c r="A20" t="inlineStr">
        <is>
          <t>Yield on opening cash</t>
        </is>
      </c>
      <c r="B20" t="inlineStr">
        <is>
          <t>a.cash_yield</t>
        </is>
      </c>
      <c r="C20" s="4" t="n">
        <v>0.0731</v>
      </c>
    </row>
    <row r="21">
      <c r="A21" t="inlineStr">
        <is>
          <t>Net new borrowing</t>
        </is>
      </c>
      <c r="B21" t="inlineStr">
        <is>
          <t>a.net_borrowing</t>
        </is>
      </c>
      <c r="H21" s="13" t="n">
        <v>0</v>
      </c>
      <c r="I21" s="13" t="n">
        <v>0</v>
      </c>
      <c r="J21" s="13" t="n">
        <v>0</v>
      </c>
      <c r="K21" s="13" t="n">
        <v>0</v>
      </c>
      <c r="L21" s="13" t="n">
        <v>0</v>
      </c>
      <c r="M21" s="13" t="n">
        <v>0</v>
      </c>
      <c r="N21" s="13" t="n">
        <v>0</v>
      </c>
      <c r="O21" s="13" t="n">
        <v>0</v>
      </c>
      <c r="P21" s="13" t="n">
        <v>0</v>
      </c>
      <c r="Q21" s="13" t="n">
        <v>0</v>
      </c>
      <c r="R21" s="13" t="n">
        <v>0</v>
      </c>
      <c r="S21" s="13" t="n">
        <v>0</v>
      </c>
      <c r="T21" s="13" t="n">
        <v>0</v>
      </c>
      <c r="U21" s="13" t="n">
        <v>0</v>
      </c>
      <c r="V21" s="13" t="n">
        <v>0</v>
      </c>
      <c r="W21" s="13" t="n">
        <v>0</v>
      </c>
      <c r="X21" s="13" t="n">
        <v>0</v>
      </c>
      <c r="Y21" s="13" t="n">
        <v>0</v>
      </c>
      <c r="Z21" s="13" t="n">
        <v>0</v>
      </c>
      <c r="AA21" s="13" t="n">
        <v>0</v>
      </c>
      <c r="AB21" s="13" t="n">
        <v>0</v>
      </c>
      <c r="AC21" s="13" t="n">
        <v>0</v>
      </c>
      <c r="AD21" s="13" t="n">
        <v>0</v>
      </c>
    </row>
    <row r="22">
      <c r="A22" t="inlineStr">
        <is>
          <t>Other non-operating items</t>
        </is>
      </c>
      <c r="B22" t="inlineStr">
        <is>
          <t>a.other_nonop</t>
        </is>
      </c>
      <c r="H22" s="13" t="n">
        <v>-20.144</v>
      </c>
      <c r="I22" s="13" t="n">
        <v>-20.144</v>
      </c>
      <c r="J22" s="13" t="n">
        <v>-20.144</v>
      </c>
      <c r="K22" s="13" t="n">
        <v>-20.144</v>
      </c>
      <c r="L22" s="13" t="n">
        <v>-20.144</v>
      </c>
      <c r="M22" s="13" t="n">
        <v>-20.54688</v>
      </c>
      <c r="N22" s="13" t="n">
        <v>-20.9578176</v>
      </c>
      <c r="O22" s="13" t="n">
        <v>-21.376973952</v>
      </c>
      <c r="P22" s="13" t="n">
        <v>-21.80451343104</v>
      </c>
      <c r="Q22" s="13" t="n">
        <v>-22.2406036996608</v>
      </c>
      <c r="R22" s="13" t="n">
        <v>-22.68541577365401</v>
      </c>
      <c r="S22" s="13" t="n">
        <v>-23.13912408912709</v>
      </c>
      <c r="T22" s="13" t="n">
        <v>-23.60190657090964</v>
      </c>
      <c r="U22" s="13" t="n">
        <v>-24.07394470232783</v>
      </c>
      <c r="V22" s="13" t="n">
        <v>-24.55542359637439</v>
      </c>
      <c r="W22" s="13" t="n">
        <v>-25.04653206830188</v>
      </c>
      <c r="X22" s="13" t="n">
        <v>-25.54746270966791</v>
      </c>
      <c r="Y22" s="13" t="n">
        <v>-26.05841196386127</v>
      </c>
      <c r="Z22" s="13" t="n">
        <v>-26.5795802031385</v>
      </c>
      <c r="AA22" s="13" t="n">
        <v>-27.11117180720127</v>
      </c>
      <c r="AB22" s="13" t="n">
        <v>-27.65339524334529</v>
      </c>
      <c r="AC22" s="13" t="n">
        <v>-28.2064631482122</v>
      </c>
      <c r="AD22" s="13" t="n">
        <v>-28.77059241117645</v>
      </c>
    </row>
    <row r="23">
      <c r="A23" t="inlineStr">
        <is>
          <t>Minorities' share of net profit</t>
        </is>
      </c>
      <c r="B23" t="inlineStr">
        <is>
          <t>a.minority_pct</t>
        </is>
      </c>
      <c r="H23" s="4" t="n">
        <v>0.199</v>
      </c>
      <c r="I23" s="4" t="n">
        <v>0.199</v>
      </c>
      <c r="J23" s="4" t="n">
        <v>0.199</v>
      </c>
      <c r="K23" s="4" t="n">
        <v>0.199</v>
      </c>
      <c r="L23" s="4" t="n">
        <v>0.199</v>
      </c>
      <c r="M23" s="4" t="n">
        <v>0.199</v>
      </c>
      <c r="N23" s="4" t="n">
        <v>0.199</v>
      </c>
      <c r="O23" s="4" t="n">
        <v>0.199</v>
      </c>
      <c r="P23" s="4" t="n">
        <v>0.199</v>
      </c>
      <c r="Q23" s="4" t="n">
        <v>0.199</v>
      </c>
      <c r="R23" s="4" t="n">
        <v>0.199</v>
      </c>
      <c r="S23" s="4" t="n">
        <v>0.199</v>
      </c>
      <c r="T23" s="4" t="n">
        <v>0.199</v>
      </c>
      <c r="U23" s="4" t="n">
        <v>0.199</v>
      </c>
      <c r="V23" s="4" t="n">
        <v>0.199</v>
      </c>
      <c r="W23" s="4" t="n">
        <v>0.199</v>
      </c>
      <c r="X23" s="4" t="n">
        <v>0.199</v>
      </c>
      <c r="Y23" s="4" t="n">
        <v>0.199</v>
      </c>
      <c r="Z23" s="4" t="n">
        <v>0.199</v>
      </c>
      <c r="AA23" s="4" t="n">
        <v>0.199</v>
      </c>
      <c r="AB23" s="4" t="n">
        <v>0.199</v>
      </c>
      <c r="AC23" s="4" t="n">
        <v>0.199</v>
      </c>
      <c r="AD23" s="4" t="n">
        <v>0.199</v>
      </c>
    </row>
    <row r="24">
      <c r="A24" t="inlineStr">
        <is>
          <t>Dividend payout</t>
        </is>
      </c>
      <c r="B24" t="inlineStr">
        <is>
          <t>a.payout</t>
        </is>
      </c>
      <c r="H24" s="4" t="n">
        <v>0</v>
      </c>
      <c r="I24" s="4" t="n">
        <v>0</v>
      </c>
      <c r="J24" s="4" t="n">
        <v>0</v>
      </c>
      <c r="K24" s="4" t="n">
        <v>0.2</v>
      </c>
      <c r="L24" s="4" t="n">
        <v>0.2</v>
      </c>
      <c r="M24" s="4" t="n">
        <v>0.2</v>
      </c>
      <c r="N24" s="4" t="n">
        <v>0.2</v>
      </c>
      <c r="O24" s="4" t="n">
        <v>0.2</v>
      </c>
      <c r="P24" s="4" t="n">
        <v>0.2</v>
      </c>
      <c r="Q24" s="4" t="n">
        <v>0.2</v>
      </c>
      <c r="R24" s="4" t="n">
        <v>0.2</v>
      </c>
      <c r="S24" s="4" t="n">
        <v>0.2</v>
      </c>
      <c r="T24" s="4" t="n">
        <v>0.2</v>
      </c>
      <c r="U24" s="4" t="n">
        <v>0.2</v>
      </c>
      <c r="V24" s="4" t="n">
        <v>0.2</v>
      </c>
      <c r="W24" s="4" t="n">
        <v>0.2</v>
      </c>
      <c r="X24" s="4" t="n">
        <v>0.2</v>
      </c>
      <c r="Y24" s="4" t="n">
        <v>0.2</v>
      </c>
      <c r="Z24" s="4" t="n">
        <v>0.2</v>
      </c>
      <c r="AA24" s="4" t="n">
        <v>0.2</v>
      </c>
      <c r="AB24" s="4" t="n">
        <v>0.2</v>
      </c>
      <c r="AC24" s="4" t="n">
        <v>0.2</v>
      </c>
      <c r="AD24" s="4" t="n">
        <v>0.2</v>
      </c>
    </row>
    <row r="25">
      <c r="A25" t="inlineStr">
        <is>
          <t>Change in share count</t>
        </is>
      </c>
      <c r="B25" t="inlineStr">
        <is>
          <t>a.share_change</t>
        </is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0</v>
      </c>
      <c r="O25" s="4" t="n">
        <v>0</v>
      </c>
      <c r="P25" s="4" t="n">
        <v>0</v>
      </c>
      <c r="Q25" s="4" t="n">
        <v>0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4" t="n">
        <v>0</v>
      </c>
      <c r="Z25" s="4" t="n">
        <v>0</v>
      </c>
      <c r="AA25" s="4" t="n">
        <v>0</v>
      </c>
      <c r="AB25" s="4" t="n">
        <v>0</v>
      </c>
      <c r="AC25" s="4" t="n">
        <v>0</v>
      </c>
      <c r="AD25" s="4" t="n">
        <v>0</v>
      </c>
    </row>
    <row r="26">
      <c r="A26" t="inlineStr">
        <is>
          <t>Terminal growth (DCF)</t>
        </is>
      </c>
      <c r="B26" t="inlineStr">
        <is>
          <t>a.terminal_growth</t>
        </is>
      </c>
      <c r="C26" s="4" t="n">
        <v>0.02</v>
      </c>
    </row>
    <row r="28">
      <c r="A28" s="1" t="inlineStr">
        <is>
          <t>MODEL</t>
        </is>
      </c>
    </row>
    <row r="29">
      <c r="A29" t="inlineStr">
        <is>
          <t>Revenue</t>
        </is>
      </c>
      <c r="B29" t="inlineStr">
        <is>
          <t>revenue</t>
        </is>
      </c>
      <c r="D29" s="13" t="n">
        <v>569.78</v>
      </c>
      <c r="E29" s="13" t="n">
        <v>594.937</v>
      </c>
      <c r="F29" s="13" t="n">
        <v>596.823</v>
      </c>
      <c r="G29" s="13" t="n">
        <v>605.187</v>
      </c>
      <c r="H29" s="14">
        <f>(G29*(1+H12))</f>
        <v/>
      </c>
      <c r="I29" s="14">
        <f>(H29*(1+I12))</f>
        <v/>
      </c>
      <c r="J29" s="14">
        <f>(I29*(1+J12))</f>
        <v/>
      </c>
      <c r="K29" s="14">
        <f>(J29*(1+K12))</f>
        <v/>
      </c>
      <c r="L29" s="14">
        <f>(K29*(1+L12))</f>
        <v/>
      </c>
      <c r="M29" s="14">
        <f>(L29*(1+M12))</f>
        <v/>
      </c>
      <c r="N29" s="14">
        <f>(M29*(1+N12))</f>
        <v/>
      </c>
      <c r="O29" s="14">
        <f>(N29*(1+O12))</f>
        <v/>
      </c>
      <c r="P29" s="14">
        <f>(O29*(1+P12))</f>
        <v/>
      </c>
      <c r="Q29" s="14">
        <f>(P29*(1+Q12))</f>
        <v/>
      </c>
      <c r="R29" s="14">
        <f>(Q29*(1+R12))</f>
        <v/>
      </c>
      <c r="S29" s="14">
        <f>(R29*(1+S12))</f>
        <v/>
      </c>
      <c r="T29" s="14">
        <f>(S29*(1+T12))</f>
        <v/>
      </c>
      <c r="U29" s="14">
        <f>(T29*(1+U12))</f>
        <v/>
      </c>
      <c r="V29" s="14">
        <f>(U29*(1+V12))</f>
        <v/>
      </c>
      <c r="W29" s="14">
        <f>(V29*(1+W12))</f>
        <v/>
      </c>
      <c r="X29" s="14">
        <f>(W29*(1+X12))</f>
        <v/>
      </c>
      <c r="Y29" s="14">
        <f>(X29*(1+Y12))</f>
        <v/>
      </c>
      <c r="Z29" s="14">
        <f>(Y29*(1+Z12))</f>
        <v/>
      </c>
      <c r="AA29" s="14">
        <f>(Z29*(1+AA12))</f>
        <v/>
      </c>
      <c r="AB29" s="14">
        <f>(AA29*(1+AB12))</f>
        <v/>
      </c>
      <c r="AC29" s="14">
        <f>(AB29*(1+AC12))</f>
        <v/>
      </c>
      <c r="AD29" s="14">
        <f>(AC29*(1+AD12))</f>
        <v/>
      </c>
    </row>
    <row r="30">
      <c r="A30" t="inlineStr">
        <is>
          <t>Cost of revenue</t>
        </is>
      </c>
      <c r="B30" t="inlineStr">
        <is>
          <t>cogs</t>
        </is>
      </c>
      <c r="D30" s="13" t="n"/>
      <c r="E30" s="13" t="n"/>
      <c r="F30" s="13" t="n"/>
      <c r="G30" s="13" t="n"/>
      <c r="H30" s="14">
        <f>(H29*(1-H13))</f>
        <v/>
      </c>
      <c r="I30" s="14">
        <f>(I29*(1-I13))</f>
        <v/>
      </c>
      <c r="J30" s="14">
        <f>(J29*(1-J13))</f>
        <v/>
      </c>
      <c r="K30" s="14">
        <f>(K29*(1-K13))</f>
        <v/>
      </c>
      <c r="L30" s="14">
        <f>(L29*(1-L13))</f>
        <v/>
      </c>
      <c r="M30" s="14">
        <f>(M29*(1-M13))</f>
        <v/>
      </c>
      <c r="N30" s="14">
        <f>(N29*(1-N13))</f>
        <v/>
      </c>
      <c r="O30" s="14">
        <f>(O29*(1-O13))</f>
        <v/>
      </c>
      <c r="P30" s="14">
        <f>(P29*(1-P13))</f>
        <v/>
      </c>
      <c r="Q30" s="14">
        <f>(Q29*(1-Q13))</f>
        <v/>
      </c>
      <c r="R30" s="14">
        <f>(R29*(1-R13))</f>
        <v/>
      </c>
      <c r="S30" s="14">
        <f>(S29*(1-S13))</f>
        <v/>
      </c>
      <c r="T30" s="14">
        <f>(T29*(1-T13))</f>
        <v/>
      </c>
      <c r="U30" s="14">
        <f>(U29*(1-U13))</f>
        <v/>
      </c>
      <c r="V30" s="14">
        <f>(V29*(1-V13))</f>
        <v/>
      </c>
      <c r="W30" s="14">
        <f>(W29*(1-W13))</f>
        <v/>
      </c>
      <c r="X30" s="14">
        <f>(X29*(1-X13))</f>
        <v/>
      </c>
      <c r="Y30" s="14">
        <f>(Y29*(1-Y13))</f>
        <v/>
      </c>
      <c r="Z30" s="14">
        <f>(Z29*(1-Z13))</f>
        <v/>
      </c>
      <c r="AA30" s="14">
        <f>(AA29*(1-AA13))</f>
        <v/>
      </c>
      <c r="AB30" s="14">
        <f>(AB29*(1-AB13))</f>
        <v/>
      </c>
      <c r="AC30" s="14">
        <f>(AC29*(1-AC13))</f>
        <v/>
      </c>
      <c r="AD30" s="14">
        <f>(AD29*(1-AD13))</f>
        <v/>
      </c>
    </row>
    <row r="31">
      <c r="A31" t="inlineStr">
        <is>
          <t>Gross profit</t>
        </is>
      </c>
      <c r="B31" t="inlineStr">
        <is>
          <t>gross_profit</t>
        </is>
      </c>
      <c r="D31" s="13" t="n"/>
      <c r="E31" s="13" t="n"/>
      <c r="F31" s="13" t="n"/>
      <c r="G31" s="13" t="n"/>
      <c r="H31" s="14">
        <f>(H29-H30)</f>
        <v/>
      </c>
      <c r="I31" s="14">
        <f>(I29-I30)</f>
        <v/>
      </c>
      <c r="J31" s="14">
        <f>(J29-J30)</f>
        <v/>
      </c>
      <c r="K31" s="14">
        <f>(K29-K30)</f>
        <v/>
      </c>
      <c r="L31" s="14">
        <f>(L29-L30)</f>
        <v/>
      </c>
      <c r="M31" s="14">
        <f>(M29-M30)</f>
        <v/>
      </c>
      <c r="N31" s="14">
        <f>(N29-N30)</f>
        <v/>
      </c>
      <c r="O31" s="14">
        <f>(O29-O30)</f>
        <v/>
      </c>
      <c r="P31" s="14">
        <f>(P29-P30)</f>
        <v/>
      </c>
      <c r="Q31" s="14">
        <f>(Q29-Q30)</f>
        <v/>
      </c>
      <c r="R31" s="14">
        <f>(R29-R30)</f>
        <v/>
      </c>
      <c r="S31" s="14">
        <f>(S29-S30)</f>
        <v/>
      </c>
      <c r="T31" s="14">
        <f>(T29-T30)</f>
        <v/>
      </c>
      <c r="U31" s="14">
        <f>(U29-U30)</f>
        <v/>
      </c>
      <c r="V31" s="14">
        <f>(V29-V30)</f>
        <v/>
      </c>
      <c r="W31" s="14">
        <f>(W29-W30)</f>
        <v/>
      </c>
      <c r="X31" s="14">
        <f>(X29-X30)</f>
        <v/>
      </c>
      <c r="Y31" s="14">
        <f>(Y29-Y30)</f>
        <v/>
      </c>
      <c r="Z31" s="14">
        <f>(Z29-Z30)</f>
        <v/>
      </c>
      <c r="AA31" s="14">
        <f>(AA29-AA30)</f>
        <v/>
      </c>
      <c r="AB31" s="14">
        <f>(AB29-AB30)</f>
        <v/>
      </c>
      <c r="AC31" s="14">
        <f>(AC29-AC30)</f>
        <v/>
      </c>
      <c r="AD31" s="14">
        <f>(AD29-AD30)</f>
        <v/>
      </c>
    </row>
    <row r="32">
      <c r="A32" t="inlineStr">
        <is>
          <t>SG&amp;A and other opex</t>
        </is>
      </c>
      <c r="B32" t="inlineStr">
        <is>
          <t>opex</t>
        </is>
      </c>
      <c r="D32" s="13" t="n"/>
      <c r="E32" s="13" t="n"/>
      <c r="F32" s="13" t="n"/>
      <c r="G32" s="13" t="n"/>
      <c r="H32" s="14">
        <f>(H29*H14)</f>
        <v/>
      </c>
      <c r="I32" s="14">
        <f>(I29*I14)</f>
        <v/>
      </c>
      <c r="J32" s="14">
        <f>(J29*J14)</f>
        <v/>
      </c>
      <c r="K32" s="14">
        <f>(K29*K14)</f>
        <v/>
      </c>
      <c r="L32" s="14">
        <f>(L29*L14)</f>
        <v/>
      </c>
      <c r="M32" s="14">
        <f>(M29*M14)</f>
        <v/>
      </c>
      <c r="N32" s="14">
        <f>(N29*N14)</f>
        <v/>
      </c>
      <c r="O32" s="14">
        <f>(O29*O14)</f>
        <v/>
      </c>
      <c r="P32" s="14">
        <f>(P29*P14)</f>
        <v/>
      </c>
      <c r="Q32" s="14">
        <f>(Q29*Q14)</f>
        <v/>
      </c>
      <c r="R32" s="14">
        <f>(R29*R14)</f>
        <v/>
      </c>
      <c r="S32" s="14">
        <f>(S29*S14)</f>
        <v/>
      </c>
      <c r="T32" s="14">
        <f>(T29*T14)</f>
        <v/>
      </c>
      <c r="U32" s="14">
        <f>(U29*U14)</f>
        <v/>
      </c>
      <c r="V32" s="14">
        <f>(V29*V14)</f>
        <v/>
      </c>
      <c r="W32" s="14">
        <f>(W29*W14)</f>
        <v/>
      </c>
      <c r="X32" s="14">
        <f>(X29*X14)</f>
        <v/>
      </c>
      <c r="Y32" s="14">
        <f>(Y29*Y14)</f>
        <v/>
      </c>
      <c r="Z32" s="14">
        <f>(Z29*Z14)</f>
        <v/>
      </c>
      <c r="AA32" s="14">
        <f>(AA29*AA14)</f>
        <v/>
      </c>
      <c r="AB32" s="14">
        <f>(AB29*AB14)</f>
        <v/>
      </c>
      <c r="AC32" s="14">
        <f>(AC29*AC14)</f>
        <v/>
      </c>
      <c r="AD32" s="14">
        <f>(AD29*AD14)</f>
        <v/>
      </c>
    </row>
    <row r="33">
      <c r="A33" t="inlineStr">
        <is>
          <t>EBIT</t>
        </is>
      </c>
      <c r="B33" t="inlineStr">
        <is>
          <t>ebit</t>
        </is>
      </c>
      <c r="D33" s="13" t="n">
        <v>427.293</v>
      </c>
      <c r="E33" s="13" t="n">
        <v>442.686</v>
      </c>
      <c r="F33" s="13" t="n">
        <v>441.195</v>
      </c>
      <c r="G33" s="13" t="n">
        <v>432.968</v>
      </c>
      <c r="H33" s="14">
        <f>(H31-H32)</f>
        <v/>
      </c>
      <c r="I33" s="14">
        <f>(I31-I32)</f>
        <v/>
      </c>
      <c r="J33" s="14">
        <f>(J31-J32)</f>
        <v/>
      </c>
      <c r="K33" s="14">
        <f>(K31-K32)</f>
        <v/>
      </c>
      <c r="L33" s="14">
        <f>(L31-L32)</f>
        <v/>
      </c>
      <c r="M33" s="14">
        <f>(M31-M32)</f>
        <v/>
      </c>
      <c r="N33" s="14">
        <f>(N31-N32)</f>
        <v/>
      </c>
      <c r="O33" s="14">
        <f>(O31-O32)</f>
        <v/>
      </c>
      <c r="P33" s="14">
        <f>(P31-P32)</f>
        <v/>
      </c>
      <c r="Q33" s="14">
        <f>(Q31-Q32)</f>
        <v/>
      </c>
      <c r="R33" s="14">
        <f>(R31-R32)</f>
        <v/>
      </c>
      <c r="S33" s="14">
        <f>(S31-S32)</f>
        <v/>
      </c>
      <c r="T33" s="14">
        <f>(T31-T32)</f>
        <v/>
      </c>
      <c r="U33" s="14">
        <f>(U31-U32)</f>
        <v/>
      </c>
      <c r="V33" s="14">
        <f>(V31-V32)</f>
        <v/>
      </c>
      <c r="W33" s="14">
        <f>(W31-W32)</f>
        <v/>
      </c>
      <c r="X33" s="14">
        <f>(X31-X32)</f>
        <v/>
      </c>
      <c r="Y33" s="14">
        <f>(Y31-Y32)</f>
        <v/>
      </c>
      <c r="Z33" s="14">
        <f>(Z31-Z32)</f>
        <v/>
      </c>
      <c r="AA33" s="14">
        <f>(AA31-AA32)</f>
        <v/>
      </c>
      <c r="AB33" s="14">
        <f>(AB31-AB32)</f>
        <v/>
      </c>
      <c r="AC33" s="14">
        <f>(AC31-AC32)</f>
        <v/>
      </c>
      <c r="AD33" s="14">
        <f>(AD31-AD32)</f>
        <v/>
      </c>
    </row>
    <row r="34">
      <c r="A34" t="inlineStr">
        <is>
          <t>Depreciation &amp; amortisation</t>
        </is>
      </c>
      <c r="B34" t="inlineStr">
        <is>
          <t>da</t>
        </is>
      </c>
      <c r="D34" s="13" t="n">
        <v>68.224</v>
      </c>
      <c r="E34" s="13" t="n">
        <v>73.961</v>
      </c>
      <c r="F34" s="13" t="n">
        <v>82.756</v>
      </c>
      <c r="G34" s="13" t="n">
        <v>93.449</v>
      </c>
      <c r="H34" s="14">
        <f>(H29*H15)</f>
        <v/>
      </c>
      <c r="I34" s="14">
        <f>(I29*I15)</f>
        <v/>
      </c>
      <c r="J34" s="14">
        <f>(J29*J15)</f>
        <v/>
      </c>
      <c r="K34" s="14">
        <f>(K29*K15)</f>
        <v/>
      </c>
      <c r="L34" s="14">
        <f>(L29*L15)</f>
        <v/>
      </c>
      <c r="M34" s="14">
        <f>(M29*M15)</f>
        <v/>
      </c>
      <c r="N34" s="14">
        <f>(N29*N15)</f>
        <v/>
      </c>
      <c r="O34" s="14">
        <f>(O29*O15)</f>
        <v/>
      </c>
      <c r="P34" s="14">
        <f>(P29*P15)</f>
        <v/>
      </c>
      <c r="Q34" s="14">
        <f>(Q29*Q15)</f>
        <v/>
      </c>
      <c r="R34" s="14">
        <f>(R29*R15)</f>
        <v/>
      </c>
      <c r="S34" s="14">
        <f>(S29*S15)</f>
        <v/>
      </c>
      <c r="T34" s="14">
        <f>(T29*T15)</f>
        <v/>
      </c>
      <c r="U34" s="14">
        <f>(U29*U15)</f>
        <v/>
      </c>
      <c r="V34" s="14">
        <f>(V29*V15)</f>
        <v/>
      </c>
      <c r="W34" s="14">
        <f>(W29*W15)</f>
        <v/>
      </c>
      <c r="X34" s="14">
        <f>(X29*X15)</f>
        <v/>
      </c>
      <c r="Y34" s="14">
        <f>(Y29*Y15)</f>
        <v/>
      </c>
      <c r="Z34" s="14">
        <f>(Z29*Z15)</f>
        <v/>
      </c>
      <c r="AA34" s="14">
        <f>(AA29*AA15)</f>
        <v/>
      </c>
      <c r="AB34" s="14">
        <f>(AB29*AB15)</f>
        <v/>
      </c>
      <c r="AC34" s="14">
        <f>(AC29*AC15)</f>
        <v/>
      </c>
      <c r="AD34" s="14">
        <f>(AD29*AD15)</f>
        <v/>
      </c>
    </row>
    <row r="35">
      <c r="A35" t="inlineStr">
        <is>
          <t>EBITDA</t>
        </is>
      </c>
      <c r="B35" t="inlineStr">
        <is>
          <t>ebitda</t>
        </is>
      </c>
      <c r="D35" s="13" t="n">
        <v>495.517</v>
      </c>
      <c r="E35" s="13" t="n">
        <v>516.6469999999999</v>
      </c>
      <c r="F35" s="13" t="n">
        <v>523.951</v>
      </c>
      <c r="G35" s="13" t="n">
        <v>526.417</v>
      </c>
      <c r="H35" s="14">
        <f>(H33+H34)</f>
        <v/>
      </c>
      <c r="I35" s="14">
        <f>(I33+I34)</f>
        <v/>
      </c>
      <c r="J35" s="14">
        <f>(J33+J34)</f>
        <v/>
      </c>
      <c r="K35" s="14">
        <f>(K33+K34)</f>
        <v/>
      </c>
      <c r="L35" s="14">
        <f>(L33+L34)</f>
        <v/>
      </c>
      <c r="M35" s="14">
        <f>(M33+M34)</f>
        <v/>
      </c>
      <c r="N35" s="14">
        <f>(N33+N34)</f>
        <v/>
      </c>
      <c r="O35" s="14">
        <f>(O33+O34)</f>
        <v/>
      </c>
      <c r="P35" s="14">
        <f>(P33+P34)</f>
        <v/>
      </c>
      <c r="Q35" s="14">
        <f>(Q33+Q34)</f>
        <v/>
      </c>
      <c r="R35" s="14">
        <f>(R33+R34)</f>
        <v/>
      </c>
      <c r="S35" s="14">
        <f>(S33+S34)</f>
        <v/>
      </c>
      <c r="T35" s="14">
        <f>(T33+T34)</f>
        <v/>
      </c>
      <c r="U35" s="14">
        <f>(U33+U34)</f>
        <v/>
      </c>
      <c r="V35" s="14">
        <f>(V33+V34)</f>
        <v/>
      </c>
      <c r="W35" s="14">
        <f>(W33+W34)</f>
        <v/>
      </c>
      <c r="X35" s="14">
        <f>(X33+X34)</f>
        <v/>
      </c>
      <c r="Y35" s="14">
        <f>(Y33+Y34)</f>
        <v/>
      </c>
      <c r="Z35" s="14">
        <f>(Z33+Z34)</f>
        <v/>
      </c>
      <c r="AA35" s="14">
        <f>(AA33+AA34)</f>
        <v/>
      </c>
      <c r="AB35" s="14">
        <f>(AB33+AB34)</f>
        <v/>
      </c>
      <c r="AC35" s="14">
        <f>(AC33+AC34)</f>
        <v/>
      </c>
      <c r="AD35" s="14">
        <f>(AD33+AD34)</f>
        <v/>
      </c>
    </row>
    <row r="36">
      <c r="A36" t="inlineStr">
        <is>
          <t>Interest expense</t>
        </is>
      </c>
      <c r="B36" t="inlineStr">
        <is>
          <t>interest_expense</t>
        </is>
      </c>
      <c r="D36" s="13" t="n">
        <v>82.744</v>
      </c>
      <c r="E36" s="13" t="n">
        <v>131.003</v>
      </c>
      <c r="F36" s="13" t="n">
        <v>129.932</v>
      </c>
      <c r="G36" s="13" t="n">
        <v>118.812</v>
      </c>
      <c r="H36" s="14">
        <f>(G56*$C$19)</f>
        <v/>
      </c>
      <c r="I36" s="14">
        <f>(H56*$C$19)</f>
        <v/>
      </c>
      <c r="J36" s="14">
        <f>(I56*$C$19)</f>
        <v/>
      </c>
      <c r="K36" s="14">
        <f>(J56*$C$19)</f>
        <v/>
      </c>
      <c r="L36" s="14">
        <f>(K56*$C$19)</f>
        <v/>
      </c>
      <c r="M36" s="14">
        <f>(L56*$C$19)</f>
        <v/>
      </c>
      <c r="N36" s="14">
        <f>(M56*$C$19)</f>
        <v/>
      </c>
      <c r="O36" s="14">
        <f>(N56*$C$19)</f>
        <v/>
      </c>
      <c r="P36" s="14">
        <f>(O56*$C$19)</f>
        <v/>
      </c>
      <c r="Q36" s="14">
        <f>(P56*$C$19)</f>
        <v/>
      </c>
      <c r="R36" s="14">
        <f>(Q56*$C$19)</f>
        <v/>
      </c>
      <c r="S36" s="14">
        <f>(R56*$C$19)</f>
        <v/>
      </c>
      <c r="T36" s="14">
        <f>(S56*$C$19)</f>
        <v/>
      </c>
      <c r="U36" s="14">
        <f>(T56*$C$19)</f>
        <v/>
      </c>
      <c r="V36" s="14">
        <f>(U56*$C$19)</f>
        <v/>
      </c>
      <c r="W36" s="14">
        <f>(V56*$C$19)</f>
        <v/>
      </c>
      <c r="X36" s="14">
        <f>(W56*$C$19)</f>
        <v/>
      </c>
      <c r="Y36" s="14">
        <f>(X56*$C$19)</f>
        <v/>
      </c>
      <c r="Z36" s="14">
        <f>(Y56*$C$19)</f>
        <v/>
      </c>
      <c r="AA36" s="14">
        <f>(Z56*$C$19)</f>
        <v/>
      </c>
      <c r="AB36" s="14">
        <f>(AA56*$C$19)</f>
        <v/>
      </c>
      <c r="AC36" s="14">
        <f>(AB56*$C$19)</f>
        <v/>
      </c>
      <c r="AD36" s="14">
        <f>(AC56*$C$19)</f>
        <v/>
      </c>
    </row>
    <row r="37">
      <c r="A37" t="inlineStr">
        <is>
          <t>Interest income</t>
        </is>
      </c>
      <c r="B37" t="inlineStr">
        <is>
          <t>interest_income</t>
        </is>
      </c>
      <c r="D37" s="13" t="n">
        <v>2.886</v>
      </c>
      <c r="E37" s="13" t="n">
        <v>11.399</v>
      </c>
      <c r="F37" s="13" t="n">
        <v>15.397</v>
      </c>
      <c r="G37" s="13" t="n">
        <v>11.892</v>
      </c>
      <c r="H37" s="14">
        <f>(G55*$C$20)</f>
        <v/>
      </c>
      <c r="I37" s="14">
        <f>(H55*$C$20)</f>
        <v/>
      </c>
      <c r="J37" s="14">
        <f>(I55*$C$20)</f>
        <v/>
      </c>
      <c r="K37" s="14">
        <f>(J55*$C$20)</f>
        <v/>
      </c>
      <c r="L37" s="14">
        <f>(K55*$C$20)</f>
        <v/>
      </c>
      <c r="M37" s="14">
        <f>(L55*$C$20)</f>
        <v/>
      </c>
      <c r="N37" s="14">
        <f>(M55*$C$20)</f>
        <v/>
      </c>
      <c r="O37" s="14">
        <f>(N55*$C$20)</f>
        <v/>
      </c>
      <c r="P37" s="14">
        <f>(O55*$C$20)</f>
        <v/>
      </c>
      <c r="Q37" s="14">
        <f>(P55*$C$20)</f>
        <v/>
      </c>
      <c r="R37" s="14">
        <f>(Q55*$C$20)</f>
        <v/>
      </c>
      <c r="S37" s="14">
        <f>(R55*$C$20)</f>
        <v/>
      </c>
      <c r="T37" s="14">
        <f>(S55*$C$20)</f>
        <v/>
      </c>
      <c r="U37" s="14">
        <f>(T55*$C$20)</f>
        <v/>
      </c>
      <c r="V37" s="14">
        <f>(U55*$C$20)</f>
        <v/>
      </c>
      <c r="W37" s="14">
        <f>(V55*$C$20)</f>
        <v/>
      </c>
      <c r="X37" s="14">
        <f>(W55*$C$20)</f>
        <v/>
      </c>
      <c r="Y37" s="14">
        <f>(X55*$C$20)</f>
        <v/>
      </c>
      <c r="Z37" s="14">
        <f>(Y55*$C$20)</f>
        <v/>
      </c>
      <c r="AA37" s="14">
        <f>(Z55*$C$20)</f>
        <v/>
      </c>
      <c r="AB37" s="14">
        <f>(AA55*$C$20)</f>
        <v/>
      </c>
      <c r="AC37" s="14">
        <f>(AB55*$C$20)</f>
        <v/>
      </c>
      <c r="AD37" s="14">
        <f>(AC55*$C$20)</f>
        <v/>
      </c>
    </row>
    <row r="38">
      <c r="A38" t="inlineStr">
        <is>
          <t>Other non-operating</t>
        </is>
      </c>
      <c r="B38" t="inlineStr">
        <is>
          <t>other_nonop</t>
        </is>
      </c>
      <c r="D38" s="13" t="n">
        <v>-27.87099999999998</v>
      </c>
      <c r="E38" s="13" t="n">
        <v>-31.661</v>
      </c>
      <c r="F38" s="13" t="n">
        <v>-28.564</v>
      </c>
      <c r="G38" s="13" t="n">
        <v>-20.294</v>
      </c>
      <c r="H38" s="14">
        <f>H22</f>
        <v/>
      </c>
      <c r="I38" s="14">
        <f>I22</f>
        <v/>
      </c>
      <c r="J38" s="14">
        <f>J22</f>
        <v/>
      </c>
      <c r="K38" s="14">
        <f>K22</f>
        <v/>
      </c>
      <c r="L38" s="14">
        <f>L22</f>
        <v/>
      </c>
      <c r="M38" s="14">
        <f>M22</f>
        <v/>
      </c>
      <c r="N38" s="14">
        <f>N22</f>
        <v/>
      </c>
      <c r="O38" s="14">
        <f>O22</f>
        <v/>
      </c>
      <c r="P38" s="14">
        <f>P22</f>
        <v/>
      </c>
      <c r="Q38" s="14">
        <f>Q22</f>
        <v/>
      </c>
      <c r="R38" s="14">
        <f>R22</f>
        <v/>
      </c>
      <c r="S38" s="14">
        <f>S22</f>
        <v/>
      </c>
      <c r="T38" s="14">
        <f>T22</f>
        <v/>
      </c>
      <c r="U38" s="14">
        <f>U22</f>
        <v/>
      </c>
      <c r="V38" s="14">
        <f>V22</f>
        <v/>
      </c>
      <c r="W38" s="14">
        <f>W22</f>
        <v/>
      </c>
      <c r="X38" s="14">
        <f>X22</f>
        <v/>
      </c>
      <c r="Y38" s="14">
        <f>Y22</f>
        <v/>
      </c>
      <c r="Z38" s="14">
        <f>Z22</f>
        <v/>
      </c>
      <c r="AA38" s="14">
        <f>AA22</f>
        <v/>
      </c>
      <c r="AB38" s="14">
        <f>AB22</f>
        <v/>
      </c>
      <c r="AC38" s="14">
        <f>AC22</f>
        <v/>
      </c>
      <c r="AD38" s="14">
        <f>AD22</f>
        <v/>
      </c>
    </row>
    <row r="39">
      <c r="A39" t="inlineStr">
        <is>
          <t>Profit before tax</t>
        </is>
      </c>
      <c r="B39" t="inlineStr">
        <is>
          <t>pbt</t>
        </is>
      </c>
      <c r="D39" s="13" t="n">
        <v>319.564</v>
      </c>
      <c r="E39" s="13" t="n">
        <v>291.421</v>
      </c>
      <c r="F39" s="13" t="n">
        <v>298.096</v>
      </c>
      <c r="G39" s="13" t="n">
        <v>305.754</v>
      </c>
      <c r="H39" s="14">
        <f>(((H33-H36)+H37)+H38)</f>
        <v/>
      </c>
      <c r="I39" s="14">
        <f>(((I33-I36)+I37)+I38)</f>
        <v/>
      </c>
      <c r="J39" s="14">
        <f>(((J33-J36)+J37)+J38)</f>
        <v/>
      </c>
      <c r="K39" s="14">
        <f>(((K33-K36)+K37)+K38)</f>
        <v/>
      </c>
      <c r="L39" s="14">
        <f>(((L33-L36)+L37)+L38)</f>
        <v/>
      </c>
      <c r="M39" s="14">
        <f>(((M33-M36)+M37)+M38)</f>
        <v/>
      </c>
      <c r="N39" s="14">
        <f>(((N33-N36)+N37)+N38)</f>
        <v/>
      </c>
      <c r="O39" s="14">
        <f>(((O33-O36)+O37)+O38)</f>
        <v/>
      </c>
      <c r="P39" s="14">
        <f>(((P33-P36)+P37)+P38)</f>
        <v/>
      </c>
      <c r="Q39" s="14">
        <f>(((Q33-Q36)+Q37)+Q38)</f>
        <v/>
      </c>
      <c r="R39" s="14">
        <f>(((R33-R36)+R37)+R38)</f>
        <v/>
      </c>
      <c r="S39" s="14">
        <f>(((S33-S36)+S37)+S38)</f>
        <v/>
      </c>
      <c r="T39" s="14">
        <f>(((T33-T36)+T37)+T38)</f>
        <v/>
      </c>
      <c r="U39" s="14">
        <f>(((U33-U36)+U37)+U38)</f>
        <v/>
      </c>
      <c r="V39" s="14">
        <f>(((V33-V36)+V37)+V38)</f>
        <v/>
      </c>
      <c r="W39" s="14">
        <f>(((W33-W36)+W37)+W38)</f>
        <v/>
      </c>
      <c r="X39" s="14">
        <f>(((X33-X36)+X37)+X38)</f>
        <v/>
      </c>
      <c r="Y39" s="14">
        <f>(((Y33-Y36)+Y37)+Y38)</f>
        <v/>
      </c>
      <c r="Z39" s="14">
        <f>(((Z33-Z36)+Z37)+Z38)</f>
        <v/>
      </c>
      <c r="AA39" s="14">
        <f>(((AA33-AA36)+AA37)+AA38)</f>
        <v/>
      </c>
      <c r="AB39" s="14">
        <f>(((AB33-AB36)+AB37)+AB38)</f>
        <v/>
      </c>
      <c r="AC39" s="14">
        <f>(((AC33-AC36)+AC37)+AC38)</f>
        <v/>
      </c>
      <c r="AD39" s="14">
        <f>(((AD33-AD36)+AD37)+AD38)</f>
        <v/>
      </c>
    </row>
    <row r="40">
      <c r="A40" t="inlineStr">
        <is>
          <t>Tax</t>
        </is>
      </c>
      <c r="B40" t="inlineStr">
        <is>
          <t>tax</t>
        </is>
      </c>
      <c r="D40" s="13" t="n">
        <v>147.004</v>
      </c>
      <c r="E40" s="13" t="n">
        <v>146.152</v>
      </c>
      <c r="F40" s="13" t="n">
        <v>143.013</v>
      </c>
      <c r="G40" s="13" t="n">
        <v>140.617</v>
      </c>
      <c r="H40" s="14">
        <f>(MAX(H39,0)*H18)</f>
        <v/>
      </c>
      <c r="I40" s="14">
        <f>(MAX(I39,0)*I18)</f>
        <v/>
      </c>
      <c r="J40" s="14">
        <f>(MAX(J39,0)*J18)</f>
        <v/>
      </c>
      <c r="K40" s="14">
        <f>(MAX(K39,0)*K18)</f>
        <v/>
      </c>
      <c r="L40" s="14">
        <f>(MAX(L39,0)*L18)</f>
        <v/>
      </c>
      <c r="M40" s="14">
        <f>(MAX(M39,0)*M18)</f>
        <v/>
      </c>
      <c r="N40" s="14">
        <f>(MAX(N39,0)*N18)</f>
        <v/>
      </c>
      <c r="O40" s="14">
        <f>(MAX(O39,0)*O18)</f>
        <v/>
      </c>
      <c r="P40" s="14">
        <f>(MAX(P39,0)*P18)</f>
        <v/>
      </c>
      <c r="Q40" s="14">
        <f>(MAX(Q39,0)*Q18)</f>
        <v/>
      </c>
      <c r="R40" s="14">
        <f>(MAX(R39,0)*R18)</f>
        <v/>
      </c>
      <c r="S40" s="14">
        <f>(MAX(S39,0)*S18)</f>
        <v/>
      </c>
      <c r="T40" s="14">
        <f>(MAX(T39,0)*T18)</f>
        <v/>
      </c>
      <c r="U40" s="14">
        <f>(MAX(U39,0)*U18)</f>
        <v/>
      </c>
      <c r="V40" s="14">
        <f>(MAX(V39,0)*V18)</f>
        <v/>
      </c>
      <c r="W40" s="14">
        <f>(MAX(W39,0)*W18)</f>
        <v/>
      </c>
      <c r="X40" s="14">
        <f>(MAX(X39,0)*X18)</f>
        <v/>
      </c>
      <c r="Y40" s="14">
        <f>(MAX(Y39,0)*Y18)</f>
        <v/>
      </c>
      <c r="Z40" s="14">
        <f>(MAX(Z39,0)*Z18)</f>
        <v/>
      </c>
      <c r="AA40" s="14">
        <f>(MAX(AA39,0)*AA18)</f>
        <v/>
      </c>
      <c r="AB40" s="14">
        <f>(MAX(AB39,0)*AB18)</f>
        <v/>
      </c>
      <c r="AC40" s="14">
        <f>(MAX(AC39,0)*AC18)</f>
        <v/>
      </c>
      <c r="AD40" s="14">
        <f>(MAX(AD39,0)*AD18)</f>
        <v/>
      </c>
    </row>
    <row r="41">
      <c r="A41" t="inlineStr">
        <is>
          <t>Net profit (incl. minorities)</t>
        </is>
      </c>
      <c r="B41" t="inlineStr">
        <is>
          <t>np</t>
        </is>
      </c>
      <c r="D41" s="13" t="n">
        <v>172.56</v>
      </c>
      <c r="E41" s="13" t="n">
        <v>145.269</v>
      </c>
      <c r="F41" s="13" t="n">
        <v>155.083</v>
      </c>
      <c r="G41" s="13" t="n">
        <v>165</v>
      </c>
      <c r="H41" s="14">
        <f>(H39-H40)</f>
        <v/>
      </c>
      <c r="I41" s="14">
        <f>(I39-I40)</f>
        <v/>
      </c>
      <c r="J41" s="14">
        <f>(J39-J40)</f>
        <v/>
      </c>
      <c r="K41" s="14">
        <f>(K39-K40)</f>
        <v/>
      </c>
      <c r="L41" s="14">
        <f>(L39-L40)</f>
        <v/>
      </c>
      <c r="M41" s="14">
        <f>(M39-M40)</f>
        <v/>
      </c>
      <c r="N41" s="14">
        <f>(N39-N40)</f>
        <v/>
      </c>
      <c r="O41" s="14">
        <f>(O39-O40)</f>
        <v/>
      </c>
      <c r="P41" s="14">
        <f>(P39-P40)</f>
        <v/>
      </c>
      <c r="Q41" s="14">
        <f>(Q39-Q40)</f>
        <v/>
      </c>
      <c r="R41" s="14">
        <f>(R39-R40)</f>
        <v/>
      </c>
      <c r="S41" s="14">
        <f>(S39-S40)</f>
        <v/>
      </c>
      <c r="T41" s="14">
        <f>(T39-T40)</f>
        <v/>
      </c>
      <c r="U41" s="14">
        <f>(U39-U40)</f>
        <v/>
      </c>
      <c r="V41" s="14">
        <f>(V39-V40)</f>
        <v/>
      </c>
      <c r="W41" s="14">
        <f>(W39-W40)</f>
        <v/>
      </c>
      <c r="X41" s="14">
        <f>(X39-X40)</f>
        <v/>
      </c>
      <c r="Y41" s="14">
        <f>(Y39-Y40)</f>
        <v/>
      </c>
      <c r="Z41" s="14">
        <f>(Z39-Z40)</f>
        <v/>
      </c>
      <c r="AA41" s="14">
        <f>(AA39-AA40)</f>
        <v/>
      </c>
      <c r="AB41" s="14">
        <f>(AB39-AB40)</f>
        <v/>
      </c>
      <c r="AC41" s="14">
        <f>(AC39-AC40)</f>
        <v/>
      </c>
      <c r="AD41" s="14">
        <f>(AD39-AD40)</f>
        <v/>
      </c>
    </row>
    <row r="42">
      <c r="A42" t="inlineStr">
        <is>
          <t>Minority interests</t>
        </is>
      </c>
      <c r="B42" t="inlineStr">
        <is>
          <t>minority</t>
        </is>
      </c>
      <c r="D42" s="13" t="n">
        <v>81.434</v>
      </c>
      <c r="E42" s="13" t="n">
        <v>37.852</v>
      </c>
      <c r="F42" s="13" t="n">
        <v>32.97499999999999</v>
      </c>
      <c r="G42" s="13" t="n">
        <v>32.93899999999999</v>
      </c>
      <c r="H42" s="14">
        <f>(H41*H23)</f>
        <v/>
      </c>
      <c r="I42" s="14">
        <f>(I41*I23)</f>
        <v/>
      </c>
      <c r="J42" s="14">
        <f>(J41*J23)</f>
        <v/>
      </c>
      <c r="K42" s="14">
        <f>(K41*K23)</f>
        <v/>
      </c>
      <c r="L42" s="14">
        <f>(L41*L23)</f>
        <v/>
      </c>
      <c r="M42" s="14">
        <f>(M41*M23)</f>
        <v/>
      </c>
      <c r="N42" s="14">
        <f>(N41*N23)</f>
        <v/>
      </c>
      <c r="O42" s="14">
        <f>(O41*O23)</f>
        <v/>
      </c>
      <c r="P42" s="14">
        <f>(P41*P23)</f>
        <v/>
      </c>
      <c r="Q42" s="14">
        <f>(Q41*Q23)</f>
        <v/>
      </c>
      <c r="R42" s="14">
        <f>(R41*R23)</f>
        <v/>
      </c>
      <c r="S42" s="14">
        <f>(S41*S23)</f>
        <v/>
      </c>
      <c r="T42" s="14">
        <f>(T41*T23)</f>
        <v/>
      </c>
      <c r="U42" s="14">
        <f>(U41*U23)</f>
        <v/>
      </c>
      <c r="V42" s="14">
        <f>(V41*V23)</f>
        <v/>
      </c>
      <c r="W42" s="14">
        <f>(W41*W23)</f>
        <v/>
      </c>
      <c r="X42" s="14">
        <f>(X41*X23)</f>
        <v/>
      </c>
      <c r="Y42" s="14">
        <f>(Y41*Y23)</f>
        <v/>
      </c>
      <c r="Z42" s="14">
        <f>(Z41*Z23)</f>
        <v/>
      </c>
      <c r="AA42" s="14">
        <f>(AA41*AA23)</f>
        <v/>
      </c>
      <c r="AB42" s="14">
        <f>(AB41*AB23)</f>
        <v/>
      </c>
      <c r="AC42" s="14">
        <f>(AC41*AC23)</f>
        <v/>
      </c>
      <c r="AD42" s="14">
        <f>(AD41*AD23)</f>
        <v/>
      </c>
    </row>
    <row r="43">
      <c r="A43" t="inlineStr">
        <is>
          <t>Net profit to parent</t>
        </is>
      </c>
      <c r="B43" t="inlineStr">
        <is>
          <t>np_parent</t>
        </is>
      </c>
      <c r="D43" s="13" t="n">
        <v>91.126</v>
      </c>
      <c r="E43" s="13" t="n">
        <v>107.417</v>
      </c>
      <c r="F43" s="13" t="n">
        <v>122.108</v>
      </c>
      <c r="G43" s="13" t="n">
        <v>132.198</v>
      </c>
      <c r="H43" s="14">
        <f>(H41-H42)</f>
        <v/>
      </c>
      <c r="I43" s="14">
        <f>(I41-I42)</f>
        <v/>
      </c>
      <c r="J43" s="14">
        <f>(J41-J42)</f>
        <v/>
      </c>
      <c r="K43" s="14">
        <f>(K41-K42)</f>
        <v/>
      </c>
      <c r="L43" s="14">
        <f>(L41-L42)</f>
        <v/>
      </c>
      <c r="M43" s="14">
        <f>(M41-M42)</f>
        <v/>
      </c>
      <c r="N43" s="14">
        <f>(N41-N42)</f>
        <v/>
      </c>
      <c r="O43" s="14">
        <f>(O41-O42)</f>
        <v/>
      </c>
      <c r="P43" s="14">
        <f>(P41-P42)</f>
        <v/>
      </c>
      <c r="Q43" s="14">
        <f>(Q41-Q42)</f>
        <v/>
      </c>
      <c r="R43" s="14">
        <f>(R41-R42)</f>
        <v/>
      </c>
      <c r="S43" s="14">
        <f>(S41-S42)</f>
        <v/>
      </c>
      <c r="T43" s="14">
        <f>(T41-T42)</f>
        <v/>
      </c>
      <c r="U43" s="14">
        <f>(U41-U42)</f>
        <v/>
      </c>
      <c r="V43" s="14">
        <f>(V41-V42)</f>
        <v/>
      </c>
      <c r="W43" s="14">
        <f>(W41-W42)</f>
        <v/>
      </c>
      <c r="X43" s="14">
        <f>(X41-X42)</f>
        <v/>
      </c>
      <c r="Y43" s="14">
        <f>(Y41-Y42)</f>
        <v/>
      </c>
      <c r="Z43" s="14">
        <f>(Z41-Z42)</f>
        <v/>
      </c>
      <c r="AA43" s="14">
        <f>(AA41-AA42)</f>
        <v/>
      </c>
      <c r="AB43" s="14">
        <f>(AB41-AB42)</f>
        <v/>
      </c>
      <c r="AC43" s="14">
        <f>(AC41-AC42)</f>
        <v/>
      </c>
      <c r="AD43" s="14">
        <f>(AD41-AD42)</f>
        <v/>
      </c>
    </row>
    <row r="44">
      <c r="A44" t="inlineStr">
        <is>
          <t>Shares outstanding (m)</t>
        </is>
      </c>
      <c r="B44" t="inlineStr">
        <is>
          <t>shares</t>
        </is>
      </c>
      <c r="D44" s="13" t="n">
        <v>133786.22</v>
      </c>
      <c r="E44" s="13" t="n">
        <v>133786.22</v>
      </c>
      <c r="F44" s="13" t="n">
        <v>133786.22</v>
      </c>
      <c r="G44" s="13" t="n">
        <v>133786.22</v>
      </c>
      <c r="H44" s="14">
        <f>(G44*(1+H25))</f>
        <v/>
      </c>
      <c r="I44" s="14">
        <f>(H44*(1+I25))</f>
        <v/>
      </c>
      <c r="J44" s="14">
        <f>(I44*(1+J25))</f>
        <v/>
      </c>
      <c r="K44" s="14">
        <f>(J44*(1+K25))</f>
        <v/>
      </c>
      <c r="L44" s="14">
        <f>(K44*(1+L25))</f>
        <v/>
      </c>
      <c r="M44" s="14">
        <f>(L44*(1+M25))</f>
        <v/>
      </c>
      <c r="N44" s="14">
        <f>(M44*(1+N25))</f>
        <v/>
      </c>
      <c r="O44" s="14">
        <f>(N44*(1+O25))</f>
        <v/>
      </c>
      <c r="P44" s="14">
        <f>(O44*(1+P25))</f>
        <v/>
      </c>
      <c r="Q44" s="14">
        <f>(P44*(1+Q25))</f>
        <v/>
      </c>
      <c r="R44" s="14">
        <f>(Q44*(1+R25))</f>
        <v/>
      </c>
      <c r="S44" s="14">
        <f>(R44*(1+S25))</f>
        <v/>
      </c>
      <c r="T44" s="14">
        <f>(S44*(1+T25))</f>
        <v/>
      </c>
      <c r="U44" s="14">
        <f>(T44*(1+U25))</f>
        <v/>
      </c>
      <c r="V44" s="14">
        <f>(U44*(1+V25))</f>
        <v/>
      </c>
      <c r="W44" s="14">
        <f>(V44*(1+W25))</f>
        <v/>
      </c>
      <c r="X44" s="14">
        <f>(W44*(1+X25))</f>
        <v/>
      </c>
      <c r="Y44" s="14">
        <f>(X44*(1+Y25))</f>
        <v/>
      </c>
      <c r="Z44" s="14">
        <f>(Y44*(1+Z25))</f>
        <v/>
      </c>
      <c r="AA44" s="14">
        <f>(Z44*(1+AA25))</f>
        <v/>
      </c>
      <c r="AB44" s="14">
        <f>(AA44*(1+AB25))</f>
        <v/>
      </c>
      <c r="AC44" s="14">
        <f>(AB44*(1+AC25))</f>
        <v/>
      </c>
      <c r="AD44" s="14">
        <f>(AC44*(1+AD25))</f>
        <v/>
      </c>
    </row>
    <row r="45">
      <c r="A45" t="inlineStr">
        <is>
          <t>EPS</t>
        </is>
      </c>
      <c r="B45" t="inlineStr">
        <is>
          <t>eps</t>
        </is>
      </c>
      <c r="D45" s="15" t="n">
        <v>0.0006811314349116076</v>
      </c>
      <c r="E45" s="15" t="n">
        <v>0.0008029003285988646</v>
      </c>
      <c r="F45" s="15" t="n">
        <v>0.0009127098441080105</v>
      </c>
      <c r="G45" s="15" t="n">
        <v>0.0009881286727437251</v>
      </c>
      <c r="H45" s="16">
        <f>(IF(H44=0,0,H43/H44)*$C$8)</f>
        <v/>
      </c>
      <c r="I45" s="16">
        <f>(IF(I44=0,0,I43/I44)*$C$8)</f>
        <v/>
      </c>
      <c r="J45" s="16">
        <f>(IF(J44=0,0,J43/J44)*$C$8)</f>
        <v/>
      </c>
      <c r="K45" s="16">
        <f>(IF(K44=0,0,K43/K44)*$C$8)</f>
        <v/>
      </c>
      <c r="L45" s="16">
        <f>(IF(L44=0,0,L43/L44)*$C$8)</f>
        <v/>
      </c>
      <c r="M45" s="16">
        <f>(IF(M44=0,0,M43/M44)*$C$8)</f>
        <v/>
      </c>
      <c r="N45" s="16">
        <f>(IF(N44=0,0,N43/N44)*$C$8)</f>
        <v/>
      </c>
      <c r="O45" s="16">
        <f>(IF(O44=0,0,O43/O44)*$C$8)</f>
        <v/>
      </c>
      <c r="P45" s="16">
        <f>(IF(P44=0,0,P43/P44)*$C$8)</f>
        <v/>
      </c>
      <c r="Q45" s="16">
        <f>(IF(Q44=0,0,Q43/Q44)*$C$8)</f>
        <v/>
      </c>
      <c r="R45" s="16">
        <f>(IF(R44=0,0,R43/R44)*$C$8)</f>
        <v/>
      </c>
      <c r="S45" s="16">
        <f>(IF(S44=0,0,S43/S44)*$C$8)</f>
        <v/>
      </c>
      <c r="T45" s="16">
        <f>(IF(T44=0,0,T43/T44)*$C$8)</f>
        <v/>
      </c>
      <c r="U45" s="16">
        <f>(IF(U44=0,0,U43/U44)*$C$8)</f>
        <v/>
      </c>
      <c r="V45" s="16">
        <f>(IF(V44=0,0,V43/V44)*$C$8)</f>
        <v/>
      </c>
      <c r="W45" s="16">
        <f>(IF(W44=0,0,W43/W44)*$C$8)</f>
        <v/>
      </c>
      <c r="X45" s="16">
        <f>(IF(X44=0,0,X43/X44)*$C$8)</f>
        <v/>
      </c>
      <c r="Y45" s="16">
        <f>(IF(Y44=0,0,Y43/Y44)*$C$8)</f>
        <v/>
      </c>
      <c r="Z45" s="16">
        <f>(IF(Z44=0,0,Z43/Z44)*$C$8)</f>
        <v/>
      </c>
      <c r="AA45" s="16">
        <f>(IF(AA44=0,0,AA43/AA44)*$C$8)</f>
        <v/>
      </c>
      <c r="AB45" s="16">
        <f>(IF(AB44=0,0,AB43/AB44)*$C$8)</f>
        <v/>
      </c>
      <c r="AC45" s="16">
        <f>(IF(AC44=0,0,AC43/AC44)*$C$8)</f>
        <v/>
      </c>
      <c r="AD45" s="16">
        <f>(IF(AD44=0,0,AD43/AD44)*$C$8)</f>
        <v/>
      </c>
    </row>
    <row r="46">
      <c r="A46" t="inlineStr">
        <is>
          <t>DPS (declared on the year)</t>
        </is>
      </c>
      <c r="B46" t="inlineStr">
        <is>
          <t>dps</t>
        </is>
      </c>
      <c r="D46" s="15" t="n">
        <v>0.0002537807490101902</v>
      </c>
      <c r="E46" s="15" t="n">
        <v>0.0003596356602084966</v>
      </c>
      <c r="F46" s="15" t="n">
        <v>0</v>
      </c>
      <c r="G46" s="15" t="n">
        <v>0.000226900077529107</v>
      </c>
      <c r="H46" s="16">
        <f>(MAX(H45,0)*H24)</f>
        <v/>
      </c>
      <c r="I46" s="16">
        <f>(MAX(I45,0)*I24)</f>
        <v/>
      </c>
      <c r="J46" s="16">
        <f>(MAX(J45,0)*J24)</f>
        <v/>
      </c>
      <c r="K46" s="16">
        <f>(MAX(K45,0)*K24)</f>
        <v/>
      </c>
      <c r="L46" s="16">
        <f>(MAX(L45,0)*L24)</f>
        <v/>
      </c>
      <c r="M46" s="16">
        <f>(MAX(M45,0)*M24)</f>
        <v/>
      </c>
      <c r="N46" s="16">
        <f>(MAX(N45,0)*N24)</f>
        <v/>
      </c>
      <c r="O46" s="16">
        <f>(MAX(O45,0)*O24)</f>
        <v/>
      </c>
      <c r="P46" s="16">
        <f>(MAX(P45,0)*P24)</f>
        <v/>
      </c>
      <c r="Q46" s="16">
        <f>(MAX(Q45,0)*Q24)</f>
        <v/>
      </c>
      <c r="R46" s="16">
        <f>(MAX(R45,0)*R24)</f>
        <v/>
      </c>
      <c r="S46" s="16">
        <f>(MAX(S45,0)*S24)</f>
        <v/>
      </c>
      <c r="T46" s="16">
        <f>(MAX(T45,0)*T24)</f>
        <v/>
      </c>
      <c r="U46" s="16">
        <f>(MAX(U45,0)*U24)</f>
        <v/>
      </c>
      <c r="V46" s="16">
        <f>(MAX(V45,0)*V24)</f>
        <v/>
      </c>
      <c r="W46" s="16">
        <f>(MAX(W45,0)*W24)</f>
        <v/>
      </c>
      <c r="X46" s="16">
        <f>(MAX(X45,0)*X24)</f>
        <v/>
      </c>
      <c r="Y46" s="16">
        <f>(MAX(Y45,0)*Y24)</f>
        <v/>
      </c>
      <c r="Z46" s="16">
        <f>(MAX(Z45,0)*Z24)</f>
        <v/>
      </c>
      <c r="AA46" s="16">
        <f>(MAX(AA45,0)*AA24)</f>
        <v/>
      </c>
      <c r="AB46" s="16">
        <f>(MAX(AB45,0)*AB24)</f>
        <v/>
      </c>
      <c r="AC46" s="16">
        <f>(MAX(AC45,0)*AC24)</f>
        <v/>
      </c>
      <c r="AD46" s="16">
        <f>(MAX(AD45,0)*AD24)</f>
        <v/>
      </c>
    </row>
    <row r="47">
      <c r="A47" t="inlineStr">
        <is>
          <t>Dividends paid</t>
        </is>
      </c>
      <c r="B47" t="inlineStr">
        <is>
          <t>dividends_paid</t>
        </is>
      </c>
      <c r="D47" s="13" t="n">
        <v>36</v>
      </c>
      <c r="E47" s="13" t="n">
        <v>32.867</v>
      </c>
      <c r="F47" s="13" t="n">
        <v>48.496</v>
      </c>
      <c r="G47" s="13" t="n">
        <v>0</v>
      </c>
      <c r="H47" s="14">
        <f>IF($C$8=0,0,(G46*G44)/$C$8)</f>
        <v/>
      </c>
      <c r="I47" s="14">
        <f>IF($C$8=0,0,(H46*H44)/$C$8)</f>
        <v/>
      </c>
      <c r="J47" s="14">
        <f>IF($C$8=0,0,(I46*I44)/$C$8)</f>
        <v/>
      </c>
      <c r="K47" s="14">
        <f>IF($C$8=0,0,(J46*J44)/$C$8)</f>
        <v/>
      </c>
      <c r="L47" s="14">
        <f>IF($C$8=0,0,(K46*K44)/$C$8)</f>
        <v/>
      </c>
      <c r="M47" s="14">
        <f>IF($C$8=0,0,(L46*L44)/$C$8)</f>
        <v/>
      </c>
      <c r="N47" s="14">
        <f>IF($C$8=0,0,(M46*M44)/$C$8)</f>
        <v/>
      </c>
      <c r="O47" s="14">
        <f>IF($C$8=0,0,(N46*N44)/$C$8)</f>
        <v/>
      </c>
      <c r="P47" s="14">
        <f>IF($C$8=0,0,(O46*O44)/$C$8)</f>
        <v/>
      </c>
      <c r="Q47" s="14">
        <f>IF($C$8=0,0,(P46*P44)/$C$8)</f>
        <v/>
      </c>
      <c r="R47" s="14">
        <f>IF($C$8=0,0,(Q46*Q44)/$C$8)</f>
        <v/>
      </c>
      <c r="S47" s="14">
        <f>IF($C$8=0,0,(R46*R44)/$C$8)</f>
        <v/>
      </c>
      <c r="T47" s="14">
        <f>IF($C$8=0,0,(S46*S44)/$C$8)</f>
        <v/>
      </c>
      <c r="U47" s="14">
        <f>IF($C$8=0,0,(T46*T44)/$C$8)</f>
        <v/>
      </c>
      <c r="V47" s="14">
        <f>IF($C$8=0,0,(U46*U44)/$C$8)</f>
        <v/>
      </c>
      <c r="W47" s="14">
        <f>IF($C$8=0,0,(V46*V44)/$C$8)</f>
        <v/>
      </c>
      <c r="X47" s="14">
        <f>IF($C$8=0,0,(W46*W44)/$C$8)</f>
        <v/>
      </c>
      <c r="Y47" s="14">
        <f>IF($C$8=0,0,(X46*X44)/$C$8)</f>
        <v/>
      </c>
      <c r="Z47" s="14">
        <f>IF($C$8=0,0,(Y46*Y44)/$C$8)</f>
        <v/>
      </c>
      <c r="AA47" s="14">
        <f>IF($C$8=0,0,(Z46*Z44)/$C$8)</f>
        <v/>
      </c>
      <c r="AB47" s="14">
        <f>IF($C$8=0,0,(AA46*AA44)/$C$8)</f>
        <v/>
      </c>
      <c r="AC47" s="14">
        <f>IF($C$8=0,0,(AB46*AB44)/$C$8)</f>
        <v/>
      </c>
      <c r="AD47" s="14">
        <f>IF($C$8=0,0,(AC46*AC44)/$C$8)</f>
        <v/>
      </c>
    </row>
    <row r="48">
      <c r="A48" t="inlineStr">
        <is>
          <t>Capital expenditure</t>
        </is>
      </c>
      <c r="B48" t="inlineStr">
        <is>
          <t>capex</t>
        </is>
      </c>
      <c r="D48" s="13" t="n">
        <v>51.38</v>
      </c>
      <c r="E48" s="13" t="n">
        <v>28.612</v>
      </c>
      <c r="F48" s="13" t="n">
        <v>116.745</v>
      </c>
      <c r="G48" s="13" t="n">
        <v>135.693</v>
      </c>
      <c r="H48" s="14">
        <f>(H29*H16)</f>
        <v/>
      </c>
      <c r="I48" s="14">
        <f>(I29*I16)</f>
        <v/>
      </c>
      <c r="J48" s="14">
        <f>(J29*J16)</f>
        <v/>
      </c>
      <c r="K48" s="14">
        <f>(K29*K16)</f>
        <v/>
      </c>
      <c r="L48" s="14">
        <f>(L29*L16)</f>
        <v/>
      </c>
      <c r="M48" s="14">
        <f>(M29*M16)</f>
        <v/>
      </c>
      <c r="N48" s="14">
        <f>(N29*N16)</f>
        <v/>
      </c>
      <c r="O48" s="14">
        <f>(O29*O16)</f>
        <v/>
      </c>
      <c r="P48" s="14">
        <f>(P29*P16)</f>
        <v/>
      </c>
      <c r="Q48" s="14">
        <f>(Q29*Q16)</f>
        <v/>
      </c>
      <c r="R48" s="14">
        <f>(R29*R16)</f>
        <v/>
      </c>
      <c r="S48" s="14">
        <f>(S29*S16)</f>
        <v/>
      </c>
      <c r="T48" s="14">
        <f>(T29*T16)</f>
        <v/>
      </c>
      <c r="U48" s="14">
        <f>(U29*U16)</f>
        <v/>
      </c>
      <c r="V48" s="14">
        <f>(V29*V16)</f>
        <v/>
      </c>
      <c r="W48" s="14">
        <f>(W29*W16)</f>
        <v/>
      </c>
      <c r="X48" s="14">
        <f>(X29*X16)</f>
        <v/>
      </c>
      <c r="Y48" s="14">
        <f>(Y29*Y16)</f>
        <v/>
      </c>
      <c r="Z48" s="14">
        <f>(Z29*Z16)</f>
        <v/>
      </c>
      <c r="AA48" s="14">
        <f>(AA29*AA16)</f>
        <v/>
      </c>
      <c r="AB48" s="14">
        <f>(AB29*AB16)</f>
        <v/>
      </c>
      <c r="AC48" s="14">
        <f>(AC29*AC16)</f>
        <v/>
      </c>
      <c r="AD48" s="14">
        <f>(AD29*AD16)</f>
        <v/>
      </c>
    </row>
    <row r="49">
      <c r="A49" t="inlineStr">
        <is>
          <t>Change in working capital</t>
        </is>
      </c>
      <c r="B49" t="inlineStr">
        <is>
          <t>delta_nwc</t>
        </is>
      </c>
      <c r="D49" s="13" t="n"/>
      <c r="E49" s="13" t="n">
        <v>56.59099999999995</v>
      </c>
      <c r="F49" s="13" t="n">
        <v>39.85300000000007</v>
      </c>
      <c r="G49" s="13" t="n">
        <v>-12.11500000000007</v>
      </c>
      <c r="H49" s="14">
        <f>(H54-G54)</f>
        <v/>
      </c>
      <c r="I49" s="14">
        <f>(I54-H54)</f>
        <v/>
      </c>
      <c r="J49" s="14">
        <f>(J54-I54)</f>
        <v/>
      </c>
      <c r="K49" s="14">
        <f>(K54-J54)</f>
        <v/>
      </c>
      <c r="L49" s="14">
        <f>(L54-K54)</f>
        <v/>
      </c>
      <c r="M49" s="14">
        <f>(M54-L54)</f>
        <v/>
      </c>
      <c r="N49" s="14">
        <f>(N54-M54)</f>
        <v/>
      </c>
      <c r="O49" s="14">
        <f>(O54-N54)</f>
        <v/>
      </c>
      <c r="P49" s="14">
        <f>(P54-O54)</f>
        <v/>
      </c>
      <c r="Q49" s="14">
        <f>(Q54-P54)</f>
        <v/>
      </c>
      <c r="R49" s="14">
        <f>(R54-Q54)</f>
        <v/>
      </c>
      <c r="S49" s="14">
        <f>(S54-R54)</f>
        <v/>
      </c>
      <c r="T49" s="14">
        <f>(T54-S54)</f>
        <v/>
      </c>
      <c r="U49" s="14">
        <f>(U54-T54)</f>
        <v/>
      </c>
      <c r="V49" s="14">
        <f>(V54-U54)</f>
        <v/>
      </c>
      <c r="W49" s="14">
        <f>(W54-V54)</f>
        <v/>
      </c>
      <c r="X49" s="14">
        <f>(X54-W54)</f>
        <v/>
      </c>
      <c r="Y49" s="14">
        <f>(Y54-X54)</f>
        <v/>
      </c>
      <c r="Z49" s="14">
        <f>(Z54-Y54)</f>
        <v/>
      </c>
      <c r="AA49" s="14">
        <f>(AA54-Z54)</f>
        <v/>
      </c>
      <c r="AB49" s="14">
        <f>(AB54-AA54)</f>
        <v/>
      </c>
      <c r="AC49" s="14">
        <f>(AC54-AB54)</f>
        <v/>
      </c>
      <c r="AD49" s="14">
        <f>(AD54-AC54)</f>
        <v/>
      </c>
    </row>
    <row r="50">
      <c r="A50" t="inlineStr">
        <is>
          <t>Free cash flow to firm</t>
        </is>
      </c>
      <c r="B50" t="inlineStr">
        <is>
          <t>fcff</t>
        </is>
      </c>
      <c r="D50" s="13" t="n"/>
      <c r="E50" s="13" t="n">
        <v>209.4303349861541</v>
      </c>
      <c r="F50" s="13" t="n">
        <v>155.6875615674145</v>
      </c>
      <c r="G50" s="13" t="n">
        <v>203.7159754246879</v>
      </c>
      <c r="H50" s="14">
        <f>((((H33*(1-H18))+H34)-H48)-H49)</f>
        <v/>
      </c>
      <c r="I50" s="14">
        <f>((((I33*(1-I18))+I34)-I48)-I49)</f>
        <v/>
      </c>
      <c r="J50" s="14">
        <f>((((J33*(1-J18))+J34)-J48)-J49)</f>
        <v/>
      </c>
      <c r="K50" s="14">
        <f>((((K33*(1-K18))+K34)-K48)-K49)</f>
        <v/>
      </c>
      <c r="L50" s="14">
        <f>((((L33*(1-L18))+L34)-L48)-L49)</f>
        <v/>
      </c>
      <c r="M50" s="14">
        <f>((((M33*(1-M18))+M34)-M48)-M49)</f>
        <v/>
      </c>
      <c r="N50" s="14">
        <f>((((N33*(1-N18))+N34)-N48)-N49)</f>
        <v/>
      </c>
      <c r="O50" s="14">
        <f>((((O33*(1-O18))+O34)-O48)-O49)</f>
        <v/>
      </c>
      <c r="P50" s="14">
        <f>((((P33*(1-P18))+P34)-P48)-P49)</f>
        <v/>
      </c>
      <c r="Q50" s="14">
        <f>((((Q33*(1-Q18))+Q34)-Q48)-Q49)</f>
        <v/>
      </c>
      <c r="R50" s="14">
        <f>((((R33*(1-R18))+R34)-R48)-R49)</f>
        <v/>
      </c>
      <c r="S50" s="14">
        <f>((((S33*(1-S18))+S34)-S48)-S49)</f>
        <v/>
      </c>
      <c r="T50" s="14">
        <f>((((T33*(1-T18))+T34)-T48)-T49)</f>
        <v/>
      </c>
      <c r="U50" s="14">
        <f>((((U33*(1-U18))+U34)-U48)-U49)</f>
        <v/>
      </c>
      <c r="V50" s="14">
        <f>((((V33*(1-V18))+V34)-V48)-V49)</f>
        <v/>
      </c>
      <c r="W50" s="14">
        <f>((((W33*(1-W18))+W34)-W48)-W49)</f>
        <v/>
      </c>
      <c r="X50" s="14">
        <f>((((X33*(1-X18))+X34)-X48)-X49)</f>
        <v/>
      </c>
      <c r="Y50" s="14">
        <f>((((Y33*(1-Y18))+Y34)-Y48)-Y49)</f>
        <v/>
      </c>
      <c r="Z50" s="14">
        <f>((((Z33*(1-Z18))+Z34)-Z48)-Z49)</f>
        <v/>
      </c>
      <c r="AA50" s="14">
        <f>((((AA33*(1-AA18))+AA34)-AA48)-AA49)</f>
        <v/>
      </c>
      <c r="AB50" s="14">
        <f>((((AB33*(1-AB18))+AB34)-AB48)-AB49)</f>
        <v/>
      </c>
      <c r="AC50" s="14">
        <f>((((AC33*(1-AC18))+AC34)-AC48)-AC49)</f>
        <v/>
      </c>
      <c r="AD50" s="14">
        <f>((((AD33*(1-AD18))+AD34)-AD48)-AD49)</f>
        <v/>
      </c>
    </row>
    <row r="51">
      <c r="A51" t="inlineStr">
        <is>
          <t>Net borrowing</t>
        </is>
      </c>
      <c r="B51" t="inlineStr">
        <is>
          <t>net_borrowing</t>
        </is>
      </c>
      <c r="D51" s="13" t="n"/>
      <c r="E51" s="13" t="n">
        <v>-82.33600000000001</v>
      </c>
      <c r="F51" s="13" t="n">
        <v>116.9359999999999</v>
      </c>
      <c r="G51" s="13" t="n">
        <v>-39.78499999999985</v>
      </c>
      <c r="H51" s="14">
        <f>H21</f>
        <v/>
      </c>
      <c r="I51" s="14">
        <f>I21</f>
        <v/>
      </c>
      <c r="J51" s="14">
        <f>J21</f>
        <v/>
      </c>
      <c r="K51" s="14">
        <f>K21</f>
        <v/>
      </c>
      <c r="L51" s="14">
        <f>L21</f>
        <v/>
      </c>
      <c r="M51" s="14">
        <f>M21</f>
        <v/>
      </c>
      <c r="N51" s="14">
        <f>N21</f>
        <v/>
      </c>
      <c r="O51" s="14">
        <f>O21</f>
        <v/>
      </c>
      <c r="P51" s="14">
        <f>P21</f>
        <v/>
      </c>
      <c r="Q51" s="14">
        <f>Q21</f>
        <v/>
      </c>
      <c r="R51" s="14">
        <f>R21</f>
        <v/>
      </c>
      <c r="S51" s="14">
        <f>S21</f>
        <v/>
      </c>
      <c r="T51" s="14">
        <f>T21</f>
        <v/>
      </c>
      <c r="U51" s="14">
        <f>U21</f>
        <v/>
      </c>
      <c r="V51" s="14">
        <f>V21</f>
        <v/>
      </c>
      <c r="W51" s="14">
        <f>W21</f>
        <v/>
      </c>
      <c r="X51" s="14">
        <f>X21</f>
        <v/>
      </c>
      <c r="Y51" s="14">
        <f>Y21</f>
        <v/>
      </c>
      <c r="Z51" s="14">
        <f>Z21</f>
        <v/>
      </c>
      <c r="AA51" s="14">
        <f>AA21</f>
        <v/>
      </c>
      <c r="AB51" s="14">
        <f>AB21</f>
        <v/>
      </c>
      <c r="AC51" s="14">
        <f>AC21</f>
        <v/>
      </c>
      <c r="AD51" s="14">
        <f>AD21</f>
        <v/>
      </c>
    </row>
    <row r="52">
      <c r="A52" t="inlineStr">
        <is>
          <t>Dividends to minorities</t>
        </is>
      </c>
      <c r="B52" t="inlineStr">
        <is>
          <t>minority_div</t>
        </is>
      </c>
      <c r="D52" s="13" t="n"/>
      <c r="E52" s="13" t="n"/>
      <c r="F52" s="13" t="n"/>
      <c r="G52" s="13" t="n"/>
      <c r="H52" s="14">
        <f>(MAX(G42,0)*H24)</f>
        <v/>
      </c>
      <c r="I52" s="14">
        <f>(MAX(H42,0)*I24)</f>
        <v/>
      </c>
      <c r="J52" s="14">
        <f>(MAX(I42,0)*J24)</f>
        <v/>
      </c>
      <c r="K52" s="14">
        <f>(MAX(J42,0)*K24)</f>
        <v/>
      </c>
      <c r="L52" s="14">
        <f>(MAX(K42,0)*L24)</f>
        <v/>
      </c>
      <c r="M52" s="14">
        <f>(MAX(L42,0)*M24)</f>
        <v/>
      </c>
      <c r="N52" s="14">
        <f>(MAX(M42,0)*N24)</f>
        <v/>
      </c>
      <c r="O52" s="14">
        <f>(MAX(N42,0)*O24)</f>
        <v/>
      </c>
      <c r="P52" s="14">
        <f>(MAX(O42,0)*P24)</f>
        <v/>
      </c>
      <c r="Q52" s="14">
        <f>(MAX(P42,0)*Q24)</f>
        <v/>
      </c>
      <c r="R52" s="14">
        <f>(MAX(Q42,0)*R24)</f>
        <v/>
      </c>
      <c r="S52" s="14">
        <f>(MAX(R42,0)*S24)</f>
        <v/>
      </c>
      <c r="T52" s="14">
        <f>(MAX(S42,0)*T24)</f>
        <v/>
      </c>
      <c r="U52" s="14">
        <f>(MAX(T42,0)*U24)</f>
        <v/>
      </c>
      <c r="V52" s="14">
        <f>(MAX(U42,0)*V24)</f>
        <v/>
      </c>
      <c r="W52" s="14">
        <f>(MAX(V42,0)*W24)</f>
        <v/>
      </c>
      <c r="X52" s="14">
        <f>(MAX(W42,0)*X24)</f>
        <v/>
      </c>
      <c r="Y52" s="14">
        <f>(MAX(X42,0)*Y24)</f>
        <v/>
      </c>
      <c r="Z52" s="14">
        <f>(MAX(Y42,0)*Z24)</f>
        <v/>
      </c>
      <c r="AA52" s="14">
        <f>(MAX(Z42,0)*AA24)</f>
        <v/>
      </c>
      <c r="AB52" s="14">
        <f>(MAX(AA42,0)*AB24)</f>
        <v/>
      </c>
      <c r="AC52" s="14">
        <f>(MAX(AB42,0)*AC24)</f>
        <v/>
      </c>
      <c r="AD52" s="14">
        <f>(MAX(AC42,0)*AD24)</f>
        <v/>
      </c>
    </row>
    <row r="53">
      <c r="A53" t="inlineStr">
        <is>
          <t>Free cash flow to equity</t>
        </is>
      </c>
      <c r="B53" t="inlineStr">
        <is>
          <t>fcfe</t>
        </is>
      </c>
      <c r="D53" s="13" t="n"/>
      <c r="E53" s="13" t="n"/>
      <c r="F53" s="13" t="n"/>
      <c r="G53" s="13" t="n"/>
      <c r="H53" s="14">
        <f>(((((H41+H34)-H48)-H49)+H51)-H52)</f>
        <v/>
      </c>
      <c r="I53" s="14">
        <f>(((((I41+I34)-I48)-I49)+I51)-I52)</f>
        <v/>
      </c>
      <c r="J53" s="14">
        <f>(((((J41+J34)-J48)-J49)+J51)-J52)</f>
        <v/>
      </c>
      <c r="K53" s="14">
        <f>(((((K41+K34)-K48)-K49)+K51)-K52)</f>
        <v/>
      </c>
      <c r="L53" s="14">
        <f>(((((L41+L34)-L48)-L49)+L51)-L52)</f>
        <v/>
      </c>
      <c r="M53" s="14">
        <f>(((((M41+M34)-M48)-M49)+M51)-M52)</f>
        <v/>
      </c>
      <c r="N53" s="14">
        <f>(((((N41+N34)-N48)-N49)+N51)-N52)</f>
        <v/>
      </c>
      <c r="O53" s="14">
        <f>(((((O41+O34)-O48)-O49)+O51)-O52)</f>
        <v/>
      </c>
      <c r="P53" s="14">
        <f>(((((P41+P34)-P48)-P49)+P51)-P52)</f>
        <v/>
      </c>
      <c r="Q53" s="14">
        <f>(((((Q41+Q34)-Q48)-Q49)+Q51)-Q52)</f>
        <v/>
      </c>
      <c r="R53" s="14">
        <f>(((((R41+R34)-R48)-R49)+R51)-R52)</f>
        <v/>
      </c>
      <c r="S53" s="14">
        <f>(((((S41+S34)-S48)-S49)+S51)-S52)</f>
        <v/>
      </c>
      <c r="T53" s="14">
        <f>(((((T41+T34)-T48)-T49)+T51)-T52)</f>
        <v/>
      </c>
      <c r="U53" s="14">
        <f>(((((U41+U34)-U48)-U49)+U51)-U52)</f>
        <v/>
      </c>
      <c r="V53" s="14">
        <f>(((((V41+V34)-V48)-V49)+V51)-V52)</f>
        <v/>
      </c>
      <c r="W53" s="14">
        <f>(((((W41+W34)-W48)-W49)+W51)-W52)</f>
        <v/>
      </c>
      <c r="X53" s="14">
        <f>(((((X41+X34)-X48)-X49)+X51)-X52)</f>
        <v/>
      </c>
      <c r="Y53" s="14">
        <f>(((((Y41+Y34)-Y48)-Y49)+Y51)-Y52)</f>
        <v/>
      </c>
      <c r="Z53" s="14">
        <f>(((((Z41+Z34)-Z48)-Z49)+Z51)-Z52)</f>
        <v/>
      </c>
      <c r="AA53" s="14">
        <f>(((((AA41+AA34)-AA48)-AA49)+AA51)-AA52)</f>
        <v/>
      </c>
      <c r="AB53" s="14">
        <f>(((((AB41+AB34)-AB48)-AB49)+AB51)-AB52)</f>
        <v/>
      </c>
      <c r="AC53" s="14">
        <f>(((((AC41+AC34)-AC48)-AC49)+AC51)-AC52)</f>
        <v/>
      </c>
      <c r="AD53" s="14">
        <f>(((((AD41+AD34)-AD48)-AD49)+AD51)-AD52)</f>
        <v/>
      </c>
    </row>
    <row r="54">
      <c r="A54" t="inlineStr">
        <is>
          <t>Operating working capital</t>
        </is>
      </c>
      <c r="B54" t="inlineStr">
        <is>
          <t>nwc</t>
        </is>
      </c>
      <c r="D54" s="13" t="n">
        <v>248.349</v>
      </c>
      <c r="E54" s="13" t="n">
        <v>304.94</v>
      </c>
      <c r="F54" s="13" t="n">
        <v>344.7930000000001</v>
      </c>
      <c r="G54" s="13" t="n">
        <v>332.678</v>
      </c>
      <c r="H54" s="14">
        <f>(H29*H17)</f>
        <v/>
      </c>
      <c r="I54" s="14">
        <f>(I29*I17)</f>
        <v/>
      </c>
      <c r="J54" s="14">
        <f>(J29*J17)</f>
        <v/>
      </c>
      <c r="K54" s="14">
        <f>(K29*K17)</f>
        <v/>
      </c>
      <c r="L54" s="14">
        <f>(L29*L17)</f>
        <v/>
      </c>
      <c r="M54" s="14">
        <f>(M29*M17)</f>
        <v/>
      </c>
      <c r="N54" s="14">
        <f>(N29*N17)</f>
        <v/>
      </c>
      <c r="O54" s="14">
        <f>(O29*O17)</f>
        <v/>
      </c>
      <c r="P54" s="14">
        <f>(P29*P17)</f>
        <v/>
      </c>
      <c r="Q54" s="14">
        <f>(Q29*Q17)</f>
        <v/>
      </c>
      <c r="R54" s="14">
        <f>(R29*R17)</f>
        <v/>
      </c>
      <c r="S54" s="14">
        <f>(S29*S17)</f>
        <v/>
      </c>
      <c r="T54" s="14">
        <f>(T29*T17)</f>
        <v/>
      </c>
      <c r="U54" s="14">
        <f>(U29*U17)</f>
        <v/>
      </c>
      <c r="V54" s="14">
        <f>(V29*V17)</f>
        <v/>
      </c>
      <c r="W54" s="14">
        <f>(W29*W17)</f>
        <v/>
      </c>
      <c r="X54" s="14">
        <f>(X29*X17)</f>
        <v/>
      </c>
      <c r="Y54" s="14">
        <f>(Y29*Y17)</f>
        <v/>
      </c>
      <c r="Z54" s="14">
        <f>(Z29*Z17)</f>
        <v/>
      </c>
      <c r="AA54" s="14">
        <f>(AA29*AA17)</f>
        <v/>
      </c>
      <c r="AB54" s="14">
        <f>(AB29*AB17)</f>
        <v/>
      </c>
      <c r="AC54" s="14">
        <f>(AC29*AC17)</f>
        <v/>
      </c>
      <c r="AD54" s="14">
        <f>(AD29*AD17)</f>
        <v/>
      </c>
    </row>
    <row r="55">
      <c r="A55" t="inlineStr">
        <is>
          <t>Cash &amp; equivalents</t>
        </is>
      </c>
      <c r="B55" t="inlineStr">
        <is>
          <t>cash</t>
        </is>
      </c>
      <c r="D55" s="13" t="n">
        <v>169.331</v>
      </c>
      <c r="E55" s="13" t="n">
        <v>247.787</v>
      </c>
      <c r="F55" s="13" t="n">
        <v>162.724</v>
      </c>
      <c r="G55" s="13" t="n">
        <v>114.985</v>
      </c>
      <c r="H55" s="14">
        <f>(((((((G55+H41)+H34)-H48)-H49)+H51)-H47)-H52)</f>
        <v/>
      </c>
      <c r="I55" s="14">
        <f>(((((((H55+I41)+I34)-I48)-I49)+I51)-I47)-I52)</f>
        <v/>
      </c>
      <c r="J55" s="14">
        <f>(((((((I55+J41)+J34)-J48)-J49)+J51)-J47)-J52)</f>
        <v/>
      </c>
      <c r="K55" s="14">
        <f>(((((((J55+K41)+K34)-K48)-K49)+K51)-K47)-K52)</f>
        <v/>
      </c>
      <c r="L55" s="14">
        <f>(((((((K55+L41)+L34)-L48)-L49)+L51)-L47)-L52)</f>
        <v/>
      </c>
      <c r="M55" s="14">
        <f>(((((((L55+M41)+M34)-M48)-M49)+M51)-M47)-M52)</f>
        <v/>
      </c>
      <c r="N55" s="14">
        <f>(((((((M55+N41)+N34)-N48)-N49)+N51)-N47)-N52)</f>
        <v/>
      </c>
      <c r="O55" s="14">
        <f>(((((((N55+O41)+O34)-O48)-O49)+O51)-O47)-O52)</f>
        <v/>
      </c>
      <c r="P55" s="14">
        <f>(((((((O55+P41)+P34)-P48)-P49)+P51)-P47)-P52)</f>
        <v/>
      </c>
      <c r="Q55" s="14">
        <f>(((((((P55+Q41)+Q34)-Q48)-Q49)+Q51)-Q47)-Q52)</f>
        <v/>
      </c>
      <c r="R55" s="14">
        <f>(((((((Q55+R41)+R34)-R48)-R49)+R51)-R47)-R52)</f>
        <v/>
      </c>
      <c r="S55" s="14">
        <f>(((((((R55+S41)+S34)-S48)-S49)+S51)-S47)-S52)</f>
        <v/>
      </c>
      <c r="T55" s="14">
        <f>(((((((S55+T41)+T34)-T48)-T49)+T51)-T47)-T52)</f>
        <v/>
      </c>
      <c r="U55" s="14">
        <f>(((((((T55+U41)+U34)-U48)-U49)+U51)-U47)-U52)</f>
        <v/>
      </c>
      <c r="V55" s="14">
        <f>(((((((U55+V41)+V34)-V48)-V49)+V51)-V47)-V52)</f>
        <v/>
      </c>
      <c r="W55" s="14">
        <f>(((((((V55+W41)+W34)-W48)-W49)+W51)-W47)-W52)</f>
        <v/>
      </c>
      <c r="X55" s="14">
        <f>(((((((W55+X41)+X34)-X48)-X49)+X51)-X47)-X52)</f>
        <v/>
      </c>
      <c r="Y55" s="14">
        <f>(((((((X55+Y41)+Y34)-Y48)-Y49)+Y51)-Y47)-Y52)</f>
        <v/>
      </c>
      <c r="Z55" s="14">
        <f>(((((((Y55+Z41)+Z34)-Z48)-Z49)+Z51)-Z47)-Z52)</f>
        <v/>
      </c>
      <c r="AA55" s="14">
        <f>(((((((Z55+AA41)+AA34)-AA48)-AA49)+AA51)-AA47)-AA52)</f>
        <v/>
      </c>
      <c r="AB55" s="14">
        <f>(((((((AA55+AB41)+AB34)-AB48)-AB49)+AB51)-AB47)-AB52)</f>
        <v/>
      </c>
      <c r="AC55" s="14">
        <f>(((((((AB55+AC41)+AC34)-AC48)-AC49)+AC51)-AC47)-AC52)</f>
        <v/>
      </c>
      <c r="AD55" s="14">
        <f>(((((((AC55+AD41)+AD34)-AD48)-AD49)+AD51)-AD47)-AD52)</f>
        <v/>
      </c>
    </row>
    <row r="56">
      <c r="A56" t="inlineStr">
        <is>
          <t>Total debt</t>
        </is>
      </c>
      <c r="B56" t="inlineStr">
        <is>
          <t>debt</t>
        </is>
      </c>
      <c r="D56" s="13" t="n">
        <v>2069.605</v>
      </c>
      <c r="E56" s="13" t="n">
        <v>1987.269</v>
      </c>
      <c r="F56" s="13" t="n">
        <v>2104.205</v>
      </c>
      <c r="G56" s="13" t="n">
        <v>2064.42</v>
      </c>
      <c r="H56" s="14">
        <f>(G56+H51)</f>
        <v/>
      </c>
      <c r="I56" s="14">
        <f>(H56+I51)</f>
        <v/>
      </c>
      <c r="J56" s="14">
        <f>(I56+J51)</f>
        <v/>
      </c>
      <c r="K56" s="14">
        <f>(J56+K51)</f>
        <v/>
      </c>
      <c r="L56" s="14">
        <f>(K56+L51)</f>
        <v/>
      </c>
      <c r="M56" s="14">
        <f>(L56+M51)</f>
        <v/>
      </c>
      <c r="N56" s="14">
        <f>(M56+N51)</f>
        <v/>
      </c>
      <c r="O56" s="14">
        <f>(N56+O51)</f>
        <v/>
      </c>
      <c r="P56" s="14">
        <f>(O56+P51)</f>
        <v/>
      </c>
      <c r="Q56" s="14">
        <f>(P56+Q51)</f>
        <v/>
      </c>
      <c r="R56" s="14">
        <f>(Q56+R51)</f>
        <v/>
      </c>
      <c r="S56" s="14">
        <f>(R56+S51)</f>
        <v/>
      </c>
      <c r="T56" s="14">
        <f>(S56+T51)</f>
        <v/>
      </c>
      <c r="U56" s="14">
        <f>(T56+U51)</f>
        <v/>
      </c>
      <c r="V56" s="14">
        <f>(U56+V51)</f>
        <v/>
      </c>
      <c r="W56" s="14">
        <f>(V56+W51)</f>
        <v/>
      </c>
      <c r="X56" s="14">
        <f>(W56+X51)</f>
        <v/>
      </c>
      <c r="Y56" s="14">
        <f>(X56+Y51)</f>
        <v/>
      </c>
      <c r="Z56" s="14">
        <f>(Y56+Z51)</f>
        <v/>
      </c>
      <c r="AA56" s="14">
        <f>(Z56+AA51)</f>
        <v/>
      </c>
      <c r="AB56" s="14">
        <f>(AA56+AB51)</f>
        <v/>
      </c>
      <c r="AC56" s="14">
        <f>(AB56+AC51)</f>
        <v/>
      </c>
      <c r="AD56" s="14">
        <f>(AC56+AD51)</f>
        <v/>
      </c>
    </row>
    <row r="57">
      <c r="A57" t="inlineStr">
        <is>
          <t>Fixed assets (net)</t>
        </is>
      </c>
      <c r="B57" t="inlineStr">
        <is>
          <t>ppe</t>
        </is>
      </c>
      <c r="D57" s="13" t="n">
        <v>975.458</v>
      </c>
      <c r="E57" s="13" t="n">
        <v>938.148</v>
      </c>
      <c r="F57" s="13" t="n">
        <v>1158.393</v>
      </c>
      <c r="G57" s="13" t="n">
        <v>1161.186</v>
      </c>
      <c r="H57" s="14">
        <f>((G57+H48)-H34)</f>
        <v/>
      </c>
      <c r="I57" s="14">
        <f>((H57+I48)-I34)</f>
        <v/>
      </c>
      <c r="J57" s="14">
        <f>((I57+J48)-J34)</f>
        <v/>
      </c>
      <c r="K57" s="14">
        <f>((J57+K48)-K34)</f>
        <v/>
      </c>
      <c r="L57" s="14">
        <f>((K57+L48)-L34)</f>
        <v/>
      </c>
      <c r="M57" s="14">
        <f>((L57+M48)-M34)</f>
        <v/>
      </c>
      <c r="N57" s="14">
        <f>((M57+N48)-N34)</f>
        <v/>
      </c>
      <c r="O57" s="14">
        <f>((N57+O48)-O34)</f>
        <v/>
      </c>
      <c r="P57" s="14">
        <f>((O57+P48)-P34)</f>
        <v/>
      </c>
      <c r="Q57" s="14">
        <f>((P57+Q48)-Q34)</f>
        <v/>
      </c>
      <c r="R57" s="14">
        <f>((Q57+R48)-R34)</f>
        <v/>
      </c>
      <c r="S57" s="14">
        <f>((R57+S48)-S34)</f>
        <v/>
      </c>
      <c r="T57" s="14">
        <f>((S57+T48)-T34)</f>
        <v/>
      </c>
      <c r="U57" s="14">
        <f>((T57+U48)-U34)</f>
        <v/>
      </c>
      <c r="V57" s="14">
        <f>((U57+V48)-V34)</f>
        <v/>
      </c>
      <c r="W57" s="14">
        <f>((V57+W48)-W34)</f>
        <v/>
      </c>
      <c r="X57" s="14">
        <f>((W57+X48)-X34)</f>
        <v/>
      </c>
      <c r="Y57" s="14">
        <f>((X57+Y48)-Y34)</f>
        <v/>
      </c>
      <c r="Z57" s="14">
        <f>((Y57+Z48)-Z34)</f>
        <v/>
      </c>
      <c r="AA57" s="14">
        <f>((Z57+AA48)-AA34)</f>
        <v/>
      </c>
      <c r="AB57" s="14">
        <f>((AA57+AB48)-AB34)</f>
        <v/>
      </c>
      <c r="AC57" s="14">
        <f>((AB57+AC48)-AC34)</f>
        <v/>
      </c>
      <c r="AD57" s="14">
        <f>((AC57+AD48)-AD34)</f>
        <v/>
      </c>
    </row>
    <row r="58">
      <c r="A58" t="inlineStr">
        <is>
          <t>Parent shareholders' equity</t>
        </is>
      </c>
      <c r="B58" t="inlineStr">
        <is>
          <t>equity</t>
        </is>
      </c>
      <c r="D58" s="13" t="n">
        <v>191.505</v>
      </c>
      <c r="E58" s="13" t="n">
        <v>444.109</v>
      </c>
      <c r="F58" s="13" t="n">
        <v>516.862</v>
      </c>
      <c r="G58" s="13" t="n">
        <v>636.8680000000001</v>
      </c>
      <c r="H58" s="14">
        <f>((G58+H43)-H47)</f>
        <v/>
      </c>
      <c r="I58" s="14">
        <f>((H58+I43)-I47)</f>
        <v/>
      </c>
      <c r="J58" s="14">
        <f>((I58+J43)-J47)</f>
        <v/>
      </c>
      <c r="K58" s="14">
        <f>((J58+K43)-K47)</f>
        <v/>
      </c>
      <c r="L58" s="14">
        <f>((K58+L43)-L47)</f>
        <v/>
      </c>
      <c r="M58" s="14">
        <f>((L58+M43)-M47)</f>
        <v/>
      </c>
      <c r="N58" s="14">
        <f>((M58+N43)-N47)</f>
        <v/>
      </c>
      <c r="O58" s="14">
        <f>((N58+O43)-O47)</f>
        <v/>
      </c>
      <c r="P58" s="14">
        <f>((O58+P43)-P47)</f>
        <v/>
      </c>
      <c r="Q58" s="14">
        <f>((P58+Q43)-Q47)</f>
        <v/>
      </c>
      <c r="R58" s="14">
        <f>((Q58+R43)-R47)</f>
        <v/>
      </c>
      <c r="S58" s="14">
        <f>((R58+S43)-S47)</f>
        <v/>
      </c>
      <c r="T58" s="14">
        <f>((S58+T43)-T47)</f>
        <v/>
      </c>
      <c r="U58" s="14">
        <f>((T58+U43)-U47)</f>
        <v/>
      </c>
      <c r="V58" s="14">
        <f>((U58+V43)-V47)</f>
        <v/>
      </c>
      <c r="W58" s="14">
        <f>((V58+W43)-W47)</f>
        <v/>
      </c>
      <c r="X58" s="14">
        <f>((W58+X43)-X47)</f>
        <v/>
      </c>
      <c r="Y58" s="14">
        <f>((X58+Y43)-Y47)</f>
        <v/>
      </c>
      <c r="Z58" s="14">
        <f>((Y58+Z43)-Z47)</f>
        <v/>
      </c>
      <c r="AA58" s="14">
        <f>((Z58+AA43)-AA47)</f>
        <v/>
      </c>
      <c r="AB58" s="14">
        <f>((AA58+AB43)-AB47)</f>
        <v/>
      </c>
      <c r="AC58" s="14">
        <f>((AB58+AC43)-AC47)</f>
        <v/>
      </c>
      <c r="AD58" s="14">
        <f>((AC58+AD43)-AD47)</f>
        <v/>
      </c>
    </row>
    <row r="59">
      <c r="A59" t="inlineStr">
        <is>
          <t>Minority interest (balance sheet)</t>
        </is>
      </c>
      <c r="B59" t="inlineStr">
        <is>
          <t>minority_bs</t>
        </is>
      </c>
      <c r="D59" s="13" t="n">
        <v>243.497</v>
      </c>
      <c r="E59" s="13" t="n">
        <v>206.229</v>
      </c>
      <c r="F59" s="13" t="n">
        <v>215.671</v>
      </c>
      <c r="G59" s="13" t="n">
        <v>246.651</v>
      </c>
      <c r="H59" s="14">
        <f>((G59+H42)-H52)</f>
        <v/>
      </c>
      <c r="I59" s="14">
        <f>((H59+I42)-I52)</f>
        <v/>
      </c>
      <c r="J59" s="14">
        <f>((I59+J42)-J52)</f>
        <v/>
      </c>
      <c r="K59" s="14">
        <f>((J59+K42)-K52)</f>
        <v/>
      </c>
      <c r="L59" s="14">
        <f>((K59+L42)-L52)</f>
        <v/>
      </c>
      <c r="M59" s="14">
        <f>((L59+M42)-M52)</f>
        <v/>
      </c>
      <c r="N59" s="14">
        <f>((M59+N42)-N52)</f>
        <v/>
      </c>
      <c r="O59" s="14">
        <f>((N59+O42)-O52)</f>
        <v/>
      </c>
      <c r="P59" s="14">
        <f>((O59+P42)-P52)</f>
        <v/>
      </c>
      <c r="Q59" s="14">
        <f>((P59+Q42)-Q52)</f>
        <v/>
      </c>
      <c r="R59" s="14">
        <f>((Q59+R42)-R52)</f>
        <v/>
      </c>
      <c r="S59" s="14">
        <f>((R59+S42)-S52)</f>
        <v/>
      </c>
      <c r="T59" s="14">
        <f>((S59+T42)-T52)</f>
        <v/>
      </c>
      <c r="U59" s="14">
        <f>((T59+U42)-U52)</f>
        <v/>
      </c>
      <c r="V59" s="14">
        <f>((U59+V42)-V52)</f>
        <v/>
      </c>
      <c r="W59" s="14">
        <f>((V59+W42)-W52)</f>
        <v/>
      </c>
      <c r="X59" s="14">
        <f>((W59+X42)-X52)</f>
        <v/>
      </c>
      <c r="Y59" s="14">
        <f>((X59+Y42)-Y52)</f>
        <v/>
      </c>
      <c r="Z59" s="14">
        <f>((Y59+Z42)-Z52)</f>
        <v/>
      </c>
      <c r="AA59" s="14">
        <f>((Z59+AA42)-AA52)</f>
        <v/>
      </c>
      <c r="AB59" s="14">
        <f>((AA59+AB42)-AB52)</f>
        <v/>
      </c>
      <c r="AC59" s="14">
        <f>((AB59+AC42)-AC52)</f>
        <v/>
      </c>
      <c r="AD59" s="14">
        <f>((AC59+AD42)-AD52)</f>
        <v/>
      </c>
    </row>
    <row r="60">
      <c r="A60" t="inlineStr">
        <is>
          <t>Other assets less other liabilities</t>
        </is>
      </c>
      <c r="B60" t="inlineStr">
        <is>
          <t>other_net</t>
        </is>
      </c>
      <c r="D60" s="13" t="n">
        <v>1111.469</v>
      </c>
      <c r="E60" s="13" t="n">
        <v>1146.732</v>
      </c>
      <c r="F60" s="13" t="n">
        <v>1170.828</v>
      </c>
      <c r="G60" s="13" t="n">
        <v>1339.09</v>
      </c>
      <c r="H60" s="14">
        <f>G60</f>
        <v/>
      </c>
      <c r="I60" s="14">
        <f>H60</f>
        <v/>
      </c>
      <c r="J60" s="14">
        <f>I60</f>
        <v/>
      </c>
      <c r="K60" s="14">
        <f>J60</f>
        <v/>
      </c>
      <c r="L60" s="14">
        <f>K60</f>
        <v/>
      </c>
      <c r="M60" s="14">
        <f>L60</f>
        <v/>
      </c>
      <c r="N60" s="14">
        <f>M60</f>
        <v/>
      </c>
      <c r="O60" s="14">
        <f>N60</f>
        <v/>
      </c>
      <c r="P60" s="14">
        <f>O60</f>
        <v/>
      </c>
      <c r="Q60" s="14">
        <f>P60</f>
        <v/>
      </c>
      <c r="R60" s="14">
        <f>Q60</f>
        <v/>
      </c>
      <c r="S60" s="14">
        <f>R60</f>
        <v/>
      </c>
      <c r="T60" s="14">
        <f>S60</f>
        <v/>
      </c>
      <c r="U60" s="14">
        <f>T60</f>
        <v/>
      </c>
      <c r="V60" s="14">
        <f>U60</f>
        <v/>
      </c>
      <c r="W60" s="14">
        <f>V60</f>
        <v/>
      </c>
      <c r="X60" s="14">
        <f>W60</f>
        <v/>
      </c>
      <c r="Y60" s="14">
        <f>X60</f>
        <v/>
      </c>
      <c r="Z60" s="14">
        <f>Y60</f>
        <v/>
      </c>
      <c r="AA60" s="14">
        <f>Z60</f>
        <v/>
      </c>
      <c r="AB60" s="14">
        <f>AA60</f>
        <v/>
      </c>
      <c r="AC60" s="14">
        <f>AB60</f>
        <v/>
      </c>
      <c r="AD60" s="14">
        <f>AC60</f>
        <v/>
      </c>
    </row>
    <row r="61">
      <c r="A61" t="inlineStr">
        <is>
          <t>Balance check (should be zero)</t>
        </is>
      </c>
      <c r="B61" t="inlineStr">
        <is>
          <t>bs_check</t>
        </is>
      </c>
      <c r="D61" s="13" t="n"/>
      <c r="E61" s="13" t="n"/>
      <c r="F61" s="13" t="n"/>
      <c r="G61" s="13" t="n"/>
      <c r="H61" s="14">
        <f>((((((H55+H54)+H57)+H60)-H56)-H58)-H59)</f>
        <v/>
      </c>
      <c r="I61" s="14">
        <f>((((((I55+I54)+I57)+I60)-I56)-I58)-I59)</f>
        <v/>
      </c>
      <c r="J61" s="14">
        <f>((((((J55+J54)+J57)+J60)-J56)-J58)-J59)</f>
        <v/>
      </c>
      <c r="K61" s="14">
        <f>((((((K55+K54)+K57)+K60)-K56)-K58)-K59)</f>
        <v/>
      </c>
      <c r="L61" s="14">
        <f>((((((L55+L54)+L57)+L60)-L56)-L58)-L59)</f>
        <v/>
      </c>
      <c r="M61" s="14">
        <f>((((((M55+M54)+M57)+M60)-M56)-M58)-M59)</f>
        <v/>
      </c>
      <c r="N61" s="14">
        <f>((((((N55+N54)+N57)+N60)-N56)-N58)-N59)</f>
        <v/>
      </c>
      <c r="O61" s="14">
        <f>((((((O55+O54)+O57)+O60)-O56)-O58)-O59)</f>
        <v/>
      </c>
      <c r="P61" s="14">
        <f>((((((P55+P54)+P57)+P60)-P56)-P58)-P59)</f>
        <v/>
      </c>
      <c r="Q61" s="14">
        <f>((((((Q55+Q54)+Q57)+Q60)-Q56)-Q58)-Q59)</f>
        <v/>
      </c>
      <c r="R61" s="14">
        <f>((((((R55+R54)+R57)+R60)-R56)-R58)-R59)</f>
        <v/>
      </c>
      <c r="S61" s="14">
        <f>((((((S55+S54)+S57)+S60)-S56)-S58)-S59)</f>
        <v/>
      </c>
      <c r="T61" s="14">
        <f>((((((T55+T54)+T57)+T60)-T56)-T58)-T59)</f>
        <v/>
      </c>
      <c r="U61" s="14">
        <f>((((((U55+U54)+U57)+U60)-U56)-U58)-U59)</f>
        <v/>
      </c>
      <c r="V61" s="14">
        <f>((((((V55+V54)+V57)+V60)-V56)-V58)-V59)</f>
        <v/>
      </c>
      <c r="W61" s="14">
        <f>((((((W55+W54)+W57)+W60)-W56)-W58)-W59)</f>
        <v/>
      </c>
      <c r="X61" s="14">
        <f>((((((X55+X54)+X57)+X60)-X56)-X58)-X59)</f>
        <v/>
      </c>
      <c r="Y61" s="14">
        <f>((((((Y55+Y54)+Y57)+Y60)-Y56)-Y58)-Y59)</f>
        <v/>
      </c>
      <c r="Z61" s="14">
        <f>((((((Z55+Z54)+Z57)+Z60)-Z56)-Z58)-Z59)</f>
        <v/>
      </c>
      <c r="AA61" s="14">
        <f>((((((AA55+AA54)+AA57)+AA60)-AA56)-AA58)-AA59)</f>
        <v/>
      </c>
      <c r="AB61" s="14">
        <f>((((((AB55+AB54)+AB57)+AB60)-AB56)-AB58)-AB59)</f>
        <v/>
      </c>
      <c r="AC61" s="14">
        <f>((((((AC55+AC54)+AC57)+AC60)-AC56)-AC58)-AC59)</f>
        <v/>
      </c>
      <c r="AD61" s="14">
        <f>((((((AD55+AD54)+AD57)+AD60)-AD56)-AD58)-AD59)</f>
        <v/>
      </c>
    </row>
    <row r="62">
      <c r="A62" t="inlineStr">
        <is>
          <t>Net debt (cash)</t>
        </is>
      </c>
      <c r="B62" t="inlineStr">
        <is>
          <t>net_debt</t>
        </is>
      </c>
      <c r="D62" s="13" t="n">
        <v>1900.274</v>
      </c>
      <c r="E62" s="13" t="n">
        <v>1739.482</v>
      </c>
      <c r="F62" s="13" t="n">
        <v>1941.481</v>
      </c>
      <c r="G62" s="13" t="n">
        <v>1949.435</v>
      </c>
      <c r="H62" s="14">
        <f>(H56-H55)</f>
        <v/>
      </c>
      <c r="I62" s="14">
        <f>(I56-I55)</f>
        <v/>
      </c>
      <c r="J62" s="14">
        <f>(J56-J55)</f>
        <v/>
      </c>
      <c r="K62" s="14">
        <f>(K56-K55)</f>
        <v/>
      </c>
      <c r="L62" s="14">
        <f>(L56-L55)</f>
        <v/>
      </c>
      <c r="M62" s="14">
        <f>(M56-M55)</f>
        <v/>
      </c>
      <c r="N62" s="14">
        <f>(N56-N55)</f>
        <v/>
      </c>
      <c r="O62" s="14">
        <f>(O56-O55)</f>
        <v/>
      </c>
      <c r="P62" s="14">
        <f>(P56-P55)</f>
        <v/>
      </c>
      <c r="Q62" s="14">
        <f>(Q56-Q55)</f>
        <v/>
      </c>
      <c r="R62" s="14">
        <f>(R56-R55)</f>
        <v/>
      </c>
      <c r="S62" s="14">
        <f>(S56-S55)</f>
        <v/>
      </c>
      <c r="T62" s="14">
        <f>(T56-T55)</f>
        <v/>
      </c>
      <c r="U62" s="14">
        <f>(U56-U55)</f>
        <v/>
      </c>
      <c r="V62" s="14">
        <f>(V56-V55)</f>
        <v/>
      </c>
      <c r="W62" s="14">
        <f>(W56-W55)</f>
        <v/>
      </c>
      <c r="X62" s="14">
        <f>(X56-X55)</f>
        <v/>
      </c>
      <c r="Y62" s="14">
        <f>(Y56-Y55)</f>
        <v/>
      </c>
      <c r="Z62" s="14">
        <f>(Z56-Z55)</f>
        <v/>
      </c>
      <c r="AA62" s="14">
        <f>(AA56-AA55)</f>
        <v/>
      </c>
      <c r="AB62" s="14">
        <f>(AB56-AB55)</f>
        <v/>
      </c>
      <c r="AC62" s="14">
        <f>(AC56-AC55)</f>
        <v/>
      </c>
      <c r="AD62" s="14">
        <f>(AD56-AD55)</f>
        <v/>
      </c>
    </row>
    <row r="63">
      <c r="A63" t="inlineStr">
        <is>
          <t>Book value per share</t>
        </is>
      </c>
      <c r="B63" t="inlineStr">
        <is>
          <t>bvps</t>
        </is>
      </c>
      <c r="D63" s="15" t="n">
        <v>0.001431425448749505</v>
      </c>
      <c r="E63" s="15" t="n">
        <v>0.003319542177064274</v>
      </c>
      <c r="F63" s="15" t="n">
        <v>0.003863342577434357</v>
      </c>
      <c r="G63" s="15" t="n">
        <v>0.004760340788460875</v>
      </c>
      <c r="H63" s="16">
        <f>(IF(H44=0,0,H58/H44)*$C$8)</f>
        <v/>
      </c>
      <c r="I63" s="16">
        <f>(IF(I44=0,0,I58/I44)*$C$8)</f>
        <v/>
      </c>
      <c r="J63" s="16">
        <f>(IF(J44=0,0,J58/J44)*$C$8)</f>
        <v/>
      </c>
      <c r="K63" s="16">
        <f>(IF(K44=0,0,K58/K44)*$C$8)</f>
        <v/>
      </c>
      <c r="L63" s="16">
        <f>(IF(L44=0,0,L58/L44)*$C$8)</f>
        <v/>
      </c>
      <c r="M63" s="16">
        <f>(IF(M44=0,0,M58/M44)*$C$8)</f>
        <v/>
      </c>
      <c r="N63" s="16">
        <f>(IF(N44=0,0,N58/N44)*$C$8)</f>
        <v/>
      </c>
      <c r="O63" s="16">
        <f>(IF(O44=0,0,O58/O44)*$C$8)</f>
        <v/>
      </c>
      <c r="P63" s="16">
        <f>(IF(P44=0,0,P58/P44)*$C$8)</f>
        <v/>
      </c>
      <c r="Q63" s="16">
        <f>(IF(Q44=0,0,Q58/Q44)*$C$8)</f>
        <v/>
      </c>
      <c r="R63" s="16">
        <f>(IF(R44=0,0,R58/R44)*$C$8)</f>
        <v/>
      </c>
      <c r="S63" s="16">
        <f>(IF(S44=0,0,S58/S44)*$C$8)</f>
        <v/>
      </c>
      <c r="T63" s="16">
        <f>(IF(T44=0,0,T58/T44)*$C$8)</f>
        <v/>
      </c>
      <c r="U63" s="16">
        <f>(IF(U44=0,0,U58/U44)*$C$8)</f>
        <v/>
      </c>
      <c r="V63" s="16">
        <f>(IF(V44=0,0,V58/V44)*$C$8)</f>
        <v/>
      </c>
      <c r="W63" s="16">
        <f>(IF(W44=0,0,W58/W44)*$C$8)</f>
        <v/>
      </c>
      <c r="X63" s="16">
        <f>(IF(X44=0,0,X58/X44)*$C$8)</f>
        <v/>
      </c>
      <c r="Y63" s="16">
        <f>(IF(Y44=0,0,Y58/Y44)*$C$8)</f>
        <v/>
      </c>
      <c r="Z63" s="16">
        <f>(IF(Z44=0,0,Z58/Z44)*$C$8)</f>
        <v/>
      </c>
      <c r="AA63" s="16">
        <f>(IF(AA44=0,0,AA58/AA44)*$C$8)</f>
        <v/>
      </c>
      <c r="AB63" s="16">
        <f>(IF(AB44=0,0,AB58/AB44)*$C$8)</f>
        <v/>
      </c>
      <c r="AC63" s="16">
        <f>(IF(AC44=0,0,AC58/AC44)*$C$8)</f>
        <v/>
      </c>
      <c r="AD63" s="16">
        <f>(IF(AD44=0,0,AD58/AD44)*$C$8)</f>
        <v/>
      </c>
    </row>
    <row r="64">
      <c r="A64" t="inlineStr">
        <is>
          <t>Revenue growth</t>
        </is>
      </c>
      <c r="B64" t="inlineStr">
        <is>
          <t>revenue_growth</t>
        </is>
      </c>
      <c r="D64" s="4" t="n"/>
      <c r="E64" s="4" t="n">
        <v>0.04415212889185316</v>
      </c>
      <c r="F64" s="4" t="n">
        <v>0.003170083555065428</v>
      </c>
      <c r="G64" s="4" t="n">
        <v>0.01401420521662211</v>
      </c>
      <c r="H64" s="17">
        <f>(IF(G29=0,0,H29/G29)-1)</f>
        <v/>
      </c>
      <c r="I64" s="17">
        <f>(IF(H29=0,0,I29/H29)-1)</f>
        <v/>
      </c>
      <c r="J64" s="17">
        <f>(IF(I29=0,0,J29/I29)-1)</f>
        <v/>
      </c>
      <c r="K64" s="17">
        <f>(IF(J29=0,0,K29/J29)-1)</f>
        <v/>
      </c>
      <c r="L64" s="17">
        <f>(IF(K29=0,0,L29/K29)-1)</f>
        <v/>
      </c>
      <c r="M64" s="17">
        <f>(IF(L29=0,0,M29/L29)-1)</f>
        <v/>
      </c>
      <c r="N64" s="17">
        <f>(IF(M29=0,0,N29/M29)-1)</f>
        <v/>
      </c>
      <c r="O64" s="17">
        <f>(IF(N29=0,0,O29/N29)-1)</f>
        <v/>
      </c>
      <c r="P64" s="17">
        <f>(IF(O29=0,0,P29/O29)-1)</f>
        <v/>
      </c>
      <c r="Q64" s="17">
        <f>(IF(P29=0,0,Q29/P29)-1)</f>
        <v/>
      </c>
      <c r="R64" s="17">
        <f>(IF(Q29=0,0,R29/Q29)-1)</f>
        <v/>
      </c>
      <c r="S64" s="17">
        <f>(IF(R29=0,0,S29/R29)-1)</f>
        <v/>
      </c>
      <c r="T64" s="17">
        <f>(IF(S29=0,0,T29/S29)-1)</f>
        <v/>
      </c>
      <c r="U64" s="17">
        <f>(IF(T29=0,0,U29/T29)-1)</f>
        <v/>
      </c>
      <c r="V64" s="17">
        <f>(IF(U29=0,0,V29/U29)-1)</f>
        <v/>
      </c>
      <c r="W64" s="17">
        <f>(IF(V29=0,0,W29/V29)-1)</f>
        <v/>
      </c>
      <c r="X64" s="17">
        <f>(IF(W29=0,0,X29/W29)-1)</f>
        <v/>
      </c>
      <c r="Y64" s="17">
        <f>(IF(X29=0,0,Y29/X29)-1)</f>
        <v/>
      </c>
      <c r="Z64" s="17">
        <f>(IF(Y29=0,0,Z29/Y29)-1)</f>
        <v/>
      </c>
      <c r="AA64" s="17">
        <f>(IF(Z29=0,0,AA29/Z29)-1)</f>
        <v/>
      </c>
      <c r="AB64" s="17">
        <f>(IF(AA29=0,0,AB29/AA29)-1)</f>
        <v/>
      </c>
      <c r="AC64" s="17">
        <f>(IF(AB29=0,0,AC29/AB29)-1)</f>
        <v/>
      </c>
      <c r="AD64" s="17">
        <f>(IF(AC29=0,0,AD29/AC29)-1)</f>
        <v/>
      </c>
    </row>
    <row r="65">
      <c r="A65" t="inlineStr">
        <is>
          <t>Gross margin</t>
        </is>
      </c>
      <c r="B65" t="inlineStr">
        <is>
          <t>gross_margin</t>
        </is>
      </c>
      <c r="D65" s="4" t="n"/>
      <c r="E65" s="4" t="n"/>
      <c r="F65" s="4" t="n"/>
      <c r="G65" s="4" t="n"/>
      <c r="H65" s="17">
        <f>IF(H29=0,0,H31/H29)</f>
        <v/>
      </c>
      <c r="I65" s="17">
        <f>IF(I29=0,0,I31/I29)</f>
        <v/>
      </c>
      <c r="J65" s="17">
        <f>IF(J29=0,0,J31/J29)</f>
        <v/>
      </c>
      <c r="K65" s="17">
        <f>IF(K29=0,0,K31/K29)</f>
        <v/>
      </c>
      <c r="L65" s="17">
        <f>IF(L29=0,0,L31/L29)</f>
        <v/>
      </c>
      <c r="M65" s="17">
        <f>IF(M29=0,0,M31/M29)</f>
        <v/>
      </c>
      <c r="N65" s="17">
        <f>IF(N29=0,0,N31/N29)</f>
        <v/>
      </c>
      <c r="O65" s="17">
        <f>IF(O29=0,0,O31/O29)</f>
        <v/>
      </c>
      <c r="P65" s="17">
        <f>IF(P29=0,0,P31/P29)</f>
        <v/>
      </c>
      <c r="Q65" s="17">
        <f>IF(Q29=0,0,Q31/Q29)</f>
        <v/>
      </c>
      <c r="R65" s="17">
        <f>IF(R29=0,0,R31/R29)</f>
        <v/>
      </c>
      <c r="S65" s="17">
        <f>IF(S29=0,0,S31/S29)</f>
        <v/>
      </c>
      <c r="T65" s="17">
        <f>IF(T29=0,0,T31/T29)</f>
        <v/>
      </c>
      <c r="U65" s="17">
        <f>IF(U29=0,0,U31/U29)</f>
        <v/>
      </c>
      <c r="V65" s="17">
        <f>IF(V29=0,0,V31/V29)</f>
        <v/>
      </c>
      <c r="W65" s="17">
        <f>IF(W29=0,0,W31/W29)</f>
        <v/>
      </c>
      <c r="X65" s="17">
        <f>IF(X29=0,0,X31/X29)</f>
        <v/>
      </c>
      <c r="Y65" s="17">
        <f>IF(Y29=0,0,Y31/Y29)</f>
        <v/>
      </c>
      <c r="Z65" s="17">
        <f>IF(Z29=0,0,Z31/Z29)</f>
        <v/>
      </c>
      <c r="AA65" s="17">
        <f>IF(AA29=0,0,AA31/AA29)</f>
        <v/>
      </c>
      <c r="AB65" s="17">
        <f>IF(AB29=0,0,AB31/AB29)</f>
        <v/>
      </c>
      <c r="AC65" s="17">
        <f>IF(AC29=0,0,AC31/AC29)</f>
        <v/>
      </c>
      <c r="AD65" s="17">
        <f>IF(AD29=0,0,AD31/AD29)</f>
        <v/>
      </c>
    </row>
    <row r="66">
      <c r="A66" t="inlineStr">
        <is>
          <t>EBITDA margin</t>
        </is>
      </c>
      <c r="B66" t="inlineStr">
        <is>
          <t>ebitda_margin</t>
        </is>
      </c>
      <c r="D66" s="4" t="n">
        <v>0.869663729860648</v>
      </c>
      <c r="E66" s="4" t="n">
        <v>0.8684062346097149</v>
      </c>
      <c r="F66" s="4" t="n">
        <v>0.8779001479500623</v>
      </c>
      <c r="G66" s="4" t="n">
        <v>0.8698418835830909</v>
      </c>
      <c r="H66" s="17">
        <f>IF(H29=0,0,H35/H29)</f>
        <v/>
      </c>
      <c r="I66" s="17">
        <f>IF(I29=0,0,I35/I29)</f>
        <v/>
      </c>
      <c r="J66" s="17">
        <f>IF(J29=0,0,J35/J29)</f>
        <v/>
      </c>
      <c r="K66" s="17">
        <f>IF(K29=0,0,K35/K29)</f>
        <v/>
      </c>
      <c r="L66" s="17">
        <f>IF(L29=0,0,L35/L29)</f>
        <v/>
      </c>
      <c r="M66" s="17">
        <f>IF(M29=0,0,M35/M29)</f>
        <v/>
      </c>
      <c r="N66" s="17">
        <f>IF(N29=0,0,N35/N29)</f>
        <v/>
      </c>
      <c r="O66" s="17">
        <f>IF(O29=0,0,O35/O29)</f>
        <v/>
      </c>
      <c r="P66" s="17">
        <f>IF(P29=0,0,P35/P29)</f>
        <v/>
      </c>
      <c r="Q66" s="17">
        <f>IF(Q29=0,0,Q35/Q29)</f>
        <v/>
      </c>
      <c r="R66" s="17">
        <f>IF(R29=0,0,R35/R29)</f>
        <v/>
      </c>
      <c r="S66" s="17">
        <f>IF(S29=0,0,S35/S29)</f>
        <v/>
      </c>
      <c r="T66" s="17">
        <f>IF(T29=0,0,T35/T29)</f>
        <v/>
      </c>
      <c r="U66" s="17">
        <f>IF(U29=0,0,U35/U29)</f>
        <v/>
      </c>
      <c r="V66" s="17">
        <f>IF(V29=0,0,V35/V29)</f>
        <v/>
      </c>
      <c r="W66" s="17">
        <f>IF(W29=0,0,W35/W29)</f>
        <v/>
      </c>
      <c r="X66" s="17">
        <f>IF(X29=0,0,X35/X29)</f>
        <v/>
      </c>
      <c r="Y66" s="17">
        <f>IF(Y29=0,0,Y35/Y29)</f>
        <v/>
      </c>
      <c r="Z66" s="17">
        <f>IF(Z29=0,0,Z35/Z29)</f>
        <v/>
      </c>
      <c r="AA66" s="17">
        <f>IF(AA29=0,0,AA35/AA29)</f>
        <v/>
      </c>
      <c r="AB66" s="17">
        <f>IF(AB29=0,0,AB35/AB29)</f>
        <v/>
      </c>
      <c r="AC66" s="17">
        <f>IF(AC29=0,0,AC35/AC29)</f>
        <v/>
      </c>
      <c r="AD66" s="17">
        <f>IF(AD29=0,0,AD35/AD29)</f>
        <v/>
      </c>
    </row>
    <row r="67">
      <c r="A67" t="inlineStr">
        <is>
          <t>EBIT margin</t>
        </is>
      </c>
      <c r="B67" t="inlineStr">
        <is>
          <t>ebit_margin</t>
        </is>
      </c>
      <c r="D67" s="4" t="n">
        <v>0.7499262873389729</v>
      </c>
      <c r="E67" s="4" t="n">
        <v>0.7440888699139572</v>
      </c>
      <c r="F67" s="4" t="n">
        <v>0.7392392719449485</v>
      </c>
      <c r="G67" s="4" t="n">
        <v>0.7154284543455164</v>
      </c>
      <c r="H67" s="17">
        <f>IF(H29=0,0,H33/H29)</f>
        <v/>
      </c>
      <c r="I67" s="17">
        <f>IF(I29=0,0,I33/I29)</f>
        <v/>
      </c>
      <c r="J67" s="17">
        <f>IF(J29=0,0,J33/J29)</f>
        <v/>
      </c>
      <c r="K67" s="17">
        <f>IF(K29=0,0,K33/K29)</f>
        <v/>
      </c>
      <c r="L67" s="17">
        <f>IF(L29=0,0,L33/L29)</f>
        <v/>
      </c>
      <c r="M67" s="17">
        <f>IF(M29=0,0,M33/M29)</f>
        <v/>
      </c>
      <c r="N67" s="17">
        <f>IF(N29=0,0,N33/N29)</f>
        <v/>
      </c>
      <c r="O67" s="17">
        <f>IF(O29=0,0,O33/O29)</f>
        <v/>
      </c>
      <c r="P67" s="17">
        <f>IF(P29=0,0,P33/P29)</f>
        <v/>
      </c>
      <c r="Q67" s="17">
        <f>IF(Q29=0,0,Q33/Q29)</f>
        <v/>
      </c>
      <c r="R67" s="17">
        <f>IF(R29=0,0,R33/R29)</f>
        <v/>
      </c>
      <c r="S67" s="17">
        <f>IF(S29=0,0,S33/S29)</f>
        <v/>
      </c>
      <c r="T67" s="17">
        <f>IF(T29=0,0,T33/T29)</f>
        <v/>
      </c>
      <c r="U67" s="17">
        <f>IF(U29=0,0,U33/U29)</f>
        <v/>
      </c>
      <c r="V67" s="17">
        <f>IF(V29=0,0,V33/V29)</f>
        <v/>
      </c>
      <c r="W67" s="17">
        <f>IF(W29=0,0,W33/W29)</f>
        <v/>
      </c>
      <c r="X67" s="17">
        <f>IF(X29=0,0,X33/X29)</f>
        <v/>
      </c>
      <c r="Y67" s="17">
        <f>IF(Y29=0,0,Y33/Y29)</f>
        <v/>
      </c>
      <c r="Z67" s="17">
        <f>IF(Z29=0,0,Z33/Z29)</f>
        <v/>
      </c>
      <c r="AA67" s="17">
        <f>IF(AA29=0,0,AA33/AA29)</f>
        <v/>
      </c>
      <c r="AB67" s="17">
        <f>IF(AB29=0,0,AB33/AB29)</f>
        <v/>
      </c>
      <c r="AC67" s="17">
        <f>IF(AC29=0,0,AC33/AC29)</f>
        <v/>
      </c>
      <c r="AD67" s="17">
        <f>IF(AD29=0,0,AD33/AD29)</f>
        <v/>
      </c>
    </row>
    <row r="68">
      <c r="A68" t="inlineStr">
        <is>
          <t>Net margin</t>
        </is>
      </c>
      <c r="B68" t="inlineStr">
        <is>
          <t>np_margin</t>
        </is>
      </c>
      <c r="D68" s="4" t="n">
        <v>0.1599319035417179</v>
      </c>
      <c r="E68" s="4" t="n">
        <v>0.1805518903682239</v>
      </c>
      <c r="F68" s="4" t="n">
        <v>0.2045966727153612</v>
      </c>
      <c r="G68" s="4" t="n">
        <v>0.2184415726048312</v>
      </c>
      <c r="H68" s="17">
        <f>IF(H29=0,0,H43/H29)</f>
        <v/>
      </c>
      <c r="I68" s="17">
        <f>IF(I29=0,0,I43/I29)</f>
        <v/>
      </c>
      <c r="J68" s="17">
        <f>IF(J29=0,0,J43/J29)</f>
        <v/>
      </c>
      <c r="K68" s="17">
        <f>IF(K29=0,0,K43/K29)</f>
        <v/>
      </c>
      <c r="L68" s="17">
        <f>IF(L29=0,0,L43/L29)</f>
        <v/>
      </c>
      <c r="M68" s="17">
        <f>IF(M29=0,0,M43/M29)</f>
        <v/>
      </c>
      <c r="N68" s="17">
        <f>IF(N29=0,0,N43/N29)</f>
        <v/>
      </c>
      <c r="O68" s="17">
        <f>IF(O29=0,0,O43/O29)</f>
        <v/>
      </c>
      <c r="P68" s="17">
        <f>IF(P29=0,0,P43/P29)</f>
        <v/>
      </c>
      <c r="Q68" s="17">
        <f>IF(Q29=0,0,Q43/Q29)</f>
        <v/>
      </c>
      <c r="R68" s="17">
        <f>IF(R29=0,0,R43/R29)</f>
        <v/>
      </c>
      <c r="S68" s="17">
        <f>IF(S29=0,0,S43/S29)</f>
        <v/>
      </c>
      <c r="T68" s="17">
        <f>IF(T29=0,0,T43/T29)</f>
        <v/>
      </c>
      <c r="U68" s="17">
        <f>IF(U29=0,0,U43/U29)</f>
        <v/>
      </c>
      <c r="V68" s="17">
        <f>IF(V29=0,0,V43/V29)</f>
        <v/>
      </c>
      <c r="W68" s="17">
        <f>IF(W29=0,0,W43/W29)</f>
        <v/>
      </c>
      <c r="X68" s="17">
        <f>IF(X29=0,0,X43/X29)</f>
        <v/>
      </c>
      <c r="Y68" s="17">
        <f>IF(Y29=0,0,Y43/Y29)</f>
        <v/>
      </c>
      <c r="Z68" s="17">
        <f>IF(Z29=0,0,Z43/Z29)</f>
        <v/>
      </c>
      <c r="AA68" s="17">
        <f>IF(AA29=0,0,AA43/AA29)</f>
        <v/>
      </c>
      <c r="AB68" s="17">
        <f>IF(AB29=0,0,AB43/AB29)</f>
        <v/>
      </c>
      <c r="AC68" s="17">
        <f>IF(AC29=0,0,AC43/AC29)</f>
        <v/>
      </c>
      <c r="AD68" s="17">
        <f>IF(AD29=0,0,AD43/AD29)</f>
        <v/>
      </c>
    </row>
    <row r="69">
      <c r="A69" t="inlineStr">
        <is>
          <t>EPS growth</t>
        </is>
      </c>
      <c r="B69" t="inlineStr">
        <is>
          <t>eps_growth</t>
        </is>
      </c>
      <c r="D69" s="4" t="n"/>
      <c r="E69" s="4" t="n">
        <v>0.1787744441761954</v>
      </c>
      <c r="F69" s="4" t="n">
        <v>0.1367660612379791</v>
      </c>
      <c r="G69" s="4" t="n">
        <v>0.08263176859829002</v>
      </c>
      <c r="H69" s="17">
        <f>(IF(G45=0,0,H45/G45)-1)</f>
        <v/>
      </c>
      <c r="I69" s="17">
        <f>(IF(H45=0,0,I45/H45)-1)</f>
        <v/>
      </c>
      <c r="J69" s="17">
        <f>(IF(I45=0,0,J45/I45)-1)</f>
        <v/>
      </c>
      <c r="K69" s="17">
        <f>(IF(J45=0,0,K45/J45)-1)</f>
        <v/>
      </c>
      <c r="L69" s="17">
        <f>(IF(K45=0,0,L45/K45)-1)</f>
        <v/>
      </c>
      <c r="M69" s="17">
        <f>(IF(L45=0,0,M45/L45)-1)</f>
        <v/>
      </c>
      <c r="N69" s="17">
        <f>(IF(M45=0,0,N45/M45)-1)</f>
        <v/>
      </c>
      <c r="O69" s="17">
        <f>(IF(N45=0,0,O45/N45)-1)</f>
        <v/>
      </c>
      <c r="P69" s="17">
        <f>(IF(O45=0,0,P45/O45)-1)</f>
        <v/>
      </c>
      <c r="Q69" s="17">
        <f>(IF(P45=0,0,Q45/P45)-1)</f>
        <v/>
      </c>
      <c r="R69" s="17">
        <f>(IF(Q45=0,0,R45/Q45)-1)</f>
        <v/>
      </c>
      <c r="S69" s="17">
        <f>(IF(R45=0,0,S45/R45)-1)</f>
        <v/>
      </c>
      <c r="T69" s="17">
        <f>(IF(S45=0,0,T45/S45)-1)</f>
        <v/>
      </c>
      <c r="U69" s="17">
        <f>(IF(T45=0,0,U45/T45)-1)</f>
        <v/>
      </c>
      <c r="V69" s="17">
        <f>(IF(U45=0,0,V45/U45)-1)</f>
        <v/>
      </c>
      <c r="W69" s="17">
        <f>(IF(V45=0,0,W45/V45)-1)</f>
        <v/>
      </c>
      <c r="X69" s="17">
        <f>(IF(W45=0,0,X45/W45)-1)</f>
        <v/>
      </c>
      <c r="Y69" s="17">
        <f>(IF(X45=0,0,Y45/X45)-1)</f>
        <v/>
      </c>
      <c r="Z69" s="17">
        <f>(IF(Y45=0,0,Z45/Y45)-1)</f>
        <v/>
      </c>
      <c r="AA69" s="17">
        <f>(IF(Z45=0,0,AA45/Z45)-1)</f>
        <v/>
      </c>
      <c r="AB69" s="17">
        <f>(IF(AA45=0,0,AB45/AA45)-1)</f>
        <v/>
      </c>
      <c r="AC69" s="17">
        <f>(IF(AB45=0,0,AC45/AB45)-1)</f>
        <v/>
      </c>
      <c r="AD69" s="17">
        <f>(IF(AC45=0,0,AD45/AC45)-1)</f>
        <v/>
      </c>
    </row>
    <row r="70">
      <c r="A70" t="inlineStr">
        <is>
          <t>ROE</t>
        </is>
      </c>
      <c r="B70" t="inlineStr">
        <is>
          <t>roe</t>
        </is>
      </c>
      <c r="D70" s="4" t="n"/>
      <c r="E70" s="4" t="n">
        <v>0.337994443168338</v>
      </c>
      <c r="F70" s="4" t="n">
        <v>0.2541346200873908</v>
      </c>
      <c r="G70" s="4" t="n">
        <v>0.2291662694044534</v>
      </c>
      <c r="H70" s="17">
        <f>IF(IF(2=0,0,(H58+G58)/2)=0,0,H43/IF(2=0,0,(H58+G58)/2))</f>
        <v/>
      </c>
      <c r="I70" s="17">
        <f>IF(IF(2=0,0,(I58+H58)/2)=0,0,I43/IF(2=0,0,(I58+H58)/2))</f>
        <v/>
      </c>
      <c r="J70" s="17">
        <f>IF(IF(2=0,0,(J58+I58)/2)=0,0,J43/IF(2=0,0,(J58+I58)/2))</f>
        <v/>
      </c>
      <c r="K70" s="17">
        <f>IF(IF(2=0,0,(K58+J58)/2)=0,0,K43/IF(2=0,0,(K58+J58)/2))</f>
        <v/>
      </c>
      <c r="L70" s="17">
        <f>IF(IF(2=0,0,(L58+K58)/2)=0,0,L43/IF(2=0,0,(L58+K58)/2))</f>
        <v/>
      </c>
      <c r="M70" s="17">
        <f>IF(IF(2=0,0,(M58+L58)/2)=0,0,M43/IF(2=0,0,(M58+L58)/2))</f>
        <v/>
      </c>
      <c r="N70" s="17">
        <f>IF(IF(2=0,0,(N58+M58)/2)=0,0,N43/IF(2=0,0,(N58+M58)/2))</f>
        <v/>
      </c>
      <c r="O70" s="17">
        <f>IF(IF(2=0,0,(O58+N58)/2)=0,0,O43/IF(2=0,0,(O58+N58)/2))</f>
        <v/>
      </c>
      <c r="P70" s="17">
        <f>IF(IF(2=0,0,(P58+O58)/2)=0,0,P43/IF(2=0,0,(P58+O58)/2))</f>
        <v/>
      </c>
      <c r="Q70" s="17">
        <f>IF(IF(2=0,0,(Q58+P58)/2)=0,0,Q43/IF(2=0,0,(Q58+P58)/2))</f>
        <v/>
      </c>
      <c r="R70" s="17">
        <f>IF(IF(2=0,0,(R58+Q58)/2)=0,0,R43/IF(2=0,0,(R58+Q58)/2))</f>
        <v/>
      </c>
      <c r="S70" s="17">
        <f>IF(IF(2=0,0,(S58+R58)/2)=0,0,S43/IF(2=0,0,(S58+R58)/2))</f>
        <v/>
      </c>
      <c r="T70" s="17">
        <f>IF(IF(2=0,0,(T58+S58)/2)=0,0,T43/IF(2=0,0,(T58+S58)/2))</f>
        <v/>
      </c>
      <c r="U70" s="17">
        <f>IF(IF(2=0,0,(U58+T58)/2)=0,0,U43/IF(2=0,0,(U58+T58)/2))</f>
        <v/>
      </c>
      <c r="V70" s="17">
        <f>IF(IF(2=0,0,(V58+U58)/2)=0,0,V43/IF(2=0,0,(V58+U58)/2))</f>
        <v/>
      </c>
      <c r="W70" s="17">
        <f>IF(IF(2=0,0,(W58+V58)/2)=0,0,W43/IF(2=0,0,(W58+V58)/2))</f>
        <v/>
      </c>
      <c r="X70" s="17">
        <f>IF(IF(2=0,0,(X58+W58)/2)=0,0,X43/IF(2=0,0,(X58+W58)/2))</f>
        <v/>
      </c>
      <c r="Y70" s="17">
        <f>IF(IF(2=0,0,(Y58+X58)/2)=0,0,Y43/IF(2=0,0,(Y58+X58)/2))</f>
        <v/>
      </c>
      <c r="Z70" s="17">
        <f>IF(IF(2=0,0,(Z58+Y58)/2)=0,0,Z43/IF(2=0,0,(Z58+Y58)/2))</f>
        <v/>
      </c>
      <c r="AA70" s="17">
        <f>IF(IF(2=0,0,(AA58+Z58)/2)=0,0,AA43/IF(2=0,0,(AA58+Z58)/2))</f>
        <v/>
      </c>
      <c r="AB70" s="17">
        <f>IF(IF(2=0,0,(AB58+AA58)/2)=0,0,AB43/IF(2=0,0,(AB58+AA58)/2))</f>
        <v/>
      </c>
      <c r="AC70" s="17">
        <f>IF(IF(2=0,0,(AC58+AB58)/2)=0,0,AC43/IF(2=0,0,(AC58+AB58)/2))</f>
        <v/>
      </c>
      <c r="AD70" s="17">
        <f>IF(IF(2=0,0,(AD58+AC58)/2)=0,0,AD43/IF(2=0,0,(AD58+AC58)/2))</f>
        <v/>
      </c>
    </row>
    <row r="71">
      <c r="A71" t="inlineStr">
        <is>
          <t>Net debt / EBITDA</t>
        </is>
      </c>
      <c r="B71" t="inlineStr">
        <is>
          <t>net_debt_ebitda</t>
        </is>
      </c>
      <c r="D71" s="18" t="n">
        <v>3.834932000314823</v>
      </c>
      <c r="E71" s="18" t="n">
        <v>3.366867513021464</v>
      </c>
      <c r="F71" s="18" t="n">
        <v>3.705462915425297</v>
      </c>
      <c r="G71" s="18" t="n">
        <v>3.703214371876288</v>
      </c>
      <c r="H71" s="19">
        <f>IF(H35=0,0,H62/H35)</f>
        <v/>
      </c>
      <c r="I71" s="19">
        <f>IF(I35=0,0,I62/I35)</f>
        <v/>
      </c>
      <c r="J71" s="19">
        <f>IF(J35=0,0,J62/J35)</f>
        <v/>
      </c>
      <c r="K71" s="19">
        <f>IF(K35=0,0,K62/K35)</f>
        <v/>
      </c>
      <c r="L71" s="19">
        <f>IF(L35=0,0,L62/L35)</f>
        <v/>
      </c>
      <c r="M71" s="19">
        <f>IF(M35=0,0,M62/M35)</f>
        <v/>
      </c>
      <c r="N71" s="19">
        <f>IF(N35=0,0,N62/N35)</f>
        <v/>
      </c>
      <c r="O71" s="19">
        <f>IF(O35=0,0,O62/O35)</f>
        <v/>
      </c>
      <c r="P71" s="19">
        <f>IF(P35=0,0,P62/P35)</f>
        <v/>
      </c>
      <c r="Q71" s="19">
        <f>IF(Q35=0,0,Q62/Q35)</f>
        <v/>
      </c>
      <c r="R71" s="19">
        <f>IF(R35=0,0,R62/R35)</f>
        <v/>
      </c>
      <c r="S71" s="19">
        <f>IF(S35=0,0,S62/S35)</f>
        <v/>
      </c>
      <c r="T71" s="19">
        <f>IF(T35=0,0,T62/T35)</f>
        <v/>
      </c>
      <c r="U71" s="19">
        <f>IF(U35=0,0,U62/U35)</f>
        <v/>
      </c>
      <c r="V71" s="19">
        <f>IF(V35=0,0,V62/V35)</f>
        <v/>
      </c>
      <c r="W71" s="19">
        <f>IF(W35=0,0,W62/W35)</f>
        <v/>
      </c>
      <c r="X71" s="19">
        <f>IF(X35=0,0,X62/X35)</f>
        <v/>
      </c>
      <c r="Y71" s="19">
        <f>IF(Y35=0,0,Y62/Y35)</f>
        <v/>
      </c>
      <c r="Z71" s="19">
        <f>IF(Z35=0,0,Z62/Z35)</f>
        <v/>
      </c>
      <c r="AA71" s="19">
        <f>IF(AA35=0,0,AA62/AA35)</f>
        <v/>
      </c>
      <c r="AB71" s="19">
        <f>IF(AB35=0,0,AB62/AB35)</f>
        <v/>
      </c>
      <c r="AC71" s="19">
        <f>IF(AC35=0,0,AC62/AC35)</f>
        <v/>
      </c>
      <c r="AD71" s="19">
        <f>IF(AD35=0,0,AD62/AD35)</f>
        <v/>
      </c>
    </row>
    <row r="72">
      <c r="A72" t="inlineStr">
        <is>
          <t>Payout ratio</t>
        </is>
      </c>
      <c r="B72" t="inlineStr">
        <is>
          <t>payout_ratio</t>
        </is>
      </c>
      <c r="D72" s="4" t="n">
        <v>0.3725870456164221</v>
      </c>
      <c r="E72" s="4" t="n">
        <v>0.4479206788171256</v>
      </c>
      <c r="F72" s="4" t="n">
        <v>0</v>
      </c>
      <c r="G72" s="4" t="n">
        <v>0.2296260434373149</v>
      </c>
      <c r="H72" s="17">
        <f>IF(H45=0,0,H46/H45)</f>
        <v/>
      </c>
      <c r="I72" s="17">
        <f>IF(I45=0,0,I46/I45)</f>
        <v/>
      </c>
      <c r="J72" s="17">
        <f>IF(J45=0,0,J46/J45)</f>
        <v/>
      </c>
      <c r="K72" s="17">
        <f>IF(K45=0,0,K46/K45)</f>
        <v/>
      </c>
      <c r="L72" s="17">
        <f>IF(L45=0,0,L46/L45)</f>
        <v/>
      </c>
      <c r="M72" s="17">
        <f>IF(M45=0,0,M46/M45)</f>
        <v/>
      </c>
      <c r="N72" s="17">
        <f>IF(N45=0,0,N46/N45)</f>
        <v/>
      </c>
      <c r="O72" s="17">
        <f>IF(O45=0,0,O46/O45)</f>
        <v/>
      </c>
      <c r="P72" s="17">
        <f>IF(P45=0,0,P46/P45)</f>
        <v/>
      </c>
      <c r="Q72" s="17">
        <f>IF(Q45=0,0,Q46/Q45)</f>
        <v/>
      </c>
      <c r="R72" s="17">
        <f>IF(R45=0,0,R46/R45)</f>
        <v/>
      </c>
      <c r="S72" s="17">
        <f>IF(S45=0,0,S46/S45)</f>
        <v/>
      </c>
      <c r="T72" s="17">
        <f>IF(T45=0,0,T46/T45)</f>
        <v/>
      </c>
      <c r="U72" s="17">
        <f>IF(U45=0,0,U46/U45)</f>
        <v/>
      </c>
      <c r="V72" s="17">
        <f>IF(V45=0,0,V46/V45)</f>
        <v/>
      </c>
      <c r="W72" s="17">
        <f>IF(W45=0,0,W46/W45)</f>
        <v/>
      </c>
      <c r="X72" s="17">
        <f>IF(X45=0,0,X46/X45)</f>
        <v/>
      </c>
      <c r="Y72" s="17">
        <f>IF(Y45=0,0,Y46/Y45)</f>
        <v/>
      </c>
      <c r="Z72" s="17">
        <f>IF(Z45=0,0,Z46/Z45)</f>
        <v/>
      </c>
      <c r="AA72" s="17">
        <f>IF(AA45=0,0,AA46/AA45)</f>
        <v/>
      </c>
      <c r="AB72" s="17">
        <f>IF(AB45=0,0,AB46/AB45)</f>
        <v/>
      </c>
      <c r="AC72" s="17">
        <f>IF(AC45=0,0,AC46/AC45)</f>
        <v/>
      </c>
      <c r="AD72" s="17">
        <f>IF(AD45=0,0,AD46/AD45)</f>
        <v/>
      </c>
    </row>
    <row r="73">
      <c r="A73" t="inlineStr">
        <is>
          <t>Capex / revenue</t>
        </is>
      </c>
      <c r="B73" t="inlineStr">
        <is>
          <t>capex_revenue</t>
        </is>
      </c>
      <c r="D73" s="4" t="n">
        <v>0.09017515532310717</v>
      </c>
      <c r="E73" s="4" t="n">
        <v>0.04809248710367652</v>
      </c>
      <c r="F73" s="4" t="n">
        <v>0.1956107589687395</v>
      </c>
      <c r="G73" s="4" t="n">
        <v>0.2242166470859421</v>
      </c>
      <c r="H73" s="17">
        <f>IF(H29=0,0,H48/H29)</f>
        <v/>
      </c>
      <c r="I73" s="17">
        <f>IF(I29=0,0,I48/I29)</f>
        <v/>
      </c>
      <c r="J73" s="17">
        <f>IF(J29=0,0,J48/J29)</f>
        <v/>
      </c>
      <c r="K73" s="17">
        <f>IF(K29=0,0,K48/K29)</f>
        <v/>
      </c>
      <c r="L73" s="17">
        <f>IF(L29=0,0,L48/L29)</f>
        <v/>
      </c>
      <c r="M73" s="17">
        <f>IF(M29=0,0,M48/M29)</f>
        <v/>
      </c>
      <c r="N73" s="17">
        <f>IF(N29=0,0,N48/N29)</f>
        <v/>
      </c>
      <c r="O73" s="17">
        <f>IF(O29=0,0,O48/O29)</f>
        <v/>
      </c>
      <c r="P73" s="17">
        <f>IF(P29=0,0,P48/P29)</f>
        <v/>
      </c>
      <c r="Q73" s="17">
        <f>IF(Q29=0,0,Q48/Q29)</f>
        <v/>
      </c>
      <c r="R73" s="17">
        <f>IF(R29=0,0,R48/R29)</f>
        <v/>
      </c>
      <c r="S73" s="17">
        <f>IF(S29=0,0,S48/S29)</f>
        <v/>
      </c>
      <c r="T73" s="17">
        <f>IF(T29=0,0,T48/T29)</f>
        <v/>
      </c>
      <c r="U73" s="17">
        <f>IF(U29=0,0,U48/U29)</f>
        <v/>
      </c>
      <c r="V73" s="17">
        <f>IF(V29=0,0,V48/V29)</f>
        <v/>
      </c>
      <c r="W73" s="17">
        <f>IF(W29=0,0,W48/W29)</f>
        <v/>
      </c>
      <c r="X73" s="17">
        <f>IF(X29=0,0,X48/X29)</f>
        <v/>
      </c>
      <c r="Y73" s="17">
        <f>IF(Y29=0,0,Y48/Y29)</f>
        <v/>
      </c>
      <c r="Z73" s="17">
        <f>IF(Z29=0,0,Z48/Z29)</f>
        <v/>
      </c>
      <c r="AA73" s="17">
        <f>IF(AA29=0,0,AA48/AA29)</f>
        <v/>
      </c>
      <c r="AB73" s="17">
        <f>IF(AB29=0,0,AB48/AB29)</f>
        <v/>
      </c>
      <c r="AC73" s="17">
        <f>IF(AC29=0,0,AC48/AC29)</f>
        <v/>
      </c>
      <c r="AD73" s="17">
        <f>IF(AD29=0,0,AD48/AD29)</f>
        <v/>
      </c>
    </row>
    <row r="75">
      <c r="A75" s="1" t="inlineStr">
        <is>
          <t>VALUATION</t>
        </is>
      </c>
    </row>
    <row r="76">
      <c r="A76" t="inlineStr">
        <is>
          <t>Last price (IDR)</t>
        </is>
      </c>
      <c r="C76" s="15" t="n">
        <v>2320</v>
      </c>
    </row>
    <row r="77">
      <c r="A77" t="inlineStr">
        <is>
          <t>Shares outstanding (m)</t>
        </is>
      </c>
      <c r="C77" s="13" t="n">
        <v>133779.52</v>
      </c>
    </row>
    <row r="78">
      <c r="A78" t="inlineStr">
        <is>
          <t>IDR per USD (spot)</t>
        </is>
      </c>
      <c r="C78" s="3" t="n">
        <v>18125</v>
      </c>
    </row>
    <row r="79">
      <c r="A79" t="inlineStr">
        <is>
          <t>Debt at balance-sheet date</t>
        </is>
      </c>
      <c r="C79" s="13" t="n">
        <v>2108.433</v>
      </c>
    </row>
    <row r="80">
      <c r="A80" t="inlineStr">
        <is>
          <t>Cash at balance-sheet date</t>
        </is>
      </c>
      <c r="C80" s="13" t="n">
        <v>202.234</v>
      </c>
    </row>
    <row r="81">
      <c r="A81" t="inlineStr">
        <is>
          <t>Minority interest (book)</t>
        </is>
      </c>
      <c r="C81" s="13" t="n">
        <v>249.402</v>
      </c>
    </row>
    <row r="82">
      <c r="A82" t="inlineStr">
        <is>
          <t>Associates &amp; investments (book)</t>
        </is>
      </c>
      <c r="C82" s="13" t="n">
        <v>84.005</v>
      </c>
    </row>
    <row r="83">
      <c r="A83" t="inlineStr">
        <is>
          <t>Post-balance-sheet &amp; other items (sourced, probability-weighted)</t>
        </is>
      </c>
      <c r="C83" s="13" t="n">
        <v>146.554</v>
      </c>
    </row>
    <row r="84">
      <c r="A84" t="inlineStr">
        <is>
          <t>Parent equity at balance-sheet date</t>
        </is>
      </c>
      <c r="C84" s="13" t="n">
        <v>695.585</v>
      </c>
    </row>
    <row r="85">
      <c r="A85" t="inlineStr">
        <is>
          <t>Per-share factor</t>
        </is>
      </c>
      <c r="C85" s="20" t="n">
        <v>1</v>
      </c>
    </row>
    <row r="86">
      <c r="A86" t="inlineStr">
        <is>
          <t>Risk-free rate</t>
        </is>
      </c>
      <c r="C86" s="8">
        <f>Drivers!$C$8</f>
        <v/>
      </c>
    </row>
    <row r="87">
      <c r="A87" t="inlineStr">
        <is>
          <t>Less: default spread (IDR only)</t>
        </is>
      </c>
      <c r="C87" s="8" t="n">
        <v>0</v>
      </c>
    </row>
    <row r="88">
      <c r="A88" t="inlineStr">
        <is>
          <t>Mature ERP + Indonesia CRP</t>
        </is>
      </c>
      <c r="C88" s="8">
        <f>Drivers!$C$10+Drivers!$C$11</f>
        <v/>
      </c>
    </row>
    <row r="89">
      <c r="A89" t="inlineStr">
        <is>
          <t>Tax rate</t>
        </is>
      </c>
      <c r="C89" s="8">
        <f>Drivers!$C$13</f>
        <v/>
      </c>
    </row>
    <row r="90">
      <c r="A90" t="inlineStr">
        <is>
          <t>Unlevered beta (industry default (config))</t>
        </is>
      </c>
      <c r="C90" s="21" t="n">
        <v>0.6</v>
      </c>
    </row>
    <row r="91">
      <c r="A91" t="inlineStr">
        <is>
          <t>Debt / equity (market)</t>
        </is>
      </c>
      <c r="C91" s="21" t="n">
        <v>0.1231289573508711</v>
      </c>
    </row>
    <row r="92">
      <c r="A92" t="inlineStr">
        <is>
          <t>Levered beta</t>
        </is>
      </c>
      <c r="C92" s="22">
        <f>$C$90*(1+(1-$C$89)*$C$91)</f>
        <v/>
      </c>
    </row>
    <row r="93">
      <c r="A93" t="inlineStr">
        <is>
          <t>Explicit company premium</t>
        </is>
      </c>
      <c r="C93" s="4" t="n">
        <v>0</v>
      </c>
    </row>
    <row r="94">
      <c r="A94" t="inlineStr">
        <is>
          <t>Cost of equity</t>
        </is>
      </c>
      <c r="C94" s="10">
        <f>$C$86-$C$87+$C$92*$C$88+$C$93</f>
        <v/>
      </c>
    </row>
    <row r="95">
      <c r="A95" t="inlineStr">
        <is>
          <t>Pre-tax cost of debt</t>
        </is>
      </c>
      <c r="C95" s="10">
        <f>$C$86+Drivers!$C$12</f>
        <v/>
      </c>
    </row>
    <row r="96">
      <c r="A96" t="inlineStr">
        <is>
          <t>WACC</t>
        </is>
      </c>
      <c r="C96" s="10">
        <f>1/(1+$C$91)*$C$94+$C$91/(1+$C$91)*$C$95*(1-$C$89)</f>
        <v/>
      </c>
    </row>
    <row r="97">
      <c r="A97" t="inlineStr">
        <is>
          <t>Terminal growth (capped)</t>
        </is>
      </c>
      <c r="C97" s="4" t="n">
        <v>0.02</v>
      </c>
    </row>
    <row r="99">
      <c r="A99" s="1" t="inlineStr">
        <is>
          <t>DCF to end of life (no terminal value)</t>
        </is>
      </c>
    </row>
    <row r="100">
      <c r="A100" t="inlineStr">
        <is>
          <t>Share of year after balance-sheet date</t>
        </is>
      </c>
      <c r="H100" s="12" t="n">
        <v>0.503765</v>
      </c>
      <c r="I100" s="12" t="n">
        <v>0.996578</v>
      </c>
      <c r="J100" s="12" t="n">
        <v>0.999316</v>
      </c>
      <c r="K100" s="12" t="n">
        <v>0.996578</v>
      </c>
      <c r="L100" s="12" t="n">
        <v>0.996578</v>
      </c>
      <c r="M100" s="12" t="n">
        <v>0.996578</v>
      </c>
      <c r="N100" s="12" t="n">
        <v>0.999316</v>
      </c>
      <c r="O100" s="12" t="n">
        <v>0.996578</v>
      </c>
      <c r="P100" s="12" t="n">
        <v>0.996578</v>
      </c>
      <c r="Q100" s="12" t="n">
        <v>0.996578</v>
      </c>
      <c r="R100" s="12" t="n">
        <v>0.999316</v>
      </c>
      <c r="S100" s="12" t="n">
        <v>0.996578</v>
      </c>
      <c r="T100" s="12" t="n">
        <v>0.996578</v>
      </c>
      <c r="U100" s="12" t="n">
        <v>0.996578</v>
      </c>
      <c r="V100" s="12" t="n">
        <v>0.999316</v>
      </c>
      <c r="W100" s="12" t="n">
        <v>0.996578</v>
      </c>
      <c r="X100" s="12" t="n">
        <v>0.996578</v>
      </c>
      <c r="Y100" s="12" t="n">
        <v>0.996578</v>
      </c>
      <c r="Z100" s="12" t="n">
        <v>0.999316</v>
      </c>
      <c r="AA100" s="12" t="n">
        <v>0.996578</v>
      </c>
      <c r="AB100" s="12" t="n">
        <v>0.996578</v>
      </c>
      <c r="AC100" s="12" t="n">
        <v>0.996578</v>
      </c>
      <c r="AD100" s="12" t="n">
        <v>0.999316</v>
      </c>
    </row>
    <row r="101">
      <c r="A101" t="inlineStr">
        <is>
          <t>Discount time from valuation date (years)</t>
        </is>
      </c>
      <c r="H101" s="12" t="n">
        <v>0</v>
      </c>
      <c r="I101" s="12" t="n">
        <v>0.673511</v>
      </c>
      <c r="J101" s="12" t="n">
        <v>1.672827</v>
      </c>
      <c r="K101" s="12" t="n">
        <v>2.67488</v>
      </c>
      <c r="L101" s="12" t="n">
        <v>3.674196</v>
      </c>
      <c r="M101" s="12" t="n">
        <v>4.673511</v>
      </c>
      <c r="N101" s="12" t="n">
        <v>5.672827</v>
      </c>
      <c r="O101" s="12" t="n">
        <v>6.67488</v>
      </c>
      <c r="P101" s="12" t="n">
        <v>7.674196</v>
      </c>
      <c r="Q101" s="12" t="n">
        <v>8.673511</v>
      </c>
      <c r="R101" s="12" t="n">
        <v>9.672827</v>
      </c>
      <c r="S101" s="12" t="n">
        <v>10.67488</v>
      </c>
      <c r="T101" s="12" t="n">
        <v>11.674196</v>
      </c>
      <c r="U101" s="12" t="n">
        <v>12.673511</v>
      </c>
      <c r="V101" s="12" t="n">
        <v>13.672827</v>
      </c>
      <c r="W101" s="12" t="n">
        <v>14.67488</v>
      </c>
      <c r="X101" s="12" t="n">
        <v>15.674196</v>
      </c>
      <c r="Y101" s="12" t="n">
        <v>16.673511</v>
      </c>
      <c r="Z101" s="12" t="n">
        <v>17.672827</v>
      </c>
      <c r="AA101" s="12" t="n">
        <v>18.67488</v>
      </c>
      <c r="AB101" s="12" t="n">
        <v>19.674196</v>
      </c>
      <c r="AC101" s="12" t="n">
        <v>20.673511</v>
      </c>
      <c r="AD101" s="12" t="n">
        <v>21.672827</v>
      </c>
    </row>
    <row r="102">
      <c r="A102" t="inlineStr">
        <is>
          <t>Discount factor</t>
        </is>
      </c>
      <c r="H102">
        <f>1/(1+$C$96)^H101</f>
        <v/>
      </c>
      <c r="I102">
        <f>1/(1+$C$96)^I101</f>
        <v/>
      </c>
      <c r="J102">
        <f>1/(1+$C$96)^J101</f>
        <v/>
      </c>
      <c r="K102">
        <f>1/(1+$C$96)^K101</f>
        <v/>
      </c>
      <c r="L102">
        <f>1/(1+$C$96)^L101</f>
        <v/>
      </c>
      <c r="M102">
        <f>1/(1+$C$96)^M101</f>
        <v/>
      </c>
      <c r="N102">
        <f>1/(1+$C$96)^N101</f>
        <v/>
      </c>
      <c r="O102">
        <f>1/(1+$C$96)^O101</f>
        <v/>
      </c>
      <c r="P102">
        <f>1/(1+$C$96)^P101</f>
        <v/>
      </c>
      <c r="Q102">
        <f>1/(1+$C$96)^Q101</f>
        <v/>
      </c>
      <c r="R102">
        <f>1/(1+$C$96)^R101</f>
        <v/>
      </c>
      <c r="S102">
        <f>1/(1+$C$96)^S101</f>
        <v/>
      </c>
      <c r="T102">
        <f>1/(1+$C$96)^T101</f>
        <v/>
      </c>
      <c r="U102">
        <f>1/(1+$C$96)^U101</f>
        <v/>
      </c>
      <c r="V102">
        <f>1/(1+$C$96)^V101</f>
        <v/>
      </c>
      <c r="W102">
        <f>1/(1+$C$96)^W101</f>
        <v/>
      </c>
      <c r="X102">
        <f>1/(1+$C$96)^X101</f>
        <v/>
      </c>
      <c r="Y102">
        <f>1/(1+$C$96)^Y101</f>
        <v/>
      </c>
      <c r="Z102">
        <f>1/(1+$C$96)^Z101</f>
        <v/>
      </c>
      <c r="AA102">
        <f>1/(1+$C$96)^AA101</f>
        <v/>
      </c>
      <c r="AB102">
        <f>1/(1+$C$96)^AB101</f>
        <v/>
      </c>
      <c r="AC102">
        <f>1/(1+$C$96)^AC101</f>
        <v/>
      </c>
      <c r="AD102">
        <f>1/(1+$C$96)^AD101</f>
        <v/>
      </c>
    </row>
    <row r="103">
      <c r="A103" t="inlineStr">
        <is>
          <t>PV of FCFF</t>
        </is>
      </c>
      <c r="H103" s="23">
        <f>H50*H100*H102</f>
        <v/>
      </c>
      <c r="I103" s="23">
        <f>I50*I100*I102</f>
        <v/>
      </c>
      <c r="J103" s="23">
        <f>J50*J100*J102</f>
        <v/>
      </c>
      <c r="K103" s="23">
        <f>K50*K100*K102</f>
        <v/>
      </c>
      <c r="L103" s="23">
        <f>L50*L100*L102</f>
        <v/>
      </c>
      <c r="M103" s="23">
        <f>M50*M100*M102</f>
        <v/>
      </c>
      <c r="N103" s="23">
        <f>N50*N100*N102</f>
        <v/>
      </c>
      <c r="O103" s="23">
        <f>O50*O100*O102</f>
        <v/>
      </c>
      <c r="P103" s="23">
        <f>P50*P100*P102</f>
        <v/>
      </c>
      <c r="Q103" s="23">
        <f>Q50*Q100*Q102</f>
        <v/>
      </c>
      <c r="R103" s="23">
        <f>R50*R100*R102</f>
        <v/>
      </c>
      <c r="S103" s="23">
        <f>S50*S100*S102</f>
        <v/>
      </c>
      <c r="T103" s="23">
        <f>T50*T100*T102</f>
        <v/>
      </c>
      <c r="U103" s="23">
        <f>U50*U100*U102</f>
        <v/>
      </c>
      <c r="V103" s="23">
        <f>V50*V100*V102</f>
        <v/>
      </c>
      <c r="W103" s="23">
        <f>W50*W100*W102</f>
        <v/>
      </c>
      <c r="X103" s="23">
        <f>X50*X100*X102</f>
        <v/>
      </c>
      <c r="Y103" s="23">
        <f>Y50*Y100*Y102</f>
        <v/>
      </c>
      <c r="Z103" s="23">
        <f>Z50*Z100*Z102</f>
        <v/>
      </c>
      <c r="AA103" s="23">
        <f>AA50*AA100*AA102</f>
        <v/>
      </c>
      <c r="AB103" s="23">
        <f>AB50*AB100*AB102</f>
        <v/>
      </c>
      <c r="AC103" s="23">
        <f>AC50*AC100*AC102</f>
        <v/>
      </c>
      <c r="AD103" s="23">
        <f>AD50*AD100*AD102</f>
        <v/>
      </c>
    </row>
    <row r="104">
      <c r="A104" t="inlineStr">
        <is>
          <t>Cumulative PV (production stops at its peak)</t>
        </is>
      </c>
      <c r="H104" s="23">
        <f>H103</f>
        <v/>
      </c>
      <c r="I104" s="23">
        <f>H104+I103</f>
        <v/>
      </c>
      <c r="J104" s="23">
        <f>I104+J103</f>
        <v/>
      </c>
      <c r="K104" s="23">
        <f>J104+K103</f>
        <v/>
      </c>
      <c r="L104" s="23">
        <f>K104+L103</f>
        <v/>
      </c>
      <c r="M104" s="23">
        <f>L104+M103</f>
        <v/>
      </c>
      <c r="N104" s="23">
        <f>M104+N103</f>
        <v/>
      </c>
      <c r="O104" s="23">
        <f>N104+O103</f>
        <v/>
      </c>
      <c r="P104" s="23">
        <f>O104+P103</f>
        <v/>
      </c>
      <c r="Q104" s="23">
        <f>P104+Q103</f>
        <v/>
      </c>
      <c r="R104" s="23">
        <f>Q104+R103</f>
        <v/>
      </c>
      <c r="S104" s="23">
        <f>R104+S103</f>
        <v/>
      </c>
      <c r="T104" s="23">
        <f>S104+T103</f>
        <v/>
      </c>
      <c r="U104" s="23">
        <f>T104+U103</f>
        <v/>
      </c>
      <c r="V104" s="23">
        <f>U104+V103</f>
        <v/>
      </c>
      <c r="W104" s="23">
        <f>V104+W103</f>
        <v/>
      </c>
      <c r="X104" s="23">
        <f>W104+X103</f>
        <v/>
      </c>
      <c r="Y104" s="23">
        <f>X104+Y103</f>
        <v/>
      </c>
      <c r="Z104" s="23">
        <f>Y104+Z103</f>
        <v/>
      </c>
      <c r="AA104" s="23">
        <f>Z104+AA103</f>
        <v/>
      </c>
      <c r="AB104" s="23">
        <f>AA104+AB103</f>
        <v/>
      </c>
      <c r="AC104" s="23">
        <f>AB104+AC103</f>
        <v/>
      </c>
      <c r="AD104" s="23">
        <f>AC104+AD103</f>
        <v/>
      </c>
    </row>
    <row r="105">
      <c r="A105" t="inlineStr">
        <is>
          <t>Best cumulative PV (never below zero)</t>
        </is>
      </c>
      <c r="C105" s="23">
        <f>MAX(0,MAX(H104:AD104))</f>
        <v/>
      </c>
    </row>
    <row r="106">
      <c r="A106" t="inlineStr">
        <is>
          <t>No terminal value (end of life)</t>
        </is>
      </c>
      <c r="C106" s="23" t="n">
        <v>0</v>
      </c>
    </row>
    <row r="107">
      <c r="A107" t="inlineStr">
        <is>
          <t>Enterprise value</t>
        </is>
      </c>
      <c r="C107" s="23">
        <f>$C$105+$C$106</f>
        <v/>
      </c>
    </row>
    <row r="108">
      <c r="A108" t="inlineStr">
        <is>
          <t>Equity value</t>
        </is>
      </c>
      <c r="C108" s="23">
        <f>$C$107-($C$79-$C$80)-$C$81+$C$82+$C$83</f>
        <v/>
      </c>
    </row>
    <row r="109">
      <c r="A109" t="inlineStr">
        <is>
          <t>Value per share (IDR) — DCF to end of life (no terminal value)</t>
        </is>
      </c>
      <c r="C109" s="24">
        <f>MAX(0,$C$108/$C$77*$C$85*$C$78)</f>
        <v/>
      </c>
    </row>
    <row r="111">
      <c r="A111" s="1" t="inlineStr">
        <is>
          <t>DCF (FCFF, terminal value)</t>
        </is>
      </c>
    </row>
    <row r="112">
      <c r="A112" t="inlineStr">
        <is>
          <t>Share of year after balance-sheet date</t>
        </is>
      </c>
      <c r="H112" s="12" t="n">
        <v>0.503765</v>
      </c>
      <c r="I112" s="12" t="n">
        <v>0.996578</v>
      </c>
      <c r="J112" s="12" t="n">
        <v>0.999316</v>
      </c>
      <c r="K112" s="12" t="n">
        <v>0.996578</v>
      </c>
      <c r="L112" s="12" t="n">
        <v>0.996578</v>
      </c>
      <c r="M112" s="12" t="n">
        <v>0.996578</v>
      </c>
      <c r="N112" s="12" t="n">
        <v>0.999316</v>
      </c>
      <c r="O112" s="12" t="n">
        <v>0.996578</v>
      </c>
      <c r="P112" s="12" t="n">
        <v>0.996578</v>
      </c>
      <c r="Q112" s="12" t="n">
        <v>0.996578</v>
      </c>
      <c r="R112" s="12" t="n">
        <v>0.999316</v>
      </c>
      <c r="S112" s="12" t="n">
        <v>0.996578</v>
      </c>
      <c r="T112" s="12" t="n">
        <v>0.996578</v>
      </c>
      <c r="U112" s="12" t="n">
        <v>0.996578</v>
      </c>
      <c r="V112" s="12" t="n">
        <v>0.999316</v>
      </c>
      <c r="W112" s="12" t="n">
        <v>0.996578</v>
      </c>
      <c r="X112" s="12" t="n">
        <v>0.996578</v>
      </c>
      <c r="Y112" s="12" t="n">
        <v>0.996578</v>
      </c>
      <c r="Z112" s="12" t="n">
        <v>0.999316</v>
      </c>
      <c r="AA112" s="12" t="n">
        <v>0.996578</v>
      </c>
      <c r="AB112" s="12" t="n">
        <v>0.996578</v>
      </c>
      <c r="AC112" s="12" t="n">
        <v>0.996578</v>
      </c>
      <c r="AD112" s="12" t="n">
        <v>0.999316</v>
      </c>
    </row>
    <row r="113">
      <c r="A113" t="inlineStr">
        <is>
          <t>Discount time from valuation date (years)</t>
        </is>
      </c>
      <c r="H113" s="12" t="n">
        <v>0</v>
      </c>
      <c r="I113" s="12" t="n">
        <v>0.673511</v>
      </c>
      <c r="J113" s="12" t="n">
        <v>1.672827</v>
      </c>
      <c r="K113" s="12" t="n">
        <v>2.67488</v>
      </c>
      <c r="L113" s="12" t="n">
        <v>3.674196</v>
      </c>
      <c r="M113" s="12" t="n">
        <v>4.673511</v>
      </c>
      <c r="N113" s="12" t="n">
        <v>5.672827</v>
      </c>
      <c r="O113" s="12" t="n">
        <v>6.67488</v>
      </c>
      <c r="P113" s="12" t="n">
        <v>7.674196</v>
      </c>
      <c r="Q113" s="12" t="n">
        <v>8.673511</v>
      </c>
      <c r="R113" s="12" t="n">
        <v>9.672827</v>
      </c>
      <c r="S113" s="12" t="n">
        <v>10.67488</v>
      </c>
      <c r="T113" s="12" t="n">
        <v>11.674196</v>
      </c>
      <c r="U113" s="12" t="n">
        <v>12.673511</v>
      </c>
      <c r="V113" s="12" t="n">
        <v>13.672827</v>
      </c>
      <c r="W113" s="12" t="n">
        <v>14.67488</v>
      </c>
      <c r="X113" s="12" t="n">
        <v>15.674196</v>
      </c>
      <c r="Y113" s="12" t="n">
        <v>16.673511</v>
      </c>
      <c r="Z113" s="12" t="n">
        <v>17.672827</v>
      </c>
      <c r="AA113" s="12" t="n">
        <v>18.67488</v>
      </c>
      <c r="AB113" s="12" t="n">
        <v>19.674196</v>
      </c>
      <c r="AC113" s="12" t="n">
        <v>20.673511</v>
      </c>
      <c r="AD113" s="12" t="n">
        <v>21.672827</v>
      </c>
    </row>
    <row r="114">
      <c r="A114" t="inlineStr">
        <is>
          <t>Discount factor</t>
        </is>
      </c>
      <c r="H114">
        <f>1/(1+$C$96)^H113</f>
        <v/>
      </c>
      <c r="I114">
        <f>1/(1+$C$96)^I113</f>
        <v/>
      </c>
      <c r="J114">
        <f>1/(1+$C$96)^J113</f>
        <v/>
      </c>
      <c r="K114">
        <f>1/(1+$C$96)^K113</f>
        <v/>
      </c>
      <c r="L114">
        <f>1/(1+$C$96)^L113</f>
        <v/>
      </c>
      <c r="M114">
        <f>1/(1+$C$96)^M113</f>
        <v/>
      </c>
      <c r="N114">
        <f>1/(1+$C$96)^N113</f>
        <v/>
      </c>
      <c r="O114">
        <f>1/(1+$C$96)^O113</f>
        <v/>
      </c>
      <c r="P114">
        <f>1/(1+$C$96)^P113</f>
        <v/>
      </c>
      <c r="Q114">
        <f>1/(1+$C$96)^Q113</f>
        <v/>
      </c>
      <c r="R114">
        <f>1/(1+$C$96)^R113</f>
        <v/>
      </c>
      <c r="S114">
        <f>1/(1+$C$96)^S113</f>
        <v/>
      </c>
      <c r="T114">
        <f>1/(1+$C$96)^T113</f>
        <v/>
      </c>
      <c r="U114">
        <f>1/(1+$C$96)^U113</f>
        <v/>
      </c>
      <c r="V114">
        <f>1/(1+$C$96)^V113</f>
        <v/>
      </c>
      <c r="W114">
        <f>1/(1+$C$96)^W113</f>
        <v/>
      </c>
      <c r="X114">
        <f>1/(1+$C$96)^X113</f>
        <v/>
      </c>
      <c r="Y114">
        <f>1/(1+$C$96)^Y113</f>
        <v/>
      </c>
      <c r="Z114">
        <f>1/(1+$C$96)^Z113</f>
        <v/>
      </c>
      <c r="AA114">
        <f>1/(1+$C$96)^AA113</f>
        <v/>
      </c>
      <c r="AB114">
        <f>1/(1+$C$96)^AB113</f>
        <v/>
      </c>
      <c r="AC114">
        <f>1/(1+$C$96)^AC113</f>
        <v/>
      </c>
      <c r="AD114">
        <f>1/(1+$C$96)^AD113</f>
        <v/>
      </c>
    </row>
    <row r="115">
      <c r="A115" t="inlineStr">
        <is>
          <t>PV of FCFF</t>
        </is>
      </c>
      <c r="H115" s="23">
        <f>H50*H112*H114</f>
        <v/>
      </c>
      <c r="I115" s="23">
        <f>I50*I112*I114</f>
        <v/>
      </c>
      <c r="J115" s="23">
        <f>J50*J112*J114</f>
        <v/>
      </c>
      <c r="K115" s="23">
        <f>K50*K112*K114</f>
        <v/>
      </c>
      <c r="L115" s="23">
        <f>L50*L112*L114</f>
        <v/>
      </c>
      <c r="M115" s="23">
        <f>M50*M112*M114</f>
        <v/>
      </c>
      <c r="N115" s="23">
        <f>N50*N112*N114</f>
        <v/>
      </c>
      <c r="O115" s="23">
        <f>O50*O112*O114</f>
        <v/>
      </c>
      <c r="P115" s="23">
        <f>P50*P112*P114</f>
        <v/>
      </c>
      <c r="Q115" s="23">
        <f>Q50*Q112*Q114</f>
        <v/>
      </c>
      <c r="R115" s="23">
        <f>R50*R112*R114</f>
        <v/>
      </c>
      <c r="S115" s="23">
        <f>S50*S112*S114</f>
        <v/>
      </c>
      <c r="T115" s="23">
        <f>T50*T112*T114</f>
        <v/>
      </c>
      <c r="U115" s="23">
        <f>U50*U112*U114</f>
        <v/>
      </c>
      <c r="V115" s="23">
        <f>V50*V112*V114</f>
        <v/>
      </c>
      <c r="W115" s="23">
        <f>W50*W112*W114</f>
        <v/>
      </c>
      <c r="X115" s="23">
        <f>X50*X112*X114</f>
        <v/>
      </c>
      <c r="Y115" s="23">
        <f>Y50*Y112*Y114</f>
        <v/>
      </c>
      <c r="Z115" s="23">
        <f>Z50*Z112*Z114</f>
        <v/>
      </c>
      <c r="AA115" s="23">
        <f>AA50*AA112*AA114</f>
        <v/>
      </c>
      <c r="AB115" s="23">
        <f>AB50*AB112*AB114</f>
        <v/>
      </c>
      <c r="AC115" s="23">
        <f>AC50*AC112*AC114</f>
        <v/>
      </c>
      <c r="AD115" s="23">
        <f>AD50*AD112*AD114</f>
        <v/>
      </c>
    </row>
    <row r="116">
      <c r="A116" t="inlineStr">
        <is>
          <t>Sum of PV</t>
        </is>
      </c>
      <c r="C116" s="23">
        <f>SUM(H115:AD115)</f>
        <v/>
      </c>
    </row>
    <row r="117">
      <c r="A117" t="inlineStr">
        <is>
          <t>Years to end of horizon</t>
        </is>
      </c>
      <c r="C117" s="20" t="n">
        <v>22.172485</v>
      </c>
    </row>
    <row r="118">
      <c r="A118" t="inlineStr">
        <is>
          <t>Terminal value</t>
        </is>
      </c>
      <c r="C118" s="23">
        <f>AD50*(1+$C$97)/($C$96-$C$97)</f>
        <v/>
      </c>
    </row>
    <row r="119">
      <c r="A119" t="inlineStr">
        <is>
          <t>PV of terminal value</t>
        </is>
      </c>
      <c r="C119" s="23">
        <f>$C$118/(1+$C$96)^$C$117</f>
        <v/>
      </c>
    </row>
    <row r="120">
      <c r="A120" t="inlineStr">
        <is>
          <t>Enterprise value</t>
        </is>
      </c>
      <c r="C120" s="23">
        <f>$C$116+$C$119</f>
        <v/>
      </c>
    </row>
    <row r="121">
      <c r="A121" t="inlineStr">
        <is>
          <t>Equity value</t>
        </is>
      </c>
      <c r="C121" s="23">
        <f>$C$120-($C$79-$C$80)-$C$81+$C$82+$C$83</f>
        <v/>
      </c>
    </row>
    <row r="122">
      <c r="A122" t="inlineStr">
        <is>
          <t>Value per share (IDR) — DCF (FCFF, terminal value)</t>
        </is>
      </c>
      <c r="C122" s="24">
        <f>MAX(0,$C$121/$C$77*$C$85*$C$78)</f>
        <v/>
      </c>
    </row>
    <row r="124">
      <c r="A124" s="1" t="inlineStr">
        <is>
          <t>EV/EBITDA</t>
        </is>
      </c>
    </row>
    <row r="125">
      <c r="A125" t="inlineStr">
        <is>
          <t>Target multiple (peer median)</t>
        </is>
      </c>
      <c r="C125" s="18" t="n">
        <v>11.494775</v>
      </c>
    </row>
    <row r="126">
      <c r="A126" t="inlineStr">
        <is>
          <t>Metric (LTM, or next-12m DPS for yield)</t>
        </is>
      </c>
      <c r="C126" s="13" t="n">
        <v>526.417</v>
      </c>
    </row>
    <row r="127">
      <c r="A127" t="inlineStr">
        <is>
          <t>Value per share (IDR) — EV/EBITDA</t>
        </is>
      </c>
      <c r="C127" s="24">
        <f>MAX(0,($C$125*$C$126-($C$79-$C$80)-$C$81+$C$82+$C$83)/$C$77*$C$85*$C$78)</f>
        <v/>
      </c>
    </row>
    <row r="129">
      <c r="A129" s="1" t="inlineStr">
        <is>
          <t>TARGET</t>
        </is>
      </c>
    </row>
    <row r="130">
      <c r="A130" t="inlineStr">
        <is>
          <t>Weight: DCF to end of life (no terminal value)</t>
        </is>
      </c>
      <c r="C130" s="4" t="n">
        <v>0.666556</v>
      </c>
    </row>
    <row r="131">
      <c r="A131" t="inlineStr">
        <is>
          <t>Weight: DCF (FCFF, terminal value)</t>
        </is>
      </c>
      <c r="C131" s="4" t="n">
        <v>0.000111</v>
      </c>
    </row>
    <row r="132">
      <c r="A132" t="inlineStr">
        <is>
          <t>Weight: EV/EBITDA</t>
        </is>
      </c>
      <c r="C132" s="4" t="n">
        <v>0.333333</v>
      </c>
    </row>
    <row r="133">
      <c r="A133" t="inlineStr">
        <is>
          <t>Value today (weighted)</t>
        </is>
      </c>
      <c r="C133" s="24">
        <f>$C$109*$C$130+$C$122*$C$131+$C$127*$C$132</f>
        <v/>
      </c>
    </row>
    <row r="134">
      <c r="A134" t="inlineStr">
        <is>
          <t>DPS expected in next 12 months (IDR)</t>
        </is>
      </c>
      <c r="C134" s="15" t="n">
        <v>0</v>
      </c>
    </row>
    <row r="135">
      <c r="A135" t="inlineStr">
        <is>
          <t>Base-case 12-month value</t>
        </is>
      </c>
      <c r="C135" s="24">
        <f>MAX(0,$C$133*(1+$C$94)-$C$134)</f>
        <v/>
      </c>
    </row>
    <row r="136">
      <c r="A136" t="inlineStr">
        <is>
          <t>Bear probability</t>
        </is>
      </c>
      <c r="C136" s="4" t="n">
        <v>0.25</v>
      </c>
    </row>
    <row r="137">
      <c r="A137" t="inlineStr">
        <is>
          <t>Bear 12-month value (engine)</t>
        </is>
      </c>
      <c r="C137" s="15" t="n">
        <v>229.3413938402634</v>
      </c>
    </row>
    <row r="138">
      <c r="A138" t="inlineStr">
        <is>
          <t>Base probability</t>
        </is>
      </c>
      <c r="C138" s="4" t="n">
        <v>0.5</v>
      </c>
    </row>
    <row r="139">
      <c r="A139" t="inlineStr">
        <is>
          <t>Bull probability</t>
        </is>
      </c>
      <c r="C139" s="4" t="n">
        <v>0.25</v>
      </c>
    </row>
    <row r="140">
      <c r="A140" t="inlineStr">
        <is>
          <t>Bull 12-month value (engine)</t>
        </is>
      </c>
      <c r="C140" s="15" t="n">
        <v>240.8317881187012</v>
      </c>
    </row>
    <row r="141">
      <c r="A141" t="inlineStr">
        <is>
          <t>Probability-weighted 12-month value</t>
        </is>
      </c>
      <c r="C141" s="24">
        <f>$C$136*$C$137+$C$138*$C$135+$C$139*$C$140</f>
        <v/>
      </c>
    </row>
    <row r="142">
      <c r="A142" t="inlineStr">
        <is>
          <t>Liquidity discount (limits.yaml)</t>
        </is>
      </c>
      <c r="C142" s="4" t="n">
        <v>0</v>
      </c>
    </row>
    <row r="143">
      <c r="A143" t="inlineStr">
        <is>
          <t>Fundamental 12-month value (after liquidity discount)</t>
        </is>
      </c>
      <c r="C143" s="24">
        <f>$C$141*(1-$C$142)</f>
        <v/>
      </c>
    </row>
    <row r="144">
      <c r="A144" t="inlineStr">
        <is>
          <t>Konglo lens: price / fundamental value today (engine)</t>
        </is>
      </c>
      <c r="C144" s="18" t="n">
        <v>10.806589</v>
      </c>
    </row>
    <row r="145">
      <c r="A145" t="inlineStr">
        <is>
          <t>Regime bear: probability (konglo deck)</t>
        </is>
      </c>
      <c r="C145" s="4" t="n">
        <v>0.25</v>
      </c>
    </row>
    <row r="146">
      <c r="A146" t="inlineStr">
        <is>
          <t>Regime bear: share of the log gap closed in 12 months</t>
        </is>
      </c>
      <c r="C146" s="4" t="n">
        <v>0.85</v>
      </c>
    </row>
    <row r="147">
      <c r="A147" t="inlineStr">
        <is>
          <t>Regime base: probability (konglo deck)</t>
        </is>
      </c>
      <c r="C147" s="4" t="n">
        <v>0.5</v>
      </c>
    </row>
    <row r="148">
      <c r="A148" t="inlineStr">
        <is>
          <t>Regime base: share of the log gap closed in 12 months</t>
        </is>
      </c>
      <c r="C148" s="4" t="n">
        <v>0.45</v>
      </c>
    </row>
    <row r="149">
      <c r="A149" t="inlineStr">
        <is>
          <t>Regime bull: probability (konglo deck)</t>
        </is>
      </c>
      <c r="C149" s="4" t="n">
        <v>0.25</v>
      </c>
    </row>
    <row r="150">
      <c r="A150" t="inlineStr">
        <is>
          <t>Regime bull: share of the log gap closed in 12 months</t>
        </is>
      </c>
      <c r="C150" s="4" t="n">
        <v>0</v>
      </c>
    </row>
    <row r="151">
      <c r="A151" t="inlineStr">
        <is>
          <t>Share of today's premium kept (probability-weighted)</t>
        </is>
      </c>
      <c r="C151" s="25">
        <f>$C$145*$C$144^(1-$C$146)+$C$147*$C$144^(1-$C$148)+$C$149*$C$144^(1-$C$150)</f>
        <v/>
      </c>
    </row>
    <row r="152">
      <c r="A152" t="inlineStr">
        <is>
          <t>TARGET PRICE (IDR) — konglo lens</t>
        </is>
      </c>
      <c r="C152" s="26">
        <f>$C$143*$C$151</f>
        <v/>
      </c>
    </row>
    <row r="153">
      <c r="A153" t="inlineStr">
        <is>
          <t>Expected 12-month total return</t>
        </is>
      </c>
      <c r="C153" s="27">
        <f>($C$152+$C$134)/$C$76-1</f>
        <v/>
      </c>
    </row>
    <row r="154">
      <c r="A154" t="inlineStr">
        <is>
          <t>Rating</t>
        </is>
      </c>
      <c r="C154" s="28">
        <f>IF($C$153&gt;=0.25,"BUY",IF($C$153&gt;=0.1,"ADD",IF($C$153&lt;=-0.25,"SELL",IF($C$153&lt;=-0.1,"REDUCE","HOLD"))))</f>
        <v/>
      </c>
    </row>
    <row r="156">
      <c r="A156" s="1" t="inlineStr">
        <is>
          <t>DCF value per share vs WACC and terminal growth (engine values)</t>
        </is>
      </c>
    </row>
    <row r="157">
      <c r="A157" s="5" t="inlineStr">
        <is>
          <t>rows: Terminal growth (+/- pp) · columns: WACC (+/- pp)</t>
        </is>
      </c>
      <c r="D157" s="1" t="n">
        <v>-0.01</v>
      </c>
      <c r="E157" s="1" t="n">
        <v>-0.005</v>
      </c>
      <c r="F157" s="1" t="n">
        <v>0</v>
      </c>
      <c r="G157" s="1" t="n">
        <v>0.005</v>
      </c>
      <c r="H157" s="1" t="n">
        <v>0.01</v>
      </c>
    </row>
    <row r="158">
      <c r="C158" s="1" t="n">
        <v>-0.01</v>
      </c>
      <c r="D158" s="24" t="n">
        <v>70.874217</v>
      </c>
      <c r="E158" s="24" t="n">
        <v>59.286199</v>
      </c>
      <c r="F158" s="24" t="n">
        <v>48.452479</v>
      </c>
      <c r="G158" s="24" t="n">
        <v>38.290625</v>
      </c>
      <c r="H158" s="24" t="n">
        <v>28.732617</v>
      </c>
    </row>
    <row r="159">
      <c r="C159" s="1" t="n">
        <v>-0.005</v>
      </c>
      <c r="D159" s="24" t="n">
        <v>71.59335799999999</v>
      </c>
      <c r="E159" s="24" t="n">
        <v>59.851099</v>
      </c>
      <c r="F159" s="24" t="n">
        <v>48.900716</v>
      </c>
      <c r="G159" s="24" t="n">
        <v>38.64946</v>
      </c>
      <c r="H159" s="24" t="n">
        <v>29.022149</v>
      </c>
    </row>
    <row r="160">
      <c r="C160" s="1" t="n">
        <v>0</v>
      </c>
      <c r="D160" s="24" t="n">
        <v>72.43283</v>
      </c>
      <c r="E160" s="24" t="n">
        <v>60.503223</v>
      </c>
      <c r="F160" s="24" t="n">
        <v>49.413203</v>
      </c>
      <c r="G160" s="24" t="n">
        <v>39.05629</v>
      </c>
      <c r="H160" s="24" t="n">
        <v>29.347979</v>
      </c>
    </row>
    <row r="161">
      <c r="C161" s="1" t="n">
        <v>0.005</v>
      </c>
      <c r="D161" s="24" t="n">
        <v>73.42559</v>
      </c>
      <c r="E161" s="24" t="n">
        <v>61.264464</v>
      </c>
      <c r="F161" s="24" t="n">
        <v>50.004823</v>
      </c>
      <c r="G161" s="24" t="n">
        <v>39.521435</v>
      </c>
      <c r="H161" s="24" t="n">
        <v>29.717391</v>
      </c>
    </row>
    <row r="162">
      <c r="C162" s="1" t="n">
        <v>0.01</v>
      </c>
      <c r="D162" s="24" t="n">
        <v>74.61784299999999</v>
      </c>
      <c r="E162" s="24" t="n">
        <v>62.164709</v>
      </c>
      <c r="F162" s="24" t="n">
        <v>50.695434</v>
      </c>
      <c r="G162" s="24" t="n">
        <v>40.058402</v>
      </c>
      <c r="H162" s="24" t="n">
        <v>30.139754</v>
      </c>
    </row>
    <row r="164">
      <c r="A164" s="1" t="inlineStr">
        <is>
          <t>12-month value vs revenue growth and gross margin (engine values)</t>
        </is>
      </c>
    </row>
    <row r="165">
      <c r="A165" s="5" t="inlineStr">
        <is>
          <t>rows: Gross margin (+/- pp) · columns: Revenue growth (+/- pp, every year)</t>
        </is>
      </c>
      <c r="D165" s="1" t="n">
        <v>-0.04</v>
      </c>
      <c r="E165" s="1" t="n">
        <v>-0.02</v>
      </c>
      <c r="F165" s="1" t="n">
        <v>0</v>
      </c>
      <c r="G165" s="1" t="n">
        <v>0.02</v>
      </c>
      <c r="H165" s="1" t="n">
        <v>0.04</v>
      </c>
    </row>
    <row r="166">
      <c r="C166" s="1" t="n">
        <v>-0.02</v>
      </c>
      <c r="D166" s="24" t="n">
        <v>203.867396</v>
      </c>
      <c r="E166" s="24" t="n">
        <v>203.867684</v>
      </c>
      <c r="F166" s="24" t="n">
        <v>228.074059</v>
      </c>
      <c r="G166" s="24" t="n">
        <v>258.776491</v>
      </c>
      <c r="H166" s="24" t="n">
        <v>295.925609</v>
      </c>
    </row>
    <row r="167">
      <c r="C167" s="1" t="n">
        <v>-0.01</v>
      </c>
      <c r="D167" s="24" t="n">
        <v>203.867396</v>
      </c>
      <c r="E167" s="24" t="n">
        <v>205.41563</v>
      </c>
      <c r="F167" s="24" t="n">
        <v>231.376119</v>
      </c>
      <c r="G167" s="24" t="n">
        <v>262.601329</v>
      </c>
      <c r="H167" s="24" t="n">
        <v>300.384308</v>
      </c>
    </row>
    <row r="168">
      <c r="C168" s="1" t="n">
        <v>0</v>
      </c>
      <c r="D168" s="24" t="n">
        <v>203.867396</v>
      </c>
      <c r="E168" s="24" t="n">
        <v>208.283522</v>
      </c>
      <c r="F168" s="24" t="n">
        <v>234.67818</v>
      </c>
      <c r="G168" s="24" t="n">
        <v>266.426166</v>
      </c>
      <c r="H168" s="24" t="n">
        <v>304.843008</v>
      </c>
    </row>
    <row r="169">
      <c r="C169" s="1" t="n">
        <v>0.01</v>
      </c>
      <c r="D169" s="24" t="n">
        <v>203.867396</v>
      </c>
      <c r="E169" s="24" t="n">
        <v>211.151414</v>
      </c>
      <c r="F169" s="24" t="n">
        <v>237.98024</v>
      </c>
      <c r="G169" s="24" t="n">
        <v>270.251004</v>
      </c>
      <c r="H169" s="24" t="n">
        <v>309.301707</v>
      </c>
    </row>
    <row r="170">
      <c r="C170" s="1" t="n">
        <v>0.02</v>
      </c>
      <c r="D170" s="24" t="n">
        <v>203.867396</v>
      </c>
      <c r="E170" s="24" t="n">
        <v>214.019306</v>
      </c>
      <c r="F170" s="24" t="n">
        <v>241.2823</v>
      </c>
      <c r="G170" s="24" t="n">
        <v>274.075841</v>
      </c>
      <c r="H170" s="24" t="n">
        <v>313.760407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6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20" customWidth="1" min="2" max="2"/>
    <col width="14" customWidth="1" min="3" max="3"/>
  </cols>
  <sheetData>
    <row r="1">
      <c r="A1" s="11" t="inlineStr">
        <is>
          <t>PT Chandra Daya Investasi TBK. (CDIA.JK) — Power producers &amp; utilities</t>
        </is>
      </c>
    </row>
    <row r="2">
      <c r="A2" s="5" t="inlineStr">
        <is>
          <t>Units: USD m; per-share in USD unless marked IDR. Model asof 2026-10-29 · data 2026-10-27</t>
        </is>
      </c>
    </row>
    <row r="4">
      <c r="A4" s="1" t="inlineStr">
        <is>
          <t>Line</t>
        </is>
      </c>
      <c r="C4" s="1" t="inlineStr">
        <is>
          <t>Scalar</t>
        </is>
      </c>
      <c r="D4" s="1" t="inlineStr">
        <is>
          <t>FY2023A</t>
        </is>
      </c>
      <c r="E4" s="1" t="inlineStr">
        <is>
          <t>FY2024A</t>
        </is>
      </c>
      <c r="F4" s="1" t="inlineStr">
        <is>
          <t>FY2025A</t>
        </is>
      </c>
      <c r="G4" s="1" t="inlineStr">
        <is>
          <t>FY2026E</t>
        </is>
      </c>
      <c r="H4" s="1" t="inlineStr">
        <is>
          <t>FY2027E</t>
        </is>
      </c>
      <c r="I4" s="1" t="inlineStr">
        <is>
          <t>FY2028E</t>
        </is>
      </c>
      <c r="J4" s="1" t="inlineStr">
        <is>
          <t>FY2029E</t>
        </is>
      </c>
      <c r="K4" s="1" t="inlineStr">
        <is>
          <t>FY2030E</t>
        </is>
      </c>
      <c r="L4" s="1" t="inlineStr">
        <is>
          <t>FY2031E</t>
        </is>
      </c>
      <c r="M4" s="1" t="inlineStr">
        <is>
          <t>FY2032E</t>
        </is>
      </c>
      <c r="N4" s="1" t="inlineStr">
        <is>
          <t>FY2033E</t>
        </is>
      </c>
      <c r="O4" s="1" t="inlineStr">
        <is>
          <t>FY2034E</t>
        </is>
      </c>
      <c r="P4" s="1" t="inlineStr">
        <is>
          <t>FY2035E</t>
        </is>
      </c>
      <c r="Q4" s="1" t="inlineStr">
        <is>
          <t>FY2036E</t>
        </is>
      </c>
      <c r="R4" s="1" t="inlineStr">
        <is>
          <t>FY2037E</t>
        </is>
      </c>
      <c r="S4" s="1" t="inlineStr">
        <is>
          <t>FY2038E</t>
        </is>
      </c>
      <c r="T4" s="1" t="inlineStr">
        <is>
          <t>FY2039E</t>
        </is>
      </c>
      <c r="U4" s="1" t="inlineStr">
        <is>
          <t>FY2040E</t>
        </is>
      </c>
      <c r="V4" s="1" t="inlineStr">
        <is>
          <t>FY2041E</t>
        </is>
      </c>
      <c r="W4" s="1" t="inlineStr">
        <is>
          <t>FY2042E</t>
        </is>
      </c>
      <c r="X4" s="1" t="inlineStr">
        <is>
          <t>FY2043E</t>
        </is>
      </c>
      <c r="Y4" s="1" t="inlineStr">
        <is>
          <t>FY2044E</t>
        </is>
      </c>
      <c r="Z4" s="1" t="inlineStr">
        <is>
          <t>FY2045E</t>
        </is>
      </c>
    </row>
    <row r="6">
      <c r="A6" s="1" t="inlineStr">
        <is>
          <t>PARAMETERS</t>
        </is>
      </c>
    </row>
    <row r="7">
      <c r="A7" t="inlineStr">
        <is>
          <t>horizon</t>
        </is>
      </c>
      <c r="C7" s="12" t="n">
        <v>20</v>
      </c>
    </row>
    <row r="8">
      <c r="A8" t="inlineStr">
        <is>
          <t>ps_factor</t>
        </is>
      </c>
      <c r="C8" s="12" t="n">
        <v>1</v>
      </c>
    </row>
    <row r="9">
      <c r="A9" t="inlineStr">
        <is>
          <t>vp_factor</t>
        </is>
      </c>
      <c r="C9" s="12" t="n">
        <v>1</v>
      </c>
    </row>
    <row r="11">
      <c r="A11" s="1" t="inlineStr">
        <is>
          <t>INPUTS (company assumptions)</t>
        </is>
      </c>
    </row>
    <row r="12">
      <c r="A12" t="inlineStr">
        <is>
          <t>Revenue growth</t>
        </is>
      </c>
      <c r="B12" t="inlineStr">
        <is>
          <t>a.revenue_growth</t>
        </is>
      </c>
      <c r="G12" s="4" t="n">
        <v>0.16</v>
      </c>
      <c r="H12" s="4" t="n">
        <v>0.12</v>
      </c>
      <c r="I12" s="4" t="n">
        <v>0.1</v>
      </c>
      <c r="J12" s="4" t="n">
        <v>0.09</v>
      </c>
      <c r="K12" s="4" t="n">
        <v>0.08</v>
      </c>
      <c r="L12" s="4" t="n">
        <v>0.05</v>
      </c>
      <c r="M12" s="4" t="n">
        <v>0.05</v>
      </c>
      <c r="N12" s="4" t="n">
        <v>0.05</v>
      </c>
      <c r="O12" s="4" t="n">
        <v>0.05</v>
      </c>
      <c r="P12" s="4" t="n">
        <v>0.05</v>
      </c>
      <c r="Q12" s="4" t="n">
        <v>0.05</v>
      </c>
      <c r="R12" s="4" t="n">
        <v>0.05</v>
      </c>
      <c r="S12" s="4" t="n">
        <v>0.05</v>
      </c>
      <c r="T12" s="4" t="n">
        <v>0.05</v>
      </c>
      <c r="U12" s="4" t="n">
        <v>0.05</v>
      </c>
      <c r="V12" s="4" t="n">
        <v>0.05</v>
      </c>
      <c r="W12" s="4" t="n">
        <v>0.05</v>
      </c>
      <c r="X12" s="4" t="n">
        <v>0.05</v>
      </c>
      <c r="Y12" s="4" t="n">
        <v>0.05</v>
      </c>
      <c r="Z12" s="4" t="n">
        <v>0.05</v>
      </c>
    </row>
    <row r="13">
      <c r="A13" t="inlineStr">
        <is>
          <t>Gross margin at base input costs</t>
        </is>
      </c>
      <c r="B13" t="inlineStr">
        <is>
          <t>a.gross_margin</t>
        </is>
      </c>
      <c r="G13" s="4" t="n">
        <v>0.235</v>
      </c>
      <c r="H13" s="4" t="n">
        <v>0.235</v>
      </c>
      <c r="I13" s="4" t="n">
        <v>0.235</v>
      </c>
      <c r="J13" s="4" t="n">
        <v>0.235</v>
      </c>
      <c r="K13" s="4" t="n">
        <v>0.235</v>
      </c>
      <c r="L13" s="4" t="n">
        <v>0.235</v>
      </c>
      <c r="M13" s="4" t="n">
        <v>0.235</v>
      </c>
      <c r="N13" s="4" t="n">
        <v>0.235</v>
      </c>
      <c r="O13" s="4" t="n">
        <v>0.235</v>
      </c>
      <c r="P13" s="4" t="n">
        <v>0.235</v>
      </c>
      <c r="Q13" s="4" t="n">
        <v>0.235</v>
      </c>
      <c r="R13" s="4" t="n">
        <v>0.235</v>
      </c>
      <c r="S13" s="4" t="n">
        <v>0.235</v>
      </c>
      <c r="T13" s="4" t="n">
        <v>0.235</v>
      </c>
      <c r="U13" s="4" t="n">
        <v>0.235</v>
      </c>
      <c r="V13" s="4" t="n">
        <v>0.235</v>
      </c>
      <c r="W13" s="4" t="n">
        <v>0.235</v>
      </c>
      <c r="X13" s="4" t="n">
        <v>0.235</v>
      </c>
      <c r="Y13" s="4" t="n">
        <v>0.235</v>
      </c>
      <c r="Z13" s="4" t="n">
        <v>0.235</v>
      </c>
    </row>
    <row r="14">
      <c r="A14" t="inlineStr">
        <is>
          <t>SG&amp;A / revenue</t>
        </is>
      </c>
      <c r="B14" t="inlineStr">
        <is>
          <t>a.opex_pct</t>
        </is>
      </c>
      <c r="G14" s="4" t="n">
        <v>0.1</v>
      </c>
      <c r="H14" s="4" t="n">
        <v>0.098</v>
      </c>
      <c r="I14" s="4" t="n">
        <v>0.095</v>
      </c>
      <c r="J14" s="4" t="n">
        <v>0.095</v>
      </c>
      <c r="K14" s="4" t="n">
        <v>0.095</v>
      </c>
      <c r="L14" s="4" t="n">
        <v>0.095</v>
      </c>
      <c r="M14" s="4" t="n">
        <v>0.095</v>
      </c>
      <c r="N14" s="4" t="n">
        <v>0.095</v>
      </c>
      <c r="O14" s="4" t="n">
        <v>0.095</v>
      </c>
      <c r="P14" s="4" t="n">
        <v>0.095</v>
      </c>
      <c r="Q14" s="4" t="n">
        <v>0.095</v>
      </c>
      <c r="R14" s="4" t="n">
        <v>0.095</v>
      </c>
      <c r="S14" s="4" t="n">
        <v>0.095</v>
      </c>
      <c r="T14" s="4" t="n">
        <v>0.095</v>
      </c>
      <c r="U14" s="4" t="n">
        <v>0.095</v>
      </c>
      <c r="V14" s="4" t="n">
        <v>0.095</v>
      </c>
      <c r="W14" s="4" t="n">
        <v>0.095</v>
      </c>
      <c r="X14" s="4" t="n">
        <v>0.095</v>
      </c>
      <c r="Y14" s="4" t="n">
        <v>0.095</v>
      </c>
      <c r="Z14" s="4" t="n">
        <v>0.095</v>
      </c>
    </row>
    <row r="15">
      <c r="A15" t="inlineStr">
        <is>
          <t>D&amp;A / revenue</t>
        </is>
      </c>
      <c r="B15" t="inlineStr">
        <is>
          <t>a.da_pct</t>
        </is>
      </c>
      <c r="G15" s="4" t="n">
        <v>0.115</v>
      </c>
      <c r="H15" s="4" t="n">
        <v>0.115</v>
      </c>
      <c r="I15" s="4" t="n">
        <v>0.115</v>
      </c>
      <c r="J15" s="4" t="n">
        <v>0.115</v>
      </c>
      <c r="K15" s="4" t="n">
        <v>0.115</v>
      </c>
      <c r="L15" s="4" t="n">
        <v>0.115</v>
      </c>
      <c r="M15" s="4" t="n">
        <v>0.115</v>
      </c>
      <c r="N15" s="4" t="n">
        <v>0.115</v>
      </c>
      <c r="O15" s="4" t="n">
        <v>0.115</v>
      </c>
      <c r="P15" s="4" t="n">
        <v>0.115</v>
      </c>
      <c r="Q15" s="4" t="n">
        <v>0.115</v>
      </c>
      <c r="R15" s="4" t="n">
        <v>0.115</v>
      </c>
      <c r="S15" s="4" t="n">
        <v>0.115</v>
      </c>
      <c r="T15" s="4" t="n">
        <v>0.115</v>
      </c>
      <c r="U15" s="4" t="n">
        <v>0.115</v>
      </c>
      <c r="V15" s="4" t="n">
        <v>0.115</v>
      </c>
      <c r="W15" s="4" t="n">
        <v>0.115</v>
      </c>
      <c r="X15" s="4" t="n">
        <v>0.115</v>
      </c>
      <c r="Y15" s="4" t="n">
        <v>0.115</v>
      </c>
      <c r="Z15" s="4" t="n">
        <v>0.115</v>
      </c>
    </row>
    <row r="16">
      <c r="A16" t="inlineStr">
        <is>
          <t>Capex / revenue</t>
        </is>
      </c>
      <c r="B16" t="inlineStr">
        <is>
          <t>a.capex_pct</t>
        </is>
      </c>
      <c r="G16" s="4" t="n">
        <v>1.05</v>
      </c>
      <c r="H16" s="4" t="n">
        <v>0.75</v>
      </c>
      <c r="I16" s="4" t="n">
        <v>0.5</v>
      </c>
      <c r="J16" s="4" t="n">
        <v>0.35</v>
      </c>
      <c r="K16" s="4" t="n">
        <v>0.22</v>
      </c>
      <c r="L16" s="4" t="n">
        <v>0.135</v>
      </c>
      <c r="M16" s="4" t="n">
        <v>0.135</v>
      </c>
      <c r="N16" s="4" t="n">
        <v>0.135</v>
      </c>
      <c r="O16" s="4" t="n">
        <v>0.135</v>
      </c>
      <c r="P16" s="4" t="n">
        <v>0.135</v>
      </c>
      <c r="Q16" s="4" t="n">
        <v>0.135</v>
      </c>
      <c r="R16" s="4" t="n">
        <v>0.135</v>
      </c>
      <c r="S16" s="4" t="n">
        <v>0.135</v>
      </c>
      <c r="T16" s="4" t="n">
        <v>0.135</v>
      </c>
      <c r="U16" s="4" t="n">
        <v>0.135</v>
      </c>
      <c r="V16" s="4" t="n">
        <v>0.135</v>
      </c>
      <c r="W16" s="4" t="n">
        <v>0.135</v>
      </c>
      <c r="X16" s="4" t="n">
        <v>0.135</v>
      </c>
      <c r="Y16" s="4" t="n">
        <v>0.135</v>
      </c>
      <c r="Z16" s="4" t="n">
        <v>0.135</v>
      </c>
    </row>
    <row r="17">
      <c r="A17" t="inlineStr">
        <is>
          <t>Operating working capital / revenue</t>
        </is>
      </c>
      <c r="B17" t="inlineStr">
        <is>
          <t>a.nwc_pct</t>
        </is>
      </c>
      <c r="G17" s="4" t="n">
        <v>0.05</v>
      </c>
      <c r="H17" s="4" t="n">
        <v>0.05</v>
      </c>
      <c r="I17" s="4" t="n">
        <v>0.05</v>
      </c>
      <c r="J17" s="4" t="n">
        <v>0.05</v>
      </c>
      <c r="K17" s="4" t="n">
        <v>0.05</v>
      </c>
      <c r="L17" s="4" t="n">
        <v>0.05</v>
      </c>
      <c r="M17" s="4" t="n">
        <v>0.05</v>
      </c>
      <c r="N17" s="4" t="n">
        <v>0.05</v>
      </c>
      <c r="O17" s="4" t="n">
        <v>0.05</v>
      </c>
      <c r="P17" s="4" t="n">
        <v>0.05</v>
      </c>
      <c r="Q17" s="4" t="n">
        <v>0.05</v>
      </c>
      <c r="R17" s="4" t="n">
        <v>0.05</v>
      </c>
      <c r="S17" s="4" t="n">
        <v>0.05</v>
      </c>
      <c r="T17" s="4" t="n">
        <v>0.05</v>
      </c>
      <c r="U17" s="4" t="n">
        <v>0.05</v>
      </c>
      <c r="V17" s="4" t="n">
        <v>0.05</v>
      </c>
      <c r="W17" s="4" t="n">
        <v>0.05</v>
      </c>
      <c r="X17" s="4" t="n">
        <v>0.05</v>
      </c>
      <c r="Y17" s="4" t="n">
        <v>0.05</v>
      </c>
      <c r="Z17" s="4" t="n">
        <v>0.05</v>
      </c>
    </row>
    <row r="18">
      <c r="A18" t="inlineStr">
        <is>
          <t>Effective tax rate</t>
        </is>
      </c>
      <c r="B18" t="inlineStr">
        <is>
          <t>a.tax_rate</t>
        </is>
      </c>
      <c r="G18" s="4" t="n">
        <v>0.22</v>
      </c>
      <c r="H18" s="4" t="n">
        <v>0.22</v>
      </c>
      <c r="I18" s="4" t="n">
        <v>0.22</v>
      </c>
      <c r="J18" s="4" t="n">
        <v>0.22</v>
      </c>
      <c r="K18" s="4" t="n">
        <v>0.22</v>
      </c>
      <c r="L18" s="4" t="n">
        <v>0.22</v>
      </c>
      <c r="M18" s="4" t="n">
        <v>0.22</v>
      </c>
      <c r="N18" s="4" t="n">
        <v>0.22</v>
      </c>
      <c r="O18" s="4" t="n">
        <v>0.22</v>
      </c>
      <c r="P18" s="4" t="n">
        <v>0.22</v>
      </c>
      <c r="Q18" s="4" t="n">
        <v>0.22</v>
      </c>
      <c r="R18" s="4" t="n">
        <v>0.22</v>
      </c>
      <c r="S18" s="4" t="n">
        <v>0.22</v>
      </c>
      <c r="T18" s="4" t="n">
        <v>0.22</v>
      </c>
      <c r="U18" s="4" t="n">
        <v>0.22</v>
      </c>
      <c r="V18" s="4" t="n">
        <v>0.22</v>
      </c>
      <c r="W18" s="4" t="n">
        <v>0.22</v>
      </c>
      <c r="X18" s="4" t="n">
        <v>0.22</v>
      </c>
      <c r="Y18" s="4" t="n">
        <v>0.22</v>
      </c>
      <c r="Z18" s="4" t="n">
        <v>0.22</v>
      </c>
    </row>
    <row r="19">
      <c r="A19" t="inlineStr">
        <is>
          <t>Cost of debt (on opening debt)</t>
        </is>
      </c>
      <c r="B19" t="inlineStr">
        <is>
          <t>a.cost_of_debt</t>
        </is>
      </c>
      <c r="C19" s="4" t="n">
        <v>0.07000000000000001</v>
      </c>
    </row>
    <row r="20">
      <c r="A20" t="inlineStr">
        <is>
          <t>Yield on opening cash</t>
        </is>
      </c>
      <c r="B20" t="inlineStr">
        <is>
          <t>a.cash_yield</t>
        </is>
      </c>
      <c r="C20" s="4" t="n">
        <v>0.045</v>
      </c>
    </row>
    <row r="21">
      <c r="A21" t="inlineStr">
        <is>
          <t>Net new borrowing</t>
        </is>
      </c>
      <c r="B21" t="inlineStr">
        <is>
          <t>a.net_borrowing</t>
        </is>
      </c>
      <c r="G21" s="13" t="n">
        <v>205.4</v>
      </c>
      <c r="H21" s="13" t="n">
        <v>100</v>
      </c>
      <c r="I21" s="13" t="n">
        <v>50</v>
      </c>
      <c r="J21" s="13" t="n">
        <v>0</v>
      </c>
      <c r="K21" s="13" t="n">
        <v>0</v>
      </c>
      <c r="L21" s="13" t="n">
        <v>0</v>
      </c>
      <c r="M21" s="13" t="n">
        <v>0</v>
      </c>
      <c r="N21" s="13" t="n">
        <v>0</v>
      </c>
      <c r="O21" s="13" t="n">
        <v>0</v>
      </c>
      <c r="P21" s="13" t="n">
        <v>0</v>
      </c>
      <c r="Q21" s="13" t="n">
        <v>0</v>
      </c>
      <c r="R21" s="13" t="n">
        <v>0</v>
      </c>
      <c r="S21" s="13" t="n">
        <v>0</v>
      </c>
      <c r="T21" s="13" t="n">
        <v>0</v>
      </c>
      <c r="U21" s="13" t="n">
        <v>0</v>
      </c>
      <c r="V21" s="13" t="n">
        <v>0</v>
      </c>
      <c r="W21" s="13" t="n">
        <v>0</v>
      </c>
      <c r="X21" s="13" t="n">
        <v>0</v>
      </c>
      <c r="Y21" s="13" t="n">
        <v>0</v>
      </c>
      <c r="Z21" s="13" t="n">
        <v>0</v>
      </c>
    </row>
    <row r="22">
      <c r="A22" t="inlineStr">
        <is>
          <t>Other non-operating items</t>
        </is>
      </c>
      <c r="B22" t="inlineStr">
        <is>
          <t>a.other_nonop</t>
        </is>
      </c>
      <c r="G22" s="13" t="n">
        <v>30</v>
      </c>
      <c r="H22" s="13" t="n">
        <v>30</v>
      </c>
      <c r="I22" s="13" t="n">
        <v>30</v>
      </c>
      <c r="J22" s="13" t="n">
        <v>30</v>
      </c>
      <c r="K22" s="13" t="n">
        <v>30</v>
      </c>
      <c r="L22" s="13" t="n">
        <v>25.5</v>
      </c>
      <c r="M22" s="13" t="n">
        <v>26.01</v>
      </c>
      <c r="N22" s="13" t="n">
        <v>26.5302</v>
      </c>
      <c r="O22" s="13" t="n">
        <v>27.060804</v>
      </c>
      <c r="P22" s="13" t="n">
        <v>27.60202008</v>
      </c>
      <c r="Q22" s="13" t="n">
        <v>28.1540604816</v>
      </c>
      <c r="R22" s="13" t="n">
        <v>28.717141691232</v>
      </c>
      <c r="S22" s="13" t="n">
        <v>29.29148452505664</v>
      </c>
      <c r="T22" s="13" t="n">
        <v>29.87731421555778</v>
      </c>
      <c r="U22" s="13" t="n">
        <v>30.47486049986893</v>
      </c>
      <c r="V22" s="13" t="n">
        <v>31.08435770986631</v>
      </c>
      <c r="W22" s="13" t="n">
        <v>31.70604486406364</v>
      </c>
      <c r="X22" s="13" t="n">
        <v>32.34016576134491</v>
      </c>
      <c r="Y22" s="13" t="n">
        <v>32.98696907657181</v>
      </c>
      <c r="Z22" s="13" t="n">
        <v>33.64670845810325</v>
      </c>
    </row>
    <row r="23">
      <c r="A23" t="inlineStr">
        <is>
          <t>Minorities' share of net profit</t>
        </is>
      </c>
      <c r="B23" t="inlineStr">
        <is>
          <t>a.minority_pct</t>
        </is>
      </c>
      <c r="G23" s="4" t="n">
        <v>0.055</v>
      </c>
      <c r="H23" s="4" t="n">
        <v>0.055</v>
      </c>
      <c r="I23" s="4" t="n">
        <v>0.055</v>
      </c>
      <c r="J23" s="4" t="n">
        <v>0.055</v>
      </c>
      <c r="K23" s="4" t="n">
        <v>0.055</v>
      </c>
      <c r="L23" s="4" t="n">
        <v>0.055</v>
      </c>
      <c r="M23" s="4" t="n">
        <v>0.055</v>
      </c>
      <c r="N23" s="4" t="n">
        <v>0.055</v>
      </c>
      <c r="O23" s="4" t="n">
        <v>0.055</v>
      </c>
      <c r="P23" s="4" t="n">
        <v>0.055</v>
      </c>
      <c r="Q23" s="4" t="n">
        <v>0.055</v>
      </c>
      <c r="R23" s="4" t="n">
        <v>0.055</v>
      </c>
      <c r="S23" s="4" t="n">
        <v>0.055</v>
      </c>
      <c r="T23" s="4" t="n">
        <v>0.055</v>
      </c>
      <c r="U23" s="4" t="n">
        <v>0.055</v>
      </c>
      <c r="V23" s="4" t="n">
        <v>0.055</v>
      </c>
      <c r="W23" s="4" t="n">
        <v>0.055</v>
      </c>
      <c r="X23" s="4" t="n">
        <v>0.055</v>
      </c>
      <c r="Y23" s="4" t="n">
        <v>0.055</v>
      </c>
      <c r="Z23" s="4" t="n">
        <v>0.055</v>
      </c>
    </row>
    <row r="24">
      <c r="A24" t="inlineStr">
        <is>
          <t>Dividend payout</t>
        </is>
      </c>
      <c r="B24" t="inlineStr">
        <is>
          <t>a.payout</t>
        </is>
      </c>
      <c r="G24" s="4" t="n">
        <v>0.25</v>
      </c>
      <c r="H24" s="4" t="n">
        <v>0.25</v>
      </c>
      <c r="I24" s="4" t="n">
        <v>0.25</v>
      </c>
      <c r="J24" s="4" t="n">
        <v>0.25</v>
      </c>
      <c r="K24" s="4" t="n">
        <v>0.25</v>
      </c>
      <c r="L24" s="4" t="n">
        <v>0.25</v>
      </c>
      <c r="M24" s="4" t="n">
        <v>0.25</v>
      </c>
      <c r="N24" s="4" t="n">
        <v>0.25</v>
      </c>
      <c r="O24" s="4" t="n">
        <v>0.25</v>
      </c>
      <c r="P24" s="4" t="n">
        <v>0.25</v>
      </c>
      <c r="Q24" s="4" t="n">
        <v>0.25</v>
      </c>
      <c r="R24" s="4" t="n">
        <v>0.25</v>
      </c>
      <c r="S24" s="4" t="n">
        <v>0.25</v>
      </c>
      <c r="T24" s="4" t="n">
        <v>0.25</v>
      </c>
      <c r="U24" s="4" t="n">
        <v>0.25</v>
      </c>
      <c r="V24" s="4" t="n">
        <v>0.25</v>
      </c>
      <c r="W24" s="4" t="n">
        <v>0.25</v>
      </c>
      <c r="X24" s="4" t="n">
        <v>0.25</v>
      </c>
      <c r="Y24" s="4" t="n">
        <v>0.25</v>
      </c>
      <c r="Z24" s="4" t="n">
        <v>0.25</v>
      </c>
    </row>
    <row r="25">
      <c r="A25" t="inlineStr">
        <is>
          <t>Change in share count</t>
        </is>
      </c>
      <c r="B25" t="inlineStr">
        <is>
          <t>a.share_change</t>
        </is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0</v>
      </c>
      <c r="O25" s="4" t="n">
        <v>0</v>
      </c>
      <c r="P25" s="4" t="n">
        <v>0</v>
      </c>
      <c r="Q25" s="4" t="n">
        <v>0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4" t="n">
        <v>0</v>
      </c>
      <c r="Z25" s="4" t="n">
        <v>0</v>
      </c>
    </row>
    <row r="26">
      <c r="A26" t="inlineStr">
        <is>
          <t>Terminal growth (DCF)</t>
        </is>
      </c>
      <c r="B26" t="inlineStr">
        <is>
          <t>a.terminal_growth</t>
        </is>
      </c>
      <c r="C26" s="4" t="n">
        <v>0.02</v>
      </c>
    </row>
    <row r="28">
      <c r="A28" s="1" t="inlineStr">
        <is>
          <t>MODEL</t>
        </is>
      </c>
    </row>
    <row r="29">
      <c r="A29" t="inlineStr">
        <is>
          <t>Revenue</t>
        </is>
      </c>
      <c r="B29" t="inlineStr">
        <is>
          <t>revenue</t>
        </is>
      </c>
      <c r="D29" s="13" t="n"/>
      <c r="E29" s="13" t="n">
        <v>102.254765</v>
      </c>
      <c r="F29" s="13" t="n">
        <v>148.032595</v>
      </c>
      <c r="G29" s="14">
        <f>(F29*(1+G12))</f>
        <v/>
      </c>
      <c r="H29" s="14">
        <f>(G29*(1+H12))</f>
        <v/>
      </c>
      <c r="I29" s="14">
        <f>(H29*(1+I12))</f>
        <v/>
      </c>
      <c r="J29" s="14">
        <f>(I29*(1+J12))</f>
        <v/>
      </c>
      <c r="K29" s="14">
        <f>(J29*(1+K12))</f>
        <v/>
      </c>
      <c r="L29" s="14">
        <f>(K29*(1+L12))</f>
        <v/>
      </c>
      <c r="M29" s="14">
        <f>(L29*(1+M12))</f>
        <v/>
      </c>
      <c r="N29" s="14">
        <f>(M29*(1+N12))</f>
        <v/>
      </c>
      <c r="O29" s="14">
        <f>(N29*(1+O12))</f>
        <v/>
      </c>
      <c r="P29" s="14">
        <f>(O29*(1+P12))</f>
        <v/>
      </c>
      <c r="Q29" s="14">
        <f>(P29*(1+Q12))</f>
        <v/>
      </c>
      <c r="R29" s="14">
        <f>(Q29*(1+R12))</f>
        <v/>
      </c>
      <c r="S29" s="14">
        <f>(R29*(1+S12))</f>
        <v/>
      </c>
      <c r="T29" s="14">
        <f>(S29*(1+T12))</f>
        <v/>
      </c>
      <c r="U29" s="14">
        <f>(T29*(1+U12))</f>
        <v/>
      </c>
      <c r="V29" s="14">
        <f>(U29*(1+V12))</f>
        <v/>
      </c>
      <c r="W29" s="14">
        <f>(V29*(1+W12))</f>
        <v/>
      </c>
      <c r="X29" s="14">
        <f>(W29*(1+X12))</f>
        <v/>
      </c>
      <c r="Y29" s="14">
        <f>(X29*(1+Y12))</f>
        <v/>
      </c>
      <c r="Z29" s="14">
        <f>(Y29*(1+Z12))</f>
        <v/>
      </c>
    </row>
    <row r="30">
      <c r="A30" t="inlineStr">
        <is>
          <t>Cost of revenue</t>
        </is>
      </c>
      <c r="B30" t="inlineStr">
        <is>
          <t>cogs</t>
        </is>
      </c>
      <c r="D30" s="13" t="n"/>
      <c r="E30" s="13" t="n">
        <v>91.789624</v>
      </c>
      <c r="F30" s="13" t="n">
        <v>112.640469</v>
      </c>
      <c r="G30" s="14">
        <f>(G29*(1-G13))</f>
        <v/>
      </c>
      <c r="H30" s="14">
        <f>(H29*(1-H13))</f>
        <v/>
      </c>
      <c r="I30" s="14">
        <f>(I29*(1-I13))</f>
        <v/>
      </c>
      <c r="J30" s="14">
        <f>(J29*(1-J13))</f>
        <v/>
      </c>
      <c r="K30" s="14">
        <f>(K29*(1-K13))</f>
        <v/>
      </c>
      <c r="L30" s="14">
        <f>(L29*(1-L13))</f>
        <v/>
      </c>
      <c r="M30" s="14">
        <f>(M29*(1-M13))</f>
        <v/>
      </c>
      <c r="N30" s="14">
        <f>(N29*(1-N13))</f>
        <v/>
      </c>
      <c r="O30" s="14">
        <f>(O29*(1-O13))</f>
        <v/>
      </c>
      <c r="P30" s="14">
        <f>(P29*(1-P13))</f>
        <v/>
      </c>
      <c r="Q30" s="14">
        <f>(Q29*(1-Q13))</f>
        <v/>
      </c>
      <c r="R30" s="14">
        <f>(R29*(1-R13))</f>
        <v/>
      </c>
      <c r="S30" s="14">
        <f>(S29*(1-S13))</f>
        <v/>
      </c>
      <c r="T30" s="14">
        <f>(T29*(1-T13))</f>
        <v/>
      </c>
      <c r="U30" s="14">
        <f>(U29*(1-U13))</f>
        <v/>
      </c>
      <c r="V30" s="14">
        <f>(V29*(1-V13))</f>
        <v/>
      </c>
      <c r="W30" s="14">
        <f>(W29*(1-W13))</f>
        <v/>
      </c>
      <c r="X30" s="14">
        <f>(X29*(1-X13))</f>
        <v/>
      </c>
      <c r="Y30" s="14">
        <f>(Y29*(1-Y13))</f>
        <v/>
      </c>
      <c r="Z30" s="14">
        <f>(Z29*(1-Z13))</f>
        <v/>
      </c>
    </row>
    <row r="31">
      <c r="A31" t="inlineStr">
        <is>
          <t>Gross profit</t>
        </is>
      </c>
      <c r="B31" t="inlineStr">
        <is>
          <t>gross_profit</t>
        </is>
      </c>
      <c r="D31" s="13" t="n"/>
      <c r="E31" s="13" t="n">
        <v>10.465141</v>
      </c>
      <c r="F31" s="13" t="n">
        <v>35.392126</v>
      </c>
      <c r="G31" s="14">
        <f>(G29-G30)</f>
        <v/>
      </c>
      <c r="H31" s="14">
        <f>(H29-H30)</f>
        <v/>
      </c>
      <c r="I31" s="14">
        <f>(I29-I30)</f>
        <v/>
      </c>
      <c r="J31" s="14">
        <f>(J29-J30)</f>
        <v/>
      </c>
      <c r="K31" s="14">
        <f>(K29-K30)</f>
        <v/>
      </c>
      <c r="L31" s="14">
        <f>(L29-L30)</f>
        <v/>
      </c>
      <c r="M31" s="14">
        <f>(M29-M30)</f>
        <v/>
      </c>
      <c r="N31" s="14">
        <f>(N29-N30)</f>
        <v/>
      </c>
      <c r="O31" s="14">
        <f>(O29-O30)</f>
        <v/>
      </c>
      <c r="P31" s="14">
        <f>(P29-P30)</f>
        <v/>
      </c>
      <c r="Q31" s="14">
        <f>(Q29-Q30)</f>
        <v/>
      </c>
      <c r="R31" s="14">
        <f>(R29-R30)</f>
        <v/>
      </c>
      <c r="S31" s="14">
        <f>(S29-S30)</f>
        <v/>
      </c>
      <c r="T31" s="14">
        <f>(T29-T30)</f>
        <v/>
      </c>
      <c r="U31" s="14">
        <f>(U29-U30)</f>
        <v/>
      </c>
      <c r="V31" s="14">
        <f>(V29-V30)</f>
        <v/>
      </c>
      <c r="W31" s="14">
        <f>(W29-W30)</f>
        <v/>
      </c>
      <c r="X31" s="14">
        <f>(X29-X30)</f>
        <v/>
      </c>
      <c r="Y31" s="14">
        <f>(Y29-Y30)</f>
        <v/>
      </c>
      <c r="Z31" s="14">
        <f>(Z29-Z30)</f>
        <v/>
      </c>
    </row>
    <row r="32">
      <c r="A32" t="inlineStr">
        <is>
          <t>SG&amp;A and other opex</t>
        </is>
      </c>
      <c r="B32" t="inlineStr">
        <is>
          <t>opex</t>
        </is>
      </c>
      <c r="D32" s="13" t="n"/>
      <c r="E32" s="13" t="n">
        <v>8.248572999999999</v>
      </c>
      <c r="F32" s="13" t="n">
        <v>13.087288</v>
      </c>
      <c r="G32" s="14">
        <f>(G29*G14)</f>
        <v/>
      </c>
      <c r="H32" s="14">
        <f>(H29*H14)</f>
        <v/>
      </c>
      <c r="I32" s="14">
        <f>(I29*I14)</f>
        <v/>
      </c>
      <c r="J32" s="14">
        <f>(J29*J14)</f>
        <v/>
      </c>
      <c r="K32" s="14">
        <f>(K29*K14)</f>
        <v/>
      </c>
      <c r="L32" s="14">
        <f>(L29*L14)</f>
        <v/>
      </c>
      <c r="M32" s="14">
        <f>(M29*M14)</f>
        <v/>
      </c>
      <c r="N32" s="14">
        <f>(N29*N14)</f>
        <v/>
      </c>
      <c r="O32" s="14">
        <f>(O29*O14)</f>
        <v/>
      </c>
      <c r="P32" s="14">
        <f>(P29*P14)</f>
        <v/>
      </c>
      <c r="Q32" s="14">
        <f>(Q29*Q14)</f>
        <v/>
      </c>
      <c r="R32" s="14">
        <f>(R29*R14)</f>
        <v/>
      </c>
      <c r="S32" s="14">
        <f>(S29*S14)</f>
        <v/>
      </c>
      <c r="T32" s="14">
        <f>(T29*T14)</f>
        <v/>
      </c>
      <c r="U32" s="14">
        <f>(U29*U14)</f>
        <v/>
      </c>
      <c r="V32" s="14">
        <f>(V29*V14)</f>
        <v/>
      </c>
      <c r="W32" s="14">
        <f>(W29*W14)</f>
        <v/>
      </c>
      <c r="X32" s="14">
        <f>(X29*X14)</f>
        <v/>
      </c>
      <c r="Y32" s="14">
        <f>(Y29*Y14)</f>
        <v/>
      </c>
      <c r="Z32" s="14">
        <f>(Z29*Z14)</f>
        <v/>
      </c>
    </row>
    <row r="33">
      <c r="A33" t="inlineStr">
        <is>
          <t>EBIT</t>
        </is>
      </c>
      <c r="B33" t="inlineStr">
        <is>
          <t>ebit</t>
        </is>
      </c>
      <c r="D33" s="13" t="n"/>
      <c r="E33" s="13" t="n">
        <v>2.216568</v>
      </c>
      <c r="F33" s="13" t="n">
        <v>22.304838</v>
      </c>
      <c r="G33" s="14">
        <f>(G31-G32)</f>
        <v/>
      </c>
      <c r="H33" s="14">
        <f>(H31-H32)</f>
        <v/>
      </c>
      <c r="I33" s="14">
        <f>(I31-I32)</f>
        <v/>
      </c>
      <c r="J33" s="14">
        <f>(J31-J32)</f>
        <v/>
      </c>
      <c r="K33" s="14">
        <f>(K31-K32)</f>
        <v/>
      </c>
      <c r="L33" s="14">
        <f>(L31-L32)</f>
        <v/>
      </c>
      <c r="M33" s="14">
        <f>(M31-M32)</f>
        <v/>
      </c>
      <c r="N33" s="14">
        <f>(N31-N32)</f>
        <v/>
      </c>
      <c r="O33" s="14">
        <f>(O31-O32)</f>
        <v/>
      </c>
      <c r="P33" s="14">
        <f>(P31-P32)</f>
        <v/>
      </c>
      <c r="Q33" s="14">
        <f>(Q31-Q32)</f>
        <v/>
      </c>
      <c r="R33" s="14">
        <f>(R31-R32)</f>
        <v/>
      </c>
      <c r="S33" s="14">
        <f>(S31-S32)</f>
        <v/>
      </c>
      <c r="T33" s="14">
        <f>(T31-T32)</f>
        <v/>
      </c>
      <c r="U33" s="14">
        <f>(U31-U32)</f>
        <v/>
      </c>
      <c r="V33" s="14">
        <f>(V31-V32)</f>
        <v/>
      </c>
      <c r="W33" s="14">
        <f>(W31-W32)</f>
        <v/>
      </c>
      <c r="X33" s="14">
        <f>(X31-X32)</f>
        <v/>
      </c>
      <c r="Y33" s="14">
        <f>(Y31-Y32)</f>
        <v/>
      </c>
      <c r="Z33" s="14">
        <f>(Z31-Z32)</f>
        <v/>
      </c>
    </row>
    <row r="34">
      <c r="A34" t="inlineStr">
        <is>
          <t>Depreciation &amp; amortisation</t>
        </is>
      </c>
      <c r="B34" t="inlineStr">
        <is>
          <t>da</t>
        </is>
      </c>
      <c r="D34" s="13" t="n"/>
      <c r="E34" s="13" t="n">
        <v>8.582806</v>
      </c>
      <c r="F34" s="13" t="n">
        <v>9.618618</v>
      </c>
      <c r="G34" s="14">
        <f>(G29*G15)</f>
        <v/>
      </c>
      <c r="H34" s="14">
        <f>(H29*H15)</f>
        <v/>
      </c>
      <c r="I34" s="14">
        <f>(I29*I15)</f>
        <v/>
      </c>
      <c r="J34" s="14">
        <f>(J29*J15)</f>
        <v/>
      </c>
      <c r="K34" s="14">
        <f>(K29*K15)</f>
        <v/>
      </c>
      <c r="L34" s="14">
        <f>(L29*L15)</f>
        <v/>
      </c>
      <c r="M34" s="14">
        <f>(M29*M15)</f>
        <v/>
      </c>
      <c r="N34" s="14">
        <f>(N29*N15)</f>
        <v/>
      </c>
      <c r="O34" s="14">
        <f>(O29*O15)</f>
        <v/>
      </c>
      <c r="P34" s="14">
        <f>(P29*P15)</f>
        <v/>
      </c>
      <c r="Q34" s="14">
        <f>(Q29*Q15)</f>
        <v/>
      </c>
      <c r="R34" s="14">
        <f>(R29*R15)</f>
        <v/>
      </c>
      <c r="S34" s="14">
        <f>(S29*S15)</f>
        <v/>
      </c>
      <c r="T34" s="14">
        <f>(T29*T15)</f>
        <v/>
      </c>
      <c r="U34" s="14">
        <f>(U29*U15)</f>
        <v/>
      </c>
      <c r="V34" s="14">
        <f>(V29*V15)</f>
        <v/>
      </c>
      <c r="W34" s="14">
        <f>(W29*W15)</f>
        <v/>
      </c>
      <c r="X34" s="14">
        <f>(X29*X15)</f>
        <v/>
      </c>
      <c r="Y34" s="14">
        <f>(Y29*Y15)</f>
        <v/>
      </c>
      <c r="Z34" s="14">
        <f>(Z29*Z15)</f>
        <v/>
      </c>
    </row>
    <row r="35">
      <c r="A35" t="inlineStr">
        <is>
          <t>EBITDA</t>
        </is>
      </c>
      <c r="B35" t="inlineStr">
        <is>
          <t>ebitda</t>
        </is>
      </c>
      <c r="D35" s="13" t="n"/>
      <c r="E35" s="13" t="n">
        <v>10.799374</v>
      </c>
      <c r="F35" s="13" t="n">
        <v>31.923456</v>
      </c>
      <c r="G35" s="14">
        <f>(G33+G34)</f>
        <v/>
      </c>
      <c r="H35" s="14">
        <f>(H33+H34)</f>
        <v/>
      </c>
      <c r="I35" s="14">
        <f>(I33+I34)</f>
        <v/>
      </c>
      <c r="J35" s="14">
        <f>(J33+J34)</f>
        <v/>
      </c>
      <c r="K35" s="14">
        <f>(K33+K34)</f>
        <v/>
      </c>
      <c r="L35" s="14">
        <f>(L33+L34)</f>
        <v/>
      </c>
      <c r="M35" s="14">
        <f>(M33+M34)</f>
        <v/>
      </c>
      <c r="N35" s="14">
        <f>(N33+N34)</f>
        <v/>
      </c>
      <c r="O35" s="14">
        <f>(O33+O34)</f>
        <v/>
      </c>
      <c r="P35" s="14">
        <f>(P33+P34)</f>
        <v/>
      </c>
      <c r="Q35" s="14">
        <f>(Q33+Q34)</f>
        <v/>
      </c>
      <c r="R35" s="14">
        <f>(R33+R34)</f>
        <v/>
      </c>
      <c r="S35" s="14">
        <f>(S33+S34)</f>
        <v/>
      </c>
      <c r="T35" s="14">
        <f>(T33+T34)</f>
        <v/>
      </c>
      <c r="U35" s="14">
        <f>(U33+U34)</f>
        <v/>
      </c>
      <c r="V35" s="14">
        <f>(V33+V34)</f>
        <v/>
      </c>
      <c r="W35" s="14">
        <f>(W33+W34)</f>
        <v/>
      </c>
      <c r="X35" s="14">
        <f>(X33+X34)</f>
        <v/>
      </c>
      <c r="Y35" s="14">
        <f>(Y33+Y34)</f>
        <v/>
      </c>
      <c r="Z35" s="14">
        <f>(Z33+Z34)</f>
        <v/>
      </c>
    </row>
    <row r="36">
      <c r="A36" t="inlineStr">
        <is>
          <t>Interest expense</t>
        </is>
      </c>
      <c r="B36" t="inlineStr">
        <is>
          <t>interest_expense</t>
        </is>
      </c>
      <c r="D36" s="13" t="n"/>
      <c r="E36" s="13" t="n">
        <v>18.489132</v>
      </c>
      <c r="F36" s="13" t="n">
        <v>28.251149</v>
      </c>
      <c r="G36" s="14">
        <f>(F56*$C$19)</f>
        <v/>
      </c>
      <c r="H36" s="14">
        <f>(G56*$C$19)</f>
        <v/>
      </c>
      <c r="I36" s="14">
        <f>(H56*$C$19)</f>
        <v/>
      </c>
      <c r="J36" s="14">
        <f>(I56*$C$19)</f>
        <v/>
      </c>
      <c r="K36" s="14">
        <f>(J56*$C$19)</f>
        <v/>
      </c>
      <c r="L36" s="14">
        <f>(K56*$C$19)</f>
        <v/>
      </c>
      <c r="M36" s="14">
        <f>(L56*$C$19)</f>
        <v/>
      </c>
      <c r="N36" s="14">
        <f>(M56*$C$19)</f>
        <v/>
      </c>
      <c r="O36" s="14">
        <f>(N56*$C$19)</f>
        <v/>
      </c>
      <c r="P36" s="14">
        <f>(O56*$C$19)</f>
        <v/>
      </c>
      <c r="Q36" s="14">
        <f>(P56*$C$19)</f>
        <v/>
      </c>
      <c r="R36" s="14">
        <f>(Q56*$C$19)</f>
        <v/>
      </c>
      <c r="S36" s="14">
        <f>(R56*$C$19)</f>
        <v/>
      </c>
      <c r="T36" s="14">
        <f>(S56*$C$19)</f>
        <v/>
      </c>
      <c r="U36" s="14">
        <f>(T56*$C$19)</f>
        <v/>
      </c>
      <c r="V36" s="14">
        <f>(U56*$C$19)</f>
        <v/>
      </c>
      <c r="W36" s="14">
        <f>(V56*$C$19)</f>
        <v/>
      </c>
      <c r="X36" s="14">
        <f>(W56*$C$19)</f>
        <v/>
      </c>
      <c r="Y36" s="14">
        <f>(X56*$C$19)</f>
        <v/>
      </c>
      <c r="Z36" s="14">
        <f>(Y56*$C$19)</f>
        <v/>
      </c>
    </row>
    <row r="37">
      <c r="A37" t="inlineStr">
        <is>
          <t>Interest income</t>
        </is>
      </c>
      <c r="B37" t="inlineStr">
        <is>
          <t>interest_income</t>
        </is>
      </c>
      <c r="D37" s="13" t="n"/>
      <c r="E37" s="13" t="n">
        <v>20.505104</v>
      </c>
      <c r="F37" s="13" t="n">
        <v>24.330789</v>
      </c>
      <c r="G37" s="14">
        <f>(F55*$C$20)</f>
        <v/>
      </c>
      <c r="H37" s="14">
        <f>(G55*$C$20)</f>
        <v/>
      </c>
      <c r="I37" s="14">
        <f>(H55*$C$20)</f>
        <v/>
      </c>
      <c r="J37" s="14">
        <f>(I55*$C$20)</f>
        <v/>
      </c>
      <c r="K37" s="14">
        <f>(J55*$C$20)</f>
        <v/>
      </c>
      <c r="L37" s="14">
        <f>(K55*$C$20)</f>
        <v/>
      </c>
      <c r="M37" s="14">
        <f>(L55*$C$20)</f>
        <v/>
      </c>
      <c r="N37" s="14">
        <f>(M55*$C$20)</f>
        <v/>
      </c>
      <c r="O37" s="14">
        <f>(N55*$C$20)</f>
        <v/>
      </c>
      <c r="P37" s="14">
        <f>(O55*$C$20)</f>
        <v/>
      </c>
      <c r="Q37" s="14">
        <f>(P55*$C$20)</f>
        <v/>
      </c>
      <c r="R37" s="14">
        <f>(Q55*$C$20)</f>
        <v/>
      </c>
      <c r="S37" s="14">
        <f>(R55*$C$20)</f>
        <v/>
      </c>
      <c r="T37" s="14">
        <f>(S55*$C$20)</f>
        <v/>
      </c>
      <c r="U37" s="14">
        <f>(T55*$C$20)</f>
        <v/>
      </c>
      <c r="V37" s="14">
        <f>(U55*$C$20)</f>
        <v/>
      </c>
      <c r="W37" s="14">
        <f>(V55*$C$20)</f>
        <v/>
      </c>
      <c r="X37" s="14">
        <f>(W55*$C$20)</f>
        <v/>
      </c>
      <c r="Y37" s="14">
        <f>(X55*$C$20)</f>
        <v/>
      </c>
      <c r="Z37" s="14">
        <f>(Y55*$C$20)</f>
        <v/>
      </c>
    </row>
    <row r="38">
      <c r="A38" t="inlineStr">
        <is>
          <t>Other non-operating</t>
        </is>
      </c>
      <c r="B38" t="inlineStr">
        <is>
          <t>other_nonop</t>
        </is>
      </c>
      <c r="D38" s="13" t="n"/>
      <c r="E38" s="13" t="n">
        <v>29.98455400000001</v>
      </c>
      <c r="F38" s="13" t="n">
        <v>113.678112</v>
      </c>
      <c r="G38" s="14">
        <f>G22</f>
        <v/>
      </c>
      <c r="H38" s="14">
        <f>H22</f>
        <v/>
      </c>
      <c r="I38" s="14">
        <f>I22</f>
        <v/>
      </c>
      <c r="J38" s="14">
        <f>J22</f>
        <v/>
      </c>
      <c r="K38" s="14">
        <f>K22</f>
        <v/>
      </c>
      <c r="L38" s="14">
        <f>L22</f>
        <v/>
      </c>
      <c r="M38" s="14">
        <f>M22</f>
        <v/>
      </c>
      <c r="N38" s="14">
        <f>N22</f>
        <v/>
      </c>
      <c r="O38" s="14">
        <f>O22</f>
        <v/>
      </c>
      <c r="P38" s="14">
        <f>P22</f>
        <v/>
      </c>
      <c r="Q38" s="14">
        <f>Q22</f>
        <v/>
      </c>
      <c r="R38" s="14">
        <f>R22</f>
        <v/>
      </c>
      <c r="S38" s="14">
        <f>S22</f>
        <v/>
      </c>
      <c r="T38" s="14">
        <f>T22</f>
        <v/>
      </c>
      <c r="U38" s="14">
        <f>U22</f>
        <v/>
      </c>
      <c r="V38" s="14">
        <f>V22</f>
        <v/>
      </c>
      <c r="W38" s="14">
        <f>W22</f>
        <v/>
      </c>
      <c r="X38" s="14">
        <f>X22</f>
        <v/>
      </c>
      <c r="Y38" s="14">
        <f>Y22</f>
        <v/>
      </c>
      <c r="Z38" s="14">
        <f>Z22</f>
        <v/>
      </c>
    </row>
    <row r="39">
      <c r="A39" t="inlineStr">
        <is>
          <t>Profit before tax</t>
        </is>
      </c>
      <c r="B39" t="inlineStr">
        <is>
          <t>pbt</t>
        </is>
      </c>
      <c r="D39" s="13" t="n"/>
      <c r="E39" s="13" t="n">
        <v>34.217094</v>
      </c>
      <c r="F39" s="13" t="n">
        <v>132.06259</v>
      </c>
      <c r="G39" s="14">
        <f>(((G33-G36)+G37)+G38)</f>
        <v/>
      </c>
      <c r="H39" s="14">
        <f>(((H33-H36)+H37)+H38)</f>
        <v/>
      </c>
      <c r="I39" s="14">
        <f>(((I33-I36)+I37)+I38)</f>
        <v/>
      </c>
      <c r="J39" s="14">
        <f>(((J33-J36)+J37)+J38)</f>
        <v/>
      </c>
      <c r="K39" s="14">
        <f>(((K33-K36)+K37)+K38)</f>
        <v/>
      </c>
      <c r="L39" s="14">
        <f>(((L33-L36)+L37)+L38)</f>
        <v/>
      </c>
      <c r="M39" s="14">
        <f>(((M33-M36)+M37)+M38)</f>
        <v/>
      </c>
      <c r="N39" s="14">
        <f>(((N33-N36)+N37)+N38)</f>
        <v/>
      </c>
      <c r="O39" s="14">
        <f>(((O33-O36)+O37)+O38)</f>
        <v/>
      </c>
      <c r="P39" s="14">
        <f>(((P33-P36)+P37)+P38)</f>
        <v/>
      </c>
      <c r="Q39" s="14">
        <f>(((Q33-Q36)+Q37)+Q38)</f>
        <v/>
      </c>
      <c r="R39" s="14">
        <f>(((R33-R36)+R37)+R38)</f>
        <v/>
      </c>
      <c r="S39" s="14">
        <f>(((S33-S36)+S37)+S38)</f>
        <v/>
      </c>
      <c r="T39" s="14">
        <f>(((T33-T36)+T37)+T38)</f>
        <v/>
      </c>
      <c r="U39" s="14">
        <f>(((U33-U36)+U37)+U38)</f>
        <v/>
      </c>
      <c r="V39" s="14">
        <f>(((V33-V36)+V37)+V38)</f>
        <v/>
      </c>
      <c r="W39" s="14">
        <f>(((W33-W36)+W37)+W38)</f>
        <v/>
      </c>
      <c r="X39" s="14">
        <f>(((X33-X36)+X37)+X38)</f>
        <v/>
      </c>
      <c r="Y39" s="14">
        <f>(((Y33-Y36)+Y37)+Y38)</f>
        <v/>
      </c>
      <c r="Z39" s="14">
        <f>(((Z33-Z36)+Z37)+Z38)</f>
        <v/>
      </c>
    </row>
    <row r="40">
      <c r="A40" t="inlineStr">
        <is>
          <t>Tax</t>
        </is>
      </c>
      <c r="B40" t="inlineStr">
        <is>
          <t>tax</t>
        </is>
      </c>
      <c r="D40" s="13" t="n"/>
      <c r="E40" s="13" t="n">
        <v>0.737715</v>
      </c>
      <c r="F40" s="13" t="n">
        <v>4.273749</v>
      </c>
      <c r="G40" s="14">
        <f>(MAX(G39,0)*G18)</f>
        <v/>
      </c>
      <c r="H40" s="14">
        <f>(MAX(H39,0)*H18)</f>
        <v/>
      </c>
      <c r="I40" s="14">
        <f>(MAX(I39,0)*I18)</f>
        <v/>
      </c>
      <c r="J40" s="14">
        <f>(MAX(J39,0)*J18)</f>
        <v/>
      </c>
      <c r="K40" s="14">
        <f>(MAX(K39,0)*K18)</f>
        <v/>
      </c>
      <c r="L40" s="14">
        <f>(MAX(L39,0)*L18)</f>
        <v/>
      </c>
      <c r="M40" s="14">
        <f>(MAX(M39,0)*M18)</f>
        <v/>
      </c>
      <c r="N40" s="14">
        <f>(MAX(N39,0)*N18)</f>
        <v/>
      </c>
      <c r="O40" s="14">
        <f>(MAX(O39,0)*O18)</f>
        <v/>
      </c>
      <c r="P40" s="14">
        <f>(MAX(P39,0)*P18)</f>
        <v/>
      </c>
      <c r="Q40" s="14">
        <f>(MAX(Q39,0)*Q18)</f>
        <v/>
      </c>
      <c r="R40" s="14">
        <f>(MAX(R39,0)*R18)</f>
        <v/>
      </c>
      <c r="S40" s="14">
        <f>(MAX(S39,0)*S18)</f>
        <v/>
      </c>
      <c r="T40" s="14">
        <f>(MAX(T39,0)*T18)</f>
        <v/>
      </c>
      <c r="U40" s="14">
        <f>(MAX(U39,0)*U18)</f>
        <v/>
      </c>
      <c r="V40" s="14">
        <f>(MAX(V39,0)*V18)</f>
        <v/>
      </c>
      <c r="W40" s="14">
        <f>(MAX(W39,0)*W18)</f>
        <v/>
      </c>
      <c r="X40" s="14">
        <f>(MAX(X39,0)*X18)</f>
        <v/>
      </c>
      <c r="Y40" s="14">
        <f>(MAX(Y39,0)*Y18)</f>
        <v/>
      </c>
      <c r="Z40" s="14">
        <f>(MAX(Z39,0)*Z18)</f>
        <v/>
      </c>
    </row>
    <row r="41">
      <c r="A41" t="inlineStr">
        <is>
          <t>Net profit (incl. minorities)</t>
        </is>
      </c>
      <c r="B41" t="inlineStr">
        <is>
          <t>np</t>
        </is>
      </c>
      <c r="D41" s="13" t="n"/>
      <c r="E41" s="13" t="n">
        <v>33.479379</v>
      </c>
      <c r="F41" s="13" t="n">
        <v>127.788841</v>
      </c>
      <c r="G41" s="14">
        <f>(G39-G40)</f>
        <v/>
      </c>
      <c r="H41" s="14">
        <f>(H39-H40)</f>
        <v/>
      </c>
      <c r="I41" s="14">
        <f>(I39-I40)</f>
        <v/>
      </c>
      <c r="J41" s="14">
        <f>(J39-J40)</f>
        <v/>
      </c>
      <c r="K41" s="14">
        <f>(K39-K40)</f>
        <v/>
      </c>
      <c r="L41" s="14">
        <f>(L39-L40)</f>
        <v/>
      </c>
      <c r="M41" s="14">
        <f>(M39-M40)</f>
        <v/>
      </c>
      <c r="N41" s="14">
        <f>(N39-N40)</f>
        <v/>
      </c>
      <c r="O41" s="14">
        <f>(O39-O40)</f>
        <v/>
      </c>
      <c r="P41" s="14">
        <f>(P39-P40)</f>
        <v/>
      </c>
      <c r="Q41" s="14">
        <f>(Q39-Q40)</f>
        <v/>
      </c>
      <c r="R41" s="14">
        <f>(R39-R40)</f>
        <v/>
      </c>
      <c r="S41" s="14">
        <f>(S39-S40)</f>
        <v/>
      </c>
      <c r="T41" s="14">
        <f>(T39-T40)</f>
        <v/>
      </c>
      <c r="U41" s="14">
        <f>(U39-U40)</f>
        <v/>
      </c>
      <c r="V41" s="14">
        <f>(V39-V40)</f>
        <v/>
      </c>
      <c r="W41" s="14">
        <f>(W39-W40)</f>
        <v/>
      </c>
      <c r="X41" s="14">
        <f>(X39-X40)</f>
        <v/>
      </c>
      <c r="Y41" s="14">
        <f>(Y39-Y40)</f>
        <v/>
      </c>
      <c r="Z41" s="14">
        <f>(Z39-Z40)</f>
        <v/>
      </c>
    </row>
    <row r="42">
      <c r="A42" t="inlineStr">
        <is>
          <t>Minority interests</t>
        </is>
      </c>
      <c r="B42" t="inlineStr">
        <is>
          <t>minority</t>
        </is>
      </c>
      <c r="D42" s="13" t="n"/>
      <c r="E42" s="13" t="n">
        <v>2.056654000000002</v>
      </c>
      <c r="F42" s="13" t="n">
        <v>6.736277000000001</v>
      </c>
      <c r="G42" s="14">
        <f>(G41*G23)</f>
        <v/>
      </c>
      <c r="H42" s="14">
        <f>(H41*H23)</f>
        <v/>
      </c>
      <c r="I42" s="14">
        <f>(I41*I23)</f>
        <v/>
      </c>
      <c r="J42" s="14">
        <f>(J41*J23)</f>
        <v/>
      </c>
      <c r="K42" s="14">
        <f>(K41*K23)</f>
        <v/>
      </c>
      <c r="L42" s="14">
        <f>(L41*L23)</f>
        <v/>
      </c>
      <c r="M42" s="14">
        <f>(M41*M23)</f>
        <v/>
      </c>
      <c r="N42" s="14">
        <f>(N41*N23)</f>
        <v/>
      </c>
      <c r="O42" s="14">
        <f>(O41*O23)</f>
        <v/>
      </c>
      <c r="P42" s="14">
        <f>(P41*P23)</f>
        <v/>
      </c>
      <c r="Q42" s="14">
        <f>(Q41*Q23)</f>
        <v/>
      </c>
      <c r="R42" s="14">
        <f>(R41*R23)</f>
        <v/>
      </c>
      <c r="S42" s="14">
        <f>(S41*S23)</f>
        <v/>
      </c>
      <c r="T42" s="14">
        <f>(T41*T23)</f>
        <v/>
      </c>
      <c r="U42" s="14">
        <f>(U41*U23)</f>
        <v/>
      </c>
      <c r="V42" s="14">
        <f>(V41*V23)</f>
        <v/>
      </c>
      <c r="W42" s="14">
        <f>(W41*W23)</f>
        <v/>
      </c>
      <c r="X42" s="14">
        <f>(X41*X23)</f>
        <v/>
      </c>
      <c r="Y42" s="14">
        <f>(Y41*Y23)</f>
        <v/>
      </c>
      <c r="Z42" s="14">
        <f>(Z41*Z23)</f>
        <v/>
      </c>
    </row>
    <row r="43">
      <c r="A43" t="inlineStr">
        <is>
          <t>Net profit to parent</t>
        </is>
      </c>
      <c r="B43" t="inlineStr">
        <is>
          <t>np_parent</t>
        </is>
      </c>
      <c r="D43" s="13" t="n"/>
      <c r="E43" s="13" t="n">
        <v>31.422725</v>
      </c>
      <c r="F43" s="13" t="n">
        <v>121.052564</v>
      </c>
      <c r="G43" s="14">
        <f>(G41-G42)</f>
        <v/>
      </c>
      <c r="H43" s="14">
        <f>(H41-H42)</f>
        <v/>
      </c>
      <c r="I43" s="14">
        <f>(I41-I42)</f>
        <v/>
      </c>
      <c r="J43" s="14">
        <f>(J41-J42)</f>
        <v/>
      </c>
      <c r="K43" s="14">
        <f>(K41-K42)</f>
        <v/>
      </c>
      <c r="L43" s="14">
        <f>(L41-L42)</f>
        <v/>
      </c>
      <c r="M43" s="14">
        <f>(M41-M42)</f>
        <v/>
      </c>
      <c r="N43" s="14">
        <f>(N41-N42)</f>
        <v/>
      </c>
      <c r="O43" s="14">
        <f>(O41-O42)</f>
        <v/>
      </c>
      <c r="P43" s="14">
        <f>(P41-P42)</f>
        <v/>
      </c>
      <c r="Q43" s="14">
        <f>(Q41-Q42)</f>
        <v/>
      </c>
      <c r="R43" s="14">
        <f>(R41-R42)</f>
        <v/>
      </c>
      <c r="S43" s="14">
        <f>(S41-S42)</f>
        <v/>
      </c>
      <c r="T43" s="14">
        <f>(T41-T42)</f>
        <v/>
      </c>
      <c r="U43" s="14">
        <f>(U41-U42)</f>
        <v/>
      </c>
      <c r="V43" s="14">
        <f>(V41-V42)</f>
        <v/>
      </c>
      <c r="W43" s="14">
        <f>(W41-W42)</f>
        <v/>
      </c>
      <c r="X43" s="14">
        <f>(X41-X42)</f>
        <v/>
      </c>
      <c r="Y43" s="14">
        <f>(Y41-Y42)</f>
        <v/>
      </c>
      <c r="Z43" s="14">
        <f>(Z41-Z42)</f>
        <v/>
      </c>
    </row>
    <row r="44">
      <c r="A44" t="inlineStr">
        <is>
          <t>Shares outstanding (m)</t>
        </is>
      </c>
      <c r="B44" t="inlineStr">
        <is>
          <t>shares</t>
        </is>
      </c>
      <c r="D44" s="13" t="n">
        <v>124829.3747</v>
      </c>
      <c r="E44" s="13" t="n">
        <v>124829.3747</v>
      </c>
      <c r="F44" s="13" t="n">
        <v>124829.3747</v>
      </c>
      <c r="G44" s="14">
        <f>(F44*(1+G25))</f>
        <v/>
      </c>
      <c r="H44" s="14">
        <f>(G44*(1+H25))</f>
        <v/>
      </c>
      <c r="I44" s="14">
        <f>(H44*(1+I25))</f>
        <v/>
      </c>
      <c r="J44" s="14">
        <f>(I44*(1+J25))</f>
        <v/>
      </c>
      <c r="K44" s="14">
        <f>(J44*(1+K25))</f>
        <v/>
      </c>
      <c r="L44" s="14">
        <f>(K44*(1+L25))</f>
        <v/>
      </c>
      <c r="M44" s="14">
        <f>(L44*(1+M25))</f>
        <v/>
      </c>
      <c r="N44" s="14">
        <f>(M44*(1+N25))</f>
        <v/>
      </c>
      <c r="O44" s="14">
        <f>(N44*(1+O25))</f>
        <v/>
      </c>
      <c r="P44" s="14">
        <f>(O44*(1+P25))</f>
        <v/>
      </c>
      <c r="Q44" s="14">
        <f>(P44*(1+Q25))</f>
        <v/>
      </c>
      <c r="R44" s="14">
        <f>(Q44*(1+R25))</f>
        <v/>
      </c>
      <c r="S44" s="14">
        <f>(R44*(1+S25))</f>
        <v/>
      </c>
      <c r="T44" s="14">
        <f>(S44*(1+T25))</f>
        <v/>
      </c>
      <c r="U44" s="14">
        <f>(T44*(1+U25))</f>
        <v/>
      </c>
      <c r="V44" s="14">
        <f>(U44*(1+V25))</f>
        <v/>
      </c>
      <c r="W44" s="14">
        <f>(V44*(1+W25))</f>
        <v/>
      </c>
      <c r="X44" s="14">
        <f>(W44*(1+X25))</f>
        <v/>
      </c>
      <c r="Y44" s="14">
        <f>(X44*(1+Y25))</f>
        <v/>
      </c>
      <c r="Z44" s="14">
        <f>(Y44*(1+Z25))</f>
        <v/>
      </c>
    </row>
    <row r="45">
      <c r="A45" t="inlineStr">
        <is>
          <t>EPS</t>
        </is>
      </c>
      <c r="B45" t="inlineStr">
        <is>
          <t>eps</t>
        </is>
      </c>
      <c r="D45" s="15" t="n"/>
      <c r="E45" s="15" t="n">
        <v>0.0002517254057830348</v>
      </c>
      <c r="F45" s="15" t="n">
        <v>0.0009697442151811083</v>
      </c>
      <c r="G45" s="16">
        <f>(IF(G44=0,0,G43/G44)*$C$8)</f>
        <v/>
      </c>
      <c r="H45" s="16">
        <f>(IF(H44=0,0,H43/H44)*$C$8)</f>
        <v/>
      </c>
      <c r="I45" s="16">
        <f>(IF(I44=0,0,I43/I44)*$C$8)</f>
        <v/>
      </c>
      <c r="J45" s="16">
        <f>(IF(J44=0,0,J43/J44)*$C$8)</f>
        <v/>
      </c>
      <c r="K45" s="16">
        <f>(IF(K44=0,0,K43/K44)*$C$8)</f>
        <v/>
      </c>
      <c r="L45" s="16">
        <f>(IF(L44=0,0,L43/L44)*$C$8)</f>
        <v/>
      </c>
      <c r="M45" s="16">
        <f>(IF(M44=0,0,M43/M44)*$C$8)</f>
        <v/>
      </c>
      <c r="N45" s="16">
        <f>(IF(N44=0,0,N43/N44)*$C$8)</f>
        <v/>
      </c>
      <c r="O45" s="16">
        <f>(IF(O44=0,0,O43/O44)*$C$8)</f>
        <v/>
      </c>
      <c r="P45" s="16">
        <f>(IF(P44=0,0,P43/P44)*$C$8)</f>
        <v/>
      </c>
      <c r="Q45" s="16">
        <f>(IF(Q44=0,0,Q43/Q44)*$C$8)</f>
        <v/>
      </c>
      <c r="R45" s="16">
        <f>(IF(R44=0,0,R43/R44)*$C$8)</f>
        <v/>
      </c>
      <c r="S45" s="16">
        <f>(IF(S44=0,0,S43/S44)*$C$8)</f>
        <v/>
      </c>
      <c r="T45" s="16">
        <f>(IF(T44=0,0,T43/T44)*$C$8)</f>
        <v/>
      </c>
      <c r="U45" s="16">
        <f>(IF(U44=0,0,U43/U44)*$C$8)</f>
        <v/>
      </c>
      <c r="V45" s="16">
        <f>(IF(V44=0,0,V43/V44)*$C$8)</f>
        <v/>
      </c>
      <c r="W45" s="16">
        <f>(IF(W44=0,0,W43/W44)*$C$8)</f>
        <v/>
      </c>
      <c r="X45" s="16">
        <f>(IF(X44=0,0,X43/X44)*$C$8)</f>
        <v/>
      </c>
      <c r="Y45" s="16">
        <f>(IF(Y44=0,0,Y43/Y44)*$C$8)</f>
        <v/>
      </c>
      <c r="Z45" s="16">
        <f>(IF(Z44=0,0,Z43/Z44)*$C$8)</f>
        <v/>
      </c>
    </row>
    <row r="46">
      <c r="A46" t="inlineStr">
        <is>
          <t>DPS (declared on the year)</t>
        </is>
      </c>
      <c r="B46" t="inlineStr">
        <is>
          <t>dps</t>
        </is>
      </c>
      <c r="D46" s="15" t="n"/>
      <c r="E46" s="15" t="n"/>
      <c r="F46" s="15" t="n">
        <v>0.0004713384185926629</v>
      </c>
      <c r="G46" s="16">
        <f>(MAX(G45,0)*G24)</f>
        <v/>
      </c>
      <c r="H46" s="16">
        <f>(MAX(H45,0)*H24)</f>
        <v/>
      </c>
      <c r="I46" s="16">
        <f>(MAX(I45,0)*I24)</f>
        <v/>
      </c>
      <c r="J46" s="16">
        <f>(MAX(J45,0)*J24)</f>
        <v/>
      </c>
      <c r="K46" s="16">
        <f>(MAX(K45,0)*K24)</f>
        <v/>
      </c>
      <c r="L46" s="16">
        <f>(MAX(L45,0)*L24)</f>
        <v/>
      </c>
      <c r="M46" s="16">
        <f>(MAX(M45,0)*M24)</f>
        <v/>
      </c>
      <c r="N46" s="16">
        <f>(MAX(N45,0)*N24)</f>
        <v/>
      </c>
      <c r="O46" s="16">
        <f>(MAX(O45,0)*O24)</f>
        <v/>
      </c>
      <c r="P46" s="16">
        <f>(MAX(P45,0)*P24)</f>
        <v/>
      </c>
      <c r="Q46" s="16">
        <f>(MAX(Q45,0)*Q24)</f>
        <v/>
      </c>
      <c r="R46" s="16">
        <f>(MAX(R45,0)*R24)</f>
        <v/>
      </c>
      <c r="S46" s="16">
        <f>(MAX(S45,0)*S24)</f>
        <v/>
      </c>
      <c r="T46" s="16">
        <f>(MAX(T45,0)*T24)</f>
        <v/>
      </c>
      <c r="U46" s="16">
        <f>(MAX(U45,0)*U24)</f>
        <v/>
      </c>
      <c r="V46" s="16">
        <f>(MAX(V45,0)*V24)</f>
        <v/>
      </c>
      <c r="W46" s="16">
        <f>(MAX(W45,0)*W24)</f>
        <v/>
      </c>
      <c r="X46" s="16">
        <f>(MAX(X45,0)*X24)</f>
        <v/>
      </c>
      <c r="Y46" s="16">
        <f>(MAX(Y45,0)*Y24)</f>
        <v/>
      </c>
      <c r="Z46" s="16">
        <f>(MAX(Z45,0)*Z24)</f>
        <v/>
      </c>
    </row>
    <row r="47">
      <c r="A47" t="inlineStr">
        <is>
          <t>Dividends paid</t>
        </is>
      </c>
      <c r="B47" t="inlineStr">
        <is>
          <t>dividends_paid</t>
        </is>
      </c>
      <c r="D47" s="13" t="n"/>
      <c r="E47" s="13" t="n"/>
      <c r="F47" s="13" t="n">
        <v>20</v>
      </c>
      <c r="G47" s="14">
        <f>IF($C$8=0,0,(F46*F44)/$C$8)</f>
        <v/>
      </c>
      <c r="H47" s="14">
        <f>IF($C$8=0,0,(G46*G44)/$C$8)</f>
        <v/>
      </c>
      <c r="I47" s="14">
        <f>IF($C$8=0,0,(H46*H44)/$C$8)</f>
        <v/>
      </c>
      <c r="J47" s="14">
        <f>IF($C$8=0,0,(I46*I44)/$C$8)</f>
        <v/>
      </c>
      <c r="K47" s="14">
        <f>IF($C$8=0,0,(J46*J44)/$C$8)</f>
        <v/>
      </c>
      <c r="L47" s="14">
        <f>IF($C$8=0,0,(K46*K44)/$C$8)</f>
        <v/>
      </c>
      <c r="M47" s="14">
        <f>IF($C$8=0,0,(L46*L44)/$C$8)</f>
        <v/>
      </c>
      <c r="N47" s="14">
        <f>IF($C$8=0,0,(M46*M44)/$C$8)</f>
        <v/>
      </c>
      <c r="O47" s="14">
        <f>IF($C$8=0,0,(N46*N44)/$C$8)</f>
        <v/>
      </c>
      <c r="P47" s="14">
        <f>IF($C$8=0,0,(O46*O44)/$C$8)</f>
        <v/>
      </c>
      <c r="Q47" s="14">
        <f>IF($C$8=0,0,(P46*P44)/$C$8)</f>
        <v/>
      </c>
      <c r="R47" s="14">
        <f>IF($C$8=0,0,(Q46*Q44)/$C$8)</f>
        <v/>
      </c>
      <c r="S47" s="14">
        <f>IF($C$8=0,0,(R46*R44)/$C$8)</f>
        <v/>
      </c>
      <c r="T47" s="14">
        <f>IF($C$8=0,0,(S46*S44)/$C$8)</f>
        <v/>
      </c>
      <c r="U47" s="14">
        <f>IF($C$8=0,0,(T46*T44)/$C$8)</f>
        <v/>
      </c>
      <c r="V47" s="14">
        <f>IF($C$8=0,0,(U46*U44)/$C$8)</f>
        <v/>
      </c>
      <c r="W47" s="14">
        <f>IF($C$8=0,0,(V46*V44)/$C$8)</f>
        <v/>
      </c>
      <c r="X47" s="14">
        <f>IF($C$8=0,0,(W46*W44)/$C$8)</f>
        <v/>
      </c>
      <c r="Y47" s="14">
        <f>IF($C$8=0,0,(X46*X44)/$C$8)</f>
        <v/>
      </c>
      <c r="Z47" s="14">
        <f>IF($C$8=0,0,(Y46*Y44)/$C$8)</f>
        <v/>
      </c>
    </row>
    <row r="48">
      <c r="A48" t="inlineStr">
        <is>
          <t>Capital expenditure</t>
        </is>
      </c>
      <c r="B48" t="inlineStr">
        <is>
          <t>capex</t>
        </is>
      </c>
      <c r="D48" s="13" t="n"/>
      <c r="E48" s="13" t="n">
        <v>78.247265</v>
      </c>
      <c r="F48" s="13" t="n">
        <v>206.436642</v>
      </c>
      <c r="G48" s="14">
        <f>(G29*G16)</f>
        <v/>
      </c>
      <c r="H48" s="14">
        <f>(H29*H16)</f>
        <v/>
      </c>
      <c r="I48" s="14">
        <f>(I29*I16)</f>
        <v/>
      </c>
      <c r="J48" s="14">
        <f>(J29*J16)</f>
        <v/>
      </c>
      <c r="K48" s="14">
        <f>(K29*K16)</f>
        <v/>
      </c>
      <c r="L48" s="14">
        <f>(L29*L16)</f>
        <v/>
      </c>
      <c r="M48" s="14">
        <f>(M29*M16)</f>
        <v/>
      </c>
      <c r="N48" s="14">
        <f>(N29*N16)</f>
        <v/>
      </c>
      <c r="O48" s="14">
        <f>(O29*O16)</f>
        <v/>
      </c>
      <c r="P48" s="14">
        <f>(P29*P16)</f>
        <v/>
      </c>
      <c r="Q48" s="14">
        <f>(Q29*Q16)</f>
        <v/>
      </c>
      <c r="R48" s="14">
        <f>(R29*R16)</f>
        <v/>
      </c>
      <c r="S48" s="14">
        <f>(S29*S16)</f>
        <v/>
      </c>
      <c r="T48" s="14">
        <f>(T29*T16)</f>
        <v/>
      </c>
      <c r="U48" s="14">
        <f>(U29*U16)</f>
        <v/>
      </c>
      <c r="V48" s="14">
        <f>(V29*V16)</f>
        <v/>
      </c>
      <c r="W48" s="14">
        <f>(W29*W16)</f>
        <v/>
      </c>
      <c r="X48" s="14">
        <f>(X29*X16)</f>
        <v/>
      </c>
      <c r="Y48" s="14">
        <f>(Y29*Y16)</f>
        <v/>
      </c>
      <c r="Z48" s="14">
        <f>(Z29*Z16)</f>
        <v/>
      </c>
    </row>
    <row r="49">
      <c r="A49" t="inlineStr">
        <is>
          <t>Change in working capital</t>
        </is>
      </c>
      <c r="B49" t="inlineStr">
        <is>
          <t>delta_nwc</t>
        </is>
      </c>
      <c r="D49" s="13" t="n"/>
      <c r="E49" s="13" t="n">
        <v>-6.29847899999988</v>
      </c>
      <c r="F49" s="13" t="n">
        <v>-24.88087100000006</v>
      </c>
      <c r="G49" s="14">
        <f>(G54-F54)</f>
        <v/>
      </c>
      <c r="H49" s="14">
        <f>(H54-G54)</f>
        <v/>
      </c>
      <c r="I49" s="14">
        <f>(I54-H54)</f>
        <v/>
      </c>
      <c r="J49" s="14">
        <f>(J54-I54)</f>
        <v/>
      </c>
      <c r="K49" s="14">
        <f>(K54-J54)</f>
        <v/>
      </c>
      <c r="L49" s="14">
        <f>(L54-K54)</f>
        <v/>
      </c>
      <c r="M49" s="14">
        <f>(M54-L54)</f>
        <v/>
      </c>
      <c r="N49" s="14">
        <f>(N54-M54)</f>
        <v/>
      </c>
      <c r="O49" s="14">
        <f>(O54-N54)</f>
        <v/>
      </c>
      <c r="P49" s="14">
        <f>(P54-O54)</f>
        <v/>
      </c>
      <c r="Q49" s="14">
        <f>(Q54-P54)</f>
        <v/>
      </c>
      <c r="R49" s="14">
        <f>(R54-Q54)</f>
        <v/>
      </c>
      <c r="S49" s="14">
        <f>(S54-R54)</f>
        <v/>
      </c>
      <c r="T49" s="14">
        <f>(T54-S54)</f>
        <v/>
      </c>
      <c r="U49" s="14">
        <f>(U54-T54)</f>
        <v/>
      </c>
      <c r="V49" s="14">
        <f>(V54-U54)</f>
        <v/>
      </c>
      <c r="W49" s="14">
        <f>(W54-V54)</f>
        <v/>
      </c>
      <c r="X49" s="14">
        <f>(X54-W54)</f>
        <v/>
      </c>
      <c r="Y49" s="14">
        <f>(Y54-X54)</f>
        <v/>
      </c>
      <c r="Z49" s="14">
        <f>(Z54-Y54)</f>
        <v/>
      </c>
    </row>
    <row r="50">
      <c r="A50" t="inlineStr">
        <is>
          <t>Free cash flow to firm</t>
        </is>
      </c>
      <c r="B50" t="inlineStr">
        <is>
          <t>fcff</t>
        </is>
      </c>
      <c r="D50" s="13" t="n"/>
      <c r="E50" s="13" t="n">
        <v>-61.19720084677127</v>
      </c>
      <c r="F50" s="13" t="n">
        <v>-150.3541339428032</v>
      </c>
      <c r="G50" s="14">
        <f>((((G33*(1-G18))+G34)-G48)-G49)</f>
        <v/>
      </c>
      <c r="H50" s="14">
        <f>((((H33*(1-H18))+H34)-H48)-H49)</f>
        <v/>
      </c>
      <c r="I50" s="14">
        <f>((((I33*(1-I18))+I34)-I48)-I49)</f>
        <v/>
      </c>
      <c r="J50" s="14">
        <f>((((J33*(1-J18))+J34)-J48)-J49)</f>
        <v/>
      </c>
      <c r="K50" s="14">
        <f>((((K33*(1-K18))+K34)-K48)-K49)</f>
        <v/>
      </c>
      <c r="L50" s="14">
        <f>((((L33*(1-L18))+L34)-L48)-L49)</f>
        <v/>
      </c>
      <c r="M50" s="14">
        <f>((((M33*(1-M18))+M34)-M48)-M49)</f>
        <v/>
      </c>
      <c r="N50" s="14">
        <f>((((N33*(1-N18))+N34)-N48)-N49)</f>
        <v/>
      </c>
      <c r="O50" s="14">
        <f>((((O33*(1-O18))+O34)-O48)-O49)</f>
        <v/>
      </c>
      <c r="P50" s="14">
        <f>((((P33*(1-P18))+P34)-P48)-P49)</f>
        <v/>
      </c>
      <c r="Q50" s="14">
        <f>((((Q33*(1-Q18))+Q34)-Q48)-Q49)</f>
        <v/>
      </c>
      <c r="R50" s="14">
        <f>((((R33*(1-R18))+R34)-R48)-R49)</f>
        <v/>
      </c>
      <c r="S50" s="14">
        <f>((((S33*(1-S18))+S34)-S48)-S49)</f>
        <v/>
      </c>
      <c r="T50" s="14">
        <f>((((T33*(1-T18))+T34)-T48)-T49)</f>
        <v/>
      </c>
      <c r="U50" s="14">
        <f>((((U33*(1-U18))+U34)-U48)-U49)</f>
        <v/>
      </c>
      <c r="V50" s="14">
        <f>((((V33*(1-V18))+V34)-V48)-V49)</f>
        <v/>
      </c>
      <c r="W50" s="14">
        <f>((((W33*(1-W18))+W34)-W48)-W49)</f>
        <v/>
      </c>
      <c r="X50" s="14">
        <f>((((X33*(1-X18))+X34)-X48)-X49)</f>
        <v/>
      </c>
      <c r="Y50" s="14">
        <f>((((Y33*(1-Y18))+Y34)-Y48)-Y49)</f>
        <v/>
      </c>
      <c r="Z50" s="14">
        <f>((((Z33*(1-Z18))+Z34)-Z48)-Z49)</f>
        <v/>
      </c>
    </row>
    <row r="51">
      <c r="A51" t="inlineStr">
        <is>
          <t>Net borrowing</t>
        </is>
      </c>
      <c r="B51" t="inlineStr">
        <is>
          <t>net_borrowing</t>
        </is>
      </c>
      <c r="D51" s="13" t="n"/>
      <c r="E51" s="13" t="n">
        <v>93.77238200000002</v>
      </c>
      <c r="F51" s="13" t="n">
        <v>269.7396699999999</v>
      </c>
      <c r="G51" s="14">
        <f>G21</f>
        <v/>
      </c>
      <c r="H51" s="14">
        <f>H21</f>
        <v/>
      </c>
      <c r="I51" s="14">
        <f>I21</f>
        <v/>
      </c>
      <c r="J51" s="14">
        <f>J21</f>
        <v/>
      </c>
      <c r="K51" s="14">
        <f>K21</f>
        <v/>
      </c>
      <c r="L51" s="14">
        <f>L21</f>
        <v/>
      </c>
      <c r="M51" s="14">
        <f>M21</f>
        <v/>
      </c>
      <c r="N51" s="14">
        <f>N21</f>
        <v/>
      </c>
      <c r="O51" s="14">
        <f>O21</f>
        <v/>
      </c>
      <c r="P51" s="14">
        <f>P21</f>
        <v/>
      </c>
      <c r="Q51" s="14">
        <f>Q21</f>
        <v/>
      </c>
      <c r="R51" s="14">
        <f>R21</f>
        <v/>
      </c>
      <c r="S51" s="14">
        <f>S21</f>
        <v/>
      </c>
      <c r="T51" s="14">
        <f>T21</f>
        <v/>
      </c>
      <c r="U51" s="14">
        <f>U21</f>
        <v/>
      </c>
      <c r="V51" s="14">
        <f>V21</f>
        <v/>
      </c>
      <c r="W51" s="14">
        <f>W21</f>
        <v/>
      </c>
      <c r="X51" s="14">
        <f>X21</f>
        <v/>
      </c>
      <c r="Y51" s="14">
        <f>Y21</f>
        <v/>
      </c>
      <c r="Z51" s="14">
        <f>Z21</f>
        <v/>
      </c>
    </row>
    <row r="52">
      <c r="A52" t="inlineStr">
        <is>
          <t>Dividends to minorities</t>
        </is>
      </c>
      <c r="B52" t="inlineStr">
        <is>
          <t>minority_div</t>
        </is>
      </c>
      <c r="D52" s="13" t="n"/>
      <c r="E52" s="13" t="n"/>
      <c r="F52" s="13" t="n"/>
      <c r="G52" s="14">
        <f>(MAX(F42,0)*G24)</f>
        <v/>
      </c>
      <c r="H52" s="14">
        <f>(MAX(G42,0)*H24)</f>
        <v/>
      </c>
      <c r="I52" s="14">
        <f>(MAX(H42,0)*I24)</f>
        <v/>
      </c>
      <c r="J52" s="14">
        <f>(MAX(I42,0)*J24)</f>
        <v/>
      </c>
      <c r="K52" s="14">
        <f>(MAX(J42,0)*K24)</f>
        <v/>
      </c>
      <c r="L52" s="14">
        <f>(MAX(K42,0)*L24)</f>
        <v/>
      </c>
      <c r="M52" s="14">
        <f>(MAX(L42,0)*M24)</f>
        <v/>
      </c>
      <c r="N52" s="14">
        <f>(MAX(M42,0)*N24)</f>
        <v/>
      </c>
      <c r="O52" s="14">
        <f>(MAX(N42,0)*O24)</f>
        <v/>
      </c>
      <c r="P52" s="14">
        <f>(MAX(O42,0)*P24)</f>
        <v/>
      </c>
      <c r="Q52" s="14">
        <f>(MAX(P42,0)*Q24)</f>
        <v/>
      </c>
      <c r="R52" s="14">
        <f>(MAX(Q42,0)*R24)</f>
        <v/>
      </c>
      <c r="S52" s="14">
        <f>(MAX(R42,0)*S24)</f>
        <v/>
      </c>
      <c r="T52" s="14">
        <f>(MAX(S42,0)*T24)</f>
        <v/>
      </c>
      <c r="U52" s="14">
        <f>(MAX(T42,0)*U24)</f>
        <v/>
      </c>
      <c r="V52" s="14">
        <f>(MAX(U42,0)*V24)</f>
        <v/>
      </c>
      <c r="W52" s="14">
        <f>(MAX(V42,0)*W24)</f>
        <v/>
      </c>
      <c r="X52" s="14">
        <f>(MAX(W42,0)*X24)</f>
        <v/>
      </c>
      <c r="Y52" s="14">
        <f>(MAX(X42,0)*Y24)</f>
        <v/>
      </c>
      <c r="Z52" s="14">
        <f>(MAX(Y42,0)*Z24)</f>
        <v/>
      </c>
    </row>
    <row r="53">
      <c r="A53" t="inlineStr">
        <is>
          <t>Free cash flow to equity</t>
        </is>
      </c>
      <c r="B53" t="inlineStr">
        <is>
          <t>fcfe</t>
        </is>
      </c>
      <c r="D53" s="13" t="n"/>
      <c r="E53" s="13" t="n"/>
      <c r="F53" s="13" t="n"/>
      <c r="G53" s="14">
        <f>(((((G41+G34)-G48)-G49)+G51)-G52)</f>
        <v/>
      </c>
      <c r="H53" s="14">
        <f>(((((H41+H34)-H48)-H49)+H51)-H52)</f>
        <v/>
      </c>
      <c r="I53" s="14">
        <f>(((((I41+I34)-I48)-I49)+I51)-I52)</f>
        <v/>
      </c>
      <c r="J53" s="14">
        <f>(((((J41+J34)-J48)-J49)+J51)-J52)</f>
        <v/>
      </c>
      <c r="K53" s="14">
        <f>(((((K41+K34)-K48)-K49)+K51)-K52)</f>
        <v/>
      </c>
      <c r="L53" s="14">
        <f>(((((L41+L34)-L48)-L49)+L51)-L52)</f>
        <v/>
      </c>
      <c r="M53" s="14">
        <f>(((((M41+M34)-M48)-M49)+M51)-M52)</f>
        <v/>
      </c>
      <c r="N53" s="14">
        <f>(((((N41+N34)-N48)-N49)+N51)-N52)</f>
        <v/>
      </c>
      <c r="O53" s="14">
        <f>(((((O41+O34)-O48)-O49)+O51)-O52)</f>
        <v/>
      </c>
      <c r="P53" s="14">
        <f>(((((P41+P34)-P48)-P49)+P51)-P52)</f>
        <v/>
      </c>
      <c r="Q53" s="14">
        <f>(((((Q41+Q34)-Q48)-Q49)+Q51)-Q52)</f>
        <v/>
      </c>
      <c r="R53" s="14">
        <f>(((((R41+R34)-R48)-R49)+R51)-R52)</f>
        <v/>
      </c>
      <c r="S53" s="14">
        <f>(((((S41+S34)-S48)-S49)+S51)-S52)</f>
        <v/>
      </c>
      <c r="T53" s="14">
        <f>(((((T41+T34)-T48)-T49)+T51)-T52)</f>
        <v/>
      </c>
      <c r="U53" s="14">
        <f>(((((U41+U34)-U48)-U49)+U51)-U52)</f>
        <v/>
      </c>
      <c r="V53" s="14">
        <f>(((((V41+V34)-V48)-V49)+V51)-V52)</f>
        <v/>
      </c>
      <c r="W53" s="14">
        <f>(((((W41+W34)-W48)-W49)+W51)-W52)</f>
        <v/>
      </c>
      <c r="X53" s="14">
        <f>(((((X41+X34)-X48)-X49)+X51)-X52)</f>
        <v/>
      </c>
      <c r="Y53" s="14">
        <f>(((((Y41+Y34)-Y48)-Y49)+Y51)-Y52)</f>
        <v/>
      </c>
      <c r="Z53" s="14">
        <f>(((((Z41+Z34)-Z48)-Z49)+Z51)-Z52)</f>
        <v/>
      </c>
    </row>
    <row r="54">
      <c r="A54" t="inlineStr">
        <is>
          <t>Operating working capital</t>
        </is>
      </c>
      <c r="B54" t="inlineStr">
        <is>
          <t>nwc</t>
        </is>
      </c>
      <c r="D54" s="13" t="n">
        <v>38.20240899999992</v>
      </c>
      <c r="E54" s="13" t="n">
        <v>31.90393000000004</v>
      </c>
      <c r="F54" s="13" t="n">
        <v>7.023058999999982</v>
      </c>
      <c r="G54" s="14">
        <f>(G29*G17)</f>
        <v/>
      </c>
      <c r="H54" s="14">
        <f>(H29*H17)</f>
        <v/>
      </c>
      <c r="I54" s="14">
        <f>(I29*I17)</f>
        <v/>
      </c>
      <c r="J54" s="14">
        <f>(J29*J17)</f>
        <v/>
      </c>
      <c r="K54" s="14">
        <f>(K29*K17)</f>
        <v/>
      </c>
      <c r="L54" s="14">
        <f>(L29*L17)</f>
        <v/>
      </c>
      <c r="M54" s="14">
        <f>(M29*M17)</f>
        <v/>
      </c>
      <c r="N54" s="14">
        <f>(N29*N17)</f>
        <v/>
      </c>
      <c r="O54" s="14">
        <f>(O29*O17)</f>
        <v/>
      </c>
      <c r="P54" s="14">
        <f>(P29*P17)</f>
        <v/>
      </c>
      <c r="Q54" s="14">
        <f>(Q29*Q17)</f>
        <v/>
      </c>
      <c r="R54" s="14">
        <f>(R29*R17)</f>
        <v/>
      </c>
      <c r="S54" s="14">
        <f>(S29*S17)</f>
        <v/>
      </c>
      <c r="T54" s="14">
        <f>(T29*T17)</f>
        <v/>
      </c>
      <c r="U54" s="14">
        <f>(U29*U17)</f>
        <v/>
      </c>
      <c r="V54" s="14">
        <f>(V29*V17)</f>
        <v/>
      </c>
      <c r="W54" s="14">
        <f>(W29*W17)</f>
        <v/>
      </c>
      <c r="X54" s="14">
        <f>(X29*X17)</f>
        <v/>
      </c>
      <c r="Y54" s="14">
        <f>(Y29*Y17)</f>
        <v/>
      </c>
      <c r="Z54" s="14">
        <f>(Z29*Z17)</f>
        <v/>
      </c>
    </row>
    <row r="55">
      <c r="A55" t="inlineStr">
        <is>
          <t>Cash &amp; equivalents</t>
        </is>
      </c>
      <c r="B55" t="inlineStr">
        <is>
          <t>cash</t>
        </is>
      </c>
      <c r="D55" s="13" t="n">
        <v>589.81658</v>
      </c>
      <c r="E55" s="13" t="n">
        <v>180.244321</v>
      </c>
      <c r="F55" s="13" t="n">
        <v>470.147273</v>
      </c>
      <c r="G55" s="14">
        <f>(((((((F55+G41)+G34)-G48)-G49)+G51)-G47)-G52)</f>
        <v/>
      </c>
      <c r="H55" s="14">
        <f>(((((((G55+H41)+H34)-H48)-H49)+H51)-H47)-H52)</f>
        <v/>
      </c>
      <c r="I55" s="14">
        <f>(((((((H55+I41)+I34)-I48)-I49)+I51)-I47)-I52)</f>
        <v/>
      </c>
      <c r="J55" s="14">
        <f>(((((((I55+J41)+J34)-J48)-J49)+J51)-J47)-J52)</f>
        <v/>
      </c>
      <c r="K55" s="14">
        <f>(((((((J55+K41)+K34)-K48)-K49)+K51)-K47)-K52)</f>
        <v/>
      </c>
      <c r="L55" s="14">
        <f>(((((((K55+L41)+L34)-L48)-L49)+L51)-L47)-L52)</f>
        <v/>
      </c>
      <c r="M55" s="14">
        <f>(((((((L55+M41)+M34)-M48)-M49)+M51)-M47)-M52)</f>
        <v/>
      </c>
      <c r="N55" s="14">
        <f>(((((((M55+N41)+N34)-N48)-N49)+N51)-N47)-N52)</f>
        <v/>
      </c>
      <c r="O55" s="14">
        <f>(((((((N55+O41)+O34)-O48)-O49)+O51)-O47)-O52)</f>
        <v/>
      </c>
      <c r="P55" s="14">
        <f>(((((((O55+P41)+P34)-P48)-P49)+P51)-P47)-P52)</f>
        <v/>
      </c>
      <c r="Q55" s="14">
        <f>(((((((P55+Q41)+Q34)-Q48)-Q49)+Q51)-Q47)-Q52)</f>
        <v/>
      </c>
      <c r="R55" s="14">
        <f>(((((((Q55+R41)+R34)-R48)-R49)+R51)-R47)-R52)</f>
        <v/>
      </c>
      <c r="S55" s="14">
        <f>(((((((R55+S41)+S34)-S48)-S49)+S51)-S47)-S52)</f>
        <v/>
      </c>
      <c r="T55" s="14">
        <f>(((((((S55+T41)+T34)-T48)-T49)+T51)-T47)-T52)</f>
        <v/>
      </c>
      <c r="U55" s="14">
        <f>(((((((T55+U41)+U34)-U48)-U49)+U51)-U47)-U52)</f>
        <v/>
      </c>
      <c r="V55" s="14">
        <f>(((((((U55+V41)+V34)-V48)-V49)+V51)-V47)-V52)</f>
        <v/>
      </c>
      <c r="W55" s="14">
        <f>(((((((V55+W41)+W34)-W48)-W49)+W51)-W47)-W52)</f>
        <v/>
      </c>
      <c r="X55" s="14">
        <f>(((((((W55+X41)+X34)-X48)-X49)+X51)-X47)-X52)</f>
        <v/>
      </c>
      <c r="Y55" s="14">
        <f>(((((((X55+Y41)+Y34)-Y48)-Y49)+Y51)-Y47)-Y52)</f>
        <v/>
      </c>
      <c r="Z55" s="14">
        <f>(((((((Y55+Z41)+Z34)-Z48)-Z49)+Z51)-Z47)-Z52)</f>
        <v/>
      </c>
    </row>
    <row r="56">
      <c r="A56" t="inlineStr">
        <is>
          <t>Total debt</t>
        </is>
      </c>
      <c r="B56" t="inlineStr">
        <is>
          <t>debt</t>
        </is>
      </c>
      <c r="D56" s="13" t="n">
        <v>199.109589</v>
      </c>
      <c r="E56" s="13" t="n">
        <v>292.881971</v>
      </c>
      <c r="F56" s="13" t="n">
        <v>562.621641</v>
      </c>
      <c r="G56" s="14">
        <f>(F56+G51)</f>
        <v/>
      </c>
      <c r="H56" s="14">
        <f>(G56+H51)</f>
        <v/>
      </c>
      <c r="I56" s="14">
        <f>(H56+I51)</f>
        <v/>
      </c>
      <c r="J56" s="14">
        <f>(I56+J51)</f>
        <v/>
      </c>
      <c r="K56" s="14">
        <f>(J56+K51)</f>
        <v/>
      </c>
      <c r="L56" s="14">
        <f>(K56+L51)</f>
        <v/>
      </c>
      <c r="M56" s="14">
        <f>(L56+M51)</f>
        <v/>
      </c>
      <c r="N56" s="14">
        <f>(M56+N51)</f>
        <v/>
      </c>
      <c r="O56" s="14">
        <f>(N56+O51)</f>
        <v/>
      </c>
      <c r="P56" s="14">
        <f>(O56+P51)</f>
        <v/>
      </c>
      <c r="Q56" s="14">
        <f>(P56+Q51)</f>
        <v/>
      </c>
      <c r="R56" s="14">
        <f>(Q56+R51)</f>
        <v/>
      </c>
      <c r="S56" s="14">
        <f>(R56+S51)</f>
        <v/>
      </c>
      <c r="T56" s="14">
        <f>(S56+T51)</f>
        <v/>
      </c>
      <c r="U56" s="14">
        <f>(T56+U51)</f>
        <v/>
      </c>
      <c r="V56" s="14">
        <f>(U56+V51)</f>
        <v/>
      </c>
      <c r="W56" s="14">
        <f>(V56+W51)</f>
        <v/>
      </c>
      <c r="X56" s="14">
        <f>(W56+X51)</f>
        <v/>
      </c>
      <c r="Y56" s="14">
        <f>(X56+Y51)</f>
        <v/>
      </c>
      <c r="Z56" s="14">
        <f>(Y56+Z51)</f>
        <v/>
      </c>
    </row>
    <row r="57">
      <c r="A57" t="inlineStr">
        <is>
          <t>Fixed assets (net)</t>
        </is>
      </c>
      <c r="B57" t="inlineStr">
        <is>
          <t>ppe</t>
        </is>
      </c>
      <c r="D57" s="13" t="n">
        <v>118.012377</v>
      </c>
      <c r="E57" s="13" t="n">
        <v>186.960216</v>
      </c>
      <c r="F57" s="13" t="n">
        <v>381.157972</v>
      </c>
      <c r="G57" s="14">
        <f>((F57+G48)-G34)</f>
        <v/>
      </c>
      <c r="H57" s="14">
        <f>((G57+H48)-H34)</f>
        <v/>
      </c>
      <c r="I57" s="14">
        <f>((H57+I48)-I34)</f>
        <v/>
      </c>
      <c r="J57" s="14">
        <f>((I57+J48)-J34)</f>
        <v/>
      </c>
      <c r="K57" s="14">
        <f>((J57+K48)-K34)</f>
        <v/>
      </c>
      <c r="L57" s="14">
        <f>((K57+L48)-L34)</f>
        <v/>
      </c>
      <c r="M57" s="14">
        <f>((L57+M48)-M34)</f>
        <v/>
      </c>
      <c r="N57" s="14">
        <f>((M57+N48)-N34)</f>
        <v/>
      </c>
      <c r="O57" s="14">
        <f>((N57+O48)-O34)</f>
        <v/>
      </c>
      <c r="P57" s="14">
        <f>((O57+P48)-P34)</f>
        <v/>
      </c>
      <c r="Q57" s="14">
        <f>((P57+Q48)-Q34)</f>
        <v/>
      </c>
      <c r="R57" s="14">
        <f>((Q57+R48)-R34)</f>
        <v/>
      </c>
      <c r="S57" s="14">
        <f>((R57+S48)-S34)</f>
        <v/>
      </c>
      <c r="T57" s="14">
        <f>((S57+T48)-T34)</f>
        <v/>
      </c>
      <c r="U57" s="14">
        <f>((T57+U48)-U34)</f>
        <v/>
      </c>
      <c r="V57" s="14">
        <f>((U57+V48)-V34)</f>
        <v/>
      </c>
      <c r="W57" s="14">
        <f>((V57+W48)-W34)</f>
        <v/>
      </c>
      <c r="X57" s="14">
        <f>((W57+X48)-X34)</f>
        <v/>
      </c>
      <c r="Y57" s="14">
        <f>((X57+Y48)-Y34)</f>
        <v/>
      </c>
      <c r="Z57" s="14">
        <f>((Y57+Z48)-Z34)</f>
        <v/>
      </c>
    </row>
    <row r="58">
      <c r="A58" t="inlineStr">
        <is>
          <t>Parent shareholders' equity</t>
        </is>
      </c>
      <c r="B58" t="inlineStr">
        <is>
          <t>equity</t>
        </is>
      </c>
      <c r="D58" s="13" t="n">
        <v>623.1184</v>
      </c>
      <c r="E58" s="13" t="n">
        <v>653.95717</v>
      </c>
      <c r="F58" s="13" t="n">
        <v>1072.806433</v>
      </c>
      <c r="G58" s="14">
        <f>((F58+G43)-G47)</f>
        <v/>
      </c>
      <c r="H58" s="14">
        <f>((G58+H43)-H47)</f>
        <v/>
      </c>
      <c r="I58" s="14">
        <f>((H58+I43)-I47)</f>
        <v/>
      </c>
      <c r="J58" s="14">
        <f>((I58+J43)-J47)</f>
        <v/>
      </c>
      <c r="K58" s="14">
        <f>((J58+K43)-K47)</f>
        <v/>
      </c>
      <c r="L58" s="14">
        <f>((K58+L43)-L47)</f>
        <v/>
      </c>
      <c r="M58" s="14">
        <f>((L58+M43)-M47)</f>
        <v/>
      </c>
      <c r="N58" s="14">
        <f>((M58+N43)-N47)</f>
        <v/>
      </c>
      <c r="O58" s="14">
        <f>((N58+O43)-O47)</f>
        <v/>
      </c>
      <c r="P58" s="14">
        <f>((O58+P43)-P47)</f>
        <v/>
      </c>
      <c r="Q58" s="14">
        <f>((P58+Q43)-Q47)</f>
        <v/>
      </c>
      <c r="R58" s="14">
        <f>((Q58+R43)-R47)</f>
        <v/>
      </c>
      <c r="S58" s="14">
        <f>((R58+S43)-S47)</f>
        <v/>
      </c>
      <c r="T58" s="14">
        <f>((S58+T43)-T47)</f>
        <v/>
      </c>
      <c r="U58" s="14">
        <f>((T58+U43)-U47)</f>
        <v/>
      </c>
      <c r="V58" s="14">
        <f>((U58+V43)-V47)</f>
        <v/>
      </c>
      <c r="W58" s="14">
        <f>((V58+W43)-W47)</f>
        <v/>
      </c>
      <c r="X58" s="14">
        <f>((W58+X43)-X47)</f>
        <v/>
      </c>
      <c r="Y58" s="14">
        <f>((X58+Y43)-Y47)</f>
        <v/>
      </c>
      <c r="Z58" s="14">
        <f>((Y58+Z43)-Z47)</f>
        <v/>
      </c>
    </row>
    <row r="59">
      <c r="A59" t="inlineStr">
        <is>
          <t>Minority interest (balance sheet)</t>
        </is>
      </c>
      <c r="B59" t="inlineStr">
        <is>
          <t>minority_bs</t>
        </is>
      </c>
      <c r="D59" s="13" t="n">
        <v>63.517936</v>
      </c>
      <c r="E59" s="13" t="n">
        <v>98.223415</v>
      </c>
      <c r="F59" s="13" t="n">
        <v>63.130543</v>
      </c>
      <c r="G59" s="14">
        <f>((F59+G42)-G52)</f>
        <v/>
      </c>
      <c r="H59" s="14">
        <f>((G59+H42)-H52)</f>
        <v/>
      </c>
      <c r="I59" s="14">
        <f>((H59+I42)-I52)</f>
        <v/>
      </c>
      <c r="J59" s="14">
        <f>((I59+J42)-J52)</f>
        <v/>
      </c>
      <c r="K59" s="14">
        <f>((J59+K42)-K52)</f>
        <v/>
      </c>
      <c r="L59" s="14">
        <f>((K59+L42)-L52)</f>
        <v/>
      </c>
      <c r="M59" s="14">
        <f>((L59+M42)-M52)</f>
        <v/>
      </c>
      <c r="N59" s="14">
        <f>((M59+N42)-N52)</f>
        <v/>
      </c>
      <c r="O59" s="14">
        <f>((N59+O42)-O52)</f>
        <v/>
      </c>
      <c r="P59" s="14">
        <f>((O59+P42)-P52)</f>
        <v/>
      </c>
      <c r="Q59" s="14">
        <f>((P59+Q42)-Q52)</f>
        <v/>
      </c>
      <c r="R59" s="14">
        <f>((Q59+R42)-R52)</f>
        <v/>
      </c>
      <c r="S59" s="14">
        <f>((R59+S42)-S52)</f>
        <v/>
      </c>
      <c r="T59" s="14">
        <f>((S59+T42)-T52)</f>
        <v/>
      </c>
      <c r="U59" s="14">
        <f>((T59+U42)-U52)</f>
        <v/>
      </c>
      <c r="V59" s="14">
        <f>((U59+V42)-V52)</f>
        <v/>
      </c>
      <c r="W59" s="14">
        <f>((V59+W42)-W52)</f>
        <v/>
      </c>
      <c r="X59" s="14">
        <f>((W59+X42)-X52)</f>
        <v/>
      </c>
      <c r="Y59" s="14">
        <f>((X59+Y42)-Y52)</f>
        <v/>
      </c>
      <c r="Z59" s="14">
        <f>((Y59+Z42)-Z52)</f>
        <v/>
      </c>
    </row>
    <row r="60">
      <c r="A60" t="inlineStr">
        <is>
          <t>Other assets less other liabilities</t>
        </is>
      </c>
      <c r="B60" t="inlineStr">
        <is>
          <t>other_net</t>
        </is>
      </c>
      <c r="D60" s="13" t="n">
        <v>139.714559</v>
      </c>
      <c r="E60" s="13" t="n">
        <v>645.9540890000001</v>
      </c>
      <c r="F60" s="13" t="n">
        <v>840.230313</v>
      </c>
      <c r="G60" s="14">
        <f>F60</f>
        <v/>
      </c>
      <c r="H60" s="14">
        <f>G60</f>
        <v/>
      </c>
      <c r="I60" s="14">
        <f>H60</f>
        <v/>
      </c>
      <c r="J60" s="14">
        <f>I60</f>
        <v/>
      </c>
      <c r="K60" s="14">
        <f>J60</f>
        <v/>
      </c>
      <c r="L60" s="14">
        <f>K60</f>
        <v/>
      </c>
      <c r="M60" s="14">
        <f>L60</f>
        <v/>
      </c>
      <c r="N60" s="14">
        <f>M60</f>
        <v/>
      </c>
      <c r="O60" s="14">
        <f>N60</f>
        <v/>
      </c>
      <c r="P60" s="14">
        <f>O60</f>
        <v/>
      </c>
      <c r="Q60" s="14">
        <f>P60</f>
        <v/>
      </c>
      <c r="R60" s="14">
        <f>Q60</f>
        <v/>
      </c>
      <c r="S60" s="14">
        <f>R60</f>
        <v/>
      </c>
      <c r="T60" s="14">
        <f>S60</f>
        <v/>
      </c>
      <c r="U60" s="14">
        <f>T60</f>
        <v/>
      </c>
      <c r="V60" s="14">
        <f>U60</f>
        <v/>
      </c>
      <c r="W60" s="14">
        <f>V60</f>
        <v/>
      </c>
      <c r="X60" s="14">
        <f>W60</f>
        <v/>
      </c>
      <c r="Y60" s="14">
        <f>X60</f>
        <v/>
      </c>
      <c r="Z60" s="14">
        <f>Y60</f>
        <v/>
      </c>
    </row>
    <row r="61">
      <c r="A61" t="inlineStr">
        <is>
          <t>Balance check (should be zero)</t>
        </is>
      </c>
      <c r="B61" t="inlineStr">
        <is>
          <t>bs_check</t>
        </is>
      </c>
      <c r="D61" s="13" t="n"/>
      <c r="E61" s="13" t="n"/>
      <c r="F61" s="13" t="n"/>
      <c r="G61" s="14">
        <f>((((((G55+G54)+G57)+G60)-G56)-G58)-G59)</f>
        <v/>
      </c>
      <c r="H61" s="14">
        <f>((((((H55+H54)+H57)+H60)-H56)-H58)-H59)</f>
        <v/>
      </c>
      <c r="I61" s="14">
        <f>((((((I55+I54)+I57)+I60)-I56)-I58)-I59)</f>
        <v/>
      </c>
      <c r="J61" s="14">
        <f>((((((J55+J54)+J57)+J60)-J56)-J58)-J59)</f>
        <v/>
      </c>
      <c r="K61" s="14">
        <f>((((((K55+K54)+K57)+K60)-K56)-K58)-K59)</f>
        <v/>
      </c>
      <c r="L61" s="14">
        <f>((((((L55+L54)+L57)+L60)-L56)-L58)-L59)</f>
        <v/>
      </c>
      <c r="M61" s="14">
        <f>((((((M55+M54)+M57)+M60)-M56)-M58)-M59)</f>
        <v/>
      </c>
      <c r="N61" s="14">
        <f>((((((N55+N54)+N57)+N60)-N56)-N58)-N59)</f>
        <v/>
      </c>
      <c r="O61" s="14">
        <f>((((((O55+O54)+O57)+O60)-O56)-O58)-O59)</f>
        <v/>
      </c>
      <c r="P61" s="14">
        <f>((((((P55+P54)+P57)+P60)-P56)-P58)-P59)</f>
        <v/>
      </c>
      <c r="Q61" s="14">
        <f>((((((Q55+Q54)+Q57)+Q60)-Q56)-Q58)-Q59)</f>
        <v/>
      </c>
      <c r="R61" s="14">
        <f>((((((R55+R54)+R57)+R60)-R56)-R58)-R59)</f>
        <v/>
      </c>
      <c r="S61" s="14">
        <f>((((((S55+S54)+S57)+S60)-S56)-S58)-S59)</f>
        <v/>
      </c>
      <c r="T61" s="14">
        <f>((((((T55+T54)+T57)+T60)-T56)-T58)-T59)</f>
        <v/>
      </c>
      <c r="U61" s="14">
        <f>((((((U55+U54)+U57)+U60)-U56)-U58)-U59)</f>
        <v/>
      </c>
      <c r="V61" s="14">
        <f>((((((V55+V54)+V57)+V60)-V56)-V58)-V59)</f>
        <v/>
      </c>
      <c r="W61" s="14">
        <f>((((((W55+W54)+W57)+W60)-W56)-W58)-W59)</f>
        <v/>
      </c>
      <c r="X61" s="14">
        <f>((((((X55+X54)+X57)+X60)-X56)-X58)-X59)</f>
        <v/>
      </c>
      <c r="Y61" s="14">
        <f>((((((Y55+Y54)+Y57)+Y60)-Y56)-Y58)-Y59)</f>
        <v/>
      </c>
      <c r="Z61" s="14">
        <f>((((((Z55+Z54)+Z57)+Z60)-Z56)-Z58)-Z59)</f>
        <v/>
      </c>
    </row>
    <row r="62">
      <c r="A62" t="inlineStr">
        <is>
          <t>Net debt (cash)</t>
        </is>
      </c>
      <c r="B62" t="inlineStr">
        <is>
          <t>net_debt</t>
        </is>
      </c>
      <c r="D62" s="13" t="n">
        <v>-390.706991</v>
      </c>
      <c r="E62" s="13" t="n">
        <v>112.63765</v>
      </c>
      <c r="F62" s="13" t="n">
        <v>92.47436799999997</v>
      </c>
      <c r="G62" s="14">
        <f>(G56-G55)</f>
        <v/>
      </c>
      <c r="H62" s="14">
        <f>(H56-H55)</f>
        <v/>
      </c>
      <c r="I62" s="14">
        <f>(I56-I55)</f>
        <v/>
      </c>
      <c r="J62" s="14">
        <f>(J56-J55)</f>
        <v/>
      </c>
      <c r="K62" s="14">
        <f>(K56-K55)</f>
        <v/>
      </c>
      <c r="L62" s="14">
        <f>(L56-L55)</f>
        <v/>
      </c>
      <c r="M62" s="14">
        <f>(M56-M55)</f>
        <v/>
      </c>
      <c r="N62" s="14">
        <f>(N56-N55)</f>
        <v/>
      </c>
      <c r="O62" s="14">
        <f>(O56-O55)</f>
        <v/>
      </c>
      <c r="P62" s="14">
        <f>(P56-P55)</f>
        <v/>
      </c>
      <c r="Q62" s="14">
        <f>(Q56-Q55)</f>
        <v/>
      </c>
      <c r="R62" s="14">
        <f>(R56-R55)</f>
        <v/>
      </c>
      <c r="S62" s="14">
        <f>(S56-S55)</f>
        <v/>
      </c>
      <c r="T62" s="14">
        <f>(T56-T55)</f>
        <v/>
      </c>
      <c r="U62" s="14">
        <f>(U56-U55)</f>
        <v/>
      </c>
      <c r="V62" s="14">
        <f>(V56-V55)</f>
        <v/>
      </c>
      <c r="W62" s="14">
        <f>(W56-W55)</f>
        <v/>
      </c>
      <c r="X62" s="14">
        <f>(X56-X55)</f>
        <v/>
      </c>
      <c r="Y62" s="14">
        <f>(Y56-Y55)</f>
        <v/>
      </c>
      <c r="Z62" s="14">
        <f>(Z56-Z55)</f>
        <v/>
      </c>
    </row>
    <row r="63">
      <c r="A63" t="inlineStr">
        <is>
          <t>Book value per share</t>
        </is>
      </c>
      <c r="B63" t="inlineStr">
        <is>
          <t>bvps</t>
        </is>
      </c>
      <c r="D63" s="15" t="n">
        <v>0.004991760965698405</v>
      </c>
      <c r="E63" s="15" t="n">
        <v>0.005238808345965383</v>
      </c>
      <c r="F63" s="15" t="n">
        <v>0.008594182543798323</v>
      </c>
      <c r="G63" s="16">
        <f>(IF(G44=0,0,G58/G44)*$C$8)</f>
        <v/>
      </c>
      <c r="H63" s="16">
        <f>(IF(H44=0,0,H58/H44)*$C$8)</f>
        <v/>
      </c>
      <c r="I63" s="16">
        <f>(IF(I44=0,0,I58/I44)*$C$8)</f>
        <v/>
      </c>
      <c r="J63" s="16">
        <f>(IF(J44=0,0,J58/J44)*$C$8)</f>
        <v/>
      </c>
      <c r="K63" s="16">
        <f>(IF(K44=0,0,K58/K44)*$C$8)</f>
        <v/>
      </c>
      <c r="L63" s="16">
        <f>(IF(L44=0,0,L58/L44)*$C$8)</f>
        <v/>
      </c>
      <c r="M63" s="16">
        <f>(IF(M44=0,0,M58/M44)*$C$8)</f>
        <v/>
      </c>
      <c r="N63" s="16">
        <f>(IF(N44=0,0,N58/N44)*$C$8)</f>
        <v/>
      </c>
      <c r="O63" s="16">
        <f>(IF(O44=0,0,O58/O44)*$C$8)</f>
        <v/>
      </c>
      <c r="P63" s="16">
        <f>(IF(P44=0,0,P58/P44)*$C$8)</f>
        <v/>
      </c>
      <c r="Q63" s="16">
        <f>(IF(Q44=0,0,Q58/Q44)*$C$8)</f>
        <v/>
      </c>
      <c r="R63" s="16">
        <f>(IF(R44=0,0,R58/R44)*$C$8)</f>
        <v/>
      </c>
      <c r="S63" s="16">
        <f>(IF(S44=0,0,S58/S44)*$C$8)</f>
        <v/>
      </c>
      <c r="T63" s="16">
        <f>(IF(T44=0,0,T58/T44)*$C$8)</f>
        <v/>
      </c>
      <c r="U63" s="16">
        <f>(IF(U44=0,0,U58/U44)*$C$8)</f>
        <v/>
      </c>
      <c r="V63" s="16">
        <f>(IF(V44=0,0,V58/V44)*$C$8)</f>
        <v/>
      </c>
      <c r="W63" s="16">
        <f>(IF(W44=0,0,W58/W44)*$C$8)</f>
        <v/>
      </c>
      <c r="X63" s="16">
        <f>(IF(X44=0,0,X58/X44)*$C$8)</f>
        <v/>
      </c>
      <c r="Y63" s="16">
        <f>(IF(Y44=0,0,Y58/Y44)*$C$8)</f>
        <v/>
      </c>
      <c r="Z63" s="16">
        <f>(IF(Z44=0,0,Z58/Z44)*$C$8)</f>
        <v/>
      </c>
    </row>
    <row r="64">
      <c r="A64" t="inlineStr">
        <is>
          <t>Revenue growth</t>
        </is>
      </c>
      <c r="B64" t="inlineStr">
        <is>
          <t>revenue_growth</t>
        </is>
      </c>
      <c r="D64" s="4" t="n"/>
      <c r="E64" s="4" t="n"/>
      <c r="F64" s="4" t="n">
        <v>0.447684076140608</v>
      </c>
      <c r="G64" s="17">
        <f>(IF(F29=0,0,G29/F29)-1)</f>
        <v/>
      </c>
      <c r="H64" s="17">
        <f>(IF(G29=0,0,H29/G29)-1)</f>
        <v/>
      </c>
      <c r="I64" s="17">
        <f>(IF(H29=0,0,I29/H29)-1)</f>
        <v/>
      </c>
      <c r="J64" s="17">
        <f>(IF(I29=0,0,J29/I29)-1)</f>
        <v/>
      </c>
      <c r="K64" s="17">
        <f>(IF(J29=0,0,K29/J29)-1)</f>
        <v/>
      </c>
      <c r="L64" s="17">
        <f>(IF(K29=0,0,L29/K29)-1)</f>
        <v/>
      </c>
      <c r="M64" s="17">
        <f>(IF(L29=0,0,M29/L29)-1)</f>
        <v/>
      </c>
      <c r="N64" s="17">
        <f>(IF(M29=0,0,N29/M29)-1)</f>
        <v/>
      </c>
      <c r="O64" s="17">
        <f>(IF(N29=0,0,O29/N29)-1)</f>
        <v/>
      </c>
      <c r="P64" s="17">
        <f>(IF(O29=0,0,P29/O29)-1)</f>
        <v/>
      </c>
      <c r="Q64" s="17">
        <f>(IF(P29=0,0,Q29/P29)-1)</f>
        <v/>
      </c>
      <c r="R64" s="17">
        <f>(IF(Q29=0,0,R29/Q29)-1)</f>
        <v/>
      </c>
      <c r="S64" s="17">
        <f>(IF(R29=0,0,S29/R29)-1)</f>
        <v/>
      </c>
      <c r="T64" s="17">
        <f>(IF(S29=0,0,T29/S29)-1)</f>
        <v/>
      </c>
      <c r="U64" s="17">
        <f>(IF(T29=0,0,U29/T29)-1)</f>
        <v/>
      </c>
      <c r="V64" s="17">
        <f>(IF(U29=0,0,V29/U29)-1)</f>
        <v/>
      </c>
      <c r="W64" s="17">
        <f>(IF(V29=0,0,W29/V29)-1)</f>
        <v/>
      </c>
      <c r="X64" s="17">
        <f>(IF(W29=0,0,X29/W29)-1)</f>
        <v/>
      </c>
      <c r="Y64" s="17">
        <f>(IF(X29=0,0,Y29/X29)-1)</f>
        <v/>
      </c>
      <c r="Z64" s="17">
        <f>(IF(Y29=0,0,Z29/Y29)-1)</f>
        <v/>
      </c>
    </row>
    <row r="65">
      <c r="A65" t="inlineStr">
        <is>
          <t>Gross margin</t>
        </is>
      </c>
      <c r="B65" t="inlineStr">
        <is>
          <t>gross_margin</t>
        </is>
      </c>
      <c r="D65" s="4" t="n"/>
      <c r="E65" s="4" t="n">
        <v>0.1023437978660456</v>
      </c>
      <c r="F65" s="4" t="n">
        <v>0.2390833316135544</v>
      </c>
      <c r="G65" s="17">
        <f>IF(G29=0,0,G31/G29)</f>
        <v/>
      </c>
      <c r="H65" s="17">
        <f>IF(H29=0,0,H31/H29)</f>
        <v/>
      </c>
      <c r="I65" s="17">
        <f>IF(I29=0,0,I31/I29)</f>
        <v/>
      </c>
      <c r="J65" s="17">
        <f>IF(J29=0,0,J31/J29)</f>
        <v/>
      </c>
      <c r="K65" s="17">
        <f>IF(K29=0,0,K31/K29)</f>
        <v/>
      </c>
      <c r="L65" s="17">
        <f>IF(L29=0,0,L31/L29)</f>
        <v/>
      </c>
      <c r="M65" s="17">
        <f>IF(M29=0,0,M31/M29)</f>
        <v/>
      </c>
      <c r="N65" s="17">
        <f>IF(N29=0,0,N31/N29)</f>
        <v/>
      </c>
      <c r="O65" s="17">
        <f>IF(O29=0,0,O31/O29)</f>
        <v/>
      </c>
      <c r="P65" s="17">
        <f>IF(P29=0,0,P31/P29)</f>
        <v/>
      </c>
      <c r="Q65" s="17">
        <f>IF(Q29=0,0,Q31/Q29)</f>
        <v/>
      </c>
      <c r="R65" s="17">
        <f>IF(R29=0,0,R31/R29)</f>
        <v/>
      </c>
      <c r="S65" s="17">
        <f>IF(S29=0,0,S31/S29)</f>
        <v/>
      </c>
      <c r="T65" s="17">
        <f>IF(T29=0,0,T31/T29)</f>
        <v/>
      </c>
      <c r="U65" s="17">
        <f>IF(U29=0,0,U31/U29)</f>
        <v/>
      </c>
      <c r="V65" s="17">
        <f>IF(V29=0,0,V31/V29)</f>
        <v/>
      </c>
      <c r="W65" s="17">
        <f>IF(W29=0,0,W31/W29)</f>
        <v/>
      </c>
      <c r="X65" s="17">
        <f>IF(X29=0,0,X31/X29)</f>
        <v/>
      </c>
      <c r="Y65" s="17">
        <f>IF(Y29=0,0,Y31/Y29)</f>
        <v/>
      </c>
      <c r="Z65" s="17">
        <f>IF(Z29=0,0,Z31/Z29)</f>
        <v/>
      </c>
    </row>
    <row r="66">
      <c r="A66" t="inlineStr">
        <is>
          <t>EBITDA margin</t>
        </is>
      </c>
      <c r="B66" t="inlineStr">
        <is>
          <t>ebitda_margin</t>
        </is>
      </c>
      <c r="D66" s="4" t="n"/>
      <c r="E66" s="4" t="n">
        <v>0.1056124279391772</v>
      </c>
      <c r="F66" s="4" t="n">
        <v>0.2156515326911617</v>
      </c>
      <c r="G66" s="17">
        <f>IF(G29=0,0,G35/G29)</f>
        <v/>
      </c>
      <c r="H66" s="17">
        <f>IF(H29=0,0,H35/H29)</f>
        <v/>
      </c>
      <c r="I66" s="17">
        <f>IF(I29=0,0,I35/I29)</f>
        <v/>
      </c>
      <c r="J66" s="17">
        <f>IF(J29=0,0,J35/J29)</f>
        <v/>
      </c>
      <c r="K66" s="17">
        <f>IF(K29=0,0,K35/K29)</f>
        <v/>
      </c>
      <c r="L66" s="17">
        <f>IF(L29=0,0,L35/L29)</f>
        <v/>
      </c>
      <c r="M66" s="17">
        <f>IF(M29=0,0,M35/M29)</f>
        <v/>
      </c>
      <c r="N66" s="17">
        <f>IF(N29=0,0,N35/N29)</f>
        <v/>
      </c>
      <c r="O66" s="17">
        <f>IF(O29=0,0,O35/O29)</f>
        <v/>
      </c>
      <c r="P66" s="17">
        <f>IF(P29=0,0,P35/P29)</f>
        <v/>
      </c>
      <c r="Q66" s="17">
        <f>IF(Q29=0,0,Q35/Q29)</f>
        <v/>
      </c>
      <c r="R66" s="17">
        <f>IF(R29=0,0,R35/R29)</f>
        <v/>
      </c>
      <c r="S66" s="17">
        <f>IF(S29=0,0,S35/S29)</f>
        <v/>
      </c>
      <c r="T66" s="17">
        <f>IF(T29=0,0,T35/T29)</f>
        <v/>
      </c>
      <c r="U66" s="17">
        <f>IF(U29=0,0,U35/U29)</f>
        <v/>
      </c>
      <c r="V66" s="17">
        <f>IF(V29=0,0,V35/V29)</f>
        <v/>
      </c>
      <c r="W66" s="17">
        <f>IF(W29=0,0,W35/W29)</f>
        <v/>
      </c>
      <c r="X66" s="17">
        <f>IF(X29=0,0,X35/X29)</f>
        <v/>
      </c>
      <c r="Y66" s="17">
        <f>IF(Y29=0,0,Y35/Y29)</f>
        <v/>
      </c>
      <c r="Z66" s="17">
        <f>IF(Z29=0,0,Z35/Z29)</f>
        <v/>
      </c>
    </row>
    <row r="67">
      <c r="A67" t="inlineStr">
        <is>
          <t>EBIT margin</t>
        </is>
      </c>
      <c r="B67" t="inlineStr">
        <is>
          <t>ebit_margin</t>
        </is>
      </c>
      <c r="D67" s="4" t="n"/>
      <c r="E67" s="4" t="n">
        <v>0.02167691647425917</v>
      </c>
      <c r="F67" s="4" t="n">
        <v>0.1506751806924685</v>
      </c>
      <c r="G67" s="17">
        <f>IF(G29=0,0,G33/G29)</f>
        <v/>
      </c>
      <c r="H67" s="17">
        <f>IF(H29=0,0,H33/H29)</f>
        <v/>
      </c>
      <c r="I67" s="17">
        <f>IF(I29=0,0,I33/I29)</f>
        <v/>
      </c>
      <c r="J67" s="17">
        <f>IF(J29=0,0,J33/J29)</f>
        <v/>
      </c>
      <c r="K67" s="17">
        <f>IF(K29=0,0,K33/K29)</f>
        <v/>
      </c>
      <c r="L67" s="17">
        <f>IF(L29=0,0,L33/L29)</f>
        <v/>
      </c>
      <c r="M67" s="17">
        <f>IF(M29=0,0,M33/M29)</f>
        <v/>
      </c>
      <c r="N67" s="17">
        <f>IF(N29=0,0,N33/N29)</f>
        <v/>
      </c>
      <c r="O67" s="17">
        <f>IF(O29=0,0,O33/O29)</f>
        <v/>
      </c>
      <c r="P67" s="17">
        <f>IF(P29=0,0,P33/P29)</f>
        <v/>
      </c>
      <c r="Q67" s="17">
        <f>IF(Q29=0,0,Q33/Q29)</f>
        <v/>
      </c>
      <c r="R67" s="17">
        <f>IF(R29=0,0,R33/R29)</f>
        <v/>
      </c>
      <c r="S67" s="17">
        <f>IF(S29=0,0,S33/S29)</f>
        <v/>
      </c>
      <c r="T67" s="17">
        <f>IF(T29=0,0,T33/T29)</f>
        <v/>
      </c>
      <c r="U67" s="17">
        <f>IF(U29=0,0,U33/U29)</f>
        <v/>
      </c>
      <c r="V67" s="17">
        <f>IF(V29=0,0,V33/V29)</f>
        <v/>
      </c>
      <c r="W67" s="17">
        <f>IF(W29=0,0,W33/W29)</f>
        <v/>
      </c>
      <c r="X67" s="17">
        <f>IF(X29=0,0,X33/X29)</f>
        <v/>
      </c>
      <c r="Y67" s="17">
        <f>IF(Y29=0,0,Y33/Y29)</f>
        <v/>
      </c>
      <c r="Z67" s="17">
        <f>IF(Z29=0,0,Z33/Z29)</f>
        <v/>
      </c>
    </row>
    <row r="68">
      <c r="A68" t="inlineStr">
        <is>
          <t>Net margin</t>
        </is>
      </c>
      <c r="B68" t="inlineStr">
        <is>
          <t>np_margin</t>
        </is>
      </c>
      <c r="D68" s="4" t="n"/>
      <c r="E68" s="4" t="n">
        <v>0.3072983933804943</v>
      </c>
      <c r="F68" s="4" t="n">
        <v>0.8177426329653953</v>
      </c>
      <c r="G68" s="17">
        <f>IF(G29=0,0,G43/G29)</f>
        <v/>
      </c>
      <c r="H68" s="17">
        <f>IF(H29=0,0,H43/H29)</f>
        <v/>
      </c>
      <c r="I68" s="17">
        <f>IF(I29=0,0,I43/I29)</f>
        <v/>
      </c>
      <c r="J68" s="17">
        <f>IF(J29=0,0,J43/J29)</f>
        <v/>
      </c>
      <c r="K68" s="17">
        <f>IF(K29=0,0,K43/K29)</f>
        <v/>
      </c>
      <c r="L68" s="17">
        <f>IF(L29=0,0,L43/L29)</f>
        <v/>
      </c>
      <c r="M68" s="17">
        <f>IF(M29=0,0,M43/M29)</f>
        <v/>
      </c>
      <c r="N68" s="17">
        <f>IF(N29=0,0,N43/N29)</f>
        <v/>
      </c>
      <c r="O68" s="17">
        <f>IF(O29=0,0,O43/O29)</f>
        <v/>
      </c>
      <c r="P68" s="17">
        <f>IF(P29=0,0,P43/P29)</f>
        <v/>
      </c>
      <c r="Q68" s="17">
        <f>IF(Q29=0,0,Q43/Q29)</f>
        <v/>
      </c>
      <c r="R68" s="17">
        <f>IF(R29=0,0,R43/R29)</f>
        <v/>
      </c>
      <c r="S68" s="17">
        <f>IF(S29=0,0,S43/S29)</f>
        <v/>
      </c>
      <c r="T68" s="17">
        <f>IF(T29=0,0,T43/T29)</f>
        <v/>
      </c>
      <c r="U68" s="17">
        <f>IF(U29=0,0,U43/U29)</f>
        <v/>
      </c>
      <c r="V68" s="17">
        <f>IF(V29=0,0,V43/V29)</f>
        <v/>
      </c>
      <c r="W68" s="17">
        <f>IF(W29=0,0,W43/W29)</f>
        <v/>
      </c>
      <c r="X68" s="17">
        <f>IF(X29=0,0,X43/X29)</f>
        <v/>
      </c>
      <c r="Y68" s="17">
        <f>IF(Y29=0,0,Y43/Y29)</f>
        <v/>
      </c>
      <c r="Z68" s="17">
        <f>IF(Z29=0,0,Z43/Z29)</f>
        <v/>
      </c>
    </row>
    <row r="69">
      <c r="A69" t="inlineStr">
        <is>
          <t>EPS growth</t>
        </is>
      </c>
      <c r="B69" t="inlineStr">
        <is>
          <t>eps_growth</t>
        </is>
      </c>
      <c r="D69" s="4" t="n"/>
      <c r="E69" s="4" t="n"/>
      <c r="F69" s="4" t="n">
        <v>2.852389122840237</v>
      </c>
      <c r="G69" s="17">
        <f>(IF(F45=0,0,G45/F45)-1)</f>
        <v/>
      </c>
      <c r="H69" s="17">
        <f>(IF(G45=0,0,H45/G45)-1)</f>
        <v/>
      </c>
      <c r="I69" s="17">
        <f>(IF(H45=0,0,I45/H45)-1)</f>
        <v/>
      </c>
      <c r="J69" s="17">
        <f>(IF(I45=0,0,J45/I45)-1)</f>
        <v/>
      </c>
      <c r="K69" s="17">
        <f>(IF(J45=0,0,K45/J45)-1)</f>
        <v/>
      </c>
      <c r="L69" s="17">
        <f>(IF(K45=0,0,L45/K45)-1)</f>
        <v/>
      </c>
      <c r="M69" s="17">
        <f>(IF(L45=0,0,M45/L45)-1)</f>
        <v/>
      </c>
      <c r="N69" s="17">
        <f>(IF(M45=0,0,N45/M45)-1)</f>
        <v/>
      </c>
      <c r="O69" s="17">
        <f>(IF(N45=0,0,O45/N45)-1)</f>
        <v/>
      </c>
      <c r="P69" s="17">
        <f>(IF(O45=0,0,P45/O45)-1)</f>
        <v/>
      </c>
      <c r="Q69" s="17">
        <f>(IF(P45=0,0,Q45/P45)-1)</f>
        <v/>
      </c>
      <c r="R69" s="17">
        <f>(IF(Q45=0,0,R45/Q45)-1)</f>
        <v/>
      </c>
      <c r="S69" s="17">
        <f>(IF(R45=0,0,S45/R45)-1)</f>
        <v/>
      </c>
      <c r="T69" s="17">
        <f>(IF(S45=0,0,T45/S45)-1)</f>
        <v/>
      </c>
      <c r="U69" s="17">
        <f>(IF(T45=0,0,U45/T45)-1)</f>
        <v/>
      </c>
      <c r="V69" s="17">
        <f>(IF(U45=0,0,V45/U45)-1)</f>
        <v/>
      </c>
      <c r="W69" s="17">
        <f>(IF(V45=0,0,W45/V45)-1)</f>
        <v/>
      </c>
      <c r="X69" s="17">
        <f>(IF(W45=0,0,X45/W45)-1)</f>
        <v/>
      </c>
      <c r="Y69" s="17">
        <f>(IF(X45=0,0,Y45/X45)-1)</f>
        <v/>
      </c>
      <c r="Z69" s="17">
        <f>(IF(Y45=0,0,Z45/Y45)-1)</f>
        <v/>
      </c>
    </row>
    <row r="70">
      <c r="A70" t="inlineStr">
        <is>
          <t>ROE</t>
        </is>
      </c>
      <c r="B70" t="inlineStr">
        <is>
          <t>roe</t>
        </is>
      </c>
      <c r="D70" s="4" t="n"/>
      <c r="E70" s="4" t="n">
        <v>0.04921043944173171</v>
      </c>
      <c r="F70" s="4" t="n">
        <v>0.1402074537472169</v>
      </c>
      <c r="G70" s="17">
        <f>IF(IF(2=0,0,(G58+F58)/2)=0,0,G43/IF(2=0,0,(G58+F58)/2))</f>
        <v/>
      </c>
      <c r="H70" s="17">
        <f>IF(IF(2=0,0,(H58+G58)/2)=0,0,H43/IF(2=0,0,(H58+G58)/2))</f>
        <v/>
      </c>
      <c r="I70" s="17">
        <f>IF(IF(2=0,0,(I58+H58)/2)=0,0,I43/IF(2=0,0,(I58+H58)/2))</f>
        <v/>
      </c>
      <c r="J70" s="17">
        <f>IF(IF(2=0,0,(J58+I58)/2)=0,0,J43/IF(2=0,0,(J58+I58)/2))</f>
        <v/>
      </c>
      <c r="K70" s="17">
        <f>IF(IF(2=0,0,(K58+J58)/2)=0,0,K43/IF(2=0,0,(K58+J58)/2))</f>
        <v/>
      </c>
      <c r="L70" s="17">
        <f>IF(IF(2=0,0,(L58+K58)/2)=0,0,L43/IF(2=0,0,(L58+K58)/2))</f>
        <v/>
      </c>
      <c r="M70" s="17">
        <f>IF(IF(2=0,0,(M58+L58)/2)=0,0,M43/IF(2=0,0,(M58+L58)/2))</f>
        <v/>
      </c>
      <c r="N70" s="17">
        <f>IF(IF(2=0,0,(N58+M58)/2)=0,0,N43/IF(2=0,0,(N58+M58)/2))</f>
        <v/>
      </c>
      <c r="O70" s="17">
        <f>IF(IF(2=0,0,(O58+N58)/2)=0,0,O43/IF(2=0,0,(O58+N58)/2))</f>
        <v/>
      </c>
      <c r="P70" s="17">
        <f>IF(IF(2=0,0,(P58+O58)/2)=0,0,P43/IF(2=0,0,(P58+O58)/2))</f>
        <v/>
      </c>
      <c r="Q70" s="17">
        <f>IF(IF(2=0,0,(Q58+P58)/2)=0,0,Q43/IF(2=0,0,(Q58+P58)/2))</f>
        <v/>
      </c>
      <c r="R70" s="17">
        <f>IF(IF(2=0,0,(R58+Q58)/2)=0,0,R43/IF(2=0,0,(R58+Q58)/2))</f>
        <v/>
      </c>
      <c r="S70" s="17">
        <f>IF(IF(2=0,0,(S58+R58)/2)=0,0,S43/IF(2=0,0,(S58+R58)/2))</f>
        <v/>
      </c>
      <c r="T70" s="17">
        <f>IF(IF(2=0,0,(T58+S58)/2)=0,0,T43/IF(2=0,0,(T58+S58)/2))</f>
        <v/>
      </c>
      <c r="U70" s="17">
        <f>IF(IF(2=0,0,(U58+T58)/2)=0,0,U43/IF(2=0,0,(U58+T58)/2))</f>
        <v/>
      </c>
      <c r="V70" s="17">
        <f>IF(IF(2=0,0,(V58+U58)/2)=0,0,V43/IF(2=0,0,(V58+U58)/2))</f>
        <v/>
      </c>
      <c r="W70" s="17">
        <f>IF(IF(2=0,0,(W58+V58)/2)=0,0,W43/IF(2=0,0,(W58+V58)/2))</f>
        <v/>
      </c>
      <c r="X70" s="17">
        <f>IF(IF(2=0,0,(X58+W58)/2)=0,0,X43/IF(2=0,0,(X58+W58)/2))</f>
        <v/>
      </c>
      <c r="Y70" s="17">
        <f>IF(IF(2=0,0,(Y58+X58)/2)=0,0,Y43/IF(2=0,0,(Y58+X58)/2))</f>
        <v/>
      </c>
      <c r="Z70" s="17">
        <f>IF(IF(2=0,0,(Z58+Y58)/2)=0,0,Z43/IF(2=0,0,(Z58+Y58)/2))</f>
        <v/>
      </c>
    </row>
    <row r="71">
      <c r="A71" t="inlineStr">
        <is>
          <t>Net debt / EBITDA</t>
        </is>
      </c>
      <c r="B71" t="inlineStr">
        <is>
          <t>net_debt_ebitda</t>
        </is>
      </c>
      <c r="D71" s="18" t="n"/>
      <c r="E71" s="18" t="n">
        <v>10.43001659170245</v>
      </c>
      <c r="F71" s="18" t="n">
        <v>2.896753033255546</v>
      </c>
      <c r="G71" s="19">
        <f>IF(G35=0,0,G62/G35)</f>
        <v/>
      </c>
      <c r="H71" s="19">
        <f>IF(H35=0,0,H62/H35)</f>
        <v/>
      </c>
      <c r="I71" s="19">
        <f>IF(I35=0,0,I62/I35)</f>
        <v/>
      </c>
      <c r="J71" s="19">
        <f>IF(J35=0,0,J62/J35)</f>
        <v/>
      </c>
      <c r="K71" s="19">
        <f>IF(K35=0,0,K62/K35)</f>
        <v/>
      </c>
      <c r="L71" s="19">
        <f>IF(L35=0,0,L62/L35)</f>
        <v/>
      </c>
      <c r="M71" s="19">
        <f>IF(M35=0,0,M62/M35)</f>
        <v/>
      </c>
      <c r="N71" s="19">
        <f>IF(N35=0,0,N62/N35)</f>
        <v/>
      </c>
      <c r="O71" s="19">
        <f>IF(O35=0,0,O62/O35)</f>
        <v/>
      </c>
      <c r="P71" s="19">
        <f>IF(P35=0,0,P62/P35)</f>
        <v/>
      </c>
      <c r="Q71" s="19">
        <f>IF(Q35=0,0,Q62/Q35)</f>
        <v/>
      </c>
      <c r="R71" s="19">
        <f>IF(R35=0,0,R62/R35)</f>
        <v/>
      </c>
      <c r="S71" s="19">
        <f>IF(S35=0,0,S62/S35)</f>
        <v/>
      </c>
      <c r="T71" s="19">
        <f>IF(T35=0,0,T62/T35)</f>
        <v/>
      </c>
      <c r="U71" s="19">
        <f>IF(U35=0,0,U62/U35)</f>
        <v/>
      </c>
      <c r="V71" s="19">
        <f>IF(V35=0,0,V62/V35)</f>
        <v/>
      </c>
      <c r="W71" s="19">
        <f>IF(W35=0,0,W62/W35)</f>
        <v/>
      </c>
      <c r="X71" s="19">
        <f>IF(X35=0,0,X62/X35)</f>
        <v/>
      </c>
      <c r="Y71" s="19">
        <f>IF(Y35=0,0,Y62/Y35)</f>
        <v/>
      </c>
      <c r="Z71" s="19">
        <f>IF(Z35=0,0,Z62/Z35)</f>
        <v/>
      </c>
    </row>
    <row r="72">
      <c r="A72" t="inlineStr">
        <is>
          <t>Payout ratio</t>
        </is>
      </c>
      <c r="B72" t="inlineStr">
        <is>
          <t>payout_ratio</t>
        </is>
      </c>
      <c r="D72" s="4" t="n"/>
      <c r="E72" s="4" t="n"/>
      <c r="F72" s="4" t="n">
        <v>0.4860440631807598</v>
      </c>
      <c r="G72" s="17">
        <f>IF(G45=0,0,G46/G45)</f>
        <v/>
      </c>
      <c r="H72" s="17">
        <f>IF(H45=0,0,H46/H45)</f>
        <v/>
      </c>
      <c r="I72" s="17">
        <f>IF(I45=0,0,I46/I45)</f>
        <v/>
      </c>
      <c r="J72" s="17">
        <f>IF(J45=0,0,J46/J45)</f>
        <v/>
      </c>
      <c r="K72" s="17">
        <f>IF(K45=0,0,K46/K45)</f>
        <v/>
      </c>
      <c r="L72" s="17">
        <f>IF(L45=0,0,L46/L45)</f>
        <v/>
      </c>
      <c r="M72" s="17">
        <f>IF(M45=0,0,M46/M45)</f>
        <v/>
      </c>
      <c r="N72" s="17">
        <f>IF(N45=0,0,N46/N45)</f>
        <v/>
      </c>
      <c r="O72" s="17">
        <f>IF(O45=0,0,O46/O45)</f>
        <v/>
      </c>
      <c r="P72" s="17">
        <f>IF(P45=0,0,P46/P45)</f>
        <v/>
      </c>
      <c r="Q72" s="17">
        <f>IF(Q45=0,0,Q46/Q45)</f>
        <v/>
      </c>
      <c r="R72" s="17">
        <f>IF(R45=0,0,R46/R45)</f>
        <v/>
      </c>
      <c r="S72" s="17">
        <f>IF(S45=0,0,S46/S45)</f>
        <v/>
      </c>
      <c r="T72" s="17">
        <f>IF(T45=0,0,T46/T45)</f>
        <v/>
      </c>
      <c r="U72" s="17">
        <f>IF(U45=0,0,U46/U45)</f>
        <v/>
      </c>
      <c r="V72" s="17">
        <f>IF(V45=0,0,V46/V45)</f>
        <v/>
      </c>
      <c r="W72" s="17">
        <f>IF(W45=0,0,W46/W45)</f>
        <v/>
      </c>
      <c r="X72" s="17">
        <f>IF(X45=0,0,X46/X45)</f>
        <v/>
      </c>
      <c r="Y72" s="17">
        <f>IF(Y45=0,0,Y46/Y45)</f>
        <v/>
      </c>
      <c r="Z72" s="17">
        <f>IF(Z45=0,0,Z46/Z45)</f>
        <v/>
      </c>
    </row>
    <row r="73">
      <c r="A73" t="inlineStr">
        <is>
          <t>Capex / revenue</t>
        </is>
      </c>
      <c r="B73" t="inlineStr">
        <is>
          <t>capex_revenue</t>
        </is>
      </c>
      <c r="D73" s="4" t="n"/>
      <c r="E73" s="4" t="n">
        <v>0.7652187651108483</v>
      </c>
      <c r="F73" s="4" t="n">
        <v>1.394535048176383</v>
      </c>
      <c r="G73" s="17">
        <f>IF(G29=0,0,G48/G29)</f>
        <v/>
      </c>
      <c r="H73" s="17">
        <f>IF(H29=0,0,H48/H29)</f>
        <v/>
      </c>
      <c r="I73" s="17">
        <f>IF(I29=0,0,I48/I29)</f>
        <v/>
      </c>
      <c r="J73" s="17">
        <f>IF(J29=0,0,J48/J29)</f>
        <v/>
      </c>
      <c r="K73" s="17">
        <f>IF(K29=0,0,K48/K29)</f>
        <v/>
      </c>
      <c r="L73" s="17">
        <f>IF(L29=0,0,L48/L29)</f>
        <v/>
      </c>
      <c r="M73" s="17">
        <f>IF(M29=0,0,M48/M29)</f>
        <v/>
      </c>
      <c r="N73" s="17">
        <f>IF(N29=0,0,N48/N29)</f>
        <v/>
      </c>
      <c r="O73" s="17">
        <f>IF(O29=0,0,O48/O29)</f>
        <v/>
      </c>
      <c r="P73" s="17">
        <f>IF(P29=0,0,P48/P29)</f>
        <v/>
      </c>
      <c r="Q73" s="17">
        <f>IF(Q29=0,0,Q48/Q29)</f>
        <v/>
      </c>
      <c r="R73" s="17">
        <f>IF(R29=0,0,R48/R29)</f>
        <v/>
      </c>
      <c r="S73" s="17">
        <f>IF(S29=0,0,S48/S29)</f>
        <v/>
      </c>
      <c r="T73" s="17">
        <f>IF(T29=0,0,T48/T29)</f>
        <v/>
      </c>
      <c r="U73" s="17">
        <f>IF(U29=0,0,U48/U29)</f>
        <v/>
      </c>
      <c r="V73" s="17">
        <f>IF(V29=0,0,V48/V29)</f>
        <v/>
      </c>
      <c r="W73" s="17">
        <f>IF(W29=0,0,W48/W29)</f>
        <v/>
      </c>
      <c r="X73" s="17">
        <f>IF(X29=0,0,X48/X29)</f>
        <v/>
      </c>
      <c r="Y73" s="17">
        <f>IF(Y29=0,0,Y48/Y29)</f>
        <v/>
      </c>
      <c r="Z73" s="17">
        <f>IF(Z29=0,0,Z48/Z29)</f>
        <v/>
      </c>
    </row>
    <row r="75">
      <c r="A75" s="1" t="inlineStr">
        <is>
          <t>VALUATION</t>
        </is>
      </c>
    </row>
    <row r="76">
      <c r="A76" t="inlineStr">
        <is>
          <t>Last price (IDR)</t>
        </is>
      </c>
      <c r="C76" s="15" t="n">
        <v>436</v>
      </c>
    </row>
    <row r="77">
      <c r="A77" t="inlineStr">
        <is>
          <t>Shares outstanding (m)</t>
        </is>
      </c>
      <c r="C77" s="13" t="n">
        <v>124749.8391</v>
      </c>
    </row>
    <row r="78">
      <c r="A78" t="inlineStr">
        <is>
          <t>IDR per USD (spot)</t>
        </is>
      </c>
      <c r="C78" s="3" t="n">
        <v>18125</v>
      </c>
    </row>
    <row r="79">
      <c r="A79" t="inlineStr">
        <is>
          <t>Debt at balance-sheet date</t>
        </is>
      </c>
      <c r="C79" s="13" t="n">
        <v>767.985736</v>
      </c>
    </row>
    <row r="80">
      <c r="A80" t="inlineStr">
        <is>
          <t>Cash at balance-sheet date</t>
        </is>
      </c>
      <c r="C80" s="13" t="n">
        <v>420.328351</v>
      </c>
    </row>
    <row r="81">
      <c r="A81" t="inlineStr">
        <is>
          <t>Minority interest (book)</t>
        </is>
      </c>
      <c r="C81" s="13" t="n">
        <v>69.089482</v>
      </c>
    </row>
    <row r="82">
      <c r="A82" t="inlineStr">
        <is>
          <t>Associates &amp; investments (book)</t>
        </is>
      </c>
      <c r="C82" s="13" t="n">
        <v>172.782126</v>
      </c>
    </row>
    <row r="83">
      <c r="A83" t="inlineStr">
        <is>
          <t>Post-balance-sheet &amp; other items (sourced, probability-weighted)</t>
        </is>
      </c>
      <c r="C83" s="13" t="n">
        <v>755.209121</v>
      </c>
    </row>
    <row r="84">
      <c r="A84" t="inlineStr">
        <is>
          <t>Parent equity at balance-sheet date</t>
        </is>
      </c>
      <c r="C84" s="13" t="n">
        <v>1038.053612</v>
      </c>
    </row>
    <row r="85">
      <c r="A85" t="inlineStr">
        <is>
          <t>Per-share factor</t>
        </is>
      </c>
      <c r="C85" s="20" t="n">
        <v>1</v>
      </c>
    </row>
    <row r="86">
      <c r="A86" t="inlineStr">
        <is>
          <t>Risk-free rate</t>
        </is>
      </c>
      <c r="C86" s="8">
        <f>Drivers!$C$8</f>
        <v/>
      </c>
    </row>
    <row r="87">
      <c r="A87" t="inlineStr">
        <is>
          <t>Less: default spread (IDR only)</t>
        </is>
      </c>
      <c r="C87" s="8" t="n">
        <v>0</v>
      </c>
    </row>
    <row r="88">
      <c r="A88" t="inlineStr">
        <is>
          <t>Mature ERP + Indonesia CRP</t>
        </is>
      </c>
      <c r="C88" s="8">
        <f>Drivers!$C$10+Drivers!$C$11</f>
        <v/>
      </c>
    </row>
    <row r="89">
      <c r="A89" t="inlineStr">
        <is>
          <t>Tax rate</t>
        </is>
      </c>
      <c r="C89" s="8">
        <f>Drivers!$C$13</f>
        <v/>
      </c>
    </row>
    <row r="90">
      <c r="A90" t="inlineStr">
        <is>
          <t>Unlevered beta (industry default (config))</t>
        </is>
      </c>
      <c r="C90" s="21" t="n">
        <v>0.6</v>
      </c>
    </row>
    <row r="91">
      <c r="A91" t="inlineStr">
        <is>
          <t>Debt / equity (market)</t>
        </is>
      </c>
      <c r="C91" s="21" t="n">
        <v>0.2559202702362738</v>
      </c>
    </row>
    <row r="92">
      <c r="A92" t="inlineStr">
        <is>
          <t>Levered beta</t>
        </is>
      </c>
      <c r="C92" s="22">
        <f>$C$90*(1+(1-$C$89)*$C$91)</f>
        <v/>
      </c>
    </row>
    <row r="93">
      <c r="A93" t="inlineStr">
        <is>
          <t>Explicit company premium</t>
        </is>
      </c>
      <c r="C93" s="4" t="n">
        <v>0</v>
      </c>
    </row>
    <row r="94">
      <c r="A94" t="inlineStr">
        <is>
          <t>Cost of equity</t>
        </is>
      </c>
      <c r="C94" s="10">
        <f>$C$86-$C$87+$C$92*$C$88+$C$93</f>
        <v/>
      </c>
    </row>
    <row r="95">
      <c r="A95" t="inlineStr">
        <is>
          <t>Pre-tax cost of debt</t>
        </is>
      </c>
      <c r="C95" s="10">
        <f>$C$86+Drivers!$C$12</f>
        <v/>
      </c>
    </row>
    <row r="96">
      <c r="A96" t="inlineStr">
        <is>
          <t>WACC</t>
        </is>
      </c>
      <c r="C96" s="10">
        <f>1/(1+$C$91)*$C$94+$C$91/(1+$C$91)*$C$95*(1-$C$89)</f>
        <v/>
      </c>
    </row>
    <row r="97">
      <c r="A97" t="inlineStr">
        <is>
          <t>Terminal growth (capped)</t>
        </is>
      </c>
      <c r="C97" s="4" t="n">
        <v>0.02</v>
      </c>
    </row>
    <row r="99">
      <c r="A99" s="1" t="inlineStr">
        <is>
          <t>DCF (FCFF, terminal value)</t>
        </is>
      </c>
    </row>
    <row r="100">
      <c r="A100" t="inlineStr">
        <is>
          <t>Share of year after balance-sheet date</t>
        </is>
      </c>
      <c r="G100" s="12" t="n">
        <v>0.503765</v>
      </c>
      <c r="H100" s="12" t="n">
        <v>0.996578</v>
      </c>
      <c r="I100" s="12" t="n">
        <v>0.999316</v>
      </c>
      <c r="J100" s="12" t="n">
        <v>0.996578</v>
      </c>
      <c r="K100" s="12" t="n">
        <v>0.996578</v>
      </c>
      <c r="L100" s="12" t="n">
        <v>0.996578</v>
      </c>
      <c r="M100" s="12" t="n">
        <v>0.999316</v>
      </c>
      <c r="N100" s="12" t="n">
        <v>0.996578</v>
      </c>
      <c r="O100" s="12" t="n">
        <v>0.996578</v>
      </c>
      <c r="P100" s="12" t="n">
        <v>0.996578</v>
      </c>
      <c r="Q100" s="12" t="n">
        <v>0.999316</v>
      </c>
      <c r="R100" s="12" t="n">
        <v>0.996578</v>
      </c>
      <c r="S100" s="12" t="n">
        <v>0.996578</v>
      </c>
      <c r="T100" s="12" t="n">
        <v>0.996578</v>
      </c>
      <c r="U100" s="12" t="n">
        <v>0.999316</v>
      </c>
      <c r="V100" s="12" t="n">
        <v>0.996578</v>
      </c>
      <c r="W100" s="12" t="n">
        <v>0.996578</v>
      </c>
      <c r="X100" s="12" t="n">
        <v>0.996578</v>
      </c>
      <c r="Y100" s="12" t="n">
        <v>0.999316</v>
      </c>
      <c r="Z100" s="12" t="n">
        <v>0.996578</v>
      </c>
    </row>
    <row r="101">
      <c r="A101" t="inlineStr">
        <is>
          <t>Discount time from valuation date (years)</t>
        </is>
      </c>
      <c r="G101" s="12" t="n">
        <v>0</v>
      </c>
      <c r="H101" s="12" t="n">
        <v>0.673511</v>
      </c>
      <c r="I101" s="12" t="n">
        <v>1.672827</v>
      </c>
      <c r="J101" s="12" t="n">
        <v>2.67488</v>
      </c>
      <c r="K101" s="12" t="n">
        <v>3.674196</v>
      </c>
      <c r="L101" s="12" t="n">
        <v>4.673511</v>
      </c>
      <c r="M101" s="12" t="n">
        <v>5.672827</v>
      </c>
      <c r="N101" s="12" t="n">
        <v>6.67488</v>
      </c>
      <c r="O101" s="12" t="n">
        <v>7.674196</v>
      </c>
      <c r="P101" s="12" t="n">
        <v>8.673511</v>
      </c>
      <c r="Q101" s="12" t="n">
        <v>9.672827</v>
      </c>
      <c r="R101" s="12" t="n">
        <v>10.67488</v>
      </c>
      <c r="S101" s="12" t="n">
        <v>11.674196</v>
      </c>
      <c r="T101" s="12" t="n">
        <v>12.673511</v>
      </c>
      <c r="U101" s="12" t="n">
        <v>13.672827</v>
      </c>
      <c r="V101" s="12" t="n">
        <v>14.67488</v>
      </c>
      <c r="W101" s="12" t="n">
        <v>15.674196</v>
      </c>
      <c r="X101" s="12" t="n">
        <v>16.673511</v>
      </c>
      <c r="Y101" s="12" t="n">
        <v>17.672827</v>
      </c>
      <c r="Z101" s="12" t="n">
        <v>18.67488</v>
      </c>
    </row>
    <row r="102">
      <c r="A102" t="inlineStr">
        <is>
          <t>Discount factor</t>
        </is>
      </c>
      <c r="G102">
        <f>1/(1+$C$96)^G101</f>
        <v/>
      </c>
      <c r="H102">
        <f>1/(1+$C$96)^H101</f>
        <v/>
      </c>
      <c r="I102">
        <f>1/(1+$C$96)^I101</f>
        <v/>
      </c>
      <c r="J102">
        <f>1/(1+$C$96)^J101</f>
        <v/>
      </c>
      <c r="K102">
        <f>1/(1+$C$96)^K101</f>
        <v/>
      </c>
      <c r="L102">
        <f>1/(1+$C$96)^L101</f>
        <v/>
      </c>
      <c r="M102">
        <f>1/(1+$C$96)^M101</f>
        <v/>
      </c>
      <c r="N102">
        <f>1/(1+$C$96)^N101</f>
        <v/>
      </c>
      <c r="O102">
        <f>1/(1+$C$96)^O101</f>
        <v/>
      </c>
      <c r="P102">
        <f>1/(1+$C$96)^P101</f>
        <v/>
      </c>
      <c r="Q102">
        <f>1/(1+$C$96)^Q101</f>
        <v/>
      </c>
      <c r="R102">
        <f>1/(1+$C$96)^R101</f>
        <v/>
      </c>
      <c r="S102">
        <f>1/(1+$C$96)^S101</f>
        <v/>
      </c>
      <c r="T102">
        <f>1/(1+$C$96)^T101</f>
        <v/>
      </c>
      <c r="U102">
        <f>1/(1+$C$96)^U101</f>
        <v/>
      </c>
      <c r="V102">
        <f>1/(1+$C$96)^V101</f>
        <v/>
      </c>
      <c r="W102">
        <f>1/(1+$C$96)^W101</f>
        <v/>
      </c>
      <c r="X102">
        <f>1/(1+$C$96)^X101</f>
        <v/>
      </c>
      <c r="Y102">
        <f>1/(1+$C$96)^Y101</f>
        <v/>
      </c>
      <c r="Z102">
        <f>1/(1+$C$96)^Z101</f>
        <v/>
      </c>
    </row>
    <row r="103">
      <c r="A103" t="inlineStr">
        <is>
          <t>PV of FCFF</t>
        </is>
      </c>
      <c r="G103" s="23">
        <f>G50*G100*G102</f>
        <v/>
      </c>
      <c r="H103" s="23">
        <f>H50*H100*H102</f>
        <v/>
      </c>
      <c r="I103" s="23">
        <f>I50*I100*I102</f>
        <v/>
      </c>
      <c r="J103" s="23">
        <f>J50*J100*J102</f>
        <v/>
      </c>
      <c r="K103" s="23">
        <f>K50*K100*K102</f>
        <v/>
      </c>
      <c r="L103" s="23">
        <f>L50*L100*L102</f>
        <v/>
      </c>
      <c r="M103" s="23">
        <f>M50*M100*M102</f>
        <v/>
      </c>
      <c r="N103" s="23">
        <f>N50*N100*N102</f>
        <v/>
      </c>
      <c r="O103" s="23">
        <f>O50*O100*O102</f>
        <v/>
      </c>
      <c r="P103" s="23">
        <f>P50*P100*P102</f>
        <v/>
      </c>
      <c r="Q103" s="23">
        <f>Q50*Q100*Q102</f>
        <v/>
      </c>
      <c r="R103" s="23">
        <f>R50*R100*R102</f>
        <v/>
      </c>
      <c r="S103" s="23">
        <f>S50*S100*S102</f>
        <v/>
      </c>
      <c r="T103" s="23">
        <f>T50*T100*T102</f>
        <v/>
      </c>
      <c r="U103" s="23">
        <f>U50*U100*U102</f>
        <v/>
      </c>
      <c r="V103" s="23">
        <f>V50*V100*V102</f>
        <v/>
      </c>
      <c r="W103" s="23">
        <f>W50*W100*W102</f>
        <v/>
      </c>
      <c r="X103" s="23">
        <f>X50*X100*X102</f>
        <v/>
      </c>
      <c r="Y103" s="23">
        <f>Y50*Y100*Y102</f>
        <v/>
      </c>
      <c r="Z103" s="23">
        <f>Z50*Z100*Z102</f>
        <v/>
      </c>
    </row>
    <row r="104">
      <c r="A104" t="inlineStr">
        <is>
          <t>Sum of PV</t>
        </is>
      </c>
      <c r="C104" s="23">
        <f>SUM(G103:Z103)</f>
        <v/>
      </c>
    </row>
    <row r="105">
      <c r="A105" t="inlineStr">
        <is>
          <t>Years to end of horizon</t>
        </is>
      </c>
      <c r="C105" s="20" t="n">
        <v>19.173169</v>
      </c>
    </row>
    <row r="106">
      <c r="A106" t="inlineStr">
        <is>
          <t>Terminal value</t>
        </is>
      </c>
      <c r="C106" s="23">
        <f>Z50*(1+$C$97)/($C$96-$C$97)</f>
        <v/>
      </c>
    </row>
    <row r="107">
      <c r="A107" t="inlineStr">
        <is>
          <t>PV of terminal value</t>
        </is>
      </c>
      <c r="C107" s="23">
        <f>$C$106/(1+$C$96)^$C$105</f>
        <v/>
      </c>
    </row>
    <row r="108">
      <c r="A108" t="inlineStr">
        <is>
          <t>Enterprise value</t>
        </is>
      </c>
      <c r="C108" s="23">
        <f>$C$104+$C$107</f>
        <v/>
      </c>
    </row>
    <row r="109">
      <c r="A109" t="inlineStr">
        <is>
          <t>Equity value</t>
        </is>
      </c>
      <c r="C109" s="23">
        <f>$C$108-($C$79-$C$80)-$C$81+$C$82+$C$83</f>
        <v/>
      </c>
    </row>
    <row r="110">
      <c r="A110" t="inlineStr">
        <is>
          <t>Value per share (IDR) — DCF (FCFF, terminal value)</t>
        </is>
      </c>
      <c r="C110" s="24">
        <f>MAX(0,$C$109/$C$77*$C$85*$C$78)</f>
        <v/>
      </c>
    </row>
    <row r="112">
      <c r="A112" s="1" t="inlineStr">
        <is>
          <t>EV/EBITDA</t>
        </is>
      </c>
    </row>
    <row r="113">
      <c r="A113" t="inlineStr">
        <is>
          <t>Target multiple (peer median)</t>
        </is>
      </c>
      <c r="C113" s="18" t="n">
        <v>15.854827</v>
      </c>
    </row>
    <row r="114">
      <c r="A114" t="inlineStr">
        <is>
          <t>Metric (LTM, or next-12m DPS for yield)</t>
        </is>
      </c>
      <c r="C114" s="13" t="n">
        <v>17.099855</v>
      </c>
    </row>
    <row r="115">
      <c r="A115" t="inlineStr">
        <is>
          <t>Value per share (IDR) — EV/EBITDA</t>
        </is>
      </c>
      <c r="C115" s="24">
        <f>MAX(0,($C$113*$C$114-($C$79-$C$80)-$C$81+$C$82+$C$83)/$C$77*$C$85*$C$78)</f>
        <v/>
      </c>
    </row>
    <row r="117">
      <c r="A117" s="1" t="inlineStr">
        <is>
          <t>P/E</t>
        </is>
      </c>
    </row>
    <row r="118">
      <c r="A118" t="inlineStr">
        <is>
          <t>Target multiple (peer median)</t>
        </is>
      </c>
      <c r="C118" s="18" t="n">
        <v>22.80269</v>
      </c>
    </row>
    <row r="119">
      <c r="A119" t="inlineStr">
        <is>
          <t>Metric (LTM, or next-12m DPS for yield)</t>
        </is>
      </c>
      <c r="C119" s="13" t="n">
        <v>70.49733999999999</v>
      </c>
    </row>
    <row r="120">
      <c r="A120" t="inlineStr">
        <is>
          <t>Value per share (IDR) — P/E</t>
        </is>
      </c>
      <c r="C120" s="24">
        <f>MAX(0,$C$118*$C$119/$C$77*$C$85*$C$78)</f>
        <v/>
      </c>
    </row>
    <row r="122">
      <c r="A122" s="1" t="inlineStr">
        <is>
          <t>TARGET</t>
        </is>
      </c>
    </row>
    <row r="123">
      <c r="A123" t="inlineStr">
        <is>
          <t>Weight: DCF (FCFF, terminal value)</t>
        </is>
      </c>
      <c r="C123" s="4" t="n">
        <v>0.55</v>
      </c>
    </row>
    <row r="124">
      <c r="A124" t="inlineStr">
        <is>
          <t>Weight: EV/EBITDA</t>
        </is>
      </c>
      <c r="C124" s="4" t="n">
        <v>0.35</v>
      </c>
    </row>
    <row r="125">
      <c r="A125" t="inlineStr">
        <is>
          <t>Weight: P/E</t>
        </is>
      </c>
      <c r="C125" s="4" t="n">
        <v>0.1</v>
      </c>
    </row>
    <row r="126">
      <c r="A126" t="inlineStr">
        <is>
          <t>Value today (weighted)</t>
        </is>
      </c>
      <c r="C126" s="24">
        <f>$C$110*$C$123+$C$115*$C$124+$C$120*$C$125</f>
        <v/>
      </c>
    </row>
    <row r="127">
      <c r="A127" t="inlineStr">
        <is>
          <t>DPS expected in next 12 months (IDR)</t>
        </is>
      </c>
      <c r="C127" s="15" t="n">
        <v>0.9352703255441575</v>
      </c>
    </row>
    <row r="128">
      <c r="A128" t="inlineStr">
        <is>
          <t>Base-case 12-month value</t>
        </is>
      </c>
      <c r="C128" s="24">
        <f>MAX(0,$C$126*(1+$C$94)-$C$127)</f>
        <v/>
      </c>
    </row>
    <row r="129">
      <c r="A129" t="inlineStr">
        <is>
          <t>Bear probability</t>
        </is>
      </c>
      <c r="C129" s="4" t="n">
        <v>0.25</v>
      </c>
    </row>
    <row r="130">
      <c r="A130" t="inlineStr">
        <is>
          <t>Bear 12-month value (engine)</t>
        </is>
      </c>
      <c r="C130" s="15" t="n">
        <v>105.3861498154375</v>
      </c>
    </row>
    <row r="131">
      <c r="A131" t="inlineStr">
        <is>
          <t>Base probability</t>
        </is>
      </c>
      <c r="C131" s="4" t="n">
        <v>0.5</v>
      </c>
    </row>
    <row r="132">
      <c r="A132" t="inlineStr">
        <is>
          <t>Bull probability</t>
        </is>
      </c>
      <c r="C132" s="4" t="n">
        <v>0.25</v>
      </c>
    </row>
    <row r="133">
      <c r="A133" t="inlineStr">
        <is>
          <t>Bull 12-month value (engine)</t>
        </is>
      </c>
      <c r="C133" s="15" t="n">
        <v>147.3113773464042</v>
      </c>
    </row>
    <row r="134">
      <c r="A134" t="inlineStr">
        <is>
          <t>Probability-weighted 12-month value</t>
        </is>
      </c>
      <c r="C134" s="24">
        <f>$C$129*$C$130+$C$131*$C$128+$C$132*$C$133</f>
        <v/>
      </c>
    </row>
    <row r="135">
      <c r="A135" t="inlineStr">
        <is>
          <t>Liquidity discount (limits.yaml)</t>
        </is>
      </c>
      <c r="C135" s="4" t="n">
        <v>0</v>
      </c>
    </row>
    <row r="136">
      <c r="A136" t="inlineStr">
        <is>
          <t>Fundamental 12-month value (after liquidity discount)</t>
        </is>
      </c>
      <c r="C136" s="24">
        <f>$C$134*(1-$C$135)</f>
        <v/>
      </c>
    </row>
    <row r="137">
      <c r="A137" t="inlineStr">
        <is>
          <t>Konglo lens: price / fundamental value today (engine)</t>
        </is>
      </c>
      <c r="C137" s="18" t="n">
        <v>3.877952</v>
      </c>
    </row>
    <row r="138">
      <c r="A138" t="inlineStr">
        <is>
          <t>Regime bear: probability (konglo deck)</t>
        </is>
      </c>
      <c r="C138" s="4" t="n">
        <v>0.25</v>
      </c>
    </row>
    <row r="139">
      <c r="A139" t="inlineStr">
        <is>
          <t>Regime bear: share of the log gap closed in 12 months</t>
        </is>
      </c>
      <c r="C139" s="4" t="n">
        <v>0.75</v>
      </c>
    </row>
    <row r="140">
      <c r="A140" t="inlineStr">
        <is>
          <t>Regime base: probability (konglo deck)</t>
        </is>
      </c>
      <c r="C140" s="4" t="n">
        <v>0.5</v>
      </c>
    </row>
    <row r="141">
      <c r="A141" t="inlineStr">
        <is>
          <t>Regime base: share of the log gap closed in 12 months</t>
        </is>
      </c>
      <c r="C141" s="4" t="n">
        <v>0.35</v>
      </c>
    </row>
    <row r="142">
      <c r="A142" t="inlineStr">
        <is>
          <t>Regime bull: probability (konglo deck)</t>
        </is>
      </c>
      <c r="C142" s="4" t="n">
        <v>0.25</v>
      </c>
    </row>
    <row r="143">
      <c r="A143" t="inlineStr">
        <is>
          <t>Regime bull: share of the log gap closed in 12 months</t>
        </is>
      </c>
      <c r="C143" s="4" t="n">
        <v>-0.1</v>
      </c>
    </row>
    <row r="144">
      <c r="A144" t="inlineStr">
        <is>
          <t>Share of today's premium kept (probability-weighted)</t>
        </is>
      </c>
      <c r="C144" s="25">
        <f>$C$138*$C$137^(1-$C$139)+$C$140*$C$137^(1-$C$141)+$C$142*$C$137^(1-$C$143)</f>
        <v/>
      </c>
    </row>
    <row r="145">
      <c r="A145" t="inlineStr">
        <is>
          <t>TARGET PRICE (IDR) — konglo lens</t>
        </is>
      </c>
      <c r="C145" s="26">
        <f>$C$136*$C$144</f>
        <v/>
      </c>
    </row>
    <row r="146">
      <c r="A146" t="inlineStr">
        <is>
          <t>Expected 12-month total return</t>
        </is>
      </c>
      <c r="C146" s="27">
        <f>($C$145+$C$127)/$C$76-1</f>
        <v/>
      </c>
    </row>
    <row r="147">
      <c r="A147" t="inlineStr">
        <is>
          <t>Rating</t>
        </is>
      </c>
      <c r="C147" s="28">
        <f>IF($C$146&gt;=0.25,"BUY",IF($C$146&gt;=0.1,"ADD",IF($C$146&lt;=-0.25,"SELL",IF($C$146&lt;=-0.1,"REDUCE","HOLD"))))</f>
        <v/>
      </c>
    </row>
    <row r="149">
      <c r="A149" s="1" t="inlineStr">
        <is>
          <t>DCF value per share vs WACC and terminal growth (engine values)</t>
        </is>
      </c>
    </row>
    <row r="150">
      <c r="A150" s="5" t="inlineStr">
        <is>
          <t>rows: Terminal growth (+/- pp) · columns: WACC (+/- pp)</t>
        </is>
      </c>
      <c r="D150" s="1" t="n">
        <v>-0.01</v>
      </c>
      <c r="E150" s="1" t="n">
        <v>-0.005</v>
      </c>
      <c r="F150" s="1" t="n">
        <v>0</v>
      </c>
      <c r="G150" s="1" t="n">
        <v>0.005</v>
      </c>
      <c r="H150" s="1" t="n">
        <v>0.01</v>
      </c>
    </row>
    <row r="151">
      <c r="C151" s="1" t="n">
        <v>-0.01</v>
      </c>
      <c r="D151" s="24" t="n">
        <v>89.184899</v>
      </c>
      <c r="E151" s="24" t="n">
        <v>84.676474</v>
      </c>
      <c r="F151" s="24" t="n">
        <v>80.804665</v>
      </c>
      <c r="G151" s="24" t="n">
        <v>77.452799</v>
      </c>
      <c r="H151" s="24" t="n">
        <v>74.530569</v>
      </c>
    </row>
    <row r="152">
      <c r="C152" s="1" t="n">
        <v>-0.005</v>
      </c>
      <c r="D152" s="24" t="n">
        <v>91.010469</v>
      </c>
      <c r="E152" s="24" t="n">
        <v>86.129261</v>
      </c>
      <c r="F152" s="24" t="n">
        <v>81.97256</v>
      </c>
      <c r="G152" s="24" t="n">
        <v>78.400054</v>
      </c>
      <c r="H152" s="24" t="n">
        <v>75.304942</v>
      </c>
    </row>
    <row r="153">
      <c r="C153" s="1" t="n">
        <v>0</v>
      </c>
      <c r="D153" s="24" t="n">
        <v>93.14355999999999</v>
      </c>
      <c r="E153" s="24" t="n">
        <v>87.80776299999999</v>
      </c>
      <c r="F153" s="24" t="n">
        <v>83.30882699999999</v>
      </c>
      <c r="G153" s="24" t="n">
        <v>79.47469</v>
      </c>
      <c r="H153" s="24" t="n">
        <v>76.17688699999999</v>
      </c>
    </row>
    <row r="154">
      <c r="C154" s="1" t="n">
        <v>0.005</v>
      </c>
      <c r="D154" s="24" t="n">
        <v>95.66902399999999</v>
      </c>
      <c r="E154" s="24" t="n">
        <v>89.769013</v>
      </c>
      <c r="F154" s="24" t="n">
        <v>84.852706</v>
      </c>
      <c r="G154" s="24" t="n">
        <v>80.70425299999999</v>
      </c>
      <c r="H154" s="24" t="n">
        <v>77.16608600000001</v>
      </c>
    </row>
    <row r="155">
      <c r="C155" s="1" t="n">
        <v>0.01</v>
      </c>
      <c r="D155" s="24" t="n">
        <v>98.706091</v>
      </c>
      <c r="E155" s="24" t="n">
        <v>92.091027</v>
      </c>
      <c r="F155" s="24" t="n">
        <v>86.656655</v>
      </c>
      <c r="G155" s="24" t="n">
        <v>82.12485</v>
      </c>
      <c r="H155" s="24" t="n">
        <v>78.297895</v>
      </c>
    </row>
    <row r="157">
      <c r="A157" s="1" t="inlineStr">
        <is>
          <t>12-month value vs revenue growth and gross margin (engine values)</t>
        </is>
      </c>
    </row>
    <row r="158">
      <c r="A158" s="5" t="inlineStr">
        <is>
          <t>rows: Gross margin (+/- pp) · columns: Revenue growth (+/- pp, every year)</t>
        </is>
      </c>
      <c r="D158" s="1" t="n">
        <v>-0.04</v>
      </c>
      <c r="E158" s="1" t="n">
        <v>-0.02</v>
      </c>
      <c r="F158" s="1" t="n">
        <v>0</v>
      </c>
      <c r="G158" s="1" t="n">
        <v>0.02</v>
      </c>
      <c r="H158" s="1" t="n">
        <v>0.04</v>
      </c>
    </row>
    <row r="159">
      <c r="C159" s="1" t="n">
        <v>-0.02</v>
      </c>
      <c r="D159" s="24" t="n">
        <v>105.38615</v>
      </c>
      <c r="E159" s="24" t="n">
        <v>108.474541</v>
      </c>
      <c r="F159" s="24" t="n">
        <v>112.876604</v>
      </c>
      <c r="G159" s="24" t="n">
        <v>119.052859</v>
      </c>
      <c r="H159" s="24" t="n">
        <v>127.61766</v>
      </c>
    </row>
    <row r="160">
      <c r="C160" s="1" t="n">
        <v>-0.01</v>
      </c>
      <c r="D160" s="24" t="n">
        <v>107.199601</v>
      </c>
      <c r="E160" s="24" t="n">
        <v>110.764717</v>
      </c>
      <c r="F160" s="24" t="n">
        <v>115.803003</v>
      </c>
      <c r="G160" s="24" t="n">
        <v>122.831584</v>
      </c>
      <c r="H160" s="24" t="n">
        <v>132.54109</v>
      </c>
    </row>
    <row r="161">
      <c r="C161" s="1" t="n">
        <v>0</v>
      </c>
      <c r="D161" s="24" t="n">
        <v>109.013052</v>
      </c>
      <c r="E161" s="24" t="n">
        <v>113.054894</v>
      </c>
      <c r="F161" s="24" t="n">
        <v>118.729402</v>
      </c>
      <c r="G161" s="24" t="n">
        <v>126.610308</v>
      </c>
      <c r="H161" s="24" t="n">
        <v>137.464519</v>
      </c>
    </row>
    <row r="162">
      <c r="C162" s="1" t="n">
        <v>0.01</v>
      </c>
      <c r="D162" s="24" t="n">
        <v>110.826503</v>
      </c>
      <c r="E162" s="24" t="n">
        <v>115.34507</v>
      </c>
      <c r="F162" s="24" t="n">
        <v>121.655801</v>
      </c>
      <c r="G162" s="24" t="n">
        <v>130.389033</v>
      </c>
      <c r="H162" s="24" t="n">
        <v>142.387948</v>
      </c>
    </row>
    <row r="163">
      <c r="C163" s="1" t="n">
        <v>0.02</v>
      </c>
      <c r="D163" s="24" t="n">
        <v>112.639954</v>
      </c>
      <c r="E163" s="24" t="n">
        <v>117.635247</v>
      </c>
      <c r="F163" s="24" t="n">
        <v>124.5822</v>
      </c>
      <c r="G163" s="24" t="n">
        <v>134.167758</v>
      </c>
      <c r="H163" s="24" t="n">
        <v>147.311377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2026-10-29T16:12:35Z</dcterms:created>
  <dcterms:modified xsi:type="dcterms:W3CDTF">2026-10-29T16:12:35Z</dcterms:modified>
</cp:coreProperties>
</file>