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vers" sheetId="2" state="visible" r:id="rId2"/>
    <sheet name="Comps" sheetId="3" state="visible" r:id="rId3"/>
    <sheet name="JARR" sheetId="4" state="visible" r:id="rId4"/>
    <sheet name="PG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0.0%;(0.0%);&quot;-&quot;"/>
    <numFmt numFmtId="166" formatCode="#,##0.0;(#,##0.0);&quot;-&quot;"/>
    <numFmt numFmtId="167" formatCode="0.00;(0.00);&quot;-&quot;"/>
    <numFmt numFmtId="168" formatCode="#,##0;(#,##0);&quot;-&quot;"/>
    <numFmt numFmtId="169" formatCode="0.0&quot;x&quot;;(0.0&quot;x&quot;);&quot;-&quot;"/>
    <numFmt numFmtId="170" formatCode="#,##0.000;(#,##0.000);&quot;-&quot;"/>
  </numFmts>
  <fonts count="8">
    <font>
      <name val="Calibri"/>
      <family val="2"/>
      <color theme="1"/>
      <sz val="11"/>
      <scheme val="minor"/>
    </font>
    <font>
      <b val="1"/>
    </font>
    <font>
      <color rgb="FF0000FF"/>
    </font>
    <font>
      <color rgb="FF6B7280"/>
    </font>
    <font>
      <b val="1"/>
      <sz val="12"/>
    </font>
    <font>
      <color rgb="FF000000"/>
    </font>
    <font>
      <color rgb="FF008000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168" fontId="6" fillId="0" borderId="0" pivotButton="0" quotePrefix="0" xfId="0"/>
    <xf numFmtId="165" fontId="6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6" fontId="5" fillId="0" borderId="0" pivotButton="0" quotePrefix="0" xfId="0"/>
    <xf numFmtId="164" fontId="6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7" fontId="5" fillId="0" borderId="0" pivotButton="0" quotePrefix="0" xfId="0"/>
    <xf numFmtId="166" fontId="6" fillId="0" borderId="0" pivotButton="0" quotePrefix="0" xfId="0"/>
    <xf numFmtId="168" fontId="2" fillId="0" borderId="0" pivotButton="0" quotePrefix="0" xfId="0"/>
    <xf numFmtId="168" fontId="5" fillId="0" borderId="0" pivotButton="0" quotePrefix="0" xfId="0"/>
    <xf numFmtId="169" fontId="2" fillId="0" borderId="0" pivotButton="0" quotePrefix="0" xfId="0"/>
    <xf numFmtId="169" fontId="5" fillId="0" borderId="0" pivotButton="0" quotePrefix="0" xfId="0"/>
    <xf numFmtId="170" fontId="2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168" fontId="1" fillId="0" borderId="0" pivotButton="0" quotePrefix="0" xfId="0"/>
    <xf numFmtId="165" fontId="1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Six South — Plantations (palm oil) industry model</t>
        </is>
      </c>
    </row>
    <row r="2">
      <c r="A2" s="2" t="inlineStr">
        <is>
          <t>Generated 2026-10-30T01:56:00+07:00 by the coverage engine. The engine (scripts/cov_engine.py) is the source of truth; this workbook is a live rendering of it.</t>
        </is>
      </c>
    </row>
    <row r="3">
      <c r="A3" s="2" t="inlineStr">
        <is>
          <t>Colour key: blue = input or hard-coded history; black = formula; green = link to another sheet.</t>
        </is>
      </c>
    </row>
    <row r="4">
      <c r="A4" s="2" t="inlineStr">
        <is>
          <t>Drivers: every deck variable these models read. Change one and every ticker tab and the Comps sheet recalculate (forecasts, cash flows, DCF value, base-case value, target, rating).</t>
        </is>
      </c>
    </row>
    <row r="5">
      <c r="A5" s="2" t="inlineStr">
        <is>
          <t>Scenario (bear/bull) and sensitivity tables need full model re-runs and are engine values.</t>
        </is>
      </c>
    </row>
    <row r="6">
      <c r="A6" s="2" t="inlineStr">
        <is>
          <t>Paper fund — research for education and process transparency, not investment advice.</t>
        </is>
      </c>
    </row>
    <row r="7">
      <c r="A7" s="2" t="inlineStr"/>
    </row>
    <row r="8">
      <c r="A8" s="1" t="inlineStr">
        <is>
          <t>Tickers:</t>
        </is>
      </c>
    </row>
    <row r="9">
      <c r="A9" t="inlineStr">
        <is>
          <t>JARR.JK — PT Jhonlin Agro Raya Tbk</t>
        </is>
      </c>
    </row>
    <row r="10">
      <c r="A10" t="inlineStr">
        <is>
          <t>PGUN.JK — PT Pradiksi Gunatama Tbk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</cols>
  <sheetData>
    <row r="1">
      <c r="A1" s="1" t="inlineStr">
        <is>
          <t>Driver decks (state/drivers) — edit a blue cell to flow it through every ticker tab</t>
        </is>
      </c>
    </row>
    <row r="3">
      <c r="A3" s="1" t="inlineStr">
        <is>
          <t>Variable</t>
        </is>
      </c>
      <c r="B3" s="1" t="inlineStr">
        <is>
          <t>Key</t>
        </is>
      </c>
      <c r="C3" s="1" t="inlineStr">
        <is>
          <t>Unit / status</t>
        </is>
      </c>
      <c r="D3" s="1" t="inlineStr">
        <is>
          <t>FY2022A</t>
        </is>
      </c>
      <c r="E3" s="1" t="inlineStr">
        <is>
          <t>FY2023A</t>
        </is>
      </c>
      <c r="F3" s="1" t="inlineStr">
        <is>
          <t>FY2024A</t>
        </is>
      </c>
      <c r="G3" s="1" t="inlineStr">
        <is>
          <t>FY2025A</t>
        </is>
      </c>
      <c r="H3" s="1" t="inlineStr">
        <is>
          <t>FY2026E</t>
        </is>
      </c>
      <c r="I3" s="1" t="inlineStr">
        <is>
          <t>FY2027E</t>
        </is>
      </c>
      <c r="J3" s="1" t="inlineStr">
        <is>
          <t>FY2028E</t>
        </is>
      </c>
      <c r="K3" s="1" t="inlineStr">
        <is>
          <t>FY2029E</t>
        </is>
      </c>
      <c r="L3" s="1" t="inlineStr">
        <is>
          <t>FY2030E</t>
        </is>
      </c>
      <c r="M3" s="1" t="inlineStr">
        <is>
          <t>FY2031E</t>
        </is>
      </c>
      <c r="N3" s="1" t="inlineStr">
        <is>
          <t>FY2032E</t>
        </is>
      </c>
      <c r="O3" s="1" t="inlineStr">
        <is>
          <t>FY2033E</t>
        </is>
      </c>
      <c r="P3" s="1" t="inlineStr">
        <is>
          <t>FY2034E</t>
        </is>
      </c>
      <c r="Q3" s="1" t="inlineStr">
        <is>
          <t>FY2035E</t>
        </is>
      </c>
    </row>
    <row r="4">
      <c r="A4" t="inlineStr">
        <is>
          <t>Crude palm oil (benchmark)</t>
        </is>
      </c>
      <c r="B4" t="inlineStr">
        <is>
          <t>d.agri.cpo</t>
        </is>
      </c>
      <c r="C4" t="inlineStr">
        <is>
          <t>USD/t · reviewed</t>
        </is>
      </c>
      <c r="D4" s="3" t="n"/>
      <c r="E4" s="3" t="n">
        <v>886</v>
      </c>
      <c r="F4" s="3" t="n">
        <v>963</v>
      </c>
      <c r="G4" s="3" t="n">
        <v>1007</v>
      </c>
      <c r="H4" s="3" t="n">
        <v>1135</v>
      </c>
      <c r="I4" s="3" t="n">
        <v>1240</v>
      </c>
      <c r="J4" s="3" t="n">
        <v>1210</v>
      </c>
      <c r="K4" s="3" t="n">
        <v>1180</v>
      </c>
      <c r="L4" s="3" t="n">
        <v>1178.75</v>
      </c>
      <c r="M4" s="3" t="n">
        <v>1208.21875</v>
      </c>
      <c r="N4" s="3" t="n">
        <v>1238.42421875</v>
      </c>
      <c r="O4" s="3" t="n">
        <v>1269.384824218749</v>
      </c>
      <c r="P4" s="3" t="n">
        <v>1301.119444824218</v>
      </c>
      <c r="Q4" s="3" t="n">
        <v>1333.647430944824</v>
      </c>
    </row>
    <row r="5">
      <c r="A5" t="inlineStr">
        <is>
          <t>IDR per USD</t>
        </is>
      </c>
      <c r="B5" t="inlineStr">
        <is>
          <t>m.usd_idr</t>
        </is>
      </c>
      <c r="C5" t="inlineStr">
        <is>
          <t>IDR/USD · reviewed</t>
        </is>
      </c>
      <c r="D5" s="3" t="n">
        <v>14843.1773</v>
      </c>
      <c r="E5" s="3" t="n">
        <v>15228.8</v>
      </c>
      <c r="F5" s="3" t="n">
        <v>15846.2378</v>
      </c>
      <c r="G5" s="3" t="n">
        <v>16448.0929</v>
      </c>
      <c r="H5" s="3" t="n">
        <v>17570</v>
      </c>
      <c r="I5" s="3" t="n">
        <v>18350</v>
      </c>
      <c r="J5" s="3" t="n">
        <v>18600</v>
      </c>
      <c r="K5" s="3" t="n">
        <v>18850</v>
      </c>
      <c r="L5" s="3" t="n">
        <v>19093.13725490196</v>
      </c>
      <c r="M5" s="3" t="n">
        <v>19186.73106497501</v>
      </c>
      <c r="N5" s="3" t="n">
        <v>19280.78366823469</v>
      </c>
      <c r="O5" s="3" t="n">
        <v>19375.29731366722</v>
      </c>
      <c r="P5" s="3" t="n">
        <v>19470.27426128323</v>
      </c>
      <c r="Q5" s="3" t="n">
        <v>19565.71678217187</v>
      </c>
    </row>
    <row r="7">
      <c r="A7" s="1" t="inlineStr">
        <is>
          <t>Cost-of-capital scalars (macro deck)</t>
        </is>
      </c>
    </row>
    <row r="8">
      <c r="A8" t="inlineStr">
        <is>
          <t>10-year Indonesian government bond yield (IDR)</t>
        </is>
      </c>
      <c r="B8" t="inlineStr">
        <is>
          <t>m.rf_idr</t>
        </is>
      </c>
      <c r="C8" s="4" t="n">
        <v>0.0745</v>
      </c>
      <c r="D8" s="5" t="inlineStr">
        <is>
          <t>investor.id — "Yield SUN 7,45%, Saatnya Borong atau Tunggu Lebih Tinggi?" (25 Okt 2026 20:58 WIB; deck source S3); corroborated by kalderanews S1 (10Y SUN 7.41%</t>
        </is>
      </c>
    </row>
    <row r="9">
      <c r="A9" t="inlineStr">
        <is>
          <t>10-year US Treasury yield</t>
        </is>
      </c>
      <c r="B9" t="inlineStr">
        <is>
          <t>m.rf_usd</t>
        </is>
      </c>
      <c r="C9" s="4" t="n">
        <v>0.05009</v>
      </c>
      <c r="D9" s="5" t="inlineStr">
        <is>
          <t>Yahoo Finance ^TNX (US 10-year Treasury yield)</t>
        </is>
      </c>
    </row>
    <row r="10">
      <c r="A10" t="inlineStr">
        <is>
          <t>Indonesia sovereign default spread (Damodaran)</t>
        </is>
      </c>
      <c r="B10" t="inlineStr">
        <is>
          <t>m.default_spread_id</t>
        </is>
      </c>
      <c r="C10" s="4" t="n">
        <v>0.0162</v>
      </c>
      <c r="D10" s="5" t="inlineStr">
        <is>
          <t>Damodaran country risk premiums (https://pages.stern.nyu.edu/~adamodar/New_Home_Page/datafile/ctryprem.html), page dated January 5, 2026, read 2026-10-29</t>
        </is>
      </c>
    </row>
    <row r="11">
      <c r="A11" t="inlineStr">
        <is>
          <t>Mature-market equity risk premium (Damodaran)</t>
        </is>
      </c>
      <c r="B11" t="inlineStr">
        <is>
          <t>m.erp_mature</t>
        </is>
      </c>
      <c r="C11" s="4" t="n">
        <v>0.0423</v>
      </c>
      <c r="D11" s="5" t="inlineStr">
        <is>
          <t>Damodaran country risk premiums (https://pages.stern.nyu.edu/~adamodar/New_Home_Page/datafile/ctryprem.html), page dated January 5, 2026, read 2026-10-29</t>
        </is>
      </c>
    </row>
    <row r="12">
      <c r="A12" t="inlineStr">
        <is>
          <t>Indonesia country risk premium (Damodaran)</t>
        </is>
      </c>
      <c r="B12" t="inlineStr">
        <is>
          <t>m.crp_id</t>
        </is>
      </c>
      <c r="C12" s="4" t="n">
        <v>0.0246</v>
      </c>
      <c r="D12" s="5" t="inlineStr">
        <is>
          <t>Damodaran country risk premiums (https://pages.stern.nyu.edu/~adamodar/New_Home_Page/datafile/ctryprem.html), page dated January 5, 2026, read 2026-10-29</t>
        </is>
      </c>
    </row>
    <row r="13">
      <c r="A13" t="inlineStr">
        <is>
          <t>House pre-tax corporate debt spread over the risk-free</t>
        </is>
      </c>
      <c r="B13" t="inlineStr">
        <is>
          <t>m.debt_spread_corp</t>
        </is>
      </c>
      <c r="C13" s="4" t="n">
        <v>0.02</v>
      </c>
      <c r="D13" s="5" t="inlineStr">
        <is>
          <t>SEED house assumption pending the macro desk: 200 bp over the risk-free rate for an average IDX corporate borrower</t>
        </is>
      </c>
    </row>
    <row r="14">
      <c r="A14" t="inlineStr">
        <is>
          <t>Indonesia statutory corporate income tax rate</t>
        </is>
      </c>
      <c r="B14" t="inlineStr">
        <is>
          <t>m.tax_rate_id</t>
        </is>
      </c>
      <c r="C14" s="4" t="n">
        <v>0.22</v>
      </c>
      <c r="D14" s="5" t="inlineStr">
        <is>
          <t>Law 7/2021 on Harmonisation of Tax Regulations (UU HPP): 22% corporate income tax from fiscal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Rating</t>
        </is>
      </c>
      <c r="D1" s="1" t="inlineStr">
        <is>
          <t>Target (IDR)</t>
        </is>
      </c>
      <c r="E1" s="1" t="inlineStr">
        <is>
          <t>Price (IDR)</t>
        </is>
      </c>
      <c r="F1" s="1" t="inlineStr">
        <is>
          <t>Exp. 12m TR</t>
        </is>
      </c>
      <c r="G1" s="1" t="inlineStr">
        <is>
          <t>Value today</t>
        </is>
      </c>
      <c r="H1" s="1" t="inlineStr">
        <is>
          <t>P/E FY+0</t>
        </is>
      </c>
      <c r="I1" s="1" t="inlineStr">
        <is>
          <t>EV/EBITDA FY+0</t>
        </is>
      </c>
      <c r="J1" s="1" t="inlineStr">
        <is>
          <t>Div. yield FY+0</t>
        </is>
      </c>
    </row>
    <row r="2">
      <c r="A2" t="inlineStr">
        <is>
          <t>JARR.JK</t>
        </is>
      </c>
      <c r="B2" t="inlineStr">
        <is>
          <t>PT Jhonlin Agro Raya Tbk</t>
        </is>
      </c>
      <c r="C2" s="6">
        <f>'JARR'!$C$173</f>
        <v/>
      </c>
      <c r="D2" s="7">
        <f>'JARR'!$C$171</f>
        <v/>
      </c>
      <c r="E2" s="7">
        <f>'JARR'!$C$102</f>
        <v/>
      </c>
      <c r="F2" s="8">
        <f>'JARR'!$C$172</f>
        <v/>
      </c>
      <c r="G2" s="7">
        <f>'JARR'!$C$152</f>
        <v/>
      </c>
      <c r="H2" s="9" t="n">
        <v>54.645711</v>
      </c>
      <c r="I2" s="9" t="n">
        <v>29.428938</v>
      </c>
      <c r="J2" s="10" t="n">
        <v>0.00366</v>
      </c>
    </row>
    <row r="3">
      <c r="A3" t="inlineStr">
        <is>
          <t>PGUN.JK</t>
        </is>
      </c>
      <c r="B3" t="inlineStr">
        <is>
          <t>PT Pradiksi Gunatama Tbk</t>
        </is>
      </c>
      <c r="C3" s="6">
        <f>'PGUN'!$C$173</f>
        <v/>
      </c>
      <c r="D3" s="7">
        <f>'PGUN'!$C$171</f>
        <v/>
      </c>
      <c r="E3" s="7">
        <f>'PGUN'!$C$102</f>
        <v/>
      </c>
      <c r="F3" s="8">
        <f>'PGUN'!$C$172</f>
        <v/>
      </c>
      <c r="G3" s="7">
        <f>'PGUN'!$C$152</f>
        <v/>
      </c>
      <c r="H3" s="9" t="n">
        <v>256.257768</v>
      </c>
      <c r="I3" s="9" t="n">
        <v>123.937781</v>
      </c>
      <c r="J3" s="10" t="n">
        <v>0.000976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Jhonlin Agro Raya Tbk (JARR.JK) — Plantations (palm oil)</t>
        </is>
      </c>
    </row>
    <row r="2">
      <c r="A2" s="5" t="inlineStr">
        <is>
          <t>Units: IDR bn; per-share in IDR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12" t="n">
        <v>10</v>
      </c>
    </row>
    <row r="8">
      <c r="A8" t="inlineStr">
        <is>
          <t>ps_factor</t>
        </is>
      </c>
      <c r="C8" s="12" t="n">
        <v>1000</v>
      </c>
    </row>
    <row r="9">
      <c r="A9" t="inlineStr">
        <is>
          <t>reserves</t>
        </is>
      </c>
      <c r="C9" s="12" t="n">
        <v>0</v>
      </c>
    </row>
    <row r="10">
      <c r="A10" t="inlineStr">
        <is>
          <t>unit_factor</t>
        </is>
      </c>
      <c r="C10" s="12" t="n">
        <v>0.001</v>
      </c>
    </row>
    <row r="11">
      <c r="A11" t="inlineStr">
        <is>
          <t>vp_factor</t>
        </is>
      </c>
      <c r="C11" s="12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220.269227</v>
      </c>
      <c r="I14" s="13" t="n">
        <v>220.269227</v>
      </c>
      <c r="J14" s="13" t="n">
        <v>220.269227</v>
      </c>
      <c r="K14" s="13" t="n">
        <v>220.269227</v>
      </c>
      <c r="L14" s="13" t="n">
        <v>220.269227</v>
      </c>
      <c r="M14" s="13" t="n">
        <v>220.269227</v>
      </c>
      <c r="N14" s="13" t="n">
        <v>220.269227</v>
      </c>
      <c r="O14" s="13" t="n">
        <v>220.269227</v>
      </c>
      <c r="P14" s="13" t="n">
        <v>220.269227</v>
      </c>
      <c r="Q14" s="13" t="n">
        <v>220.269227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1.1</v>
      </c>
      <c r="I15" s="14" t="n">
        <v>1.1</v>
      </c>
      <c r="J15" s="14" t="n">
        <v>1.1</v>
      </c>
      <c r="K15" s="14" t="n">
        <v>1.1</v>
      </c>
      <c r="L15" s="14" t="n">
        <v>1.1</v>
      </c>
      <c r="M15" s="14" t="n">
        <v>1.1</v>
      </c>
      <c r="N15" s="14" t="n">
        <v>1.1</v>
      </c>
      <c r="O15" s="14" t="n">
        <v>1.1</v>
      </c>
      <c r="P15" s="14" t="n">
        <v>1.1</v>
      </c>
      <c r="Q15" s="14" t="n">
        <v>1.1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1</v>
      </c>
      <c r="I17" s="14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14" t="n">
        <v>1</v>
      </c>
      <c r="O17" s="14" t="n">
        <v>1</v>
      </c>
      <c r="P17" s="14" t="n">
        <v>1</v>
      </c>
      <c r="Q17" s="14" t="n">
        <v>1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15269332</v>
      </c>
      <c r="I18" s="3" t="n">
        <v>15269332</v>
      </c>
      <c r="J18" s="3" t="n">
        <v>15269332</v>
      </c>
      <c r="K18" s="3" t="n">
        <v>15269332</v>
      </c>
      <c r="L18" s="3" t="n">
        <v>15269332</v>
      </c>
      <c r="M18" s="3" t="n">
        <v>15651065.3</v>
      </c>
      <c r="N18" s="3" t="n">
        <v>16042341.9325</v>
      </c>
      <c r="O18" s="3" t="n">
        <v>16443400.4808125</v>
      </c>
      <c r="P18" s="3" t="n">
        <v>16854485.49283281</v>
      </c>
      <c r="Q18" s="3" t="n">
        <v>17275847.63015362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0.75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0</v>
      </c>
      <c r="I20" s="3" t="n">
        <v>95433.3</v>
      </c>
      <c r="J20" s="3" t="n">
        <v>193252.5</v>
      </c>
      <c r="K20" s="3" t="n">
        <v>293517.1</v>
      </c>
      <c r="L20" s="3" t="n">
        <v>396288.4</v>
      </c>
      <c r="M20" s="3" t="n">
        <v>501628.9</v>
      </c>
      <c r="N20" s="3" t="n">
        <v>609603</v>
      </c>
      <c r="O20" s="3" t="n">
        <v>720276.4</v>
      </c>
      <c r="P20" s="3" t="n">
        <v>833716.6</v>
      </c>
      <c r="Q20" s="3" t="n">
        <v>949992.8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750132</v>
      </c>
      <c r="I24" s="3" t="n">
        <v>750132</v>
      </c>
      <c r="J24" s="3" t="n">
        <v>750132</v>
      </c>
      <c r="K24" s="3" t="n">
        <v>750132</v>
      </c>
      <c r="L24" s="3" t="n">
        <v>750132</v>
      </c>
      <c r="M24" s="3" t="n">
        <v>768885.2999999999</v>
      </c>
      <c r="N24" s="3" t="n">
        <v>788107.4325</v>
      </c>
      <c r="O24" s="3" t="n">
        <v>807810.1183124997</v>
      </c>
      <c r="P24" s="3" t="n">
        <v>828005.3712703121</v>
      </c>
      <c r="Q24" s="3" t="n">
        <v>848705.5055520699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664873</v>
      </c>
      <c r="I25" s="3" t="n">
        <v>664873</v>
      </c>
      <c r="J25" s="3" t="n">
        <v>664873</v>
      </c>
      <c r="K25" s="3" t="n">
        <v>664873</v>
      </c>
      <c r="L25" s="3" t="n">
        <v>664873</v>
      </c>
      <c r="M25" s="3" t="n">
        <v>681494.825</v>
      </c>
      <c r="N25" s="3" t="n">
        <v>698532.1956249999</v>
      </c>
      <c r="O25" s="3" t="n">
        <v>715995.5005156248</v>
      </c>
      <c r="P25" s="3" t="n">
        <v>733895.3880285153</v>
      </c>
      <c r="Q25" s="3" t="n">
        <v>752242.7727292281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0.2712</v>
      </c>
      <c r="I27" s="4" t="n">
        <v>0.2712</v>
      </c>
      <c r="J27" s="4" t="n">
        <v>0.2712</v>
      </c>
      <c r="K27" s="4" t="n">
        <v>0.2712</v>
      </c>
      <c r="L27" s="4" t="n">
        <v>0.2712</v>
      </c>
      <c r="M27" s="4" t="n">
        <v>0.2712</v>
      </c>
      <c r="N27" s="4" t="n">
        <v>0.2712</v>
      </c>
      <c r="O27" s="4" t="n">
        <v>0.2712</v>
      </c>
      <c r="P27" s="4" t="n">
        <v>0.2712</v>
      </c>
      <c r="Q27" s="4" t="n">
        <v>0.2712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0.2186</v>
      </c>
      <c r="I28" s="4" t="n">
        <v>0.2186</v>
      </c>
      <c r="J28" s="4" t="n">
        <v>0.2186</v>
      </c>
      <c r="K28" s="4" t="n">
        <v>0.2186</v>
      </c>
      <c r="L28" s="4" t="n">
        <v>0.2186</v>
      </c>
      <c r="M28" s="4" t="n">
        <v>0.2186</v>
      </c>
      <c r="N28" s="4" t="n">
        <v>0.2186</v>
      </c>
      <c r="O28" s="4" t="n">
        <v>0.2186</v>
      </c>
      <c r="P28" s="4" t="n">
        <v>0.2186</v>
      </c>
      <c r="Q28" s="4" t="n">
        <v>0.2186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0.0667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0.01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0.2</v>
      </c>
      <c r="I34" s="4" t="n">
        <v>0.2</v>
      </c>
      <c r="J34" s="4" t="n">
        <v>0.2</v>
      </c>
      <c r="K34" s="4" t="n">
        <v>0.2</v>
      </c>
      <c r="L34" s="4" t="n">
        <v>0.2</v>
      </c>
      <c r="M34" s="4" t="n">
        <v>0.2</v>
      </c>
      <c r="N34" s="4" t="n">
        <v>0.2</v>
      </c>
      <c r="O34" s="4" t="n">
        <v>0.2</v>
      </c>
      <c r="P34" s="4" t="n">
        <v>0.2</v>
      </c>
      <c r="Q34" s="4" t="n">
        <v>0.2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0.04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0.06900000000000001</v>
      </c>
      <c r="I37" s="4" t="n">
        <v>0.06900000000000001</v>
      </c>
      <c r="J37" s="4" t="n">
        <v>0.06900000000000001</v>
      </c>
      <c r="K37" s="4" t="n">
        <v>0.06900000000000001</v>
      </c>
      <c r="L37" s="4" t="n">
        <v>0.06900000000000001</v>
      </c>
      <c r="M37" s="4" t="n">
        <v>0.06900000000000001</v>
      </c>
      <c r="N37" s="4" t="n">
        <v>0.06900000000000001</v>
      </c>
      <c r="O37" s="4" t="n">
        <v>0.06900000000000001</v>
      </c>
      <c r="P37" s="4" t="n">
        <v>0.06900000000000001</v>
      </c>
      <c r="Q37" s="4" t="n">
        <v>0.06900000000000001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/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/>
      <c r="G41" s="13" t="n">
        <v>220.269227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Drivers!$H$4</f>
        <v/>
      </c>
      <c r="I42" s="16">
        <f>Drivers!$I$4</f>
        <v/>
      </c>
      <c r="J42" s="16">
        <f>Drivers!$J$4</f>
        <v/>
      </c>
      <c r="K42" s="16">
        <f>Drivers!$K$4</f>
        <v/>
      </c>
      <c r="L42" s="16">
        <f>Drivers!$L$4</f>
        <v/>
      </c>
      <c r="M42" s="16">
        <f>Drivers!$M$4</f>
        <v/>
      </c>
      <c r="N42" s="16">
        <f>Drivers!$N$4</f>
        <v/>
      </c>
      <c r="O42" s="16">
        <f>Drivers!$O$4</f>
        <v/>
      </c>
      <c r="P42" s="16">
        <f>Drivers!$P$4</f>
        <v/>
      </c>
      <c r="Q42" s="16">
        <f>Drivers!$Q$4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7">
        <f>(H15*H42)</f>
        <v/>
      </c>
      <c r="I43" s="17">
        <f>(I15*I42)</f>
        <v/>
      </c>
      <c r="J43" s="17">
        <f>(J15*J42)</f>
        <v/>
      </c>
      <c r="K43" s="17">
        <f>(K15*K42)</f>
        <v/>
      </c>
      <c r="L43" s="17">
        <f>(L15*L42)</f>
        <v/>
      </c>
      <c r="M43" s="17">
        <f>(M15*M42)</f>
        <v/>
      </c>
      <c r="N43" s="17">
        <f>(N15*N42)</f>
        <v/>
      </c>
      <c r="O43" s="17">
        <f>(O15*O42)</f>
        <v/>
      </c>
      <c r="P43" s="17">
        <f>(P15*P42)</f>
        <v/>
      </c>
      <c r="Q43" s="17">
        <f>(Q15*Q42)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8">
        <f>IF(H42=0,0,H43/H42)</f>
        <v/>
      </c>
      <c r="I44" s="18">
        <f>IF(I42=0,0,I43/I42)</f>
        <v/>
      </c>
      <c r="J44" s="18">
        <f>IF(J42=0,0,J43/J42)</f>
        <v/>
      </c>
      <c r="K44" s="18">
        <f>IF(K42=0,0,K43/K42)</f>
        <v/>
      </c>
      <c r="L44" s="18">
        <f>IF(L42=0,0,L43/L42)</f>
        <v/>
      </c>
      <c r="M44" s="18">
        <f>IF(M42=0,0,M43/M42)</f>
        <v/>
      </c>
      <c r="N44" s="18">
        <f>IF(N42=0,0,N43/N42)</f>
        <v/>
      </c>
      <c r="O44" s="18">
        <f>IF(O42=0,0,O43/O42)</f>
        <v/>
      </c>
      <c r="P44" s="18">
        <f>IF(P42=0,0,P43/P42)</f>
        <v/>
      </c>
      <c r="Q44" s="18">
        <f>IF(Q42=0,0,Q43/Q42)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(((H17*H18)*(1+($C$19*(IF(Drivers!$G$4=0,0,Drivers!$H$4/Drivers!$G$4)-1))))+H20)</f>
        <v/>
      </c>
      <c r="I45" s="16">
        <f>(((I17*I18)*(1+($C$19*(IF(Drivers!$G$4=0,0,Drivers!$I$4/Drivers!$G$4)-1))))+I20)</f>
        <v/>
      </c>
      <c r="J45" s="16">
        <f>(((J17*J18)*(1+($C$19*(IF(Drivers!$G$4=0,0,Drivers!$J$4/Drivers!$G$4)-1))))+J20)</f>
        <v/>
      </c>
      <c r="K45" s="16">
        <f>(((K17*K18)*(1+($C$19*(IF(Drivers!$G$4=0,0,Drivers!$K$4/Drivers!$G$4)-1))))+K20)</f>
        <v/>
      </c>
      <c r="L45" s="16">
        <f>(((L17*L18)*(1+($C$19*(IF(Drivers!$G$4=0,0,Drivers!$L$4/Drivers!$G$4)-1))))+L20)</f>
        <v/>
      </c>
      <c r="M45" s="16">
        <f>(((M17*M18)*(1+($C$19*(IF(Drivers!$G$4=0,0,Drivers!$M$4/Drivers!$G$4)-1))))+M20)</f>
        <v/>
      </c>
      <c r="N45" s="16">
        <f>(((N17*N18)*(1+($C$19*(IF(Drivers!$G$4=0,0,Drivers!$N$4/Drivers!$G$4)-1))))+N20)</f>
        <v/>
      </c>
      <c r="O45" s="16">
        <f>(((O17*O18)*(1+($C$19*(IF(Drivers!$G$4=0,0,Drivers!$O$4/Drivers!$G$4)-1))))+O20)</f>
        <v/>
      </c>
      <c r="P45" s="16">
        <f>(((P17*P18)*(1+($C$19*(IF(Drivers!$G$4=0,0,Drivers!$P$4/Drivers!$G$4)-1))))+P20)</f>
        <v/>
      </c>
      <c r="Q45" s="16">
        <f>(((Q17*Q18)*(1+($C$19*(IF(Drivers!$G$4=0,0,Drivers!$Q$4/Drivers!$G$4)-1))))+Q20)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9">
        <f>H17</f>
        <v/>
      </c>
      <c r="I46" s="19">
        <f>I17</f>
        <v/>
      </c>
      <c r="J46" s="19">
        <f>J17</f>
        <v/>
      </c>
      <c r="K46" s="19">
        <f>K17</f>
        <v/>
      </c>
      <c r="L46" s="19">
        <f>L17</f>
        <v/>
      </c>
      <c r="M46" s="19">
        <f>M17</f>
        <v/>
      </c>
      <c r="N46" s="19">
        <f>N17</f>
        <v/>
      </c>
      <c r="O46" s="19">
        <f>O17</f>
        <v/>
      </c>
      <c r="P46" s="19">
        <f>P17</f>
        <v/>
      </c>
      <c r="Q46" s="19">
        <f>Q17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8">
        <f>H21</f>
        <v/>
      </c>
      <c r="I47" s="18">
        <f>I21</f>
        <v/>
      </c>
      <c r="J47" s="18">
        <f>J21</f>
        <v/>
      </c>
      <c r="K47" s="18">
        <f>K21</f>
        <v/>
      </c>
      <c r="L47" s="18">
        <f>L21</f>
        <v/>
      </c>
      <c r="M47" s="18">
        <f>M21</f>
        <v/>
      </c>
      <c r="N47" s="18">
        <f>N21</f>
        <v/>
      </c>
      <c r="O47" s="18">
        <f>O21</f>
        <v/>
      </c>
      <c r="P47" s="18">
        <f>P21</f>
        <v/>
      </c>
      <c r="Q47" s="18">
        <f>Q21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/>
      <c r="G48" s="3" t="n">
        <v>163.3587584160658</v>
      </c>
      <c r="H48" s="16">
        <f>IF(IF(1000=0,0,((H41*$C$10)*Drivers!$H$5)/1000)=0,0,H61/IF(1000=0,0,((H41*$C$10)*Drivers!$H$5)/1000))</f>
        <v/>
      </c>
      <c r="I48" s="16">
        <f>IF(IF(1000=0,0,((I41*$C$10)*Drivers!$I$5)/1000)=0,0,I61/IF(1000=0,0,((I41*$C$10)*Drivers!$I$5)/1000))</f>
        <v/>
      </c>
      <c r="J48" s="16">
        <f>IF(IF(1000=0,0,((J41*$C$10)*Drivers!$J$5)/1000)=0,0,J61/IF(1000=0,0,((J41*$C$10)*Drivers!$J$5)/1000))</f>
        <v/>
      </c>
      <c r="K48" s="16">
        <f>IF(IF(1000=0,0,((K41*$C$10)*Drivers!$K$5)/1000)=0,0,K61/IF(1000=0,0,((K41*$C$10)*Drivers!$K$5)/1000))</f>
        <v/>
      </c>
      <c r="L48" s="16">
        <f>IF(IF(1000=0,0,((L41*$C$10)*Drivers!$L$5)/1000)=0,0,L61/IF(1000=0,0,((L41*$C$10)*Drivers!$L$5)/1000))</f>
        <v/>
      </c>
      <c r="M48" s="16">
        <f>IF(IF(1000=0,0,((M41*$C$10)*Drivers!$M$5)/1000)=0,0,M61/IF(1000=0,0,((M41*$C$10)*Drivers!$M$5)/1000))</f>
        <v/>
      </c>
      <c r="N48" s="16">
        <f>IF(IF(1000=0,0,((N41*$C$10)*Drivers!$N$5)/1000)=0,0,N61/IF(1000=0,0,((N41*$C$10)*Drivers!$N$5)/1000))</f>
        <v/>
      </c>
      <c r="O48" s="16">
        <f>IF(IF(1000=0,0,((O41*$C$10)*Drivers!$O$5)/1000)=0,0,O61/IF(1000=0,0,((O41*$C$10)*Drivers!$O$5)/1000))</f>
        <v/>
      </c>
      <c r="P48" s="16">
        <f>IF(IF(1000=0,0,((P41*$C$10)*Drivers!$P$5)/1000)=0,0,P61/IF(1000=0,0,((P41*$C$10)*Drivers!$P$5)/1000))</f>
        <v/>
      </c>
      <c r="Q48" s="16">
        <f>IF(IF(1000=0,0,((Q41*$C$10)*Drivers!$Q$5)/1000)=0,0,Q61/IF(1000=0,0,((Q41*$C$10)*Drivers!$Q$5)/1000))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6">
        <f>IF(IF(1000=0,0,((H41*$C$10)*Drivers!$H$5)/1000)=0,0,(H53+H52)/IF(1000=0,0,((H41*$C$10)*Drivers!$H$5)/1000))</f>
        <v/>
      </c>
      <c r="I49" s="16">
        <f>IF(IF(1000=0,0,((I41*$C$10)*Drivers!$I$5)/1000)=0,0,(I53+I52)/IF(1000=0,0,((I41*$C$10)*Drivers!$I$5)/1000))</f>
        <v/>
      </c>
      <c r="J49" s="16">
        <f>IF(IF(1000=0,0,((J41*$C$10)*Drivers!$J$5)/1000)=0,0,(J53+J52)/IF(1000=0,0,((J41*$C$10)*Drivers!$J$5)/1000))</f>
        <v/>
      </c>
      <c r="K49" s="16">
        <f>IF(IF(1000=0,0,((K41*$C$10)*Drivers!$K$5)/1000)=0,0,(K53+K52)/IF(1000=0,0,((K41*$C$10)*Drivers!$K$5)/1000))</f>
        <v/>
      </c>
      <c r="L49" s="16">
        <f>IF(IF(1000=0,0,((L41*$C$10)*Drivers!$L$5)/1000)=0,0,(L53+L52)/IF(1000=0,0,((L41*$C$10)*Drivers!$L$5)/1000))</f>
        <v/>
      </c>
      <c r="M49" s="16">
        <f>IF(IF(1000=0,0,((M41*$C$10)*Drivers!$M$5)/1000)=0,0,(M53+M52)/IF(1000=0,0,((M41*$C$10)*Drivers!$M$5)/1000))</f>
        <v/>
      </c>
      <c r="N49" s="16">
        <f>IF(IF(1000=0,0,((N41*$C$10)*Drivers!$N$5)/1000)=0,0,(N53+N52)/IF(1000=0,0,((N41*$C$10)*Drivers!$N$5)/1000))</f>
        <v/>
      </c>
      <c r="O49" s="16">
        <f>IF(IF(1000=0,0,((O41*$C$10)*Drivers!$O$5)/1000)=0,0,(O53+O52)/IF(1000=0,0,((O41*$C$10)*Drivers!$O$5)/1000))</f>
        <v/>
      </c>
      <c r="P49" s="16">
        <f>IF(IF(1000=0,0,((P41*$C$10)*Drivers!$P$5)/1000)=0,0,(P53+P52)/IF(1000=0,0,((P41*$C$10)*Drivers!$P$5)/1000))</f>
        <v/>
      </c>
      <c r="Q49" s="16">
        <f>IF(IF(1000=0,0,((Q41*$C$10)*Drivers!$Q$5)/1000)=0,0,(Q53+Q52)/IF(1000=0,0,((Q41*$C$10)*Drivers!$Q$5)/1000))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20">
        <f>IF(1000=0,0,(((H41*H43)*$C$10)*Drivers!$H$5)/1000)</f>
        <v/>
      </c>
      <c r="I50" s="20">
        <f>IF(1000=0,0,(((I41*I43)*$C$10)*Drivers!$I$5)/1000)</f>
        <v/>
      </c>
      <c r="J50" s="20">
        <f>IF(1000=0,0,(((J41*J43)*$C$10)*Drivers!$J$5)/1000)</f>
        <v/>
      </c>
      <c r="K50" s="20">
        <f>IF(1000=0,0,(((K41*K43)*$C$10)*Drivers!$K$5)/1000)</f>
        <v/>
      </c>
      <c r="L50" s="20">
        <f>IF(1000=0,0,(((L41*L43)*$C$10)*Drivers!$L$5)/1000)</f>
        <v/>
      </c>
      <c r="M50" s="20">
        <f>IF(1000=0,0,(((M41*M43)*$C$10)*Drivers!$M$5)/1000)</f>
        <v/>
      </c>
      <c r="N50" s="20">
        <f>IF(1000=0,0,(((N41*N43)*$C$10)*Drivers!$N$5)/1000)</f>
        <v/>
      </c>
      <c r="O50" s="20">
        <f>IF(1000=0,0,(((O41*O43)*$C$10)*Drivers!$O$5)/1000)</f>
        <v/>
      </c>
      <c r="P50" s="20">
        <f>IF(1000=0,0,(((P41*P43)*$C$10)*Drivers!$P$5)/1000)</f>
        <v/>
      </c>
      <c r="Q50" s="20">
        <f>IF(1000=0,0,(((Q41*Q43)*$C$10)*Drivers!$Q$5)/1000)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IF(1000=0,0,((H41*H45)*$C$10)/1000)</f>
        <v/>
      </c>
      <c r="I53" s="15">
        <f>IF(1000=0,0,((I41*I45)*$C$10)/1000)</f>
        <v/>
      </c>
      <c r="J53" s="15">
        <f>IF(1000=0,0,((J41*J45)*$C$10)/1000)</f>
        <v/>
      </c>
      <c r="K53" s="15">
        <f>IF(1000=0,0,((K41*K45)*$C$10)/1000)</f>
        <v/>
      </c>
      <c r="L53" s="15">
        <f>IF(1000=0,0,((L41*L45)*$C$10)/1000)</f>
        <v/>
      </c>
      <c r="M53" s="15">
        <f>IF(1000=0,0,((M41*M45)*$C$10)/1000)</f>
        <v/>
      </c>
      <c r="N53" s="15">
        <f>IF(1000=0,0,((N41*N45)*$C$10)/1000)</f>
        <v/>
      </c>
      <c r="O53" s="15">
        <f>IF(1000=0,0,((O41*O45)*$C$10)/1000)</f>
        <v/>
      </c>
      <c r="P53" s="15">
        <f>IF(1000=0,0,((P41*P45)*$C$10)/1000)</f>
        <v/>
      </c>
      <c r="Q53" s="15">
        <f>IF(1000=0,0,((Q41*Q45)*$C$10)/1000)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4642.3409955</v>
      </c>
      <c r="E55" s="13" t="n">
        <v>4442.279649263</v>
      </c>
      <c r="F55" s="13" t="n">
        <v>3864.889048543</v>
      </c>
      <c r="G55" s="13" t="n">
        <v>4278.884819576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4277.907174479</v>
      </c>
      <c r="E56" s="13" t="n">
        <v>4057.025528704</v>
      </c>
      <c r="F56" s="13" t="n">
        <v>3254.287692278</v>
      </c>
      <c r="G56" s="13" t="n">
        <v>3528.594981605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364.433821021</v>
      </c>
      <c r="E57" s="13" t="n">
        <v>385.254120559</v>
      </c>
      <c r="F57" s="13" t="n">
        <v>610.601356265</v>
      </c>
      <c r="G57" s="13" t="n">
        <v>750.289837971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121.911830347</v>
      </c>
      <c r="E58" s="13" t="n">
        <v>119.607248038</v>
      </c>
      <c r="F58" s="13" t="n">
        <v>194.695073915</v>
      </c>
      <c r="G58" s="13" t="n">
        <v>295.339913522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242.521990674</v>
      </c>
      <c r="E59" s="13" t="n">
        <v>265.646872521</v>
      </c>
      <c r="F59" s="13" t="n">
        <v>415.90628235</v>
      </c>
      <c r="G59" s="13" t="n">
        <v>454.949924449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3.250984443</v>
      </c>
      <c r="E60" s="13" t="n">
        <v>4.361106625</v>
      </c>
      <c r="F60" s="13" t="n">
        <v>133.534749177</v>
      </c>
      <c r="G60" s="13" t="n">
        <v>136.900279936</v>
      </c>
      <c r="H60" s="15">
        <f>IF(1000=0,0,((H41*H24)*$C$10)/1000)</f>
        <v/>
      </c>
      <c r="I60" s="15">
        <f>IF(1000=0,0,((I41*I24)*$C$10)/1000)</f>
        <v/>
      </c>
      <c r="J60" s="15">
        <f>IF(1000=0,0,((J41*J24)*$C$10)/1000)</f>
        <v/>
      </c>
      <c r="K60" s="15">
        <f>IF(1000=0,0,((K41*K24)*$C$10)/1000)</f>
        <v/>
      </c>
      <c r="L60" s="15">
        <f>IF(1000=0,0,((L41*L24)*$C$10)/1000)</f>
        <v/>
      </c>
      <c r="M60" s="15">
        <f>IF(1000=0,0,((M41*M24)*$C$10)/1000)</f>
        <v/>
      </c>
      <c r="N60" s="15">
        <f>IF(1000=0,0,((N41*N24)*$C$10)/1000)</f>
        <v/>
      </c>
      <c r="O60" s="15">
        <f>IF(1000=0,0,((O41*O24)*$C$10)/1000)</f>
        <v/>
      </c>
      <c r="P60" s="15">
        <f>IF(1000=0,0,((P41*P24)*$C$10)/1000)</f>
        <v/>
      </c>
      <c r="Q60" s="15">
        <f>IF(1000=0,0,((Q41*Q24)*$C$10)/1000)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245.772975117</v>
      </c>
      <c r="E61" s="13" t="n">
        <v>270.007979146</v>
      </c>
      <c r="F61" s="13" t="n">
        <v>549.4410315270001</v>
      </c>
      <c r="G61" s="13" t="n">
        <v>591.850204385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49.957648906</v>
      </c>
      <c r="E62" s="13" t="n">
        <v>48.111414101</v>
      </c>
      <c r="F62" s="13" t="n">
        <v>90.14525717799999</v>
      </c>
      <c r="G62" s="13" t="n">
        <v>123.683275985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0.828945327</v>
      </c>
      <c r="E63" s="13" t="n">
        <v>2.008211706</v>
      </c>
      <c r="F63" s="13" t="n">
        <v>2.799925399</v>
      </c>
      <c r="G63" s="13" t="n">
        <v>3.460561962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8.831159077999999</v>
      </c>
      <c r="E64" s="13" t="n">
        <v>-2.344661345999962</v>
      </c>
      <c r="F64" s="13" t="n">
        <v>6.040552195999967</v>
      </c>
      <c r="G64" s="13" t="n">
        <v>8.866613045000022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202.224446173</v>
      </c>
      <c r="E65" s="13" t="n">
        <v>217.19900878</v>
      </c>
      <c r="F65" s="13" t="n">
        <v>334.601502767</v>
      </c>
      <c r="G65" s="13" t="n">
        <v>343.593823471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39.635319463</v>
      </c>
      <c r="E66" s="13" t="n">
        <v>48.960811041</v>
      </c>
      <c r="F66" s="13" t="n">
        <v>73.87597131</v>
      </c>
      <c r="G66" s="13" t="n">
        <v>75.11254159400001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41.681880209</v>
      </c>
      <c r="E67" s="13" t="n">
        <v>77.266308096</v>
      </c>
      <c r="F67" s="13" t="n">
        <v>260.725531457</v>
      </c>
      <c r="G67" s="13" t="n">
        <v>268.481281877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-1.00000363545405e-09</v>
      </c>
      <c r="E68" s="13" t="n">
        <v>0</v>
      </c>
      <c r="F68" s="13" t="n">
        <v>0</v>
      </c>
      <c r="G68" s="13" t="n">
        <v>-9.999894245993346e-10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41.68188021</v>
      </c>
      <c r="E69" s="13" t="n">
        <v>77.266308096</v>
      </c>
      <c r="F69" s="13" t="n">
        <v>260.725531457</v>
      </c>
      <c r="G69" s="13" t="n">
        <v>268.481281878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8000</v>
      </c>
      <c r="E70" s="13" t="n">
        <v>9230.66505</v>
      </c>
      <c r="F70" s="13" t="n">
        <v>9230.66505</v>
      </c>
      <c r="G70" s="13" t="n">
        <v>9230.66505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</row>
    <row r="71">
      <c r="A71" t="inlineStr">
        <is>
          <t>EPS</t>
        </is>
      </c>
      <c r="B71" t="inlineStr">
        <is>
          <t>eps</t>
        </is>
      </c>
      <c r="D71" s="21" t="n">
        <v>5.21023502625</v>
      </c>
      <c r="E71" s="21" t="n">
        <v>8.370611183210467</v>
      </c>
      <c r="F71" s="21" t="n">
        <v>28.24558469457192</v>
      </c>
      <c r="G71" s="21" t="n">
        <v>29.08580047306559</v>
      </c>
      <c r="H71" s="22">
        <f>(IF(H70=0,0,H69/H70)*$C$8)</f>
        <v/>
      </c>
      <c r="I71" s="22">
        <f>(IF(I70=0,0,I69/I70)*$C$8)</f>
        <v/>
      </c>
      <c r="J71" s="22">
        <f>(IF(J70=0,0,J69/J70)*$C$8)</f>
        <v/>
      </c>
      <c r="K71" s="22">
        <f>(IF(K70=0,0,K69/K70)*$C$8)</f>
        <v/>
      </c>
      <c r="L71" s="22">
        <f>(IF(L70=0,0,L69/L70)*$C$8)</f>
        <v/>
      </c>
      <c r="M71" s="22">
        <f>(IF(M70=0,0,M69/M70)*$C$8)</f>
        <v/>
      </c>
      <c r="N71" s="22">
        <f>(IF(N70=0,0,N69/N70)*$C$8)</f>
        <v/>
      </c>
      <c r="O71" s="22">
        <f>(IF(O70=0,0,O69/O70)*$C$8)</f>
        <v/>
      </c>
      <c r="P71" s="22">
        <f>(IF(P70=0,0,P69/P70)*$C$8)</f>
        <v/>
      </c>
      <c r="Q71" s="22">
        <f>(IF(Q70=0,0,Q69/Q70)*$C$8)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1" t="n">
        <v>0</v>
      </c>
      <c r="E72" s="21" t="n">
        <v>0</v>
      </c>
      <c r="F72" s="21" t="n">
        <v>5.65</v>
      </c>
      <c r="G72" s="21" t="n">
        <v>6.5</v>
      </c>
      <c r="H72" s="22">
        <f>(MAX(H71,0)*H34)</f>
        <v/>
      </c>
      <c r="I72" s="22">
        <f>(MAX(I71,0)*I34)</f>
        <v/>
      </c>
      <c r="J72" s="22">
        <f>(MAX(J71,0)*J34)</f>
        <v/>
      </c>
      <c r="K72" s="22">
        <f>(MAX(K71,0)*K34)</f>
        <v/>
      </c>
      <c r="L72" s="22">
        <f>(MAX(L71,0)*L34)</f>
        <v/>
      </c>
      <c r="M72" s="22">
        <f>(MAX(M71,0)*M34)</f>
        <v/>
      </c>
      <c r="N72" s="22">
        <f>(MAX(N71,0)*N34)</f>
        <v/>
      </c>
      <c r="O72" s="22">
        <f>(MAX(O71,0)*O34)</f>
        <v/>
      </c>
      <c r="P72" s="22">
        <f>(MAX(P71,0)*P34)</f>
        <v/>
      </c>
      <c r="Q72" s="22">
        <f>(MAX(Q71,0)*Q34)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/>
      <c r="E73" s="13" t="n"/>
      <c r="F73" s="13" t="n"/>
      <c r="G73" s="13" t="n">
        <v>52.153257533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417.319507454</v>
      </c>
      <c r="E74" s="13" t="n">
        <v>410.529042679</v>
      </c>
      <c r="F74" s="13" t="n">
        <v>76.224513844</v>
      </c>
      <c r="G74" s="13" t="n">
        <v>146.451003828</v>
      </c>
      <c r="H74" s="15">
        <f>(IF(1000=0,0,((H41*H25)*$C$10)/1000)+H26)</f>
        <v/>
      </c>
      <c r="I74" s="15">
        <f>(IF(1000=0,0,((I41*I25)*$C$10)/1000)+I26)</f>
        <v/>
      </c>
      <c r="J74" s="15">
        <f>(IF(1000=0,0,((J41*J25)*$C$10)/1000)+J26)</f>
        <v/>
      </c>
      <c r="K74" s="15">
        <f>(IF(1000=0,0,((K41*K25)*$C$10)/1000)+K26)</f>
        <v/>
      </c>
      <c r="L74" s="15">
        <f>(IF(1000=0,0,((L41*L25)*$C$10)/1000)+L26)</f>
        <v/>
      </c>
      <c r="M74" s="15">
        <f>(IF(1000=0,0,((M41*M25)*$C$10)/1000)+M26)</f>
        <v/>
      </c>
      <c r="N74" s="15">
        <f>(IF(1000=0,0,((N41*N25)*$C$10)/1000)+N26)</f>
        <v/>
      </c>
      <c r="O74" s="15">
        <f>(IF(1000=0,0,((O41*O25)*$C$10)/1000)+O26)</f>
        <v/>
      </c>
      <c r="P74" s="15">
        <f>(IF(1000=0,0,((P41*P25)*$C$10)/1000)+P26)</f>
        <v/>
      </c>
      <c r="Q74" s="15">
        <f>(IF(1000=0,0,((Q41*Q25)*$C$10)/1000)+Q26)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388.0800943149999</v>
      </c>
      <c r="F75" s="13" t="n">
        <v>218.3347528720002</v>
      </c>
      <c r="G75" s="13" t="n">
        <v>27.35730350400013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-588.4830440600466</v>
      </c>
      <c r="F76" s="13" t="n">
        <v>163.0546799699222</v>
      </c>
      <c r="G76" s="13" t="n">
        <v>318.5859616169343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478.218523605</v>
      </c>
      <c r="F77" s="13" t="n">
        <v>-69.51275342099984</v>
      </c>
      <c r="G77" s="13" t="n">
        <v>-68.202629075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526.4320126069999</v>
      </c>
      <c r="E80" s="13" t="n">
        <v>914.5121069219998</v>
      </c>
      <c r="F80" s="13" t="n">
        <v>1132.846859794</v>
      </c>
      <c r="G80" s="13" t="n">
        <v>1160.204163298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208.671157915</v>
      </c>
      <c r="E81" s="13" t="n">
        <v>160.217607985</v>
      </c>
      <c r="F81" s="13" t="n">
        <v>252.160434253</v>
      </c>
      <c r="G81" s="13" t="n">
        <v>392.438057632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1446.612914333</v>
      </c>
      <c r="E82" s="13" t="n">
        <v>1924.831437938</v>
      </c>
      <c r="F82" s="13" t="n">
        <v>1855.318684517</v>
      </c>
      <c r="G82" s="13" t="n">
        <v>1787.116055442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1737.06033582</v>
      </c>
      <c r="E83" s="13" t="n">
        <v>1884.854644593</v>
      </c>
      <c r="F83" s="13" t="n">
        <v>1767.535970946</v>
      </c>
      <c r="G83" s="13" t="n">
        <v>1901.63168103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1274.264114958</v>
      </c>
      <c r="E84" s="13" t="n">
        <v>1441.571515762</v>
      </c>
      <c r="F84" s="13" t="n">
        <v>1701.362861803</v>
      </c>
      <c r="G84" s="13" t="n">
        <v>1917.002578715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0</v>
      </c>
      <c r="E85" s="13" t="n">
        <v>0</v>
      </c>
      <c r="F85" s="13" t="n">
        <v>0</v>
      </c>
      <c r="G85" s="13" t="n">
        <v>0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248.7135229489998</v>
      </c>
      <c r="E86" s="13" t="n">
        <v>406.8185941999996</v>
      </c>
      <c r="F86" s="13" t="n">
        <v>404.1382813270002</v>
      </c>
      <c r="G86" s="13" t="n">
        <v>249.8447321970002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1237.941756418</v>
      </c>
      <c r="E88" s="13" t="n">
        <v>1764.613829953</v>
      </c>
      <c r="F88" s="13" t="n">
        <v>1603.158250264</v>
      </c>
      <c r="G88" s="13" t="n">
        <v>1394.67799781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1" t="n">
        <v>159.28301436975</v>
      </c>
      <c r="E89" s="21" t="n">
        <v>156.1720101372327</v>
      </c>
      <c r="F89" s="21" t="n">
        <v>184.316390269518</v>
      </c>
      <c r="G89" s="21" t="n">
        <v>207.6776232623672</v>
      </c>
      <c r="H89" s="22">
        <f>(IF(H70=0,0,H84/H70)*$C$8)</f>
        <v/>
      </c>
      <c r="I89" s="22">
        <f>(IF(I70=0,0,I84/I70)*$C$8)</f>
        <v/>
      </c>
      <c r="J89" s="22">
        <f>(IF(J70=0,0,J84/J70)*$C$8)</f>
        <v/>
      </c>
      <c r="K89" s="22">
        <f>(IF(K70=0,0,K84/K70)*$C$8)</f>
        <v/>
      </c>
      <c r="L89" s="22">
        <f>(IF(L70=0,0,L84/L70)*$C$8)</f>
        <v/>
      </c>
      <c r="M89" s="22">
        <f>(IF(M70=0,0,M84/M70)*$C$8)</f>
        <v/>
      </c>
      <c r="N89" s="22">
        <f>(IF(N70=0,0,N84/N70)*$C$8)</f>
        <v/>
      </c>
      <c r="O89" s="22">
        <f>(IF(O70=0,0,O84/O70)*$C$8)</f>
        <v/>
      </c>
      <c r="P89" s="22">
        <f>(IF(P70=0,0,P84/P70)*$C$8)</f>
        <v/>
      </c>
      <c r="Q89" s="22">
        <f>(IF(Q70=0,0,Q84/Q70)*$C$8)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-0.04309492698423645</v>
      </c>
      <c r="F90" s="4" t="n">
        <v>-0.1299761938255715</v>
      </c>
      <c r="G90" s="4" t="n">
        <v>0.1071171166450611</v>
      </c>
      <c r="H90" s="18">
        <f>(IF(G55=0,0,H55/G55)-1)</f>
        <v/>
      </c>
      <c r="I90" s="18">
        <f>(IF(H55=0,0,I55/H55)-1)</f>
        <v/>
      </c>
      <c r="J90" s="18">
        <f>(IF(I55=0,0,J55/I55)-1)</f>
        <v/>
      </c>
      <c r="K90" s="18">
        <f>(IF(J55=0,0,K55/J55)-1)</f>
        <v/>
      </c>
      <c r="L90" s="18">
        <f>(IF(K55=0,0,L55/K55)-1)</f>
        <v/>
      </c>
      <c r="M90" s="18">
        <f>(IF(L55=0,0,M55/L55)-1)</f>
        <v/>
      </c>
      <c r="N90" s="18">
        <f>(IF(M55=0,0,N55/M55)-1)</f>
        <v/>
      </c>
      <c r="O90" s="18">
        <f>(IF(N55=0,0,O55/N55)-1)</f>
        <v/>
      </c>
      <c r="P90" s="18">
        <f>(IF(O55=0,0,P55/O55)-1)</f>
        <v/>
      </c>
      <c r="Q90" s="18">
        <f>(IF(P55=0,0,Q55/P55)-1)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0.07850216547519016</v>
      </c>
      <c r="E91" s="4" t="n">
        <v>0.08672441876164098</v>
      </c>
      <c r="F91" s="4" t="n">
        <v>0.1579867749360584</v>
      </c>
      <c r="G91" s="4" t="n">
        <v>0.1753470517688175</v>
      </c>
      <c r="H91" s="18">
        <f>IF(H55=0,0,H57/H55)</f>
        <v/>
      </c>
      <c r="I91" s="18">
        <f>IF(I55=0,0,I57/I55)</f>
        <v/>
      </c>
      <c r="J91" s="18">
        <f>IF(J55=0,0,J57/J55)</f>
        <v/>
      </c>
      <c r="K91" s="18">
        <f>IF(K55=0,0,K57/K55)</f>
        <v/>
      </c>
      <c r="L91" s="18">
        <f>IF(L55=0,0,L57/L55)</f>
        <v/>
      </c>
      <c r="M91" s="18">
        <f>IF(M55=0,0,M57/M55)</f>
        <v/>
      </c>
      <c r="N91" s="18">
        <f>IF(N55=0,0,N57/N55)</f>
        <v/>
      </c>
      <c r="O91" s="18">
        <f>IF(O55=0,0,O57/O55)</f>
        <v/>
      </c>
      <c r="P91" s="18">
        <f>IF(P55=0,0,P57/P55)</f>
        <v/>
      </c>
      <c r="Q91" s="18">
        <f>IF(Q55=0,0,Q57/Q55)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0.05294160324612888</v>
      </c>
      <c r="E92" s="4" t="n">
        <v>0.06078140064657926</v>
      </c>
      <c r="F92" s="4" t="n">
        <v>0.1421621745478387</v>
      </c>
      <c r="G92" s="4" t="n">
        <v>0.1383187978506155</v>
      </c>
      <c r="H92" s="18">
        <f>IF(H55=0,0,H61/H55)</f>
        <v/>
      </c>
      <c r="I92" s="18">
        <f>IF(I55=0,0,I61/I55)</f>
        <v/>
      </c>
      <c r="J92" s="18">
        <f>IF(J55=0,0,J61/J55)</f>
        <v/>
      </c>
      <c r="K92" s="18">
        <f>IF(K55=0,0,K61/K55)</f>
        <v/>
      </c>
      <c r="L92" s="18">
        <f>IF(L55=0,0,L61/L55)</f>
        <v/>
      </c>
      <c r="M92" s="18">
        <f>IF(M55=0,0,M61/M55)</f>
        <v/>
      </c>
      <c r="N92" s="18">
        <f>IF(N55=0,0,N61/N55)</f>
        <v/>
      </c>
      <c r="O92" s="18">
        <f>IF(O55=0,0,O61/O55)</f>
        <v/>
      </c>
      <c r="P92" s="18">
        <f>IF(P55=0,0,P61/P55)</f>
        <v/>
      </c>
      <c r="Q92" s="18">
        <f>IF(Q55=0,0,Q61/Q55)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0.05224131336088536</v>
      </c>
      <c r="E93" s="4" t="n">
        <v>0.05979967347734904</v>
      </c>
      <c r="F93" s="4" t="n">
        <v>0.1076114416549137</v>
      </c>
      <c r="G93" s="4" t="n">
        <v>0.1063244148025657</v>
      </c>
      <c r="H93" s="18">
        <f>IF(H55=0,0,H59/H55)</f>
        <v/>
      </c>
      <c r="I93" s="18">
        <f>IF(I55=0,0,I59/I55)</f>
        <v/>
      </c>
      <c r="J93" s="18">
        <f>IF(J55=0,0,J59/J55)</f>
        <v/>
      </c>
      <c r="K93" s="18">
        <f>IF(K55=0,0,K59/K55)</f>
        <v/>
      </c>
      <c r="L93" s="18">
        <f>IF(L55=0,0,L59/L55)</f>
        <v/>
      </c>
      <c r="M93" s="18">
        <f>IF(M55=0,0,M59/M55)</f>
        <v/>
      </c>
      <c r="N93" s="18">
        <f>IF(N55=0,0,N59/N55)</f>
        <v/>
      </c>
      <c r="O93" s="18">
        <f>IF(O55=0,0,O59/O55)</f>
        <v/>
      </c>
      <c r="P93" s="18">
        <f>IF(P55=0,0,P59/P55)</f>
        <v/>
      </c>
      <c r="Q93" s="18">
        <f>IF(Q55=0,0,Q59/Q55)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0.008978633894064192</v>
      </c>
      <c r="E94" s="4" t="n">
        <v>0.01739339127576512</v>
      </c>
      <c r="F94" s="4" t="n">
        <v>0.06746003007648803</v>
      </c>
      <c r="G94" s="4" t="n">
        <v>0.06274562022555311</v>
      </c>
      <c r="H94" s="18">
        <f>IF(H55=0,0,H69/H55)</f>
        <v/>
      </c>
      <c r="I94" s="18">
        <f>IF(I55=0,0,I69/I55)</f>
        <v/>
      </c>
      <c r="J94" s="18">
        <f>IF(J55=0,0,J69/J55)</f>
        <v/>
      </c>
      <c r="K94" s="18">
        <f>IF(K55=0,0,K69/K55)</f>
        <v/>
      </c>
      <c r="L94" s="18">
        <f>IF(L55=0,0,L69/L55)</f>
        <v/>
      </c>
      <c r="M94" s="18">
        <f>IF(M55=0,0,M69/M55)</f>
        <v/>
      </c>
      <c r="N94" s="18">
        <f>IF(N55=0,0,N69/N55)</f>
        <v/>
      </c>
      <c r="O94" s="18">
        <f>IF(O55=0,0,O69/O55)</f>
        <v/>
      </c>
      <c r="P94" s="18">
        <f>IF(P55=0,0,P69/P55)</f>
        <v/>
      </c>
      <c r="Q94" s="18">
        <f>IF(Q55=0,0,Q69/Q55)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0.6065707479677951</v>
      </c>
      <c r="F95" s="4" t="n">
        <v>2.374375428072219</v>
      </c>
      <c r="G95" s="4" t="n">
        <v>0.02974680069749569</v>
      </c>
      <c r="H95" s="18">
        <f>(IF(G71=0,0,H71/G71)-1)</f>
        <v/>
      </c>
      <c r="I95" s="18">
        <f>(IF(H71=0,0,I71/H71)-1)</f>
        <v/>
      </c>
      <c r="J95" s="18">
        <f>(IF(I71=0,0,J71/I71)-1)</f>
        <v/>
      </c>
      <c r="K95" s="18">
        <f>(IF(J71=0,0,K71/J71)-1)</f>
        <v/>
      </c>
      <c r="L95" s="18">
        <f>(IF(K71=0,0,L71/K71)-1)</f>
        <v/>
      </c>
      <c r="M95" s="18">
        <f>(IF(L71=0,0,M71/L71)-1)</f>
        <v/>
      </c>
      <c r="N95" s="18">
        <f>(IF(M71=0,0,N71/M71)-1)</f>
        <v/>
      </c>
      <c r="O95" s="18">
        <f>(IF(N71=0,0,O71/N71)-1)</f>
        <v/>
      </c>
      <c r="P95" s="18">
        <f>(IF(O71=0,0,P71/O71)-1)</f>
        <v/>
      </c>
      <c r="Q95" s="18">
        <f>(IF(P71=0,0,Q71/P71)-1)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0.05690057765058174</v>
      </c>
      <c r="F96" s="4" t="n">
        <v>0.1659121700523687</v>
      </c>
      <c r="G96" s="4" t="n">
        <v>0.1483992074827934</v>
      </c>
      <c r="H96" s="18">
        <f>IF(IF(2=0,0,(H84+G84)/2)=0,0,H69/IF(2=0,0,(H84+G84)/2))</f>
        <v/>
      </c>
      <c r="I96" s="18">
        <f>IF(IF(2=0,0,(I84+H84)/2)=0,0,I69/IF(2=0,0,(I84+H84)/2))</f>
        <v/>
      </c>
      <c r="J96" s="18">
        <f>IF(IF(2=0,0,(J84+I84)/2)=0,0,J69/IF(2=0,0,(J84+I84)/2))</f>
        <v/>
      </c>
      <c r="K96" s="18">
        <f>IF(IF(2=0,0,(K84+J84)/2)=0,0,K69/IF(2=0,0,(K84+J84)/2))</f>
        <v/>
      </c>
      <c r="L96" s="18">
        <f>IF(IF(2=0,0,(L84+K84)/2)=0,0,L69/IF(2=0,0,(L84+K84)/2))</f>
        <v/>
      </c>
      <c r="M96" s="18">
        <f>IF(IF(2=0,0,(M84+L84)/2)=0,0,M69/IF(2=0,0,(M84+L84)/2))</f>
        <v/>
      </c>
      <c r="N96" s="18">
        <f>IF(IF(2=0,0,(N84+M84)/2)=0,0,N69/IF(2=0,0,(N84+M84)/2))</f>
        <v/>
      </c>
      <c r="O96" s="18">
        <f>IF(IF(2=0,0,(O84+N84)/2)=0,0,O69/IF(2=0,0,(O84+N84)/2))</f>
        <v/>
      </c>
      <c r="P96" s="18">
        <f>IF(IF(2=0,0,(P84+O84)/2)=0,0,P69/IF(2=0,0,(P84+O84)/2))</f>
        <v/>
      </c>
      <c r="Q96" s="18">
        <f>IF(IF(2=0,0,(Q84+P84)/2)=0,0,Q69/IF(2=0,0,(Q84+P84)/2))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3" t="n">
        <v>5.036931972804084</v>
      </c>
      <c r="E97" s="23" t="n">
        <v>6.535413640494045</v>
      </c>
      <c r="F97" s="23" t="n">
        <v>2.91779855939867</v>
      </c>
      <c r="G97" s="23" t="n">
        <v>2.356471261607876</v>
      </c>
      <c r="H97" s="24">
        <f>IF(H61=0,0,H88/H61)</f>
        <v/>
      </c>
      <c r="I97" s="24">
        <f>IF(I61=0,0,I88/I61)</f>
        <v/>
      </c>
      <c r="J97" s="24">
        <f>IF(J61=0,0,J88/J61)</f>
        <v/>
      </c>
      <c r="K97" s="24">
        <f>IF(K61=0,0,K88/K61)</f>
        <v/>
      </c>
      <c r="L97" s="24">
        <f>IF(L61=0,0,L88/L61)</f>
        <v/>
      </c>
      <c r="M97" s="24">
        <f>IF(M61=0,0,M88/M61)</f>
        <v/>
      </c>
      <c r="N97" s="24">
        <f>IF(N61=0,0,N88/N61)</f>
        <v/>
      </c>
      <c r="O97" s="24">
        <f>IF(O61=0,0,O88/O61)</f>
        <v/>
      </c>
      <c r="P97" s="24">
        <f>IF(P61=0,0,P88/P61)</f>
        <v/>
      </c>
      <c r="Q97" s="24">
        <f>IF(Q61=0,0,Q88/Q61)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</v>
      </c>
      <c r="E98" s="4" t="n">
        <v>0</v>
      </c>
      <c r="F98" s="4" t="n">
        <v>0.2000312636858173</v>
      </c>
      <c r="G98" s="4" t="n">
        <v>0.2234767444691513</v>
      </c>
      <c r="H98" s="18">
        <f>IF(H71=0,0,H72/H71)</f>
        <v/>
      </c>
      <c r="I98" s="18">
        <f>IF(I71=0,0,I72/I71)</f>
        <v/>
      </c>
      <c r="J98" s="18">
        <f>IF(J71=0,0,J72/J71)</f>
        <v/>
      </c>
      <c r="K98" s="18">
        <f>IF(K71=0,0,K72/K71)</f>
        <v/>
      </c>
      <c r="L98" s="18">
        <f>IF(L71=0,0,L72/L71)</f>
        <v/>
      </c>
      <c r="M98" s="18">
        <f>IF(M71=0,0,M72/M71)</f>
        <v/>
      </c>
      <c r="N98" s="18">
        <f>IF(N71=0,0,N72/N71)</f>
        <v/>
      </c>
      <c r="O98" s="18">
        <f>IF(O71=0,0,O72/O71)</f>
        <v/>
      </c>
      <c r="P98" s="18">
        <f>IF(P71=0,0,P72/P71)</f>
        <v/>
      </c>
      <c r="Q98" s="18">
        <f>IF(Q71=0,0,Q72/Q71)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0.08989419516113184</v>
      </c>
      <c r="E99" s="4" t="n">
        <v>0.09241404753685625</v>
      </c>
      <c r="F99" s="4" t="n">
        <v>0.01972230325026676</v>
      </c>
      <c r="G99" s="4" t="n">
        <v>0.03422644216969412</v>
      </c>
      <c r="H99" s="18">
        <f>IF(H55=0,0,H74/H55)</f>
        <v/>
      </c>
      <c r="I99" s="18">
        <f>IF(I55=0,0,I74/I55)</f>
        <v/>
      </c>
      <c r="J99" s="18">
        <f>IF(J55=0,0,J74/J55)</f>
        <v/>
      </c>
      <c r="K99" s="18">
        <f>IF(K55=0,0,K74/K55)</f>
        <v/>
      </c>
      <c r="L99" s="18">
        <f>IF(L55=0,0,L74/L55)</f>
        <v/>
      </c>
      <c r="M99" s="18">
        <f>IF(M55=0,0,M74/M55)</f>
        <v/>
      </c>
      <c r="N99" s="18">
        <f>IF(N55=0,0,N74/N55)</f>
        <v/>
      </c>
      <c r="O99" s="18">
        <f>IF(O55=0,0,O74/O55)</f>
        <v/>
      </c>
      <c r="P99" s="18">
        <f>IF(P55=0,0,P74/P55)</f>
        <v/>
      </c>
      <c r="Q99" s="18">
        <f>IF(Q55=0,0,Q74/Q55)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1" t="n">
        <v>2470</v>
      </c>
    </row>
    <row r="103">
      <c r="A103" t="inlineStr">
        <is>
          <t>Shares outstanding (m)</t>
        </is>
      </c>
      <c r="C103" s="13" t="n">
        <v>9230.66505</v>
      </c>
    </row>
    <row r="104">
      <c r="A104" t="inlineStr">
        <is>
          <t>IDR per USD (spot)</t>
        </is>
      </c>
      <c r="C104" s="3" t="n">
        <v>18125</v>
      </c>
    </row>
    <row r="105">
      <c r="A105" t="inlineStr">
        <is>
          <t>Debt at balance-sheet date</t>
        </is>
      </c>
      <c r="C105" s="13" t="n">
        <v>1727.116055442</v>
      </c>
    </row>
    <row r="106">
      <c r="A106" t="inlineStr">
        <is>
          <t>Cash at balance-sheet date</t>
        </is>
      </c>
      <c r="C106" s="13" t="n">
        <v>456.938119001</v>
      </c>
    </row>
    <row r="107">
      <c r="A107" t="inlineStr">
        <is>
          <t>Minority interest (book)</t>
        </is>
      </c>
      <c r="C107" s="13" t="n">
        <v>0</v>
      </c>
    </row>
    <row r="108">
      <c r="A108" t="inlineStr">
        <is>
          <t>Associates &amp; investments (book)</t>
        </is>
      </c>
      <c r="C108" s="13" t="n">
        <v>0</v>
      </c>
    </row>
    <row r="109">
      <c r="A109" t="inlineStr">
        <is>
          <t>Post-balance-sheet &amp; other items (sourced, probability-weighted)</t>
        </is>
      </c>
      <c r="C109" s="13" t="n">
        <v>236.993185892</v>
      </c>
    </row>
    <row r="110">
      <c r="A110" t="inlineStr">
        <is>
          <t>Parent equity at balance-sheet date</t>
        </is>
      </c>
      <c r="C110" s="13" t="n">
        <v>2015.935833918</v>
      </c>
    </row>
    <row r="111">
      <c r="A111" t="inlineStr">
        <is>
          <t>Per-share factor</t>
        </is>
      </c>
      <c r="C111" s="25" t="n">
        <v>1000</v>
      </c>
    </row>
    <row r="112">
      <c r="A112" t="inlineStr">
        <is>
          <t>Risk-free rate</t>
        </is>
      </c>
      <c r="C112" s="8">
        <f>Drivers!$C$8</f>
        <v/>
      </c>
    </row>
    <row r="113">
      <c r="A113" t="inlineStr">
        <is>
          <t>Less: default spread (IDR only)</t>
        </is>
      </c>
      <c r="C113" s="8">
        <f>Drivers!$C$10</f>
        <v/>
      </c>
    </row>
    <row r="114">
      <c r="A114" t="inlineStr">
        <is>
          <t>Mature ERP + Indonesia CRP</t>
        </is>
      </c>
      <c r="C114" s="8">
        <f>Drivers!$C$11+Drivers!$C$12</f>
        <v/>
      </c>
    </row>
    <row r="115">
      <c r="A115" t="inlineStr">
        <is>
          <t>Tax rate</t>
        </is>
      </c>
      <c r="C115" s="8">
        <f>Drivers!$C$14</f>
        <v/>
      </c>
    </row>
    <row r="116">
      <c r="A116" t="inlineStr">
        <is>
          <t>Unlevered beta (industry default (config))</t>
        </is>
      </c>
      <c r="C116" s="14" t="n">
        <v>0.8</v>
      </c>
    </row>
    <row r="117">
      <c r="A117" t="inlineStr">
        <is>
          <t>Debt / equity (market)</t>
        </is>
      </c>
      <c r="C117" s="14" t="n">
        <v>0.07575155913708695</v>
      </c>
    </row>
    <row r="118">
      <c r="A118" t="inlineStr">
        <is>
          <t>Levered beta</t>
        </is>
      </c>
      <c r="C118" s="26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0">
        <f>$C$112-$C$113+$C$118*$C$114+$C$119</f>
        <v/>
      </c>
    </row>
    <row r="121">
      <c r="A121" t="inlineStr">
        <is>
          <t>Pre-tax cost of debt</t>
        </is>
      </c>
      <c r="C121" s="10">
        <f>$C$112+Drivers!$C$13</f>
        <v/>
      </c>
    </row>
    <row r="122">
      <c r="A122" t="inlineStr">
        <is>
          <t>WACC</t>
        </is>
      </c>
      <c r="C122" s="10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0.04</v>
      </c>
    </row>
    <row r="125">
      <c r="A125" s="1" t="inlineStr">
        <is>
          <t>DCF (FCFF, terminal value)</t>
        </is>
      </c>
    </row>
    <row r="126">
      <c r="A126" t="inlineStr">
        <is>
          <t>Share of year after balance-sheet date</t>
        </is>
      </c>
      <c r="H126" s="12" t="n">
        <v>0.503765</v>
      </c>
      <c r="I126" s="12" t="n">
        <v>0.996578</v>
      </c>
      <c r="J126" s="12" t="n">
        <v>0.999316</v>
      </c>
      <c r="K126" s="12" t="n">
        <v>0.996578</v>
      </c>
      <c r="L126" s="12" t="n">
        <v>0.996578</v>
      </c>
      <c r="M126" s="12" t="n">
        <v>0.996578</v>
      </c>
      <c r="N126" s="12" t="n">
        <v>0.999316</v>
      </c>
      <c r="O126" s="12" t="n">
        <v>0.996578</v>
      </c>
      <c r="P126" s="12" t="n">
        <v>0.996578</v>
      </c>
      <c r="Q126" s="12" t="n">
        <v>0.996578</v>
      </c>
    </row>
    <row r="127">
      <c r="A127" t="inlineStr">
        <is>
          <t>Discount time from valuation date (years)</t>
        </is>
      </c>
      <c r="H127" s="12" t="n">
        <v>0</v>
      </c>
      <c r="I127" s="12" t="n">
        <v>0.673511</v>
      </c>
      <c r="J127" s="12" t="n">
        <v>1.672827</v>
      </c>
      <c r="K127" s="12" t="n">
        <v>2.67488</v>
      </c>
      <c r="L127" s="12" t="n">
        <v>3.674196</v>
      </c>
      <c r="M127" s="12" t="n">
        <v>4.673511</v>
      </c>
      <c r="N127" s="12" t="n">
        <v>5.672827</v>
      </c>
      <c r="O127" s="12" t="n">
        <v>6.67488</v>
      </c>
      <c r="P127" s="12" t="n">
        <v>7.674196</v>
      </c>
      <c r="Q127" s="12" t="n">
        <v>8.673511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</row>
    <row r="129">
      <c r="A129" t="inlineStr">
        <is>
          <t>PV of FCFF</t>
        </is>
      </c>
      <c r="H129" s="27">
        <f>H76*H126*H128</f>
        <v/>
      </c>
      <c r="I129" s="27">
        <f>I76*I126*I128</f>
        <v/>
      </c>
      <c r="J129" s="27">
        <f>J76*J126*J128</f>
        <v/>
      </c>
      <c r="K129" s="27">
        <f>K76*K126*K128</f>
        <v/>
      </c>
      <c r="L129" s="27">
        <f>L76*L126*L128</f>
        <v/>
      </c>
      <c r="M129" s="27">
        <f>M76*M126*M128</f>
        <v/>
      </c>
      <c r="N129" s="27">
        <f>N76*N126*N128</f>
        <v/>
      </c>
      <c r="O129" s="27">
        <f>O76*O126*O128</f>
        <v/>
      </c>
      <c r="P129" s="27">
        <f>P76*P126*P128</f>
        <v/>
      </c>
      <c r="Q129" s="27">
        <f>Q76*Q126*Q128</f>
        <v/>
      </c>
    </row>
    <row r="130">
      <c r="A130" t="inlineStr">
        <is>
          <t>Sum of PV</t>
        </is>
      </c>
      <c r="C130" s="27">
        <f>SUM(H129:Q129)</f>
        <v/>
      </c>
    </row>
    <row r="131">
      <c r="A131" t="inlineStr">
        <is>
          <t>Years to end of horizon</t>
        </is>
      </c>
      <c r="C131" s="25" t="n">
        <v>9.171799999999999</v>
      </c>
    </row>
    <row r="132">
      <c r="A132" t="inlineStr">
        <is>
          <t>Terminal value</t>
        </is>
      </c>
      <c r="C132" s="27">
        <f>Q76*(1+$C$123)/($C$122-$C$123)</f>
        <v/>
      </c>
    </row>
    <row r="133">
      <c r="A133" t="inlineStr">
        <is>
          <t>PV of terminal value</t>
        </is>
      </c>
      <c r="C133" s="27">
        <f>$C$132/(1+$C$122)^$C$131</f>
        <v/>
      </c>
    </row>
    <row r="134">
      <c r="A134" t="inlineStr">
        <is>
          <t>Enterprise value</t>
        </is>
      </c>
      <c r="C134" s="27">
        <f>$C$130+$C$133</f>
        <v/>
      </c>
    </row>
    <row r="135">
      <c r="A135" t="inlineStr">
        <is>
          <t>Equity value</t>
        </is>
      </c>
      <c r="C135" s="27">
        <f>$C$134-($C$105-$C$106)-$C$107+$C$108+$C$109</f>
        <v/>
      </c>
    </row>
    <row r="136">
      <c r="A136" t="inlineStr">
        <is>
          <t>Value per share (IDR) — DCF (FCFF, terminal value)</t>
        </is>
      </c>
      <c r="C136" s="28">
        <f>MAX(0,$C$135/$C$103*$C$111*1)</f>
        <v/>
      </c>
    </row>
    <row r="138">
      <c r="A138" s="1" t="inlineStr">
        <is>
          <t>EV/EBITDA</t>
        </is>
      </c>
    </row>
    <row r="139">
      <c r="A139" t="inlineStr">
        <is>
          <t>Target multiple (peer median)</t>
        </is>
      </c>
      <c r="C139" s="23" t="n">
        <v>6.661393</v>
      </c>
    </row>
    <row r="140">
      <c r="A140" t="inlineStr">
        <is>
          <t>Metric (LTM, or next-12m DPS for yield)</t>
        </is>
      </c>
      <c r="C140" s="13" t="n">
        <v>591.850204</v>
      </c>
    </row>
    <row r="141">
      <c r="A141" t="inlineStr">
        <is>
          <t>Value per share (IDR) — EV/EBITDA</t>
        </is>
      </c>
      <c r="C141" s="28">
        <f>MAX(0,($C$139*$C$140-($C$105-$C$106)-$C$107+$C$108+$C$109)/$C$103*$C$111*1)</f>
        <v/>
      </c>
    </row>
    <row r="143">
      <c r="A143" s="1" t="inlineStr">
        <is>
          <t>P/BV</t>
        </is>
      </c>
    </row>
    <row r="144">
      <c r="A144" t="inlineStr">
        <is>
          <t>Target multiple (peer median)</t>
        </is>
      </c>
      <c r="C144" s="23" t="n">
        <v>1.387211</v>
      </c>
    </row>
    <row r="145">
      <c r="A145" t="inlineStr">
        <is>
          <t>Metric (LTM, or next-12m DPS for yield)</t>
        </is>
      </c>
      <c r="C145" s="13" t="n">
        <v>2015.935834</v>
      </c>
    </row>
    <row r="146">
      <c r="A146" t="inlineStr">
        <is>
          <t>Value per share (IDR) — P/BV</t>
        </is>
      </c>
      <c r="C146" s="28">
        <f>MAX(0,$C$144*$C$145/$C$103*$C$111*1)</f>
        <v/>
      </c>
    </row>
    <row r="148">
      <c r="A148" s="1" t="inlineStr">
        <is>
          <t>TARGET</t>
        </is>
      </c>
    </row>
    <row r="149">
      <c r="A149" t="inlineStr">
        <is>
          <t>Weight: DCF (FCFF, terminal value)</t>
        </is>
      </c>
      <c r="C149" s="4" t="n">
        <v>0.6</v>
      </c>
    </row>
    <row r="150">
      <c r="A150" t="inlineStr">
        <is>
          <t>Weight: EV/EBITDA</t>
        </is>
      </c>
      <c r="C150" s="4" t="n">
        <v>0.25</v>
      </c>
    </row>
    <row r="151">
      <c r="A151" t="inlineStr">
        <is>
          <t>Weight: P/BV</t>
        </is>
      </c>
      <c r="C151" s="4" t="n">
        <v>0.15</v>
      </c>
    </row>
    <row r="152">
      <c r="A152" t="inlineStr">
        <is>
          <t>Value today (weighted)</t>
        </is>
      </c>
      <c r="C152" s="28">
        <f>$C$136*$C$149+$C$141*$C$150+$C$146*$C$151</f>
        <v/>
      </c>
    </row>
    <row r="153">
      <c r="A153" t="inlineStr">
        <is>
          <t>DPS expected in next 12 months (IDR)</t>
        </is>
      </c>
      <c r="C153" s="21" t="n">
        <v>9.040050768140063</v>
      </c>
    </row>
    <row r="154">
      <c r="A154" t="inlineStr">
        <is>
          <t>Base-case 12-month value</t>
        </is>
      </c>
      <c r="C154" s="28">
        <f>MAX(0,$C$152*(1+$C$120)-$C$153)</f>
        <v/>
      </c>
    </row>
    <row r="155">
      <c r="A155" t="inlineStr">
        <is>
          <t>Bear probability</t>
        </is>
      </c>
      <c r="C155" s="4" t="n">
        <v>0.25</v>
      </c>
    </row>
    <row r="156">
      <c r="A156" t="inlineStr">
        <is>
          <t>Bear 12-month value (engine)</t>
        </is>
      </c>
      <c r="C156" s="21" t="n">
        <v>195.845822340669</v>
      </c>
    </row>
    <row r="157">
      <c r="A157" t="inlineStr">
        <is>
          <t>Base probability</t>
        </is>
      </c>
      <c r="C157" s="4" t="n">
        <v>0.5</v>
      </c>
    </row>
    <row r="158">
      <c r="A158" t="inlineStr">
        <is>
          <t>Bull probability</t>
        </is>
      </c>
      <c r="C158" s="4" t="n">
        <v>0.25</v>
      </c>
    </row>
    <row r="159">
      <c r="A159" t="inlineStr">
        <is>
          <t>Bull 12-month value (engine)</t>
        </is>
      </c>
      <c r="C159" s="21" t="n">
        <v>904.7039377935166</v>
      </c>
    </row>
    <row r="160">
      <c r="A160" t="inlineStr">
        <is>
          <t>Probability-weighted 12-month value</t>
        </is>
      </c>
      <c r="C160" s="28">
        <f>$C$155*$C$156+$C$157*$C$154+$C$158*$C$159</f>
        <v/>
      </c>
    </row>
    <row r="161">
      <c r="A161" t="inlineStr">
        <is>
          <t>Liquidity discount (limits.yaml)</t>
        </is>
      </c>
      <c r="C161" s="4" t="n">
        <v>0</v>
      </c>
    </row>
    <row r="162">
      <c r="A162" t="inlineStr">
        <is>
          <t>Fundamental 12-month value (after liquidity discount)</t>
        </is>
      </c>
      <c r="C162" s="28">
        <f>$C$160*(1-$C$161)</f>
        <v/>
      </c>
    </row>
    <row r="163">
      <c r="A163" t="inlineStr">
        <is>
          <t>Konglo lens: price / fundamental value today (engine)</t>
        </is>
      </c>
      <c r="C163" s="23" t="n">
        <v>4.770525</v>
      </c>
    </row>
    <row r="164">
      <c r="A164" t="inlineStr">
        <is>
          <t>Regime bear: probability (konglo deck)</t>
        </is>
      </c>
      <c r="C164" s="4" t="n">
        <v>0.25</v>
      </c>
    </row>
    <row r="165">
      <c r="A165" t="inlineStr">
        <is>
          <t>Regime bear: share of the log gap closed in 12 months</t>
        </is>
      </c>
      <c r="C165" s="4" t="n">
        <v>0.75</v>
      </c>
    </row>
    <row r="166">
      <c r="A166" t="inlineStr">
        <is>
          <t>Regime base: probability (konglo deck)</t>
        </is>
      </c>
      <c r="C166" s="4" t="n">
        <v>0.5</v>
      </c>
    </row>
    <row r="167">
      <c r="A167" t="inlineStr">
        <is>
          <t>Regime base: share of the log gap closed in 12 months</t>
        </is>
      </c>
      <c r="C167" s="4" t="n">
        <v>0.35</v>
      </c>
    </row>
    <row r="168">
      <c r="A168" t="inlineStr">
        <is>
          <t>Regime bull: probability (konglo deck)</t>
        </is>
      </c>
      <c r="C168" s="4" t="n">
        <v>0.25</v>
      </c>
    </row>
    <row r="169">
      <c r="A169" t="inlineStr">
        <is>
          <t>Regime bull: share of the log gap closed in 12 months</t>
        </is>
      </c>
      <c r="C169" s="4" t="n">
        <v>-0.1</v>
      </c>
    </row>
    <row r="170">
      <c r="A170" t="inlineStr">
        <is>
          <t>Share of today's premium kept (probability-weighted)</t>
        </is>
      </c>
      <c r="C170" s="29">
        <f>$C$164*$C$163^(1-$C$165)+$C$166*$C$163^(1-$C$167)+$C$168*$C$163^(1-$C$169)</f>
        <v/>
      </c>
    </row>
    <row r="171">
      <c r="A171" t="inlineStr">
        <is>
          <t>TARGET PRICE (IDR) — konglo lens</t>
        </is>
      </c>
      <c r="C171" s="30">
        <f>$C$162*$C$170</f>
        <v/>
      </c>
    </row>
    <row r="172">
      <c r="A172" t="inlineStr">
        <is>
          <t>Expected 12-month total return</t>
        </is>
      </c>
      <c r="C172" s="31">
        <f>($C$171+$C$153)/$C$102-1</f>
        <v/>
      </c>
    </row>
    <row r="173">
      <c r="A173" t="inlineStr">
        <is>
          <t>Rating</t>
        </is>
      </c>
      <c r="C173" s="32">
        <f>IF($C$172&gt;=0.25,"BUY",IF($C$172&gt;=0.1,"ADD",IF($C$172&lt;=-0.25,"SELL",IF($C$172&lt;=-0.1,"REDUCE","HOLD"))))</f>
        <v/>
      </c>
    </row>
    <row r="175">
      <c r="A175" s="1" t="inlineStr">
        <is>
          <t>12-month value vs benchmark price and IDR/USD (engine values)</t>
        </is>
      </c>
    </row>
    <row r="176">
      <c r="A176" s="5" t="inlineStr">
        <is>
          <t>rows: IDR per USD (x deck) · columns: Benchmark price (x deck)</t>
        </is>
      </c>
      <c r="D176" s="1" t="n">
        <v>0.8</v>
      </c>
      <c r="E176" s="1" t="n">
        <v>0.9</v>
      </c>
      <c r="F176" s="1" t="n">
        <v>1</v>
      </c>
      <c r="G176" s="1" t="n">
        <v>1.1</v>
      </c>
      <c r="H176" s="1" t="n">
        <v>1.2</v>
      </c>
    </row>
    <row r="177">
      <c r="C177" s="1" t="n">
        <v>0.9</v>
      </c>
      <c r="D177" s="28" t="n">
        <v>138.525642</v>
      </c>
      <c r="E177" s="28" t="n">
        <v>138.525642</v>
      </c>
      <c r="F177" s="28" t="n">
        <v>150.910114</v>
      </c>
      <c r="G177" s="28" t="n">
        <v>232.642595</v>
      </c>
      <c r="H177" s="28" t="n">
        <v>314.375076</v>
      </c>
    </row>
    <row r="178">
      <c r="C178" s="1" t="n">
        <v>0.95</v>
      </c>
      <c r="D178" s="28" t="n">
        <v>138.137056</v>
      </c>
      <c r="E178" s="28" t="n">
        <v>212.713102</v>
      </c>
      <c r="F178" s="28" t="n">
        <v>310.393968</v>
      </c>
      <c r="G178" s="28" t="n">
        <v>408.074834</v>
      </c>
      <c r="H178" s="28" t="n">
        <v>505.7557</v>
      </c>
    </row>
    <row r="179">
      <c r="C179" s="1" t="n">
        <v>1</v>
      </c>
      <c r="D179" s="28" t="n">
        <v>242.619319</v>
      </c>
      <c r="E179" s="28" t="n">
        <v>356.24857</v>
      </c>
      <c r="F179" s="28" t="n">
        <v>469.877821</v>
      </c>
      <c r="G179" s="28" t="n">
        <v>583.507073</v>
      </c>
      <c r="H179" s="28" t="n">
        <v>697.1363239999999</v>
      </c>
    </row>
    <row r="180">
      <c r="C180" s="1" t="n">
        <v>1.05</v>
      </c>
      <c r="D180" s="28" t="n">
        <v>370.206401</v>
      </c>
      <c r="E180" s="28" t="n">
        <v>499.784038</v>
      </c>
      <c r="F180" s="28" t="n">
        <v>629.361675</v>
      </c>
      <c r="G180" s="28" t="n">
        <v>758.939312</v>
      </c>
      <c r="H180" s="28" t="n">
        <v>888.516949</v>
      </c>
    </row>
    <row r="181">
      <c r="C181" s="1" t="n">
        <v>1.1</v>
      </c>
      <c r="D181" s="28" t="n">
        <v>497.793484</v>
      </c>
      <c r="E181" s="28" t="n">
        <v>643.319506</v>
      </c>
      <c r="F181" s="28" t="n">
        <v>788.8455290000001</v>
      </c>
      <c r="G181" s="28" t="n">
        <v>934.371551</v>
      </c>
      <c r="H181" s="28" t="n">
        <v>1079.897573</v>
      </c>
    </row>
    <row r="183">
      <c r="A183" s="1" t="inlineStr">
        <is>
          <t>12-month value vs volume and unit cost intensity (engine values)</t>
        </is>
      </c>
    </row>
    <row r="184">
      <c r="A184" s="5" t="inlineStr">
        <is>
          <t>rows: Volume (x plan) · columns: Cost intensity / strip ratio (x)</t>
        </is>
      </c>
      <c r="D184" s="1" t="n">
        <v>0.85</v>
      </c>
      <c r="E184" s="1" t="n">
        <v>0.925</v>
      </c>
      <c r="F184" s="1" t="n">
        <v>1</v>
      </c>
      <c r="G184" s="1" t="n">
        <v>1.075</v>
      </c>
      <c r="H184" s="1" t="n">
        <v>1.15</v>
      </c>
    </row>
    <row r="185">
      <c r="C185" s="1" t="n">
        <v>0.9</v>
      </c>
      <c r="D185" s="28" t="n">
        <v>916.056279</v>
      </c>
      <c r="E185" s="28" t="n">
        <v>726.849728</v>
      </c>
      <c r="F185" s="28" t="n">
        <v>537.643177</v>
      </c>
      <c r="G185" s="28" t="n">
        <v>348.436626</v>
      </c>
      <c r="H185" s="28" t="n">
        <v>158.75072</v>
      </c>
    </row>
    <row r="186">
      <c r="C186" s="1" t="n">
        <v>0.95</v>
      </c>
      <c r="D186" s="28" t="n">
        <v>960.950691</v>
      </c>
      <c r="E186" s="28" t="n">
        <v>761.232665</v>
      </c>
      <c r="F186" s="28" t="n">
        <v>561.514639</v>
      </c>
      <c r="G186" s="28" t="n">
        <v>361.796613</v>
      </c>
      <c r="H186" s="28" t="n">
        <v>161.681028</v>
      </c>
    </row>
    <row r="187">
      <c r="C187" s="1" t="n">
        <v>1</v>
      </c>
      <c r="D187" s="28" t="n">
        <v>1005.845104</v>
      </c>
      <c r="E187" s="28" t="n">
        <v>795.615603</v>
      </c>
      <c r="F187" s="28" t="n">
        <v>585.3861020000001</v>
      </c>
      <c r="G187" s="28" t="n">
        <v>375.1566</v>
      </c>
      <c r="H187" s="28" t="n">
        <v>164.611336</v>
      </c>
    </row>
    <row r="188">
      <c r="C188" s="1" t="n">
        <v>1.05</v>
      </c>
      <c r="D188" s="28" t="n">
        <v>1050.739516</v>
      </c>
      <c r="E188" s="28" t="n">
        <v>829.99854</v>
      </c>
      <c r="F188" s="28" t="n">
        <v>609.257564</v>
      </c>
      <c r="G188" s="28" t="n">
        <v>388.516588</v>
      </c>
      <c r="H188" s="28" t="n">
        <v>167.541645</v>
      </c>
    </row>
    <row r="189">
      <c r="C189" s="1" t="n">
        <v>1.1</v>
      </c>
      <c r="D189" s="28" t="n">
        <v>1095.633928</v>
      </c>
      <c r="E189" s="28" t="n">
        <v>864.381477</v>
      </c>
      <c r="F189" s="28" t="n">
        <v>633.129026</v>
      </c>
      <c r="G189" s="28" t="n">
        <v>401.876575</v>
      </c>
      <c r="H189" s="28" t="n">
        <v>170.471953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Pradiksi Gunatama Tbk (PGUN.JK) — Plantations (palm oil)</t>
        </is>
      </c>
    </row>
    <row r="2">
      <c r="A2" s="5" t="inlineStr">
        <is>
          <t>Units: IDR bn; per-share in IDR unless marked IDR. Model asof 2026-10-30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12" t="n">
        <v>8</v>
      </c>
    </row>
    <row r="8">
      <c r="A8" t="inlineStr">
        <is>
          <t>ps_factor</t>
        </is>
      </c>
      <c r="C8" s="12" t="n">
        <v>1000</v>
      </c>
    </row>
    <row r="9">
      <c r="A9" t="inlineStr">
        <is>
          <t>reserves</t>
        </is>
      </c>
      <c r="C9" s="12" t="n">
        <v>0</v>
      </c>
    </row>
    <row r="10">
      <c r="A10" t="inlineStr">
        <is>
          <t>unit_factor</t>
        </is>
      </c>
      <c r="C10" s="12" t="n">
        <v>0.001</v>
      </c>
    </row>
    <row r="11">
      <c r="A11" t="inlineStr">
        <is>
          <t>vp_factor</t>
        </is>
      </c>
      <c r="C11" s="12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47.5</v>
      </c>
      <c r="I14" s="13" t="n">
        <v>50.5</v>
      </c>
      <c r="J14" s="13" t="n">
        <v>53.5</v>
      </c>
      <c r="K14" s="13" t="n">
        <v>56.5</v>
      </c>
      <c r="L14" s="13" t="n">
        <v>59.5</v>
      </c>
      <c r="M14" s="13" t="n">
        <v>66</v>
      </c>
      <c r="N14" s="13" t="n">
        <v>66</v>
      </c>
      <c r="O14" s="13" t="n">
        <v>66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0.79</v>
      </c>
      <c r="I15" s="14" t="n">
        <v>0.79</v>
      </c>
      <c r="J15" s="14" t="n">
        <v>0.79</v>
      </c>
      <c r="K15" s="14" t="n">
        <v>0.79</v>
      </c>
      <c r="L15" s="14" t="n">
        <v>0.79</v>
      </c>
      <c r="M15" s="14" t="n">
        <v>0.79</v>
      </c>
      <c r="N15" s="14" t="n">
        <v>0.79</v>
      </c>
      <c r="O15" s="14" t="n">
        <v>0.79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1</v>
      </c>
      <c r="I17" s="14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14" t="n">
        <v>1</v>
      </c>
      <c r="O17" s="14" t="n">
        <v>1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7200000</v>
      </c>
      <c r="I18" s="3" t="n">
        <v>7380000</v>
      </c>
      <c r="J18" s="3" t="n">
        <v>7564500</v>
      </c>
      <c r="K18" s="3" t="n">
        <v>7753612.5</v>
      </c>
      <c r="L18" s="3" t="n">
        <v>7947452.8</v>
      </c>
      <c r="M18" s="3" t="n">
        <v>8610000</v>
      </c>
      <c r="N18" s="3" t="n">
        <v>8825250</v>
      </c>
      <c r="O18" s="3" t="n">
        <v>9045881.249999996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88</v>
      </c>
      <c r="I22" s="13" t="n">
        <v>95</v>
      </c>
      <c r="J22" s="13" t="n">
        <v>101</v>
      </c>
      <c r="K22" s="13" t="n">
        <v>106</v>
      </c>
      <c r="L22" s="13" t="n">
        <v>110</v>
      </c>
      <c r="M22" s="13" t="n">
        <v>123</v>
      </c>
      <c r="N22" s="13" t="n">
        <v>126.075</v>
      </c>
      <c r="O22" s="13" t="n">
        <v>129.2268749999999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0.65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2600000</v>
      </c>
      <c r="I24" s="3" t="n">
        <v>2652000</v>
      </c>
      <c r="J24" s="3" t="n">
        <v>2705040</v>
      </c>
      <c r="K24" s="3" t="n">
        <v>2759140.8</v>
      </c>
      <c r="L24" s="3" t="n">
        <v>2814323.6</v>
      </c>
      <c r="M24" s="3" t="n">
        <v>3075000</v>
      </c>
      <c r="N24" s="3" t="n">
        <v>3151875</v>
      </c>
      <c r="O24" s="3" t="n">
        <v>3230671.874999999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2830000</v>
      </c>
      <c r="I25" s="3" t="n">
        <v>2900750</v>
      </c>
      <c r="J25" s="3" t="n">
        <v>2973268.8</v>
      </c>
      <c r="K25" s="3" t="n">
        <v>3047600.5</v>
      </c>
      <c r="L25" s="3" t="n">
        <v>3123790.5</v>
      </c>
      <c r="M25" s="3" t="n">
        <v>3280000</v>
      </c>
      <c r="N25" s="3" t="n">
        <v>3362000</v>
      </c>
      <c r="O25" s="3" t="n">
        <v>3446049.999999999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0.278361</v>
      </c>
      <c r="I27" s="4" t="n">
        <v>0.278361</v>
      </c>
      <c r="J27" s="4" t="n">
        <v>0.278361</v>
      </c>
      <c r="K27" s="4" t="n">
        <v>0.278361</v>
      </c>
      <c r="L27" s="4" t="n">
        <v>0.278361</v>
      </c>
      <c r="M27" s="4" t="n">
        <v>0.278361</v>
      </c>
      <c r="N27" s="4" t="n">
        <v>0.278361</v>
      </c>
      <c r="O27" s="4" t="n">
        <v>0.278361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0.215755</v>
      </c>
      <c r="I28" s="4" t="n">
        <v>0.215755</v>
      </c>
      <c r="J28" s="4" t="n">
        <v>0.215755</v>
      </c>
      <c r="K28" s="4" t="n">
        <v>0.215755</v>
      </c>
      <c r="L28" s="4" t="n">
        <v>0.215755</v>
      </c>
      <c r="M28" s="4" t="n">
        <v>0.215755</v>
      </c>
      <c r="N28" s="4" t="n">
        <v>0.215755</v>
      </c>
      <c r="O28" s="4" t="n">
        <v>0.215755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0.073861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0.038322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-100</v>
      </c>
      <c r="I31" s="13" t="n">
        <v>-20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0.25</v>
      </c>
      <c r="I34" s="4" t="n">
        <v>0.25</v>
      </c>
      <c r="J34" s="4" t="n">
        <v>0.25</v>
      </c>
      <c r="K34" s="4" t="n">
        <v>0.25</v>
      </c>
      <c r="L34" s="4" t="n">
        <v>0.25</v>
      </c>
      <c r="M34" s="4" t="n">
        <v>0.25</v>
      </c>
      <c r="N34" s="4" t="n">
        <v>0.25</v>
      </c>
      <c r="O34" s="4" t="n">
        <v>0.25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0.04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0.09</v>
      </c>
      <c r="I37" s="4" t="n">
        <v>0.09</v>
      </c>
      <c r="J37" s="4" t="n">
        <v>0.09</v>
      </c>
      <c r="K37" s="4" t="n">
        <v>0.09</v>
      </c>
      <c r="L37" s="4" t="n">
        <v>0.09</v>
      </c>
      <c r="M37" s="4" t="n">
        <v>0.09</v>
      </c>
      <c r="N37" s="4" t="n">
        <v>0.09</v>
      </c>
      <c r="O37" s="4" t="n">
        <v>0.09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/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53.108</v>
      </c>
      <c r="G41" s="13" t="n">
        <v>53.108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Drivers!$H$4</f>
        <v/>
      </c>
      <c r="I42" s="16">
        <f>Drivers!$I$4</f>
        <v/>
      </c>
      <c r="J42" s="16">
        <f>Drivers!$J$4</f>
        <v/>
      </c>
      <c r="K42" s="16">
        <f>Drivers!$K$4</f>
        <v/>
      </c>
      <c r="L42" s="16">
        <f>Drivers!$L$4</f>
        <v/>
      </c>
      <c r="M42" s="16">
        <f>Drivers!$M$4</f>
        <v/>
      </c>
      <c r="N42" s="16">
        <f>Drivers!$N$4</f>
        <v/>
      </c>
      <c r="O42" s="16">
        <f>Drivers!$O$4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7">
        <f>(H15*H42)</f>
        <v/>
      </c>
      <c r="I43" s="17">
        <f>(I15*I42)</f>
        <v/>
      </c>
      <c r="J43" s="17">
        <f>(J15*J42)</f>
        <v/>
      </c>
      <c r="K43" s="17">
        <f>(K15*K42)</f>
        <v/>
      </c>
      <c r="L43" s="17">
        <f>(L15*L42)</f>
        <v/>
      </c>
      <c r="M43" s="17">
        <f>(M15*M42)</f>
        <v/>
      </c>
      <c r="N43" s="17">
        <f>(N15*N42)</f>
        <v/>
      </c>
      <c r="O43" s="17">
        <f>(O15*O42)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8">
        <f>IF(H42=0,0,H43/H42)</f>
        <v/>
      </c>
      <c r="I44" s="18">
        <f>IF(I42=0,0,I43/I42)</f>
        <v/>
      </c>
      <c r="J44" s="18">
        <f>IF(J42=0,0,J43/J42)</f>
        <v/>
      </c>
      <c r="K44" s="18">
        <f>IF(K42=0,0,K43/K42)</f>
        <v/>
      </c>
      <c r="L44" s="18">
        <f>IF(L42=0,0,L43/L42)</f>
        <v/>
      </c>
      <c r="M44" s="18">
        <f>IF(M42=0,0,M43/M42)</f>
        <v/>
      </c>
      <c r="N44" s="18">
        <f>IF(N42=0,0,N43/N42)</f>
        <v/>
      </c>
      <c r="O44" s="18">
        <f>IF(O42=0,0,O43/O42)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7">
        <f>((H17*H18)+H20)</f>
        <v/>
      </c>
      <c r="I45" s="17">
        <f>((I17*I18)+I20)</f>
        <v/>
      </c>
      <c r="J45" s="17">
        <f>((J17*J18)+J20)</f>
        <v/>
      </c>
      <c r="K45" s="17">
        <f>((K17*K18)+K20)</f>
        <v/>
      </c>
      <c r="L45" s="17">
        <f>((L17*L18)+L20)</f>
        <v/>
      </c>
      <c r="M45" s="17">
        <f>((M17*M18)+M20)</f>
        <v/>
      </c>
      <c r="N45" s="17">
        <f>((N17*N18)+N20)</f>
        <v/>
      </c>
      <c r="O45" s="17">
        <f>((O17*O18)+O20)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9">
        <f>H17</f>
        <v/>
      </c>
      <c r="I46" s="19">
        <f>I17</f>
        <v/>
      </c>
      <c r="J46" s="19">
        <f>J17</f>
        <v/>
      </c>
      <c r="K46" s="19">
        <f>K17</f>
        <v/>
      </c>
      <c r="L46" s="19">
        <f>L17</f>
        <v/>
      </c>
      <c r="M46" s="19">
        <f>M17</f>
        <v/>
      </c>
      <c r="N46" s="19">
        <f>N17</f>
        <v/>
      </c>
      <c r="O46" s="19">
        <f>O17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8">
        <f>H21</f>
        <v/>
      </c>
      <c r="I47" s="18">
        <f>I21</f>
        <v/>
      </c>
      <c r="J47" s="18">
        <f>J21</f>
        <v/>
      </c>
      <c r="K47" s="18">
        <f>K21</f>
        <v/>
      </c>
      <c r="L47" s="18">
        <f>L21</f>
        <v/>
      </c>
      <c r="M47" s="18">
        <f>M21</f>
        <v/>
      </c>
      <c r="N47" s="18">
        <f>N21</f>
        <v/>
      </c>
      <c r="O47" s="18">
        <f>O21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292.4896089205165</v>
      </c>
      <c r="G48" s="3" t="n">
        <v>388.5930672391531</v>
      </c>
      <c r="H48" s="16">
        <f>IF(IF(1000=0,0,((H41*$C$10)*Drivers!$H$5)/1000)=0,0,H61/IF(1000=0,0,((H41*$C$10)*Drivers!$H$5)/1000))</f>
        <v/>
      </c>
      <c r="I48" s="16">
        <f>IF(IF(1000=0,0,((I41*$C$10)*Drivers!$I$5)/1000)=0,0,I61/IF(1000=0,0,((I41*$C$10)*Drivers!$I$5)/1000))</f>
        <v/>
      </c>
      <c r="J48" s="16">
        <f>IF(IF(1000=0,0,((J41*$C$10)*Drivers!$J$5)/1000)=0,0,J61/IF(1000=0,0,((J41*$C$10)*Drivers!$J$5)/1000))</f>
        <v/>
      </c>
      <c r="K48" s="16">
        <f>IF(IF(1000=0,0,((K41*$C$10)*Drivers!$K$5)/1000)=0,0,K61/IF(1000=0,0,((K41*$C$10)*Drivers!$K$5)/1000))</f>
        <v/>
      </c>
      <c r="L48" s="16">
        <f>IF(IF(1000=0,0,((L41*$C$10)*Drivers!$L$5)/1000)=0,0,L61/IF(1000=0,0,((L41*$C$10)*Drivers!$L$5)/1000))</f>
        <v/>
      </c>
      <c r="M48" s="16">
        <f>IF(IF(1000=0,0,((M41*$C$10)*Drivers!$M$5)/1000)=0,0,M61/IF(1000=0,0,((M41*$C$10)*Drivers!$M$5)/1000))</f>
        <v/>
      </c>
      <c r="N48" s="16">
        <f>IF(IF(1000=0,0,((N41*$C$10)*Drivers!$N$5)/1000)=0,0,N61/IF(1000=0,0,((N41*$C$10)*Drivers!$N$5)/1000))</f>
        <v/>
      </c>
      <c r="O48" s="16">
        <f>IF(IF(1000=0,0,((O41*$C$10)*Drivers!$O$5)/1000)=0,0,O61/IF(1000=0,0,((O41*$C$10)*Drivers!$O$5)/1000))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6">
        <f>IF(IF(1000=0,0,((H41*$C$10)*Drivers!$H$5)/1000)=0,0,(H53+H52)/IF(1000=0,0,((H41*$C$10)*Drivers!$H$5)/1000))</f>
        <v/>
      </c>
      <c r="I49" s="16">
        <f>IF(IF(1000=0,0,((I41*$C$10)*Drivers!$I$5)/1000)=0,0,(I53+I52)/IF(1000=0,0,((I41*$C$10)*Drivers!$I$5)/1000))</f>
        <v/>
      </c>
      <c r="J49" s="16">
        <f>IF(IF(1000=0,0,((J41*$C$10)*Drivers!$J$5)/1000)=0,0,(J53+J52)/IF(1000=0,0,((J41*$C$10)*Drivers!$J$5)/1000))</f>
        <v/>
      </c>
      <c r="K49" s="16">
        <f>IF(IF(1000=0,0,((K41*$C$10)*Drivers!$K$5)/1000)=0,0,(K53+K52)/IF(1000=0,0,((K41*$C$10)*Drivers!$K$5)/1000))</f>
        <v/>
      </c>
      <c r="L49" s="16">
        <f>IF(IF(1000=0,0,((L41*$C$10)*Drivers!$L$5)/1000)=0,0,(L53+L52)/IF(1000=0,0,((L41*$C$10)*Drivers!$L$5)/1000))</f>
        <v/>
      </c>
      <c r="M49" s="16">
        <f>IF(IF(1000=0,0,((M41*$C$10)*Drivers!$M$5)/1000)=0,0,(M53+M52)/IF(1000=0,0,((M41*$C$10)*Drivers!$M$5)/1000))</f>
        <v/>
      </c>
      <c r="N49" s="16">
        <f>IF(IF(1000=0,0,((N41*$C$10)*Drivers!$N$5)/1000)=0,0,(N53+N52)/IF(1000=0,0,((N41*$C$10)*Drivers!$N$5)/1000))</f>
        <v/>
      </c>
      <c r="O49" s="16">
        <f>IF(IF(1000=0,0,((O41*$C$10)*Drivers!$O$5)/1000)=0,0,(O53+O52)/IF(1000=0,0,((O41*$C$10)*Drivers!$O$5)/1000))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20">
        <f>IF(1000=0,0,(((H41*H43)*$C$10)*Drivers!$H$5)/1000)</f>
        <v/>
      </c>
      <c r="I50" s="20">
        <f>IF(1000=0,0,(((I41*I43)*$C$10)*Drivers!$I$5)/1000)</f>
        <v/>
      </c>
      <c r="J50" s="20">
        <f>IF(1000=0,0,(((J41*J43)*$C$10)*Drivers!$J$5)/1000)</f>
        <v/>
      </c>
      <c r="K50" s="20">
        <f>IF(1000=0,0,(((K41*K43)*$C$10)*Drivers!$K$5)/1000)</f>
        <v/>
      </c>
      <c r="L50" s="20">
        <f>IF(1000=0,0,(((L41*L43)*$C$10)*Drivers!$L$5)/1000)</f>
        <v/>
      </c>
      <c r="M50" s="20">
        <f>IF(1000=0,0,(((M41*M43)*$C$10)*Drivers!$M$5)/1000)</f>
        <v/>
      </c>
      <c r="N50" s="20">
        <f>IF(1000=0,0,(((N41*N43)*$C$10)*Drivers!$N$5)/1000)</f>
        <v/>
      </c>
      <c r="O50" s="20">
        <f>IF(1000=0,0,(((O41*O43)*$C$10)*Drivers!$O$5)/1000)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IF(1000=0,0,((H41*H45)*$C$10)/1000)</f>
        <v/>
      </c>
      <c r="I53" s="15">
        <f>IF(1000=0,0,((I41*I45)*$C$10)/1000)</f>
        <v/>
      </c>
      <c r="J53" s="15">
        <f>IF(1000=0,0,((J41*J45)*$C$10)/1000)</f>
        <v/>
      </c>
      <c r="K53" s="15">
        <f>IF(1000=0,0,((K41*K45)*$C$10)/1000)</f>
        <v/>
      </c>
      <c r="L53" s="15">
        <f>IF(1000=0,0,((L41*L45)*$C$10)/1000)</f>
        <v/>
      </c>
      <c r="M53" s="15">
        <f>IF(1000=0,0,((M41*M45)*$C$10)/1000)</f>
        <v/>
      </c>
      <c r="N53" s="15">
        <f>IF(1000=0,0,((N41*N45)*$C$10)/1000)</f>
        <v/>
      </c>
      <c r="O53" s="15">
        <f>IF(1000=0,0,((O41*O45)*$C$10)/1000)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1007.305060864</v>
      </c>
      <c r="E55" s="13" t="n">
        <v>868.456776538</v>
      </c>
      <c r="F55" s="13" t="n">
        <v>738.565449724</v>
      </c>
      <c r="G55" s="13" t="n">
        <v>792.7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742.8839902140001</v>
      </c>
      <c r="E56" s="13" t="n">
        <v>622.382327457</v>
      </c>
      <c r="F56" s="13" t="n">
        <v>519.649678545</v>
      </c>
      <c r="G56" s="13" t="n">
        <v>515.419977059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264.42107065</v>
      </c>
      <c r="E57" s="13" t="n">
        <v>246.074449081</v>
      </c>
      <c r="F57" s="13" t="n">
        <v>218.915771179</v>
      </c>
      <c r="G57" s="13" t="n">
        <v>277.304292657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69.348856719</v>
      </c>
      <c r="E58" s="13" t="n">
        <v>63.94738114700002</v>
      </c>
      <c r="F58" s="13" t="n">
        <v>72.81404257099999</v>
      </c>
      <c r="G58" s="13" t="n">
        <v>52.89357263500003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195.072213931</v>
      </c>
      <c r="E59" s="13" t="n">
        <v>182.127067934</v>
      </c>
      <c r="F59" s="13" t="n">
        <v>146.101728608</v>
      </c>
      <c r="G59" s="13" t="n">
        <v>224.410720022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6.928903708</v>
      </c>
      <c r="E60" s="13" t="n">
        <v>2.235349409</v>
      </c>
      <c r="F60" s="13" t="n">
        <v>100.046410801</v>
      </c>
      <c r="G60" s="13" t="n">
        <v>115.035162507</v>
      </c>
      <c r="H60" s="15">
        <f>IF(1000=0,0,((H41*H24)*$C$10)/1000)</f>
        <v/>
      </c>
      <c r="I60" s="15">
        <f>IF(1000=0,0,((I41*I24)*$C$10)/1000)</f>
        <v/>
      </c>
      <c r="J60" s="15">
        <f>IF(1000=0,0,((J41*J24)*$C$10)/1000)</f>
        <v/>
      </c>
      <c r="K60" s="15">
        <f>IF(1000=0,0,((K41*K24)*$C$10)/1000)</f>
        <v/>
      </c>
      <c r="L60" s="15">
        <f>IF(1000=0,0,((L41*L24)*$C$10)/1000)</f>
        <v/>
      </c>
      <c r="M60" s="15">
        <f>IF(1000=0,0,((M41*M24)*$C$10)/1000)</f>
        <v/>
      </c>
      <c r="N60" s="15">
        <f>IF(1000=0,0,((N41*N24)*$C$10)/1000)</f>
        <v/>
      </c>
      <c r="O60" s="15">
        <f>IF(1000=0,0,((O41*O24)*$C$10)/1000)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202.001117639</v>
      </c>
      <c r="E61" s="13" t="n">
        <v>184.362417343</v>
      </c>
      <c r="F61" s="13" t="n">
        <v>246.148139409</v>
      </c>
      <c r="G61" s="13" t="n">
        <v>339.445882529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62.603309677</v>
      </c>
      <c r="E62" s="13" t="n">
        <v>50.408782504</v>
      </c>
      <c r="F62" s="13" t="n">
        <v>43.836197384</v>
      </c>
      <c r="G62" s="13" t="n">
        <v>35.098766168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0.065399736</v>
      </c>
      <c r="E63" s="13" t="n">
        <v>0.148214216</v>
      </c>
      <c r="F63" s="13" t="n">
        <v>0.615894348</v>
      </c>
      <c r="G63" s="13" t="n">
        <v>1.461523134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56.340901136</v>
      </c>
      <c r="E64" s="13" t="n">
        <v>7.532564487000001</v>
      </c>
      <c r="F64" s="13" t="n">
        <v>-1.058352978999994</v>
      </c>
      <c r="G64" s="13" t="n">
        <v>8.376859520000014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188.875205126</v>
      </c>
      <c r="E65" s="13" t="n">
        <v>139.399064133</v>
      </c>
      <c r="F65" s="13" t="n">
        <v>101.823072593</v>
      </c>
      <c r="G65" s="13" t="n">
        <v>199.150336508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21.628659747</v>
      </c>
      <c r="E66" s="13" t="n">
        <v>31.342476544</v>
      </c>
      <c r="F66" s="13" t="n">
        <v>22.641909865</v>
      </c>
      <c r="G66" s="13" t="n">
        <v>39.842244599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167.246545379</v>
      </c>
      <c r="E67" s="13" t="n">
        <v>108.056587588</v>
      </c>
      <c r="F67" s="13" t="n">
        <v>79.181162728</v>
      </c>
      <c r="G67" s="13" t="n">
        <v>159.308091908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-4.905110291</v>
      </c>
      <c r="E68" s="13" t="n">
        <v>0</v>
      </c>
      <c r="F68" s="13" t="n">
        <v>0</v>
      </c>
      <c r="G68" s="13" t="n">
        <v>0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172.15165567</v>
      </c>
      <c r="E69" s="13" t="n">
        <v>108.056587588</v>
      </c>
      <c r="F69" s="13" t="n">
        <v>79.181162728</v>
      </c>
      <c r="G69" s="13" t="n">
        <v>159.308091908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5737.848882</v>
      </c>
      <c r="E70" s="13" t="n">
        <v>5737.848882</v>
      </c>
      <c r="F70" s="13" t="n">
        <v>5737.848882</v>
      </c>
      <c r="G70" s="13" t="n">
        <v>5737.848882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</row>
    <row r="71">
      <c r="A71" t="inlineStr">
        <is>
          <t>EPS</t>
        </is>
      </c>
      <c r="B71" t="inlineStr">
        <is>
          <t>eps</t>
        </is>
      </c>
      <c r="D71" s="21" t="n">
        <v>30.00282147723527</v>
      </c>
      <c r="E71" s="21" t="n">
        <v>18.83224703372381</v>
      </c>
      <c r="F71" s="21" t="n">
        <v>13.79979925515229</v>
      </c>
      <c r="G71" s="21" t="n">
        <v>27.76442795622584</v>
      </c>
      <c r="H71" s="22">
        <f>(IF(H70=0,0,H69/H70)*$C$8)</f>
        <v/>
      </c>
      <c r="I71" s="22">
        <f>(IF(I70=0,0,I69/I70)*$C$8)</f>
        <v/>
      </c>
      <c r="J71" s="22">
        <f>(IF(J70=0,0,J69/J70)*$C$8)</f>
        <v/>
      </c>
      <c r="K71" s="22">
        <f>(IF(K70=0,0,K69/K70)*$C$8)</f>
        <v/>
      </c>
      <c r="L71" s="22">
        <f>(IF(L70=0,0,L69/L70)*$C$8)</f>
        <v/>
      </c>
      <c r="M71" s="22">
        <f>(IF(M70=0,0,M69/M70)*$C$8)</f>
        <v/>
      </c>
      <c r="N71" s="22">
        <f>(IF(N70=0,0,N69/N70)*$C$8)</f>
        <v/>
      </c>
      <c r="O71" s="22">
        <f>(IF(O70=0,0,O69/O70)*$C$8)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1" t="n">
        <v>0</v>
      </c>
      <c r="E72" s="21" t="n">
        <v>0</v>
      </c>
      <c r="F72" s="21" t="n">
        <v>2.07</v>
      </c>
      <c r="G72" s="21" t="n">
        <v>6.97</v>
      </c>
      <c r="H72" s="22">
        <f>(MAX(H71,0)*H34)</f>
        <v/>
      </c>
      <c r="I72" s="22">
        <f>(MAX(I71,0)*I34)</f>
        <v/>
      </c>
      <c r="J72" s="22">
        <f>(MAX(J71,0)*J34)</f>
        <v/>
      </c>
      <c r="K72" s="22">
        <f>(MAX(K71,0)*K34)</f>
        <v/>
      </c>
      <c r="L72" s="22">
        <f>(MAX(L71,0)*L34)</f>
        <v/>
      </c>
      <c r="M72" s="22">
        <f>(MAX(M71,0)*M34)</f>
        <v/>
      </c>
      <c r="N72" s="22">
        <f>(MAX(N71,0)*N34)</f>
        <v/>
      </c>
      <c r="O72" s="22">
        <f>(MAX(O71,0)*O34)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/>
      <c r="E73" s="13" t="n"/>
      <c r="F73" s="13" t="n"/>
      <c r="G73" s="13" t="n">
        <v>39.99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77.068733399</v>
      </c>
      <c r="E74" s="13" t="n">
        <v>353.380568456</v>
      </c>
      <c r="F74" s="13" t="n">
        <v>39.457096079</v>
      </c>
      <c r="G74" s="13" t="n">
        <v>134.771461376</v>
      </c>
      <c r="H74" s="15">
        <f>(IF(1000=0,0,((H41*H25)*$C$10)/1000)+H26)</f>
        <v/>
      </c>
      <c r="I74" s="15">
        <f>(IF(1000=0,0,((I41*I25)*$C$10)/1000)+I26)</f>
        <v/>
      </c>
      <c r="J74" s="15">
        <f>(IF(1000=0,0,((J41*J25)*$C$10)/1000)+J26)</f>
        <v/>
      </c>
      <c r="K74" s="15">
        <f>(IF(1000=0,0,((K41*K25)*$C$10)/1000)+K26)</f>
        <v/>
      </c>
      <c r="L74" s="15">
        <f>(IF(1000=0,0,((L41*L25)*$C$10)/1000)+L26)</f>
        <v/>
      </c>
      <c r="M74" s="15">
        <f>(IF(1000=0,0,((M41*M25)*$C$10)/1000)+M26)</f>
        <v/>
      </c>
      <c r="N74" s="15">
        <f>(IF(1000=0,0,((N41*N25)*$C$10)/1000)+N26)</f>
        <v/>
      </c>
      <c r="O74" s="15">
        <f>(IF(1000=0,0,((O41*O25)*$C$10)/1000)+O26)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-44.03215268199995</v>
      </c>
      <c r="F75" s="13" t="n">
        <v>139.967992211</v>
      </c>
      <c r="G75" s="13" t="n">
        <v>-33.358821648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-165.935436580044</v>
      </c>
      <c r="F76" s="13" t="n">
        <v>34.23510819975991</v>
      </c>
      <c r="G76" s="13" t="n">
        <v>193.1373769213304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-122.2375741220001</v>
      </c>
      <c r="F77" s="13" t="n">
        <v>-81.12206399899998</v>
      </c>
      <c r="G77" s="13" t="n">
        <v>-128.584054646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179.7092982</v>
      </c>
      <c r="E80" s="13" t="n">
        <v>135.677145518</v>
      </c>
      <c r="F80" s="13" t="n">
        <v>275.645137729</v>
      </c>
      <c r="G80" s="13" t="n">
        <v>242.286316081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35.899308357</v>
      </c>
      <c r="E81" s="13" t="n">
        <v>75.58718736500001</v>
      </c>
      <c r="F81" s="13" t="n">
        <v>14.232285503</v>
      </c>
      <c r="G81" s="13" t="n">
        <v>6.459005255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692.0789766840001</v>
      </c>
      <c r="E82" s="13" t="n">
        <v>569.841402562</v>
      </c>
      <c r="F82" s="13" t="n">
        <v>488.719338563</v>
      </c>
      <c r="G82" s="13" t="n">
        <v>360.135283917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1960.865936664</v>
      </c>
      <c r="E83" s="13" t="n">
        <v>2259.699976399</v>
      </c>
      <c r="F83" s="13" t="n">
        <v>2252.180447388</v>
      </c>
      <c r="G83" s="13" t="n">
        <v>2189.317476523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1429.166103716</v>
      </c>
      <c r="E84" s="13" t="n">
        <v>1626.07484577</v>
      </c>
      <c r="F84" s="13" t="n">
        <v>1792.951751095</v>
      </c>
      <c r="G84" s="13" t="n">
        <v>1918.717903452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0</v>
      </c>
      <c r="E85" s="13" t="n">
        <v>0</v>
      </c>
      <c r="F85" s="13" t="n">
        <v>0</v>
      </c>
      <c r="G85" s="13" t="n">
        <v>0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-55.22946282099974</v>
      </c>
      <c r="E86" s="13" t="n">
        <v>-275.0480609500005</v>
      </c>
      <c r="F86" s="13" t="n">
        <v>-260.3867809620006</v>
      </c>
      <c r="G86" s="13" t="n">
        <v>-159.2096104900004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656.1796683270001</v>
      </c>
      <c r="E88" s="13" t="n">
        <v>494.254215197</v>
      </c>
      <c r="F88" s="13" t="n">
        <v>474.48705306</v>
      </c>
      <c r="G88" s="13" t="n">
        <v>353.676278662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1" t="n">
        <v>249.0769856625861</v>
      </c>
      <c r="E89" s="21" t="n">
        <v>283.3945053643885</v>
      </c>
      <c r="F89" s="21" t="n">
        <v>312.4780362758602</v>
      </c>
      <c r="G89" s="21" t="n">
        <v>334.3967300134274</v>
      </c>
      <c r="H89" s="22">
        <f>(IF(H70=0,0,H84/H70)*$C$8)</f>
        <v/>
      </c>
      <c r="I89" s="22">
        <f>(IF(I70=0,0,I84/I70)*$C$8)</f>
        <v/>
      </c>
      <c r="J89" s="22">
        <f>(IF(J70=0,0,J84/J70)*$C$8)</f>
        <v/>
      </c>
      <c r="K89" s="22">
        <f>(IF(K70=0,0,K84/K70)*$C$8)</f>
        <v/>
      </c>
      <c r="L89" s="22">
        <f>(IF(L70=0,0,L84/L70)*$C$8)</f>
        <v/>
      </c>
      <c r="M89" s="22">
        <f>(IF(M70=0,0,M84/M70)*$C$8)</f>
        <v/>
      </c>
      <c r="N89" s="22">
        <f>(IF(N70=0,0,N84/N70)*$C$8)</f>
        <v/>
      </c>
      <c r="O89" s="22">
        <f>(IF(O70=0,0,O84/O70)*$C$8)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-0.1378413449118434</v>
      </c>
      <c r="F90" s="4" t="n">
        <v>-0.1495656782503285</v>
      </c>
      <c r="G90" s="4" t="n">
        <v>0.0732968896612074</v>
      </c>
      <c r="H90" s="18">
        <f>(IF(G55=0,0,H55/G55)-1)</f>
        <v/>
      </c>
      <c r="I90" s="18">
        <f>(IF(H55=0,0,I55/H55)-1)</f>
        <v/>
      </c>
      <c r="J90" s="18">
        <f>(IF(I55=0,0,J55/I55)-1)</f>
        <v/>
      </c>
      <c r="K90" s="18">
        <f>(IF(J55=0,0,K55/J55)-1)</f>
        <v/>
      </c>
      <c r="L90" s="18">
        <f>(IF(K55=0,0,L55/K55)-1)</f>
        <v/>
      </c>
      <c r="M90" s="18">
        <f>(IF(L55=0,0,M55/L55)-1)</f>
        <v/>
      </c>
      <c r="N90" s="18">
        <f>(IF(M55=0,0,N55/M55)-1)</f>
        <v/>
      </c>
      <c r="O90" s="18">
        <f>(IF(N55=0,0,O55/N55)-1)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0.2625034668476668</v>
      </c>
      <c r="E91" s="4" t="n">
        <v>0.2833468005879886</v>
      </c>
      <c r="F91" s="4" t="n">
        <v>0.2964067318080046</v>
      </c>
      <c r="G91" s="4" t="n">
        <v>0.3498224960981456</v>
      </c>
      <c r="H91" s="18">
        <f>IF(H55=0,0,H57/H55)</f>
        <v/>
      </c>
      <c r="I91" s="18">
        <f>IF(I55=0,0,I57/I55)</f>
        <v/>
      </c>
      <c r="J91" s="18">
        <f>IF(J55=0,0,J57/J55)</f>
        <v/>
      </c>
      <c r="K91" s="18">
        <f>IF(K55=0,0,K57/K55)</f>
        <v/>
      </c>
      <c r="L91" s="18">
        <f>IF(L55=0,0,L57/L55)</f>
        <v/>
      </c>
      <c r="M91" s="18">
        <f>IF(M55=0,0,M57/M55)</f>
        <v/>
      </c>
      <c r="N91" s="18">
        <f>IF(N55=0,0,N57/N55)</f>
        <v/>
      </c>
      <c r="O91" s="18">
        <f>IF(O55=0,0,O57/O55)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0.2005361885760176</v>
      </c>
      <c r="E92" s="4" t="n">
        <v>0.2122873841550744</v>
      </c>
      <c r="F92" s="4" t="n">
        <v>0.3332787087467806</v>
      </c>
      <c r="G92" s="4" t="n">
        <v>0.4282148133329128</v>
      </c>
      <c r="H92" s="18">
        <f>IF(H55=0,0,H61/H55)</f>
        <v/>
      </c>
      <c r="I92" s="18">
        <f>IF(I55=0,0,I61/I55)</f>
        <v/>
      </c>
      <c r="J92" s="18">
        <f>IF(J55=0,0,J61/J55)</f>
        <v/>
      </c>
      <c r="K92" s="18">
        <f>IF(K55=0,0,K61/K55)</f>
        <v/>
      </c>
      <c r="L92" s="18">
        <f>IF(L55=0,0,L61/L55)</f>
        <v/>
      </c>
      <c r="M92" s="18">
        <f>IF(M55=0,0,M61/M55)</f>
        <v/>
      </c>
      <c r="N92" s="18">
        <f>IF(N55=0,0,N61/N55)</f>
        <v/>
      </c>
      <c r="O92" s="18">
        <f>IF(O55=0,0,O61/O55)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0.1936575338593851</v>
      </c>
      <c r="E93" s="4" t="n">
        <v>0.2097134513245759</v>
      </c>
      <c r="F93" s="4" t="n">
        <v>0.1978182551899738</v>
      </c>
      <c r="G93" s="4" t="n">
        <v>0.2830966570228333</v>
      </c>
      <c r="H93" s="18">
        <f>IF(H55=0,0,H59/H55)</f>
        <v/>
      </c>
      <c r="I93" s="18">
        <f>IF(I55=0,0,I59/I55)</f>
        <v/>
      </c>
      <c r="J93" s="18">
        <f>IF(J55=0,0,J59/J55)</f>
        <v/>
      </c>
      <c r="K93" s="18">
        <f>IF(K55=0,0,K59/K55)</f>
        <v/>
      </c>
      <c r="L93" s="18">
        <f>IF(L55=0,0,L59/L55)</f>
        <v/>
      </c>
      <c r="M93" s="18">
        <f>IF(M55=0,0,M59/M55)</f>
        <v/>
      </c>
      <c r="N93" s="18">
        <f>IF(N55=0,0,N59/N55)</f>
        <v/>
      </c>
      <c r="O93" s="18">
        <f>IF(O55=0,0,O59/O55)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0.17090319741106</v>
      </c>
      <c r="E94" s="4" t="n">
        <v>0.1244236794590455</v>
      </c>
      <c r="F94" s="4" t="n">
        <v>0.1072094054190997</v>
      </c>
      <c r="G94" s="4" t="n">
        <v>0.2009689566141037</v>
      </c>
      <c r="H94" s="18">
        <f>IF(H55=0,0,H69/H55)</f>
        <v/>
      </c>
      <c r="I94" s="18">
        <f>IF(I55=0,0,I69/I55)</f>
        <v/>
      </c>
      <c r="J94" s="18">
        <f>IF(J55=0,0,J69/J55)</f>
        <v/>
      </c>
      <c r="K94" s="18">
        <f>IF(K55=0,0,K69/K55)</f>
        <v/>
      </c>
      <c r="L94" s="18">
        <f>IF(L55=0,0,L69/L55)</f>
        <v/>
      </c>
      <c r="M94" s="18">
        <f>IF(M55=0,0,M69/M55)</f>
        <v/>
      </c>
      <c r="N94" s="18">
        <f>IF(N55=0,0,N69/N55)</f>
        <v/>
      </c>
      <c r="O94" s="18">
        <f>IF(O55=0,0,O69/O55)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-0.3723174652752964</v>
      </c>
      <c r="F95" s="4" t="n">
        <v>-0.2672250300009167</v>
      </c>
      <c r="G95" s="4" t="n">
        <v>1.011944336498933</v>
      </c>
      <c r="H95" s="18">
        <f>(IF(G71=0,0,H71/G71)-1)</f>
        <v/>
      </c>
      <c r="I95" s="18">
        <f>(IF(H71=0,0,I71/H71)-1)</f>
        <v/>
      </c>
      <c r="J95" s="18">
        <f>(IF(I71=0,0,J71/I71)-1)</f>
        <v/>
      </c>
      <c r="K95" s="18">
        <f>(IF(J71=0,0,K71/J71)-1)</f>
        <v/>
      </c>
      <c r="L95" s="18">
        <f>(IF(K71=0,0,L71/K71)-1)</f>
        <v/>
      </c>
      <c r="M95" s="18">
        <f>(IF(L71=0,0,M71/L71)-1)</f>
        <v/>
      </c>
      <c r="N95" s="18">
        <f>(IF(M71=0,0,N71/M71)-1)</f>
        <v/>
      </c>
      <c r="O95" s="18">
        <f>(IF(N71=0,0,O71/N71)-1)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0.07073523127933917</v>
      </c>
      <c r="F96" s="4" t="n">
        <v>0.04631795657898853</v>
      </c>
      <c r="G96" s="4" t="n">
        <v>0.08584174063704123</v>
      </c>
      <c r="H96" s="18">
        <f>IF(IF(2=0,0,(H84+G84)/2)=0,0,H69/IF(2=0,0,(H84+G84)/2))</f>
        <v/>
      </c>
      <c r="I96" s="18">
        <f>IF(IF(2=0,0,(I84+H84)/2)=0,0,I69/IF(2=0,0,(I84+H84)/2))</f>
        <v/>
      </c>
      <c r="J96" s="18">
        <f>IF(IF(2=0,0,(J84+I84)/2)=0,0,J69/IF(2=0,0,(J84+I84)/2))</f>
        <v/>
      </c>
      <c r="K96" s="18">
        <f>IF(IF(2=0,0,(K84+J84)/2)=0,0,K69/IF(2=0,0,(K84+J84)/2))</f>
        <v/>
      </c>
      <c r="L96" s="18">
        <f>IF(IF(2=0,0,(L84+K84)/2)=0,0,L69/IF(2=0,0,(L84+K84)/2))</f>
        <v/>
      </c>
      <c r="M96" s="18">
        <f>IF(IF(2=0,0,(M84+L84)/2)=0,0,M69/IF(2=0,0,(M84+L84)/2))</f>
        <v/>
      </c>
      <c r="N96" s="18">
        <f>IF(IF(2=0,0,(N84+M84)/2)=0,0,N69/IF(2=0,0,(N84+M84)/2))</f>
        <v/>
      </c>
      <c r="O96" s="18">
        <f>IF(IF(2=0,0,(O84+N84)/2)=0,0,O69/IF(2=0,0,(O84+N84)/2))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3" t="n">
        <v>3.248396226696483</v>
      </c>
      <c r="E97" s="23" t="n">
        <v>2.68088378488473</v>
      </c>
      <c r="F97" s="23" t="n">
        <v>1.927648342982564</v>
      </c>
      <c r="G97" s="23" t="n">
        <v>1.041922429657942</v>
      </c>
      <c r="H97" s="24">
        <f>IF(H61=0,0,H88/H61)</f>
        <v/>
      </c>
      <c r="I97" s="24">
        <f>IF(I61=0,0,I88/I61)</f>
        <v/>
      </c>
      <c r="J97" s="24">
        <f>IF(J61=0,0,J88/J61)</f>
        <v/>
      </c>
      <c r="K97" s="24">
        <f>IF(K61=0,0,K88/K61)</f>
        <v/>
      </c>
      <c r="L97" s="24">
        <f>IF(L61=0,0,L88/L61)</f>
        <v/>
      </c>
      <c r="M97" s="24">
        <f>IF(M61=0,0,M88/M61)</f>
        <v/>
      </c>
      <c r="N97" s="24">
        <f>IF(N61=0,0,N88/N61)</f>
        <v/>
      </c>
      <c r="O97" s="24">
        <f>IF(O61=0,0,O88/O61)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</v>
      </c>
      <c r="E98" s="4" t="n">
        <v>0</v>
      </c>
      <c r="F98" s="4" t="n">
        <v>0.1500021820409558</v>
      </c>
      <c r="G98" s="4" t="n">
        <v>0.2510406485229623</v>
      </c>
      <c r="H98" s="18">
        <f>IF(H71=0,0,H72/H71)</f>
        <v/>
      </c>
      <c r="I98" s="18">
        <f>IF(I71=0,0,I72/I71)</f>
        <v/>
      </c>
      <c r="J98" s="18">
        <f>IF(J71=0,0,J72/J71)</f>
        <v/>
      </c>
      <c r="K98" s="18">
        <f>IF(K71=0,0,K72/K71)</f>
        <v/>
      </c>
      <c r="L98" s="18">
        <f>IF(L71=0,0,L72/L71)</f>
        <v/>
      </c>
      <c r="M98" s="18">
        <f>IF(M71=0,0,M72/M71)</f>
        <v/>
      </c>
      <c r="N98" s="18">
        <f>IF(N71=0,0,N72/N71)</f>
        <v/>
      </c>
      <c r="O98" s="18">
        <f>IF(O71=0,0,O72/O71)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0.07650982447451968</v>
      </c>
      <c r="E99" s="4" t="n">
        <v>0.4069063400768312</v>
      </c>
      <c r="F99" s="4" t="n">
        <v>0.05342396681803219</v>
      </c>
      <c r="G99" s="4" t="n">
        <v>0.1700157201665195</v>
      </c>
      <c r="H99" s="18">
        <f>IF(H55=0,0,H74/H55)</f>
        <v/>
      </c>
      <c r="I99" s="18">
        <f>IF(I55=0,0,I74/I55)</f>
        <v/>
      </c>
      <c r="J99" s="18">
        <f>IF(J55=0,0,J74/J55)</f>
        <v/>
      </c>
      <c r="K99" s="18">
        <f>IF(K55=0,0,K74/K55)</f>
        <v/>
      </c>
      <c r="L99" s="18">
        <f>IF(L55=0,0,L74/L55)</f>
        <v/>
      </c>
      <c r="M99" s="18">
        <f>IF(M55=0,0,M74/M55)</f>
        <v/>
      </c>
      <c r="N99" s="18">
        <f>IF(N55=0,0,N74/N55)</f>
        <v/>
      </c>
      <c r="O99" s="18">
        <f>IF(O55=0,0,O74/O55)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1" t="n">
        <v>8350</v>
      </c>
    </row>
    <row r="103">
      <c r="A103" t="inlineStr">
        <is>
          <t>Shares outstanding (m)</t>
        </is>
      </c>
      <c r="C103" s="13" t="n">
        <v>5737.848882</v>
      </c>
    </row>
    <row r="104">
      <c r="A104" t="inlineStr">
        <is>
          <t>IDR per USD (spot)</t>
        </is>
      </c>
      <c r="C104" s="3" t="n">
        <v>18125</v>
      </c>
    </row>
    <row r="105">
      <c r="A105" t="inlineStr">
        <is>
          <t>Debt at balance-sheet date</t>
        </is>
      </c>
      <c r="C105" s="13" t="n">
        <v>257.827610032</v>
      </c>
    </row>
    <row r="106">
      <c r="A106" t="inlineStr">
        <is>
          <t>Cash at balance-sheet date</t>
        </is>
      </c>
      <c r="C106" s="13" t="n">
        <v>7.51387904</v>
      </c>
    </row>
    <row r="107">
      <c r="A107" t="inlineStr">
        <is>
          <t>Minority interest (book)</t>
        </is>
      </c>
      <c r="C107" s="13" t="n">
        <v>0</v>
      </c>
    </row>
    <row r="108">
      <c r="A108" t="inlineStr">
        <is>
          <t>Associates &amp; investments (book)</t>
        </is>
      </c>
      <c r="C108" s="13" t="n">
        <v>0</v>
      </c>
    </row>
    <row r="109">
      <c r="A109" t="inlineStr">
        <is>
          <t>Post-balance-sheet &amp; other items (sourced, probability-weighted)</t>
        </is>
      </c>
      <c r="C109" s="13" t="n">
        <v>257.0984</v>
      </c>
    </row>
    <row r="110">
      <c r="A110" t="inlineStr">
        <is>
          <t>Parent equity at balance-sheet date</t>
        </is>
      </c>
      <c r="C110" s="13" t="n">
        <v>2013.523077432</v>
      </c>
    </row>
    <row r="111">
      <c r="A111" t="inlineStr">
        <is>
          <t>Per-share factor</t>
        </is>
      </c>
      <c r="C111" s="25" t="n">
        <v>1000</v>
      </c>
    </row>
    <row r="112">
      <c r="A112" t="inlineStr">
        <is>
          <t>Risk-free rate</t>
        </is>
      </c>
      <c r="C112" s="8">
        <f>Drivers!$C$8</f>
        <v/>
      </c>
    </row>
    <row r="113">
      <c r="A113" t="inlineStr">
        <is>
          <t>Less: default spread (IDR only)</t>
        </is>
      </c>
      <c r="C113" s="8">
        <f>Drivers!$C$10</f>
        <v/>
      </c>
    </row>
    <row r="114">
      <c r="A114" t="inlineStr">
        <is>
          <t>Mature ERP + Indonesia CRP</t>
        </is>
      </c>
      <c r="C114" s="8">
        <f>Drivers!$C$11+Drivers!$C$12</f>
        <v/>
      </c>
    </row>
    <row r="115">
      <c r="A115" t="inlineStr">
        <is>
          <t>Tax rate</t>
        </is>
      </c>
      <c r="C115" s="8">
        <f>Drivers!$C$14</f>
        <v/>
      </c>
    </row>
    <row r="116">
      <c r="A116" t="inlineStr">
        <is>
          <t>Unlevered beta (industry default (config))</t>
        </is>
      </c>
      <c r="C116" s="14" t="n">
        <v>0.8</v>
      </c>
    </row>
    <row r="117">
      <c r="A117" t="inlineStr">
        <is>
          <t>Debt / equity (market)</t>
        </is>
      </c>
      <c r="C117" s="14" t="n">
        <v>0.005381382243183425</v>
      </c>
    </row>
    <row r="118">
      <c r="A118" t="inlineStr">
        <is>
          <t>Levered beta</t>
        </is>
      </c>
      <c r="C118" s="26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0">
        <f>$C$112-$C$113+$C$118*$C$114+$C$119</f>
        <v/>
      </c>
    </row>
    <row r="121">
      <c r="A121" t="inlineStr">
        <is>
          <t>Pre-tax cost of debt</t>
        </is>
      </c>
      <c r="C121" s="10">
        <f>$C$112+Drivers!$C$13</f>
        <v/>
      </c>
    </row>
    <row r="122">
      <c r="A122" t="inlineStr">
        <is>
          <t>WACC</t>
        </is>
      </c>
      <c r="C122" s="10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0.04</v>
      </c>
    </row>
    <row r="125">
      <c r="A125" s="1" t="inlineStr">
        <is>
          <t>DCF (FCFF, terminal value)</t>
        </is>
      </c>
    </row>
    <row r="126">
      <c r="A126" t="inlineStr">
        <is>
          <t>Share of year after balance-sheet date</t>
        </is>
      </c>
      <c r="H126" s="12" t="n">
        <v>0.251882</v>
      </c>
      <c r="I126" s="12" t="n">
        <v>0.996578</v>
      </c>
      <c r="J126" s="12" t="n">
        <v>0.999316</v>
      </c>
      <c r="K126" s="12" t="n">
        <v>0.996578</v>
      </c>
      <c r="L126" s="12" t="n">
        <v>0.996578</v>
      </c>
      <c r="M126" s="12" t="n">
        <v>0.996578</v>
      </c>
      <c r="N126" s="12" t="n">
        <v>0.999316</v>
      </c>
      <c r="O126" s="12" t="n">
        <v>0.996578</v>
      </c>
    </row>
    <row r="127">
      <c r="A127" t="inlineStr">
        <is>
          <t>Discount time from valuation date (years)</t>
        </is>
      </c>
      <c r="H127" s="12" t="n">
        <v>0.043806</v>
      </c>
      <c r="I127" s="12" t="n">
        <v>0.670773</v>
      </c>
      <c r="J127" s="12" t="n">
        <v>1.670089</v>
      </c>
      <c r="K127" s="12" t="n">
        <v>2.672142</v>
      </c>
      <c r="L127" s="12" t="n">
        <v>3.671458</v>
      </c>
      <c r="M127" s="12" t="n">
        <v>4.670773</v>
      </c>
      <c r="N127" s="12" t="n">
        <v>5.670089</v>
      </c>
      <c r="O127" s="12" t="n">
        <v>6.672142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</row>
    <row r="129">
      <c r="A129" t="inlineStr">
        <is>
          <t>PV of FCFF</t>
        </is>
      </c>
      <c r="H129" s="27">
        <f>H76*H126*H128</f>
        <v/>
      </c>
      <c r="I129" s="27">
        <f>I76*I126*I128</f>
        <v/>
      </c>
      <c r="J129" s="27">
        <f>J76*J126*J128</f>
        <v/>
      </c>
      <c r="K129" s="27">
        <f>K76*K126*K128</f>
        <v/>
      </c>
      <c r="L129" s="27">
        <f>L76*L126*L128</f>
        <v/>
      </c>
      <c r="M129" s="27">
        <f>M76*M126*M128</f>
        <v/>
      </c>
      <c r="N129" s="27">
        <f>N76*N126*N128</f>
        <v/>
      </c>
      <c r="O129" s="27">
        <f>O76*O126*O128</f>
        <v/>
      </c>
    </row>
    <row r="130">
      <c r="A130" t="inlineStr">
        <is>
          <t>Sum of PV</t>
        </is>
      </c>
      <c r="C130" s="27">
        <f>SUM(H129:O129)</f>
        <v/>
      </c>
    </row>
    <row r="131">
      <c r="A131" t="inlineStr">
        <is>
          <t>Years to end of horizon</t>
        </is>
      </c>
      <c r="C131" s="25" t="n">
        <v>7.170431</v>
      </c>
    </row>
    <row r="132">
      <c r="A132" t="inlineStr">
        <is>
          <t>Terminal value</t>
        </is>
      </c>
      <c r="C132" s="27">
        <f>O76*(1+$C$123)/($C$122-$C$123)</f>
        <v/>
      </c>
    </row>
    <row r="133">
      <c r="A133" t="inlineStr">
        <is>
          <t>PV of terminal value</t>
        </is>
      </c>
      <c r="C133" s="27">
        <f>$C$132/(1+$C$122)^$C$131</f>
        <v/>
      </c>
    </row>
    <row r="134">
      <c r="A134" t="inlineStr">
        <is>
          <t>Enterprise value</t>
        </is>
      </c>
      <c r="C134" s="27">
        <f>$C$130+$C$133</f>
        <v/>
      </c>
    </row>
    <row r="135">
      <c r="A135" t="inlineStr">
        <is>
          <t>Equity value</t>
        </is>
      </c>
      <c r="C135" s="27">
        <f>$C$134-($C$105-$C$106)-$C$107+$C$108+$C$109</f>
        <v/>
      </c>
    </row>
    <row r="136">
      <c r="A136" t="inlineStr">
        <is>
          <t>Value per share (IDR) — DCF (FCFF, terminal value)</t>
        </is>
      </c>
      <c r="C136" s="28">
        <f>MAX(0,$C$135/$C$103*$C$111*1)</f>
        <v/>
      </c>
    </row>
    <row r="138">
      <c r="A138" s="1" t="inlineStr">
        <is>
          <t>EV/EBITDA</t>
        </is>
      </c>
    </row>
    <row r="139">
      <c r="A139" t="inlineStr">
        <is>
          <t>Target multiple (peer median)</t>
        </is>
      </c>
      <c r="C139" s="23" t="n">
        <v>6.661393</v>
      </c>
    </row>
    <row r="140">
      <c r="A140" t="inlineStr">
        <is>
          <t>Metric (LTM, or next-12m DPS for yield)</t>
        </is>
      </c>
      <c r="C140" s="13" t="n">
        <v>339.445883</v>
      </c>
    </row>
    <row r="141">
      <c r="A141" t="inlineStr">
        <is>
          <t>Value per share (IDR) — EV/EBITDA</t>
        </is>
      </c>
      <c r="C141" s="28">
        <f>MAX(0,($C$139*$C$140-($C$105-$C$106)-$C$107+$C$108+$C$109)/$C$103*$C$111*1)</f>
        <v/>
      </c>
    </row>
    <row r="143">
      <c r="A143" s="1" t="inlineStr">
        <is>
          <t>P/E</t>
        </is>
      </c>
    </row>
    <row r="144">
      <c r="A144" t="inlineStr">
        <is>
          <t>Target multiple (peer median)</t>
        </is>
      </c>
      <c r="C144" s="23" t="n">
        <v>8.245473</v>
      </c>
    </row>
    <row r="145">
      <c r="A145" t="inlineStr">
        <is>
          <t>Metric (LTM, or next-12m DPS for yield)</t>
        </is>
      </c>
      <c r="C145" s="13" t="n">
        <v>159.308092</v>
      </c>
    </row>
    <row r="146">
      <c r="A146" t="inlineStr">
        <is>
          <t>Value per share (IDR) — P/E</t>
        </is>
      </c>
      <c r="C146" s="28">
        <f>MAX(0,$C$144*$C$145/$C$103*$C$111*1)</f>
        <v/>
      </c>
    </row>
    <row r="148">
      <c r="A148" s="1" t="inlineStr">
        <is>
          <t>TARGET</t>
        </is>
      </c>
    </row>
    <row r="149">
      <c r="A149" t="inlineStr">
        <is>
          <t>Weight: DCF (FCFF, terminal value)</t>
        </is>
      </c>
      <c r="C149" s="4" t="n">
        <v>0.6</v>
      </c>
    </row>
    <row r="150">
      <c r="A150" t="inlineStr">
        <is>
          <t>Weight: EV/EBITDA</t>
        </is>
      </c>
      <c r="C150" s="4" t="n">
        <v>0.25</v>
      </c>
    </row>
    <row r="151">
      <c r="A151" t="inlineStr">
        <is>
          <t>Weight: P/E</t>
        </is>
      </c>
      <c r="C151" s="4" t="n">
        <v>0.15</v>
      </c>
    </row>
    <row r="152">
      <c r="A152" t="inlineStr">
        <is>
          <t>Value today (weighted)</t>
        </is>
      </c>
      <c r="C152" s="28">
        <f>$C$136*$C$149+$C$141*$C$150+$C$146*$C$151</f>
        <v/>
      </c>
    </row>
    <row r="153">
      <c r="A153" t="inlineStr">
        <is>
          <t>DPS expected in next 12 months (IDR)</t>
        </is>
      </c>
      <c r="C153" s="21" t="n">
        <v>8.146094536271599</v>
      </c>
    </row>
    <row r="154">
      <c r="A154" t="inlineStr">
        <is>
          <t>Base-case 12-month value</t>
        </is>
      </c>
      <c r="C154" s="28">
        <f>MAX(0,$C$152*(1+$C$120)-$C$153)</f>
        <v/>
      </c>
    </row>
    <row r="155">
      <c r="A155" t="inlineStr">
        <is>
          <t>Bear probability</t>
        </is>
      </c>
      <c r="C155" s="4" t="n">
        <v>0.25</v>
      </c>
    </row>
    <row r="156">
      <c r="A156" t="inlineStr">
        <is>
          <t>Bear 12-month value (engine)</t>
        </is>
      </c>
      <c r="C156" s="21" t="n">
        <v>274.6944660821285</v>
      </c>
    </row>
    <row r="157">
      <c r="A157" t="inlineStr">
        <is>
          <t>Base probability</t>
        </is>
      </c>
      <c r="C157" s="4" t="n">
        <v>0.5</v>
      </c>
    </row>
    <row r="158">
      <c r="A158" t="inlineStr">
        <is>
          <t>Bull probability</t>
        </is>
      </c>
      <c r="C158" s="4" t="n">
        <v>0.25</v>
      </c>
    </row>
    <row r="159">
      <c r="A159" t="inlineStr">
        <is>
          <t>Bull 12-month value (engine)</t>
        </is>
      </c>
      <c r="C159" s="21" t="n">
        <v>725.8412437435514</v>
      </c>
    </row>
    <row r="160">
      <c r="A160" t="inlineStr">
        <is>
          <t>Probability-weighted 12-month value</t>
        </is>
      </c>
      <c r="C160" s="28">
        <f>$C$155*$C$156+$C$157*$C$154+$C$158*$C$159</f>
        <v/>
      </c>
    </row>
    <row r="161">
      <c r="A161" t="inlineStr">
        <is>
          <t>Liquidity discount (limits.yaml)</t>
        </is>
      </c>
      <c r="C161" s="4" t="n">
        <v>0.1</v>
      </c>
    </row>
    <row r="162">
      <c r="A162" t="inlineStr">
        <is>
          <t>Fundamental 12-month value (after liquidity discount)</t>
        </is>
      </c>
      <c r="C162" s="28">
        <f>$C$160*(1-$C$161)</f>
        <v/>
      </c>
    </row>
    <row r="163">
      <c r="A163" t="inlineStr">
        <is>
          <t>Konglo lens: price / fundamental value today (engine)</t>
        </is>
      </c>
      <c r="C163" s="23" t="n">
        <v>19.516643</v>
      </c>
    </row>
    <row r="164">
      <c r="A164" t="inlineStr">
        <is>
          <t>Regime bear: probability (konglo deck)</t>
        </is>
      </c>
      <c r="C164" s="4" t="n">
        <v>0.25</v>
      </c>
    </row>
    <row r="165">
      <c r="A165" t="inlineStr">
        <is>
          <t>Regime bear: share of the log gap closed in 12 months</t>
        </is>
      </c>
      <c r="C165" s="4" t="n">
        <v>0.8</v>
      </c>
    </row>
    <row r="166">
      <c r="A166" t="inlineStr">
        <is>
          <t>Regime base: probability (konglo deck)</t>
        </is>
      </c>
      <c r="C166" s="4" t="n">
        <v>0.5</v>
      </c>
    </row>
    <row r="167">
      <c r="A167" t="inlineStr">
        <is>
          <t>Regime base: share of the log gap closed in 12 months</t>
        </is>
      </c>
      <c r="C167" s="4" t="n">
        <v>0.4</v>
      </c>
    </row>
    <row r="168">
      <c r="A168" t="inlineStr">
        <is>
          <t>Regime bull: probability (konglo deck)</t>
        </is>
      </c>
      <c r="C168" s="4" t="n">
        <v>0.25</v>
      </c>
    </row>
    <row r="169">
      <c r="A169" t="inlineStr">
        <is>
          <t>Regime bull: share of the log gap closed in 12 months</t>
        </is>
      </c>
      <c r="C169" s="4" t="n">
        <v>-0.05</v>
      </c>
    </row>
    <row r="170">
      <c r="A170" t="inlineStr">
        <is>
          <t>Share of today's premium kept (probability-weighted)</t>
        </is>
      </c>
      <c r="C170" s="29">
        <f>$C$164*$C$163^(1-$C$165)+$C$166*$C$163^(1-$C$167)+$C$168*$C$163^(1-$C$169)</f>
        <v/>
      </c>
    </row>
    <row r="171">
      <c r="A171" t="inlineStr">
        <is>
          <t>TARGET PRICE (IDR) — konglo lens</t>
        </is>
      </c>
      <c r="C171" s="30">
        <f>$C$162*$C$170</f>
        <v/>
      </c>
    </row>
    <row r="172">
      <c r="A172" t="inlineStr">
        <is>
          <t>Expected 12-month total return</t>
        </is>
      </c>
      <c r="C172" s="31">
        <f>($C$171+$C$153)/$C$102-1</f>
        <v/>
      </c>
    </row>
    <row r="173">
      <c r="A173" t="inlineStr">
        <is>
          <t>Rating</t>
        </is>
      </c>
      <c r="C173" s="32">
        <f>IF($C$172&gt;=0.25,"BUY",IF($C$172&gt;=0.1,"ADD",IF($C$172&lt;=-0.25,"SELL",IF($C$172&lt;=-0.1,"REDUCE","HOLD"))))</f>
        <v/>
      </c>
    </row>
    <row r="175">
      <c r="A175" s="1" t="inlineStr">
        <is>
          <t>12-month value vs benchmark price and IDR/USD (engine values)</t>
        </is>
      </c>
    </row>
    <row r="176">
      <c r="A176" s="5" t="inlineStr">
        <is>
          <t>rows: IDR per USD (x deck) · columns: Benchmark price (x deck)</t>
        </is>
      </c>
      <c r="D176" s="1" t="n">
        <v>0.8</v>
      </c>
      <c r="E176" s="1" t="n">
        <v>0.9</v>
      </c>
      <c r="F176" s="1" t="n">
        <v>1</v>
      </c>
      <c r="G176" s="1" t="n">
        <v>1.1</v>
      </c>
      <c r="H176" s="1" t="n">
        <v>1.2</v>
      </c>
    </row>
    <row r="177">
      <c r="C177" s="1" t="n">
        <v>0.9</v>
      </c>
      <c r="D177" s="28" t="n">
        <v>185.339881</v>
      </c>
      <c r="E177" s="28" t="n">
        <v>280.041274</v>
      </c>
      <c r="F177" s="28" t="n">
        <v>374.742668</v>
      </c>
      <c r="G177" s="28" t="n">
        <v>469.444061</v>
      </c>
      <c r="H177" s="28" t="n">
        <v>564.145454</v>
      </c>
    </row>
    <row r="178">
      <c r="C178" s="1" t="n">
        <v>0.95</v>
      </c>
      <c r="D178" s="28" t="n">
        <v>227.429389</v>
      </c>
      <c r="E178" s="28" t="n">
        <v>327.391971</v>
      </c>
      <c r="F178" s="28" t="n">
        <v>427.354553</v>
      </c>
      <c r="G178" s="28" t="n">
        <v>527.317134</v>
      </c>
      <c r="H178" s="28" t="n">
        <v>627.279716</v>
      </c>
    </row>
    <row r="179">
      <c r="C179" s="1" t="n">
        <v>1</v>
      </c>
      <c r="D179" s="28" t="n">
        <v>269.518897</v>
      </c>
      <c r="E179" s="28" t="n">
        <v>374.742668</v>
      </c>
      <c r="F179" s="28" t="n">
        <v>479.966438</v>
      </c>
      <c r="G179" s="28" t="n">
        <v>585.190208</v>
      </c>
      <c r="H179" s="28" t="n">
        <v>690.413978</v>
      </c>
    </row>
    <row r="180">
      <c r="C180" s="1" t="n">
        <v>1.05</v>
      </c>
      <c r="D180" s="28" t="n">
        <v>311.608406</v>
      </c>
      <c r="E180" s="28" t="n">
        <v>422.093364</v>
      </c>
      <c r="F180" s="28" t="n">
        <v>532.578323</v>
      </c>
      <c r="G180" s="28" t="n">
        <v>643.063282</v>
      </c>
      <c r="H180" s="28" t="n">
        <v>753.54824</v>
      </c>
    </row>
    <row r="181">
      <c r="C181" s="1" t="n">
        <v>1.1</v>
      </c>
      <c r="D181" s="28" t="n">
        <v>353.697914</v>
      </c>
      <c r="E181" s="28" t="n">
        <v>469.444061</v>
      </c>
      <c r="F181" s="28" t="n">
        <v>585.190208</v>
      </c>
      <c r="G181" s="28" t="n">
        <v>700.936355</v>
      </c>
      <c r="H181" s="28" t="n">
        <v>816.682503</v>
      </c>
    </row>
    <row r="183">
      <c r="A183" s="1" t="inlineStr">
        <is>
          <t>12-month value vs volume and unit cost intensity (engine values)</t>
        </is>
      </c>
    </row>
    <row r="184">
      <c r="A184" s="5" t="inlineStr">
        <is>
          <t>rows: Volume (x plan) · columns: Cost intensity / strip ratio (x)</t>
        </is>
      </c>
      <c r="D184" s="1" t="n">
        <v>0.85</v>
      </c>
      <c r="E184" s="1" t="n">
        <v>0.925</v>
      </c>
      <c r="F184" s="1" t="n">
        <v>1</v>
      </c>
      <c r="G184" s="1" t="n">
        <v>1.075</v>
      </c>
      <c r="H184" s="1" t="n">
        <v>1.15</v>
      </c>
    </row>
    <row r="185">
      <c r="C185" s="1" t="n">
        <v>0.9</v>
      </c>
      <c r="D185" s="28" t="n">
        <v>586.45823</v>
      </c>
      <c r="E185" s="28" t="n">
        <v>547.74257</v>
      </c>
      <c r="F185" s="28" t="n">
        <v>509.02691</v>
      </c>
      <c r="G185" s="28" t="n">
        <v>470.31125</v>
      </c>
      <c r="H185" s="28" t="n">
        <v>431.595591</v>
      </c>
    </row>
    <row r="186">
      <c r="C186" s="1" t="n">
        <v>0.95</v>
      </c>
      <c r="D186" s="28" t="n">
        <v>606.491434</v>
      </c>
      <c r="E186" s="28" t="n">
        <v>565.624904</v>
      </c>
      <c r="F186" s="28" t="n">
        <v>524.758374</v>
      </c>
      <c r="G186" s="28" t="n">
        <v>483.891844</v>
      </c>
      <c r="H186" s="28" t="n">
        <v>443.025315</v>
      </c>
    </row>
    <row r="187">
      <c r="C187" s="1" t="n">
        <v>1</v>
      </c>
      <c r="D187" s="28" t="n">
        <v>626.524638</v>
      </c>
      <c r="E187" s="28" t="n">
        <v>583.507238</v>
      </c>
      <c r="F187" s="28" t="n">
        <v>540.489838</v>
      </c>
      <c r="G187" s="28" t="n">
        <v>497.472438</v>
      </c>
      <c r="H187" s="28" t="n">
        <v>454.455039</v>
      </c>
    </row>
    <row r="188">
      <c r="C188" s="1" t="n">
        <v>1.05</v>
      </c>
      <c r="D188" s="28" t="n">
        <v>646.5578420000001</v>
      </c>
      <c r="E188" s="28" t="n">
        <v>601.389572</v>
      </c>
      <c r="F188" s="28" t="n">
        <v>556.221302</v>
      </c>
      <c r="G188" s="28" t="n">
        <v>511.053032</v>
      </c>
      <c r="H188" s="28" t="n">
        <v>465.884763</v>
      </c>
    </row>
    <row r="189">
      <c r="C189" s="1" t="n">
        <v>1.1</v>
      </c>
      <c r="D189" s="28" t="n">
        <v>666.591046</v>
      </c>
      <c r="E189" s="28" t="n">
        <v>619.2719059999999</v>
      </c>
      <c r="F189" s="28" t="n">
        <v>571.952766</v>
      </c>
      <c r="G189" s="28" t="n">
        <v>524.633626</v>
      </c>
      <c r="H189" s="28" t="n">
        <v>477.314487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2026-10-29T18:56:00Z</dcterms:created>
  <dcterms:modified xsi:type="dcterms:W3CDTF">2026-10-29T18:56:00Z</dcterms:modified>
</cp:coreProperties>
</file>