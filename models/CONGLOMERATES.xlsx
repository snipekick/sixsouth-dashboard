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2026-10-31T02:24:26+07:00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0.04989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2026-10-30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2026-10-30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2026-10-30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5.161227</v>
      </c>
      <c r="I2" s="9" t="n">
        <v>3.923962</v>
      </c>
      <c r="J2" s="10" t="n">
        <v>0.041134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'ADRO'!$C$122</f>
        <v/>
      </c>
      <c r="D3" s="7">
        <f>'ADRO'!$C$120</f>
        <v/>
      </c>
      <c r="E3" s="7">
        <f>'ADRO'!$C$76</f>
        <v/>
      </c>
      <c r="F3" s="8">
        <f>'ADRO'!$C$121</f>
        <v/>
      </c>
      <c r="G3" s="7">
        <f>'ADRO'!$C$110</f>
        <v/>
      </c>
      <c r="H3" s="9" t="n">
        <v>8.124575</v>
      </c>
      <c r="I3" s="9" t="n">
        <v>4.304131</v>
      </c>
      <c r="J3" s="10" t="n">
        <v>0.123034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5.401133</v>
      </c>
      <c r="I4" s="9" t="n">
        <v>5.201985</v>
      </c>
      <c r="J4" s="10" t="n">
        <v>0.092573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30.78897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'BRPT'!$C$125</f>
        <v/>
      </c>
      <c r="D7" s="7">
        <f>'BRPT'!$C$123</f>
        <v/>
      </c>
      <c r="E7" s="7">
        <f>'BRPT'!$C$76</f>
        <v/>
      </c>
      <c r="F7" s="8">
        <f>'BRPT'!$C$124</f>
        <v/>
      </c>
      <c r="G7" s="7">
        <f>'BRPT'!$C$104</f>
        <v/>
      </c>
      <c r="H7" s="9" t="n">
        <v>32.08584</v>
      </c>
      <c r="I7" s="9" t="n">
        <v>9.54707</v>
      </c>
      <c r="J7" s="10" t="n">
        <v>0.003117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1293.462165</v>
      </c>
      <c r="I8" s="9" t="n">
        <v>11.929121</v>
      </c>
      <c r="J8" s="10" t="n">
        <v>1.5e-05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27.144532</v>
      </c>
      <c r="I9" s="9" t="n">
        <v>14.39559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9.684742999999999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2545.921836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104.4794267154209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2538.667859835969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3628.450992380046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3597.447298</v>
      </c>
      <c r="E132" s="23" t="n">
        <v>3327.264301</v>
      </c>
      <c r="F132" s="23" t="n">
        <v>3057.081305</v>
      </c>
      <c r="G132" s="23" t="n">
        <v>2786.898309</v>
      </c>
      <c r="H132" s="23" t="n">
        <v>2516.715313</v>
      </c>
    </row>
    <row r="133">
      <c r="C133" s="1" t="n">
        <v>-0.005</v>
      </c>
      <c r="D133" s="23" t="n">
        <v>3612.949145</v>
      </c>
      <c r="E133" s="23" t="n">
        <v>3341.634755</v>
      </c>
      <c r="F133" s="23" t="n">
        <v>3070.320366</v>
      </c>
      <c r="G133" s="23" t="n">
        <v>2799.005976</v>
      </c>
      <c r="H133" s="23" t="n">
        <v>2527.691586</v>
      </c>
    </row>
    <row r="134">
      <c r="C134" s="1" t="n">
        <v>0</v>
      </c>
      <c r="D134" s="23" t="n">
        <v>3628.450992</v>
      </c>
      <c r="E134" s="23" t="n">
        <v>3356.005209</v>
      </c>
      <c r="F134" s="23" t="n">
        <v>3083.559426</v>
      </c>
      <c r="G134" s="23" t="n">
        <v>2811.113643</v>
      </c>
      <c r="H134" s="23" t="n">
        <v>2538.66786</v>
      </c>
    </row>
    <row r="135">
      <c r="C135" s="1" t="n">
        <v>0.005</v>
      </c>
      <c r="D135" s="23" t="n">
        <v>3643.95284</v>
      </c>
      <c r="E135" s="23" t="n">
        <v>3370.375663</v>
      </c>
      <c r="F135" s="23" t="n">
        <v>3096.798487</v>
      </c>
      <c r="G135" s="23" t="n">
        <v>2823.22131</v>
      </c>
      <c r="H135" s="23" t="n">
        <v>2549.644133</v>
      </c>
    </row>
    <row r="136">
      <c r="C136" s="1" t="n">
        <v>0.01</v>
      </c>
      <c r="D136" s="23" t="n">
        <v>3659.454687</v>
      </c>
      <c r="E136" s="23" t="n">
        <v>3384.746117</v>
      </c>
      <c r="F136" s="23" t="n">
        <v>3110.037547</v>
      </c>
      <c r="G136" s="23" t="n">
        <v>2835.328977</v>
      </c>
      <c r="H136" s="23" t="n">
        <v>2560.620407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2400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4485.423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0.5089122675540755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2058.735749</v>
      </c>
    </row>
    <row r="102">
      <c r="A102" s="1" t="inlineStr">
        <is>
          <t>P/BV</t>
        </is>
      </c>
    </row>
    <row r="103">
      <c r="A103" t="inlineStr">
        <is>
          <t>Target multiple (own five-year average)</t>
        </is>
      </c>
      <c r="C103" s="18" t="n">
        <v>0.901424</v>
      </c>
    </row>
    <row r="104">
      <c r="A104" t="inlineStr">
        <is>
          <t>Metric (LTM, or next-12m DPS for yield)</t>
        </is>
      </c>
      <c r="C104" s="13" t="n">
        <v>4485.423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295.2818902854917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1890.421979004725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2409.421204909924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2392.818379</v>
      </c>
      <c r="E126" s="23" t="n">
        <v>2260.588669</v>
      </c>
      <c r="F126" s="23" t="n">
        <v>2128.35896</v>
      </c>
      <c r="G126" s="23" t="n">
        <v>1996.12925</v>
      </c>
      <c r="H126" s="23" t="n">
        <v>1863.899541</v>
      </c>
    </row>
    <row r="127">
      <c r="C127" s="1" t="n">
        <v>-0.005</v>
      </c>
      <c r="D127" s="23" t="n">
        <v>2404.776115</v>
      </c>
      <c r="E127" s="23" t="n">
        <v>2271.958196</v>
      </c>
      <c r="F127" s="23" t="n">
        <v>2139.140276</v>
      </c>
      <c r="G127" s="23" t="n">
        <v>2006.322356</v>
      </c>
      <c r="H127" s="23" t="n">
        <v>1873.504436</v>
      </c>
    </row>
    <row r="128">
      <c r="C128" s="1" t="n">
        <v>0</v>
      </c>
      <c r="D128" s="23" t="n">
        <v>2416.733852</v>
      </c>
      <c r="E128" s="23" t="n">
        <v>2283.327722</v>
      </c>
      <c r="F128" s="23" t="n">
        <v>2149.921592</v>
      </c>
      <c r="G128" s="23" t="n">
        <v>2016.515462</v>
      </c>
      <c r="H128" s="23" t="n">
        <v>1883.109332</v>
      </c>
    </row>
    <row r="129">
      <c r="C129" s="1" t="n">
        <v>0.005</v>
      </c>
      <c r="D129" s="23" t="n">
        <v>2428.691588</v>
      </c>
      <c r="E129" s="23" t="n">
        <v>2294.697248</v>
      </c>
      <c r="F129" s="23" t="n">
        <v>2160.702908</v>
      </c>
      <c r="G129" s="23" t="n">
        <v>2026.708568</v>
      </c>
      <c r="H129" s="23" t="n">
        <v>1892.714228</v>
      </c>
    </row>
    <row r="130">
      <c r="C130" s="1" t="n">
        <v>0.01</v>
      </c>
      <c r="D130" s="23" t="n">
        <v>2440.649325</v>
      </c>
      <c r="E130" s="23" t="n">
        <v>2306.066775</v>
      </c>
      <c r="F130" s="23" t="n">
        <v>2171.484224</v>
      </c>
      <c r="G130" s="23" t="n">
        <v>2036.901674</v>
      </c>
      <c r="H130" s="23" t="n">
        <v>1902.319124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0.1084</v>
      </c>
      <c r="J13" s="4" t="n">
        <v>0.1084</v>
      </c>
      <c r="K13" s="4" t="n">
        <v>0.1084</v>
      </c>
      <c r="L13" s="4" t="n">
        <v>0.1084</v>
      </c>
      <c r="M13" s="4" t="n">
        <v>0.1084</v>
      </c>
      <c r="N13" s="4" t="n">
        <v>0.1084</v>
      </c>
      <c r="O13" s="4" t="n">
        <v>0.1084</v>
      </c>
      <c r="P13" s="4" t="n">
        <v>0.1084</v>
      </c>
      <c r="Q13" s="4" t="n">
        <v>0.1084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11548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0.095</v>
      </c>
      <c r="I22" s="4" t="n">
        <v>0.14</v>
      </c>
      <c r="J22" s="4" t="n">
        <v>0.15</v>
      </c>
      <c r="K22" s="4" t="n">
        <v>0.15</v>
      </c>
      <c r="L22" s="4" t="n">
        <v>0.15</v>
      </c>
      <c r="M22" s="4" t="n">
        <v>0.15</v>
      </c>
      <c r="N22" s="4" t="n">
        <v>0.15</v>
      </c>
      <c r="O22" s="4" t="n">
        <v>0.15</v>
      </c>
      <c r="P22" s="4" t="n">
        <v>0.15</v>
      </c>
      <c r="Q22" s="4" t="n">
        <v>0.15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238103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4514.086912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238103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0.96</v>
      </c>
    </row>
    <row r="114">
      <c r="A114" t="inlineStr">
        <is>
          <t>Weight: P/E</t>
        </is>
      </c>
      <c r="C114" s="4" t="n">
        <v>0.02</v>
      </c>
    </row>
    <row r="115">
      <c r="A115" t="inlineStr">
        <is>
          <t>Weight: P/BV</t>
        </is>
      </c>
      <c r="C115" s="4" t="n">
        <v>0.02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420.2821550913887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3916.622517226187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5779.925610890258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5461.856497</v>
      </c>
      <c r="E132" s="23" t="n">
        <v>5132.68273</v>
      </c>
      <c r="F132" s="23" t="n">
        <v>4803.508963</v>
      </c>
      <c r="G132" s="23" t="n">
        <v>4474.335196</v>
      </c>
      <c r="H132" s="23" t="n">
        <v>4145.161429</v>
      </c>
    </row>
    <row r="133">
      <c r="C133" s="1" t="n">
        <v>-0.005</v>
      </c>
      <c r="D133" s="23" t="n">
        <v>5487.668989</v>
      </c>
      <c r="E133" s="23" t="n">
        <v>5157.050714</v>
      </c>
      <c r="F133" s="23" t="n">
        <v>4826.432439</v>
      </c>
      <c r="G133" s="23" t="n">
        <v>4495.814165</v>
      </c>
      <c r="H133" s="23" t="n">
        <v>4165.19589</v>
      </c>
    </row>
    <row r="134">
      <c r="C134" s="1" t="n">
        <v>0</v>
      </c>
      <c r="D134" s="23" t="n">
        <v>5513.481481</v>
      </c>
      <c r="E134" s="23" t="n">
        <v>5181.418698</v>
      </c>
      <c r="F134" s="23" t="n">
        <v>4849.355916</v>
      </c>
      <c r="G134" s="23" t="n">
        <v>4517.293133</v>
      </c>
      <c r="H134" s="23" t="n">
        <v>4185.230351</v>
      </c>
    </row>
    <row r="135">
      <c r="C135" s="1" t="n">
        <v>0.005</v>
      </c>
      <c r="D135" s="23" t="n">
        <v>5539.293973</v>
      </c>
      <c r="E135" s="23" t="n">
        <v>5205.786683</v>
      </c>
      <c r="F135" s="23" t="n">
        <v>4872.279392</v>
      </c>
      <c r="G135" s="23" t="n">
        <v>4538.772102</v>
      </c>
      <c r="H135" s="23" t="n">
        <v>4205.264811</v>
      </c>
    </row>
    <row r="136">
      <c r="C136" s="1" t="n">
        <v>0.01</v>
      </c>
      <c r="D136" s="23" t="n">
        <v>5565.106465</v>
      </c>
      <c r="E136" s="23" t="n">
        <v>5230.154667</v>
      </c>
      <c r="F136" s="23" t="n">
        <v>4895.202869</v>
      </c>
      <c r="G136" s="23" t="n">
        <v>4560.25107</v>
      </c>
      <c r="H136" s="23" t="n">
        <v>4225.299272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1.788444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30.03030087720204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36.21543623575474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1.522091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35.916737</v>
      </c>
      <c r="E135" s="23" t="n">
        <v>34.383207</v>
      </c>
      <c r="F135" s="23" t="n">
        <v>32.849676</v>
      </c>
      <c r="G135" s="23" t="n">
        <v>31.316146</v>
      </c>
      <c r="H135" s="23" t="n">
        <v>29.782616</v>
      </c>
    </row>
    <row r="136">
      <c r="C136" s="1" t="n">
        <v>-0.005</v>
      </c>
      <c r="D136" s="23" t="n">
        <v>36.066087</v>
      </c>
      <c r="E136" s="23" t="n">
        <v>34.526179</v>
      </c>
      <c r="F136" s="23" t="n">
        <v>32.986272</v>
      </c>
      <c r="G136" s="23" t="n">
        <v>31.446365</v>
      </c>
      <c r="H136" s="23" t="n">
        <v>29.906458</v>
      </c>
    </row>
    <row r="137">
      <c r="C137" s="1" t="n">
        <v>0</v>
      </c>
      <c r="D137" s="23" t="n">
        <v>36.215436</v>
      </c>
      <c r="E137" s="23" t="n">
        <v>34.669152</v>
      </c>
      <c r="F137" s="23" t="n">
        <v>33.122869</v>
      </c>
      <c r="G137" s="23" t="n">
        <v>31.576585</v>
      </c>
      <c r="H137" s="23" t="n">
        <v>30.030301</v>
      </c>
    </row>
    <row r="138">
      <c r="C138" s="1" t="n">
        <v>0.005</v>
      </c>
      <c r="D138" s="23" t="n">
        <v>36.364786</v>
      </c>
      <c r="E138" s="23" t="n">
        <v>34.812125</v>
      </c>
      <c r="F138" s="23" t="n">
        <v>33.259465</v>
      </c>
      <c r="G138" s="23" t="n">
        <v>31.706804</v>
      </c>
      <c r="H138" s="23" t="n">
        <v>30.154144</v>
      </c>
    </row>
    <row r="139">
      <c r="C139" s="1" t="n">
        <v>0.01</v>
      </c>
      <c r="D139" s="23" t="n">
        <v>36.514136</v>
      </c>
      <c r="E139" s="23" t="n">
        <v>34.955098</v>
      </c>
      <c r="F139" s="23" t="n">
        <v>33.396061</v>
      </c>
      <c r="G139" s="23" t="n">
        <v>31.837024</v>
      </c>
      <c r="H139" s="23" t="n">
        <v>30.277986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0.518435</v>
      </c>
      <c r="I11" s="4" t="n">
        <v>0.1</v>
      </c>
      <c r="J11" s="4" t="n">
        <v>0.07000000000000001</v>
      </c>
      <c r="K11" s="4" t="n">
        <v>0.05</v>
      </c>
      <c r="L11" s="4" t="n">
        <v>0.04</v>
      </c>
      <c r="M11" s="4" t="n">
        <v>0.02</v>
      </c>
      <c r="N11" s="4" t="n">
        <v>0.02</v>
      </c>
      <c r="O11" s="4" t="n">
        <v>0.02</v>
      </c>
      <c r="P11" s="4" t="n">
        <v>0.02</v>
      </c>
      <c r="Q11" s="4" t="n">
        <v>0.02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0.181466</v>
      </c>
      <c r="I12" s="4" t="n">
        <v>0.150493</v>
      </c>
      <c r="J12" s="4" t="n">
        <v>0.150493</v>
      </c>
      <c r="K12" s="4" t="n">
        <v>0.150493</v>
      </c>
      <c r="L12" s="4" t="n">
        <v>0.150493</v>
      </c>
      <c r="M12" s="4" t="n">
        <v>0.150493</v>
      </c>
      <c r="N12" s="4" t="n">
        <v>0.150493</v>
      </c>
      <c r="O12" s="4" t="n">
        <v>0.150493</v>
      </c>
      <c r="P12" s="4" t="n">
        <v>0.150493</v>
      </c>
      <c r="Q12" s="4" t="n">
        <v>0.150493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0.069364</v>
      </c>
      <c r="I13" s="4" t="n">
        <v>0.069364</v>
      </c>
      <c r="J13" s="4" t="n">
        <v>0.069364</v>
      </c>
      <c r="K13" s="4" t="n">
        <v>0.069364</v>
      </c>
      <c r="L13" s="4" t="n">
        <v>0.069364</v>
      </c>
      <c r="M13" s="4" t="n">
        <v>0.069364</v>
      </c>
      <c r="N13" s="4" t="n">
        <v>0.069364</v>
      </c>
      <c r="O13" s="4" t="n">
        <v>0.069364</v>
      </c>
      <c r="P13" s="4" t="n">
        <v>0.069364</v>
      </c>
      <c r="Q13" s="4" t="n">
        <v>0.069364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0.039247</v>
      </c>
      <c r="I14" s="4" t="n">
        <v>0.039247</v>
      </c>
      <c r="J14" s="4" t="n">
        <v>0.039247</v>
      </c>
      <c r="K14" s="4" t="n">
        <v>0.039247</v>
      </c>
      <c r="L14" s="4" t="n">
        <v>0.039247</v>
      </c>
      <c r="M14" s="4" t="n">
        <v>0.039247</v>
      </c>
      <c r="N14" s="4" t="n">
        <v>0.039247</v>
      </c>
      <c r="O14" s="4" t="n">
        <v>0.039247</v>
      </c>
      <c r="P14" s="4" t="n">
        <v>0.039247</v>
      </c>
      <c r="Q14" s="4" t="n">
        <v>0.039247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0.1</v>
      </c>
      <c r="I23" s="4" t="n">
        <v>0.1</v>
      </c>
      <c r="J23" s="4" t="n">
        <v>0.1</v>
      </c>
      <c r="K23" s="4" t="n">
        <v>0.1</v>
      </c>
      <c r="L23" s="4" t="n">
        <v>0.1</v>
      </c>
      <c r="M23" s="4" t="n">
        <v>0.1</v>
      </c>
      <c r="N23" s="4" t="n">
        <v>0.1</v>
      </c>
      <c r="O23" s="4" t="n">
        <v>0.1</v>
      </c>
      <c r="P23" s="4" t="n">
        <v>0.1</v>
      </c>
      <c r="Q23" s="4" t="n">
        <v>0.1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320.399</v>
      </c>
      <c r="G36" s="13" t="n">
        <v>379.275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85.80899999999997</v>
      </c>
      <c r="G38" s="13" t="n">
        <v>2034.766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915.3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-1005.14102574068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0.1199502743012336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1235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1.343401985401325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418.221227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3.849049951708628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418.8081705935782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554.7206923963233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2.952983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0.7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0.3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-0.15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552.118124</v>
      </c>
      <c r="E129" s="23" t="n">
        <v>517.370175</v>
      </c>
      <c r="F129" s="23" t="n">
        <v>482.622227</v>
      </c>
      <c r="G129" s="23" t="n">
        <v>447.874279</v>
      </c>
      <c r="H129" s="23" t="n">
        <v>413.12633</v>
      </c>
    </row>
    <row r="130">
      <c r="C130" s="1" t="n">
        <v>-0.005</v>
      </c>
      <c r="D130" s="23" t="n">
        <v>554.507959</v>
      </c>
      <c r="E130" s="23" t="n">
        <v>519.610646</v>
      </c>
      <c r="F130" s="23" t="n">
        <v>484.713333</v>
      </c>
      <c r="G130" s="23" t="n">
        <v>449.81602</v>
      </c>
      <c r="H130" s="23" t="n">
        <v>414.918707</v>
      </c>
    </row>
    <row r="131">
      <c r="C131" s="1" t="n">
        <v>0</v>
      </c>
      <c r="D131" s="23" t="n">
        <v>556.897795</v>
      </c>
      <c r="E131" s="23" t="n">
        <v>521.851117</v>
      </c>
      <c r="F131" s="23" t="n">
        <v>486.804439</v>
      </c>
      <c r="G131" s="23" t="n">
        <v>451.757761</v>
      </c>
      <c r="H131" s="23" t="n">
        <v>416.711084</v>
      </c>
    </row>
    <row r="132">
      <c r="C132" s="1" t="n">
        <v>0.005</v>
      </c>
      <c r="D132" s="23" t="n">
        <v>559.28763</v>
      </c>
      <c r="E132" s="23" t="n">
        <v>524.091588</v>
      </c>
      <c r="F132" s="23" t="n">
        <v>488.895545</v>
      </c>
      <c r="G132" s="23" t="n">
        <v>453.699503</v>
      </c>
      <c r="H132" s="23" t="n">
        <v>418.50346</v>
      </c>
    </row>
    <row r="133">
      <c r="C133" s="1" t="n">
        <v>0.01</v>
      </c>
      <c r="D133" s="23" t="n">
        <v>561.677466</v>
      </c>
      <c r="E133" s="23" t="n">
        <v>526.332059</v>
      </c>
      <c r="F133" s="23" t="n">
        <v>490.986651</v>
      </c>
      <c r="G133" s="23" t="n">
        <v>455.641244</v>
      </c>
      <c r="H133" s="23" t="n">
        <v>420.295837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20.04</v>
      </c>
      <c r="G33" s="13" t="n">
        <v>45.378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119.897</v>
      </c>
      <c r="G35" s="13" t="n">
        <v>200.696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193.369</v>
      </c>
      <c r="G38" s="13" t="n">
        <v>193.701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1.952740336958144e-05</v>
      </c>
      <c r="G46" s="15" t="n">
        <v>1.7791e-05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-97.43736716557534</v>
      </c>
      <c r="G50" s="13" t="n">
        <v>-247.5376014604407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0.1495491584998809</v>
      </c>
      <c r="G66" s="4" t="n">
        <v>0.165097917273354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0.02499616451068511</v>
      </c>
      <c r="G67" s="4" t="n">
        <v>0.03732916096997577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4.272091878862691</v>
      </c>
      <c r="G71" s="18" t="n">
        <v>4.957487941961972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0.01365332093581266</v>
      </c>
      <c r="G72" s="4" t="n">
        <v>0.0148628166630749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382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0.6026156099068838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39.215227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0.847498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0.00590662812487401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38.90443922301376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53.22454916970256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9.410624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51.066542</v>
      </c>
      <c r="E135" s="23" t="n">
        <v>48.432583</v>
      </c>
      <c r="F135" s="23" t="n">
        <v>45.798624</v>
      </c>
      <c r="G135" s="23" t="n">
        <v>43.164666</v>
      </c>
      <c r="H135" s="23" t="n">
        <v>40.530707</v>
      </c>
    </row>
    <row r="136">
      <c r="C136" s="1" t="n">
        <v>-0.005</v>
      </c>
      <c r="D136" s="23" t="n">
        <v>51.292846</v>
      </c>
      <c r="E136" s="23" t="n">
        <v>48.647216</v>
      </c>
      <c r="F136" s="23" t="n">
        <v>46.001586</v>
      </c>
      <c r="G136" s="23" t="n">
        <v>43.355957</v>
      </c>
      <c r="H136" s="23" t="n">
        <v>40.710327</v>
      </c>
    </row>
    <row r="137">
      <c r="C137" s="1" t="n">
        <v>0</v>
      </c>
      <c r="D137" s="23" t="n">
        <v>51.519151</v>
      </c>
      <c r="E137" s="23" t="n">
        <v>48.86185</v>
      </c>
      <c r="F137" s="23" t="n">
        <v>46.204549</v>
      </c>
      <c r="G137" s="23" t="n">
        <v>43.547247</v>
      </c>
      <c r="H137" s="23" t="n">
        <v>40.889946</v>
      </c>
    </row>
    <row r="138">
      <c r="C138" s="1" t="n">
        <v>0.005</v>
      </c>
      <c r="D138" s="23" t="n">
        <v>51.745455</v>
      </c>
      <c r="E138" s="23" t="n">
        <v>49.076483</v>
      </c>
      <c r="F138" s="23" t="n">
        <v>46.407511</v>
      </c>
      <c r="G138" s="23" t="n">
        <v>43.738538</v>
      </c>
      <c r="H138" s="23" t="n">
        <v>41.069566</v>
      </c>
    </row>
    <row r="139">
      <c r="C139" s="1" t="n">
        <v>0.01</v>
      </c>
      <c r="D139" s="23" t="n">
        <v>51.97176</v>
      </c>
      <c r="E139" s="23" t="n">
        <v>49.291116</v>
      </c>
      <c r="F139" s="23" t="n">
        <v>46.610473</v>
      </c>
      <c r="G139" s="23" t="n">
        <v>43.929829</v>
      </c>
      <c r="H139" s="23" t="n">
        <v>41.249186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0.058676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44.157</v>
      </c>
      <c r="I21" s="13" t="n">
        <v>44.157</v>
      </c>
      <c r="J21" s="13" t="n">
        <v>44.157</v>
      </c>
      <c r="K21" s="13" t="n">
        <v>44.157</v>
      </c>
      <c r="L21" s="13" t="n">
        <v>44.157</v>
      </c>
      <c r="M21" s="13" t="n">
        <v>45.04013999999999</v>
      </c>
      <c r="N21" s="13" t="n">
        <v>45.94094279999999</v>
      </c>
      <c r="O21" s="13" t="n">
        <v>46.859761656</v>
      </c>
      <c r="P21" s="13" t="n">
        <v>47.79695688912</v>
      </c>
      <c r="Q21" s="13" t="n">
        <v>48.7528960269024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0.361755</v>
      </c>
      <c r="I22" s="4" t="n">
        <v>0.361755</v>
      </c>
      <c r="J22" s="4" t="n">
        <v>0.361755</v>
      </c>
      <c r="K22" s="4" t="n">
        <v>0.361755</v>
      </c>
      <c r="L22" s="4" t="n">
        <v>0.361755</v>
      </c>
      <c r="M22" s="4" t="n">
        <v>0.361755</v>
      </c>
      <c r="N22" s="4" t="n">
        <v>0.361755</v>
      </c>
      <c r="O22" s="4" t="n">
        <v>0.361755</v>
      </c>
      <c r="P22" s="4" t="n">
        <v>0.361755</v>
      </c>
      <c r="Q22" s="4" t="n">
        <v>0.361755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675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102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0.3318876181618537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215.983721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</v>
      </c>
    </row>
    <row r="108">
      <c r="A108" t="inlineStr">
        <is>
          <t>Bear 12-month value (engine)</t>
        </is>
      </c>
      <c r="C108" s="15" t="n">
        <v>208.3971453533571</v>
      </c>
    </row>
    <row r="109">
      <c r="A109" t="inlineStr">
        <is>
          <t>Base probability</t>
        </is>
      </c>
      <c r="C109" s="4" t="n">
        <v>0.45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277.8628604711428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3.147719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275.394475</v>
      </c>
      <c r="E129" s="23" t="n">
        <v>258.18232</v>
      </c>
      <c r="F129" s="23" t="n">
        <v>240.970166</v>
      </c>
      <c r="G129" s="23" t="n">
        <v>223.758011</v>
      </c>
      <c r="H129" s="23" t="n">
        <v>206.545856</v>
      </c>
    </row>
    <row r="130">
      <c r="C130" s="1" t="n">
        <v>-0.005</v>
      </c>
      <c r="D130" s="23" t="n">
        <v>276.628668</v>
      </c>
      <c r="E130" s="23" t="n">
        <v>259.339376</v>
      </c>
      <c r="F130" s="23" t="n">
        <v>242.050084</v>
      </c>
      <c r="G130" s="23" t="n">
        <v>224.760793</v>
      </c>
      <c r="H130" s="23" t="n">
        <v>207.471501</v>
      </c>
    </row>
    <row r="131">
      <c r="C131" s="1" t="n">
        <v>0</v>
      </c>
      <c r="D131" s="23" t="n">
        <v>277.86286</v>
      </c>
      <c r="E131" s="23" t="n">
        <v>260.496432</v>
      </c>
      <c r="F131" s="23" t="n">
        <v>243.130003</v>
      </c>
      <c r="G131" s="23" t="n">
        <v>225.763574</v>
      </c>
      <c r="H131" s="23" t="n">
        <v>208.397145</v>
      </c>
    </row>
    <row r="132">
      <c r="C132" s="1" t="n">
        <v>0.005</v>
      </c>
      <c r="D132" s="23" t="n">
        <v>279.097053</v>
      </c>
      <c r="E132" s="23" t="n">
        <v>261.653487</v>
      </c>
      <c r="F132" s="23" t="n">
        <v>244.209922</v>
      </c>
      <c r="G132" s="23" t="n">
        <v>226.766356</v>
      </c>
      <c r="H132" s="23" t="n">
        <v>209.32279</v>
      </c>
    </row>
    <row r="133">
      <c r="C133" s="1" t="n">
        <v>0.01</v>
      </c>
      <c r="D133" s="23" t="n">
        <v>280.331246</v>
      </c>
      <c r="E133" s="23" t="n">
        <v>262.810543</v>
      </c>
      <c r="F133" s="23" t="n">
        <v>245.28984</v>
      </c>
      <c r="G133" s="23" t="n">
        <v>227.769137</v>
      </c>
      <c r="H133" s="23" t="n">
        <v>210.248434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0.001357048829437667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0.3893265469471483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396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150.179112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0.826827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14.296665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277.1788908424364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308.1765701877188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305.617023</v>
      </c>
      <c r="E132" s="23" t="n">
        <v>297.931965</v>
      </c>
      <c r="F132" s="23" t="n">
        <v>290.246908</v>
      </c>
      <c r="G132" s="23" t="n">
        <v>282.561851</v>
      </c>
      <c r="H132" s="23" t="n">
        <v>274.876793</v>
      </c>
    </row>
    <row r="133">
      <c r="C133" s="1" t="n">
        <v>-0.005</v>
      </c>
      <c r="D133" s="23" t="n">
        <v>306.896796</v>
      </c>
      <c r="E133" s="23" t="n">
        <v>299.179558</v>
      </c>
      <c r="F133" s="23" t="n">
        <v>291.462319</v>
      </c>
      <c r="G133" s="23" t="n">
        <v>283.745081</v>
      </c>
      <c r="H133" s="23" t="n">
        <v>276.027842</v>
      </c>
    </row>
    <row r="134">
      <c r="C134" s="1" t="n">
        <v>0</v>
      </c>
      <c r="D134" s="23" t="n">
        <v>308.17657</v>
      </c>
      <c r="E134" s="23" t="n">
        <v>300.42715</v>
      </c>
      <c r="F134" s="23" t="n">
        <v>292.677731</v>
      </c>
      <c r="G134" s="23" t="n">
        <v>284.928311</v>
      </c>
      <c r="H134" s="23" t="n">
        <v>277.178891</v>
      </c>
    </row>
    <row r="135">
      <c r="C135" s="1" t="n">
        <v>0.005</v>
      </c>
      <c r="D135" s="23" t="n">
        <v>309.456344</v>
      </c>
      <c r="E135" s="23" t="n">
        <v>301.674743</v>
      </c>
      <c r="F135" s="23" t="n">
        <v>293.893142</v>
      </c>
      <c r="G135" s="23" t="n">
        <v>286.111541</v>
      </c>
      <c r="H135" s="23" t="n">
        <v>278.32994</v>
      </c>
    </row>
    <row r="136">
      <c r="C136" s="1" t="n">
        <v>0.01</v>
      </c>
      <c r="D136" s="23" t="n">
        <v>310.736118</v>
      </c>
      <c r="E136" s="23" t="n">
        <v>302.922335</v>
      </c>
      <c r="F136" s="23" t="n">
        <v>295.108553</v>
      </c>
      <c r="G136" s="23" t="n">
        <v>287.294771</v>
      </c>
      <c r="H136" s="23" t="n">
        <v>279.480988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2026-10-30T19:24:26Z</dcterms:created>
  <dcterms:modified xsi:type="dcterms:W3CDTF">2026-10-30T19:24:26Z</dcterms:modified>
</cp:coreProperties>
</file>