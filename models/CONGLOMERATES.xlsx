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BMM" sheetId="4" state="visible" r:id="rId4"/>
    <sheet name="ADRO" sheetId="5" state="visible" r:id="rId5"/>
    <sheet name="ASII" sheetId="6" state="visible" r:id="rId6"/>
    <sheet name="BHIT" sheetId="7" state="visible" r:id="rId7"/>
    <sheet name="BNBR" sheetId="8" state="visible" r:id="rId8"/>
    <sheet name="BRPT" sheetId="9" state="visible" r:id="rId9"/>
    <sheet name="CUAN" sheetId="10" state="visible" r:id="rId10"/>
    <sheet name="DSSA" sheetId="11" state="visible" r:id="rId11"/>
    <sheet name="FOLK" sheetId="12" state="visible" r:id="rId12"/>
    <sheet name="IMJS" sheetId="13" state="visible" r:id="rId13"/>
    <sheet name="TOBA" sheetId="14" state="visible" r:id="rId14"/>
    <sheet name="ZBR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2026-10-29T02:00:09+07:00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ABMM.JK — PT ABM Investama Tbk</t>
        </is>
      </c>
    </row>
    <row r="10">
      <c r="A10" t="inlineStr">
        <is>
          <t>ADRO.JK — PT Alamtri Resources Indonesia Tbk</t>
        </is>
      </c>
    </row>
    <row r="11">
      <c r="A11" t="inlineStr">
        <is>
          <t>ASII.JK — PT Astra International Tbk</t>
        </is>
      </c>
    </row>
    <row r="12">
      <c r="A12" t="inlineStr">
        <is>
          <t>BHIT.JK — PT MNC Asia Holding Tbk</t>
        </is>
      </c>
    </row>
    <row r="13">
      <c r="A13" t="inlineStr">
        <is>
          <t>BNBR.JK — PT Bakrie &amp; Brothers Tbk</t>
        </is>
      </c>
    </row>
    <row r="14">
      <c r="A14" t="inlineStr">
        <is>
          <t>BRPT.JK — PT Barito Pacific Tbk</t>
        </is>
      </c>
    </row>
    <row r="15">
      <c r="A15" t="inlineStr">
        <is>
          <t>CUAN.JK — PT Petrindo Jaya Kreasi Tbk</t>
        </is>
      </c>
    </row>
    <row r="16">
      <c r="A16" t="inlineStr">
        <is>
          <t>DSSA.JK — PT Dian Swastatika Sentosa Tbk</t>
        </is>
      </c>
    </row>
    <row r="17">
      <c r="A17" t="inlineStr">
        <is>
          <t>FOLK.JK — PT Multi Garam Utama Tbk</t>
        </is>
      </c>
    </row>
    <row r="18">
      <c r="A18" t="inlineStr">
        <is>
          <t>IMJS.JK — PT Indomobil Multi Jasa Tbk</t>
        </is>
      </c>
    </row>
    <row r="19">
      <c r="A19" t="inlineStr">
        <is>
          <t>TOBA.JK — PT TBS Energi Utama Tbk</t>
        </is>
      </c>
    </row>
    <row r="20">
      <c r="A20" t="inlineStr">
        <is>
          <t>ZBRA.JK — PT Dosni Roha Indonesia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FY2024A</t>
        </is>
      </c>
      <c r="H3" s="1" t="inlineStr">
        <is>
          <t>FY2024E</t>
        </is>
      </c>
      <c r="I3" s="1" t="inlineStr">
        <is>
          <t>FY2025A</t>
        </is>
      </c>
      <c r="J3" s="1" t="inlineStr">
        <is>
          <t>FY2025E</t>
        </is>
      </c>
      <c r="K3" s="1" t="inlineStr">
        <is>
          <t>FY2026E</t>
        </is>
      </c>
      <c r="L3" s="1" t="inlineStr">
        <is>
          <t>FY2027E</t>
        </is>
      </c>
      <c r="M3" s="1" t="inlineStr">
        <is>
          <t>FY2028E</t>
        </is>
      </c>
      <c r="N3" s="1" t="inlineStr">
        <is>
          <t>FY2029E</t>
        </is>
      </c>
      <c r="O3" s="1" t="inlineStr">
        <is>
          <t>FY2030E</t>
        </is>
      </c>
      <c r="P3" s="1" t="inlineStr">
        <is>
          <t>FY2031E</t>
        </is>
      </c>
      <c r="Q3" s="1" t="inlineStr">
        <is>
          <t>FY2032E</t>
        </is>
      </c>
      <c r="R3" s="1" t="inlineStr">
        <is>
          <t>FY2033E</t>
        </is>
      </c>
      <c r="S3" s="1" t="inlineStr">
        <is>
          <t>FY2034E</t>
        </is>
      </c>
      <c r="T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14310.5396</v>
      </c>
      <c r="E4" s="3" t="n">
        <v>14843.1773</v>
      </c>
      <c r="F4" s="3" t="n">
        <v>15228.8</v>
      </c>
      <c r="G4" s="3" t="n">
        <v>15846.2378</v>
      </c>
      <c r="H4" s="3" t="n">
        <v>19000</v>
      </c>
      <c r="I4" s="3" t="n">
        <v>16448.0929</v>
      </c>
      <c r="J4" s="3" t="n">
        <v>19000</v>
      </c>
      <c r="K4" s="3" t="n">
        <v>17570</v>
      </c>
      <c r="L4" s="3" t="n">
        <v>18350</v>
      </c>
      <c r="M4" s="3" t="n">
        <v>18600</v>
      </c>
      <c r="N4" s="3" t="n">
        <v>18850</v>
      </c>
      <c r="O4" s="3" t="n">
        <v>19093.13725490196</v>
      </c>
      <c r="P4" s="3" t="n">
        <v>19186.73106497501</v>
      </c>
      <c r="Q4" s="3" t="n">
        <v>19280.78366823469</v>
      </c>
      <c r="R4" s="3" t="n">
        <v>19375.29731366722</v>
      </c>
      <c r="S4" s="3" t="n">
        <v>19470.27426128323</v>
      </c>
      <c r="T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0.05036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2026-10-28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2026-10-28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2026-10-28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ABMM.JK</t>
        </is>
      </c>
      <c r="B2" t="inlineStr">
        <is>
          <t>PT ABM Investama Tbk</t>
        </is>
      </c>
      <c r="C2" s="6">
        <f>'ABMM'!$C$128</f>
        <v/>
      </c>
      <c r="D2" s="7">
        <f>'ABMM'!$C$126</f>
        <v/>
      </c>
      <c r="E2" s="7">
        <f>'ABMM'!$C$76</f>
        <v/>
      </c>
      <c r="F2" s="8">
        <f>'ABMM'!$C$127</f>
        <v/>
      </c>
      <c r="G2" s="7">
        <f>'ABMM'!$C$116</f>
        <v/>
      </c>
      <c r="H2" s="9" t="n">
        <v>5.148453</v>
      </c>
      <c r="I2" s="9" t="n">
        <v>3.920208</v>
      </c>
      <c r="J2" s="10" t="n">
        <v>0.041236</v>
      </c>
    </row>
    <row r="3">
      <c r="A3" t="inlineStr">
        <is>
          <t>ADRO.JK</t>
        </is>
      </c>
      <c r="B3" t="inlineStr">
        <is>
          <t>PT Alamtri Resources Indonesia Tbk</t>
        </is>
      </c>
      <c r="C3" s="6">
        <f>'ADRO'!$C$128</f>
        <v/>
      </c>
      <c r="D3" s="7">
        <f>'ADRO'!$C$126</f>
        <v/>
      </c>
      <c r="E3" s="7">
        <f>'ADRO'!$C$76</f>
        <v/>
      </c>
      <c r="F3" s="8">
        <f>'ADRO'!$C$127</f>
        <v/>
      </c>
      <c r="G3" s="7">
        <f>'ADRO'!$C$116</f>
        <v/>
      </c>
      <c r="H3" s="9" t="n">
        <v>8.307079999999999</v>
      </c>
      <c r="I3" s="9" t="n">
        <v>4.405562</v>
      </c>
      <c r="J3" s="10" t="n">
        <v>0.120331</v>
      </c>
    </row>
    <row r="4">
      <c r="A4" t="inlineStr">
        <is>
          <t>ASII.JK</t>
        </is>
      </c>
      <c r="B4" t="inlineStr">
        <is>
          <t>PT Astra International Tbk</t>
        </is>
      </c>
      <c r="C4" s="6">
        <f>'ASII'!$C$128</f>
        <v/>
      </c>
      <c r="D4" s="7">
        <f>'ASII'!$C$126</f>
        <v/>
      </c>
      <c r="E4" s="7">
        <f>'ASII'!$C$76</f>
        <v/>
      </c>
      <c r="F4" s="8">
        <f>'ASII'!$C$127</f>
        <v/>
      </c>
      <c r="G4" s="7">
        <f>'ASII'!$C$116</f>
        <v/>
      </c>
      <c r="H4" s="9" t="n">
        <v>5.401133</v>
      </c>
      <c r="I4" s="9" t="n">
        <v>5.201985</v>
      </c>
      <c r="J4" s="10" t="n">
        <v>0.092573</v>
      </c>
    </row>
    <row r="5">
      <c r="A5" t="inlineStr">
        <is>
          <t>BHIT.JK</t>
        </is>
      </c>
      <c r="B5" t="inlineStr">
        <is>
          <t>PT MNC Asia Holding Tbk</t>
        </is>
      </c>
      <c r="C5" s="6">
        <f>'BHIT'!$C$128</f>
        <v/>
      </c>
      <c r="D5" s="7">
        <f>'BHIT'!$C$126</f>
        <v/>
      </c>
      <c r="E5" s="7">
        <f>'BHIT'!$C$76</f>
        <v/>
      </c>
      <c r="F5" s="8">
        <f>'BHIT'!$C$127</f>
        <v/>
      </c>
      <c r="G5" s="7">
        <f>'BHIT'!$C$116</f>
        <v/>
      </c>
      <c r="H5" s="9" t="n">
        <v>8.902137</v>
      </c>
      <c r="I5" s="9" t="n">
        <v>7.317416</v>
      </c>
      <c r="J5" s="10" t="n">
        <v>0</v>
      </c>
    </row>
    <row r="6">
      <c r="A6" t="inlineStr">
        <is>
          <t>BNBR.JK</t>
        </is>
      </c>
      <c r="B6" t="inlineStr">
        <is>
          <t>PT Bakrie &amp; Brothers Tbk</t>
        </is>
      </c>
      <c r="C6" s="6">
        <f>'BNBR'!$C$131</f>
        <v/>
      </c>
      <c r="D6" s="7">
        <f>'BNBR'!$C$129</f>
        <v/>
      </c>
      <c r="E6" s="7">
        <f>'BNBR'!$C$76</f>
        <v/>
      </c>
      <c r="F6" s="8">
        <f>'BNBR'!$C$130</f>
        <v/>
      </c>
      <c r="G6" s="7">
        <f>'BNBR'!$C$110</f>
        <v/>
      </c>
      <c r="H6" s="9" t="n"/>
      <c r="I6" s="9" t="n">
        <v>33.24141</v>
      </c>
      <c r="J6" s="10" t="n">
        <v>0</v>
      </c>
    </row>
    <row r="7">
      <c r="A7" t="inlineStr">
        <is>
          <t>BRPT.JK</t>
        </is>
      </c>
      <c r="B7" t="inlineStr">
        <is>
          <t>PT Barito Pacific Tbk</t>
        </is>
      </c>
      <c r="C7" s="6">
        <f>'BRPT'!$C$137</f>
        <v/>
      </c>
      <c r="D7" s="7">
        <f>'BRPT'!$C$135</f>
        <v/>
      </c>
      <c r="E7" s="7">
        <f>'BRPT'!$C$76</f>
        <v/>
      </c>
      <c r="F7" s="8">
        <f>'BRPT'!$C$136</f>
        <v/>
      </c>
      <c r="G7" s="7">
        <f>'BRPT'!$C$116</f>
        <v/>
      </c>
      <c r="H7" s="9" t="n">
        <v>84.33962200000001</v>
      </c>
      <c r="I7" s="9" t="n">
        <v>15.053141</v>
      </c>
      <c r="J7" s="10" t="n">
        <v>0.011857</v>
      </c>
    </row>
    <row r="8">
      <c r="A8" t="inlineStr">
        <is>
          <t>CUAN.JK</t>
        </is>
      </c>
      <c r="B8" t="inlineStr">
        <is>
          <t>PT Petrindo Jaya Kreasi Tbk</t>
        </is>
      </c>
      <c r="C8" s="6">
        <f>'CUAN'!$C$131</f>
        <v/>
      </c>
      <c r="D8" s="7">
        <f>'CUAN'!$C$129</f>
        <v/>
      </c>
      <c r="E8" s="7">
        <f>'CUAN'!$C$76</f>
        <v/>
      </c>
      <c r="F8" s="8">
        <f>'CUAN'!$C$130</f>
        <v/>
      </c>
      <c r="G8" s="7">
        <f>'CUAN'!$C$110</f>
        <v/>
      </c>
      <c r="H8" s="9" t="n">
        <v>1705.711603</v>
      </c>
      <c r="I8" s="9" t="n">
        <v>14.393063</v>
      </c>
      <c r="J8" s="10" t="n">
        <v>1.2e-05</v>
      </c>
    </row>
    <row r="9">
      <c r="A9" t="inlineStr">
        <is>
          <t>DSSA.JK</t>
        </is>
      </c>
      <c r="B9" t="inlineStr">
        <is>
          <t>PT Dian Swastatika Sentosa Tbk</t>
        </is>
      </c>
      <c r="C9" s="6">
        <f>'DSSA'!$C$125</f>
        <v/>
      </c>
      <c r="D9" s="7">
        <f>'DSSA'!$C$123</f>
        <v/>
      </c>
      <c r="E9" s="7">
        <f>'DSSA'!$C$76</f>
        <v/>
      </c>
      <c r="F9" s="8">
        <f>'DSSA'!$C$124</f>
        <v/>
      </c>
      <c r="G9" s="7">
        <f>'DSSA'!$C$104</f>
        <v/>
      </c>
      <c r="H9" s="9" t="n">
        <v>38.835833</v>
      </c>
      <c r="I9" s="9" t="n">
        <v>15.660056</v>
      </c>
      <c r="J9" s="10" t="n">
        <v>0</v>
      </c>
    </row>
    <row r="10">
      <c r="A10" t="inlineStr">
        <is>
          <t>FOLK.JK</t>
        </is>
      </c>
      <c r="B10" t="inlineStr">
        <is>
          <t>PT Multi Garam Utama Tbk</t>
        </is>
      </c>
      <c r="C10" s="6">
        <f>'FOLK'!$C$116</f>
        <v/>
      </c>
      <c r="D10" s="7">
        <f>'FOLK'!$C$114</f>
        <v/>
      </c>
      <c r="E10" s="7">
        <f>'FOLK'!$C$76</f>
        <v/>
      </c>
      <c r="F10" s="8">
        <f>'FOLK'!$C$115</f>
        <v/>
      </c>
      <c r="G10" s="7">
        <f>'FOLK'!$C$104</f>
        <v/>
      </c>
      <c r="H10" s="9" t="n"/>
      <c r="I10" s="9" t="n"/>
      <c r="J10" s="10" t="n">
        <v>0</v>
      </c>
    </row>
    <row r="11">
      <c r="A11" t="inlineStr">
        <is>
          <t>IMJS.JK</t>
        </is>
      </c>
      <c r="B11" t="inlineStr">
        <is>
          <t>PT Indomobil Multi Jasa Tbk</t>
        </is>
      </c>
      <c r="C11" s="6">
        <f>'IMJS'!$C$122</f>
        <v/>
      </c>
      <c r="D11" s="7">
        <f>'IMJS'!$C$120</f>
        <v/>
      </c>
      <c r="E11" s="7">
        <f>'IMJS'!$C$76</f>
        <v/>
      </c>
      <c r="F11" s="8">
        <f>'IMJS'!$C$121</f>
        <v/>
      </c>
      <c r="G11" s="7">
        <f>'IMJS'!$C$110</f>
        <v/>
      </c>
      <c r="H11" s="9" t="n">
        <v>9.724263000000001</v>
      </c>
      <c r="I11" s="9" t="n">
        <v>12.554759</v>
      </c>
      <c r="J11" s="10" t="n">
        <v>0.002333</v>
      </c>
    </row>
    <row r="12">
      <c r="A12" t="inlineStr">
        <is>
          <t>TOBA.JK</t>
        </is>
      </c>
      <c r="B12" t="inlineStr">
        <is>
          <t>PT TBS Energi Utama Tbk</t>
        </is>
      </c>
      <c r="C12" s="6">
        <f>'TOBA'!$C$128</f>
        <v/>
      </c>
      <c r="D12" s="7">
        <f>'TOBA'!$C$126</f>
        <v/>
      </c>
      <c r="E12" s="7">
        <f>'TOBA'!$C$76</f>
        <v/>
      </c>
      <c r="F12" s="8">
        <f>'TOBA'!$C$127</f>
        <v/>
      </c>
      <c r="G12" s="7">
        <f>'TOBA'!$C$116</f>
        <v/>
      </c>
      <c r="H12" s="9" t="n"/>
      <c r="I12" s="9" t="n">
        <v>10.714611</v>
      </c>
      <c r="J12" s="10" t="n">
        <v>0</v>
      </c>
    </row>
    <row r="13">
      <c r="A13" t="inlineStr">
        <is>
          <t>ZBRA.JK</t>
        </is>
      </c>
      <c r="B13" t="inlineStr">
        <is>
          <t>PT Dosni Roha Indonesia Tbk</t>
        </is>
      </c>
      <c r="C13" s="6">
        <f>'ZBRA'!$C$116</f>
        <v/>
      </c>
      <c r="D13" s="7">
        <f>'ZBRA'!$C$114</f>
        <v/>
      </c>
      <c r="E13" s="7">
        <f>'ZBRA'!$C$76</f>
        <v/>
      </c>
      <c r="F13" s="8">
        <f>'ZBRA'!$C$115</f>
        <v/>
      </c>
      <c r="G13" s="7">
        <f>'ZBRA'!$C$104</f>
        <v/>
      </c>
      <c r="H13" s="9" t="n"/>
      <c r="I13" s="9" t="n">
        <v>36.065089</v>
      </c>
      <c r="J13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ABM Investama Tbk (ABMM.JK)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0.09986</v>
      </c>
      <c r="I12" s="4" t="n">
        <v>0.09986</v>
      </c>
      <c r="J12" s="4" t="n">
        <v>0.09986</v>
      </c>
      <c r="K12" s="4" t="n">
        <v>0.09986</v>
      </c>
      <c r="L12" s="4" t="n">
        <v>0.09986</v>
      </c>
      <c r="M12" s="4" t="n">
        <v>0.09986</v>
      </c>
      <c r="N12" s="4" t="n">
        <v>0.09986</v>
      </c>
      <c r="O12" s="4" t="n">
        <v>0.09986</v>
      </c>
      <c r="P12" s="4" t="n">
        <v>0.09986</v>
      </c>
      <c r="Q12" s="4" t="n">
        <v>0.09986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0.058785</v>
      </c>
      <c r="I13" s="4" t="n">
        <v>0.058785</v>
      </c>
      <c r="J13" s="4" t="n">
        <v>0.058785</v>
      </c>
      <c r="K13" s="4" t="n">
        <v>0.058785</v>
      </c>
      <c r="L13" s="4" t="n">
        <v>0.058785</v>
      </c>
      <c r="M13" s="4" t="n">
        <v>0.058785</v>
      </c>
      <c r="N13" s="4" t="n">
        <v>0.058785</v>
      </c>
      <c r="O13" s="4" t="n">
        <v>0.058785</v>
      </c>
      <c r="P13" s="4" t="n">
        <v>0.058785</v>
      </c>
      <c r="Q13" s="4" t="n">
        <v>0.058785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0.20379</v>
      </c>
      <c r="I14" s="4" t="n">
        <v>0.20379</v>
      </c>
      <c r="J14" s="4" t="n">
        <v>0.20379</v>
      </c>
      <c r="K14" s="4" t="n">
        <v>0.20379</v>
      </c>
      <c r="L14" s="4" t="n">
        <v>0.20379</v>
      </c>
      <c r="M14" s="4" t="n">
        <v>0.20379</v>
      </c>
      <c r="N14" s="4" t="n">
        <v>0.20379</v>
      </c>
      <c r="O14" s="4" t="n">
        <v>0.20379</v>
      </c>
      <c r="P14" s="4" t="n">
        <v>0.20379</v>
      </c>
      <c r="Q14" s="4" t="n">
        <v>0.20379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0.13155</v>
      </c>
      <c r="I15" s="4" t="n">
        <v>0.13155</v>
      </c>
      <c r="J15" s="4" t="n">
        <v>0.13155</v>
      </c>
      <c r="K15" s="4" t="n">
        <v>0.13155</v>
      </c>
      <c r="L15" s="4" t="n">
        <v>0.13155</v>
      </c>
      <c r="M15" s="4" t="n">
        <v>0.13155</v>
      </c>
      <c r="N15" s="4" t="n">
        <v>0.13155</v>
      </c>
      <c r="O15" s="4" t="n">
        <v>0.13155</v>
      </c>
      <c r="P15" s="4" t="n">
        <v>0.13155</v>
      </c>
      <c r="Q15" s="4" t="n">
        <v>0.13155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0.106679</v>
      </c>
      <c r="I16" s="4" t="n">
        <v>0.106679</v>
      </c>
      <c r="J16" s="4" t="n">
        <v>0.106679</v>
      </c>
      <c r="K16" s="4" t="n">
        <v>0.106679</v>
      </c>
      <c r="L16" s="4" t="n">
        <v>0.106679</v>
      </c>
      <c r="M16" s="4" t="n">
        <v>0.106679</v>
      </c>
      <c r="N16" s="4" t="n">
        <v>0.106679</v>
      </c>
      <c r="O16" s="4" t="n">
        <v>0.106679</v>
      </c>
      <c r="P16" s="4" t="n">
        <v>0.106679</v>
      </c>
      <c r="Q16" s="4" t="n">
        <v>0.106679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0.059</v>
      </c>
      <c r="I17" s="4" t="n">
        <v>0.059</v>
      </c>
      <c r="J17" s="4" t="n">
        <v>0.059</v>
      </c>
      <c r="K17" s="4" t="n">
        <v>0.059</v>
      </c>
      <c r="L17" s="4" t="n">
        <v>0.059</v>
      </c>
      <c r="M17" s="4" t="n">
        <v>0.059</v>
      </c>
      <c r="N17" s="4" t="n">
        <v>0.059</v>
      </c>
      <c r="O17" s="4" t="n">
        <v>0.059</v>
      </c>
      <c r="P17" s="4" t="n">
        <v>0.059</v>
      </c>
      <c r="Q17" s="4" t="n">
        <v>0.059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105.377069</v>
      </c>
      <c r="I21" s="13" t="n">
        <v>105.377069</v>
      </c>
      <c r="J21" s="13" t="n">
        <v>105.377069</v>
      </c>
      <c r="K21" s="13" t="n">
        <v>105.377069</v>
      </c>
      <c r="L21" s="13" t="n">
        <v>105.377069</v>
      </c>
      <c r="M21" s="13" t="n">
        <v>107.48461038</v>
      </c>
      <c r="N21" s="13" t="n">
        <v>109.6343025876</v>
      </c>
      <c r="O21" s="13" t="n">
        <v>111.826988639352</v>
      </c>
      <c r="P21" s="13" t="n">
        <v>114.063528412139</v>
      </c>
      <c r="Q21" s="13" t="n">
        <v>116.3447989803818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0.2123</v>
      </c>
      <c r="I23" s="4" t="n">
        <v>0.2123</v>
      </c>
      <c r="J23" s="4" t="n">
        <v>0.2123</v>
      </c>
      <c r="K23" s="4" t="n">
        <v>0.2123</v>
      </c>
      <c r="L23" s="4" t="n">
        <v>0.2123</v>
      </c>
      <c r="M23" s="4" t="n">
        <v>0.2123</v>
      </c>
      <c r="N23" s="4" t="n">
        <v>0.2123</v>
      </c>
      <c r="O23" s="4" t="n">
        <v>0.2123</v>
      </c>
      <c r="P23" s="4" t="n">
        <v>0.2123</v>
      </c>
      <c r="Q23" s="4" t="n">
        <v>0.2123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0.662462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1445.527371</v>
      </c>
      <c r="E29" s="13" t="n">
        <v>1492.998856</v>
      </c>
      <c r="F29" s="13" t="n">
        <v>1200.132454</v>
      </c>
      <c r="G29" s="13" t="n">
        <v>1038.170254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923.6231</v>
      </c>
      <c r="E30" s="13" t="n">
        <v>1100.952827</v>
      </c>
      <c r="F30" s="13" t="n">
        <v>1068.940836</v>
      </c>
      <c r="G30" s="13" t="n">
        <v>934.491492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521.904271</v>
      </c>
      <c r="E31" s="13" t="n">
        <v>392.046029</v>
      </c>
      <c r="F31" s="13" t="n">
        <v>131.191618</v>
      </c>
      <c r="G31" s="13" t="n">
        <v>103.678762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126.172622</v>
      </c>
      <c r="E32" s="13" t="n">
        <v>134.172586</v>
      </c>
      <c r="F32" s="13" t="n">
        <v>57.505347</v>
      </c>
      <c r="G32" s="13" t="n">
        <v>61.024162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395.731649</v>
      </c>
      <c r="E33" s="13" t="n">
        <v>257.873443</v>
      </c>
      <c r="F33" s="13" t="n">
        <v>73.686271</v>
      </c>
      <c r="G33" s="13" t="n">
        <v>42.6546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4.986805</v>
      </c>
      <c r="E34" s="13" t="n">
        <v>5.48014</v>
      </c>
      <c r="F34" s="13" t="n">
        <v>205.078832</v>
      </c>
      <c r="G34" s="13" t="n">
        <v>211.565247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400.718454</v>
      </c>
      <c r="E35" s="13" t="n">
        <v>263.353583</v>
      </c>
      <c r="F35" s="13" t="n">
        <v>278.765103</v>
      </c>
      <c r="G35" s="13" t="n">
        <v>254.219847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52.481411</v>
      </c>
      <c r="E36" s="13" t="n">
        <v>106.107407</v>
      </c>
      <c r="F36" s="13" t="n">
        <v>109.803082</v>
      </c>
      <c r="G36" s="13" t="n">
        <v>76.554485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2.596132</v>
      </c>
      <c r="E37" s="13" t="n">
        <v>4.812848</v>
      </c>
      <c r="F37" s="13" t="n">
        <v>4.558293</v>
      </c>
      <c r="G37" s="13" t="n">
        <v>4.382377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87.215074</v>
      </c>
      <c r="E38" s="13" t="n">
        <v>214.912039</v>
      </c>
      <c r="F38" s="13" t="n">
        <v>186.380591</v>
      </c>
      <c r="G38" s="13" t="n">
        <v>105.377069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433.061444</v>
      </c>
      <c r="E39" s="13" t="n">
        <v>371.490923</v>
      </c>
      <c r="F39" s="13" t="n">
        <v>154.822073</v>
      </c>
      <c r="G39" s="13" t="n">
        <v>75.859561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91.157937</v>
      </c>
      <c r="E40" s="13" t="n">
        <v>55.86703</v>
      </c>
      <c r="F40" s="13" t="n">
        <v>15.480224</v>
      </c>
      <c r="G40" s="13" t="n">
        <v>5.378922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341.903507</v>
      </c>
      <c r="E41" s="13" t="n">
        <v>315.623893</v>
      </c>
      <c r="F41" s="13" t="n">
        <v>139.341849</v>
      </c>
      <c r="G41" s="13" t="n">
        <v>70.480639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71.99358100000001</v>
      </c>
      <c r="E42" s="13" t="n">
        <v>26.62333599999999</v>
      </c>
      <c r="F42" s="13" t="n">
        <v>-0.0266640000000109</v>
      </c>
      <c r="G42" s="13" t="n">
        <v>-0.1356779999999986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269.909926</v>
      </c>
      <c r="E43" s="13" t="n">
        <v>289.000557</v>
      </c>
      <c r="F43" s="13" t="n">
        <v>139.368513</v>
      </c>
      <c r="G43" s="13" t="n">
        <v>70.616317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2753.165</v>
      </c>
      <c r="E44" s="13" t="n">
        <v>2753.165</v>
      </c>
      <c r="F44" s="13" t="n">
        <v>2753.165</v>
      </c>
      <c r="G44" s="13" t="n">
        <v>2753.165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0.09803623320796247</v>
      </c>
      <c r="E45" s="15" t="n">
        <v>0.1049703003634</v>
      </c>
      <c r="F45" s="15" t="n">
        <v>0.05062119887474961</v>
      </c>
      <c r="G45" s="15" t="n">
        <v>0.02564914089783939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0.02670405233994259</v>
      </c>
      <c r="E46" s="15" t="n">
        <v>0.01817845698792211</v>
      </c>
      <c r="F46" s="15" t="n">
        <v>0.009352249623977746</v>
      </c>
      <c r="G46" s="15" t="n">
        <v>0.005444544229905703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66.50462400000001</v>
      </c>
      <c r="E47" s="13" t="n">
        <v>97.09999999999999</v>
      </c>
      <c r="F47" s="13" t="n">
        <v>50.000025</v>
      </c>
      <c r="G47" s="13" t="n">
        <v>25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282.461255</v>
      </c>
      <c r="E48" s="13" t="n">
        <v>434.776479</v>
      </c>
      <c r="F48" s="13" t="n">
        <v>282.133452</v>
      </c>
      <c r="G48" s="13" t="n">
        <v>136.575725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23.836187</v>
      </c>
      <c r="F49" s="13" t="n">
        <v>28.06992699999995</v>
      </c>
      <c r="G49" s="13" t="n">
        <v>-0.5215259999999375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-234.039635859657</v>
      </c>
      <c r="F50" s="13" t="n">
        <v>-38.80595916494957</v>
      </c>
      <c r="G50" s="13" t="n">
        <v>115.1411674557321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101.4344430000001</v>
      </c>
      <c r="F51" s="13" t="n">
        <v>-63.8469990000001</v>
      </c>
      <c r="G51" s="13" t="n">
        <v>-7.221436999999924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85.686938</v>
      </c>
      <c r="E54" s="13" t="n">
        <v>109.523125</v>
      </c>
      <c r="F54" s="13" t="n">
        <v>137.5930519999999</v>
      </c>
      <c r="G54" s="13" t="n">
        <v>137.071526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221.631736</v>
      </c>
      <c r="E55" s="13" t="n">
        <v>188.643916</v>
      </c>
      <c r="F55" s="13" t="n">
        <v>170.318176</v>
      </c>
      <c r="G55" s="13" t="n">
        <v>202.368975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938.742045</v>
      </c>
      <c r="E56" s="13" t="n">
        <v>1040.176488</v>
      </c>
      <c r="F56" s="13" t="n">
        <v>976.329489</v>
      </c>
      <c r="G56" s="13" t="n">
        <v>969.108052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696.713289</v>
      </c>
      <c r="E57" s="13" t="n">
        <v>848.808046</v>
      </c>
      <c r="F57" s="13" t="n">
        <v>844.113095</v>
      </c>
      <c r="G57" s="13" t="n">
        <v>836.346124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550.362756</v>
      </c>
      <c r="E58" s="13" t="n">
        <v>759.021033</v>
      </c>
      <c r="F58" s="13" t="n">
        <v>841.403728</v>
      </c>
      <c r="G58" s="13" t="n">
        <v>874.705974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67.158519</v>
      </c>
      <c r="E59" s="13" t="n">
        <v>-0.094066</v>
      </c>
      <c r="F59" s="13" t="n">
        <v>5.851168</v>
      </c>
      <c r="G59" s="13" t="n">
        <v>5.715422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552.2313569999999</v>
      </c>
      <c r="E60" s="13" t="n">
        <v>652.128368</v>
      </c>
      <c r="F60" s="13" t="n">
        <v>671.5600619999999</v>
      </c>
      <c r="G60" s="13" t="n">
        <v>673.7428229999999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717.1103089999999</v>
      </c>
      <c r="E62" s="13" t="n">
        <v>851.5325720000001</v>
      </c>
      <c r="F62" s="13" t="n">
        <v>806.011313</v>
      </c>
      <c r="G62" s="13" t="n">
        <v>766.7390770000001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0.1999018424249909</v>
      </c>
      <c r="E63" s="15" t="n">
        <v>0.2756903538291385</v>
      </c>
      <c r="F63" s="15" t="n">
        <v>0.3056132589220043</v>
      </c>
      <c r="G63" s="15" t="n">
        <v>0.3177092451778226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0.03284025328912299</v>
      </c>
      <c r="F64" s="4" t="n">
        <v>-0.1961598301452415</v>
      </c>
      <c r="G64" s="4" t="n">
        <v>-0.134953604046108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0.3610476573950671</v>
      </c>
      <c r="E65" s="4" t="n">
        <v>0.2625896379119529</v>
      </c>
      <c r="F65" s="4" t="n">
        <v>0.1093142824050319</v>
      </c>
      <c r="G65" s="4" t="n">
        <v>0.09986682011022056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0.2772126367436318</v>
      </c>
      <c r="E66" s="4" t="n">
        <v>0.1763923541814154</v>
      </c>
      <c r="F66" s="4" t="n">
        <v>0.2322786139737206</v>
      </c>
      <c r="G66" s="4" t="n">
        <v>0.2448729830396393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0.2737628196733745</v>
      </c>
      <c r="E67" s="4" t="n">
        <v>0.172721795441215</v>
      </c>
      <c r="F67" s="4" t="n">
        <v>0.06139844877488831</v>
      </c>
      <c r="G67" s="4" t="n">
        <v>0.04108632455577946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0.1867207300359033</v>
      </c>
      <c r="E68" s="4" t="n">
        <v>0.1935705146983716</v>
      </c>
      <c r="F68" s="4" t="n">
        <v>0.1161276095280063</v>
      </c>
      <c r="G68" s="4" t="n">
        <v>0.06801997719345172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0.07072963667145782</v>
      </c>
      <c r="F69" s="4" t="n">
        <v>-0.5177569398248599</v>
      </c>
      <c r="G69" s="4" t="n">
        <v>-0.4933122591327355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0.4414298686570955</v>
      </c>
      <c r="F70" s="4" t="n">
        <v>0.1741644048457708</v>
      </c>
      <c r="G70" s="4" t="n">
        <v>0.08229813853706655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1.789561478493825</v>
      </c>
      <c r="E71" s="18" t="n">
        <v>3.233419353174322</v>
      </c>
      <c r="F71" s="18" t="n">
        <v>2.891363747922207</v>
      </c>
      <c r="G71" s="18" t="n">
        <v>3.016047275805339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0.2723896203079914</v>
      </c>
      <c r="E72" s="4" t="n">
        <v>0.1731771455829844</v>
      </c>
      <c r="F72" s="4" t="n">
        <v>0.1847496667773064</v>
      </c>
      <c r="G72" s="4" t="n">
        <v>0.2122700425558633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0.1954036019425882</v>
      </c>
      <c r="E73" s="4" t="n">
        <v>0.2912101889782024</v>
      </c>
      <c r="F73" s="4" t="n">
        <v>0.2350852616806244</v>
      </c>
      <c r="G73" s="4" t="n">
        <v>0.1315542652794982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2540</v>
      </c>
    </row>
    <row r="77">
      <c r="A77" t="inlineStr">
        <is>
          <t>Shares outstanding (m)</t>
        </is>
      </c>
      <c r="C77" s="13" t="n">
        <v>2753.165</v>
      </c>
    </row>
    <row r="78">
      <c r="A78" t="inlineStr">
        <is>
          <t>IDR per USD (spot)</t>
        </is>
      </c>
      <c r="C78" s="3" t="n">
        <v>18183</v>
      </c>
    </row>
    <row r="79">
      <c r="A79" t="inlineStr">
        <is>
          <t>Debt at balance-sheet date</t>
        </is>
      </c>
      <c r="C79" s="13" t="n">
        <v>922.343253</v>
      </c>
    </row>
    <row r="80">
      <c r="A80" t="inlineStr">
        <is>
          <t>Cash at balance-sheet date</t>
        </is>
      </c>
      <c r="C80" s="13" t="n">
        <v>217.019467</v>
      </c>
    </row>
    <row r="81">
      <c r="A81" t="inlineStr">
        <is>
          <t>Minority interest (book)</t>
        </is>
      </c>
      <c r="C81" s="13" t="n">
        <v>6.259814</v>
      </c>
    </row>
    <row r="82">
      <c r="A82" t="inlineStr">
        <is>
          <t>Associates &amp; investments (book)</t>
        </is>
      </c>
      <c r="C82" s="13" t="n">
        <v>598.521655</v>
      </c>
    </row>
    <row r="83">
      <c r="A83" t="inlineStr">
        <is>
          <t>Post-balance-sheet &amp; other items (sourced, probability-weighted)</t>
        </is>
      </c>
      <c r="C83" s="13" t="n">
        <v>-6.259814</v>
      </c>
    </row>
    <row r="84">
      <c r="A84" t="inlineStr">
        <is>
          <t>Parent equity at balance-sheet date</t>
        </is>
      </c>
      <c r="C84" s="13" t="n">
        <v>888.4189710000001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2548.279558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3.77447</v>
      </c>
    </row>
    <row r="104">
      <c r="A104" t="inlineStr">
        <is>
          <t>Metric (LTM, or next-12m DPS for yield)</t>
        </is>
      </c>
      <c r="C104" s="13" t="n">
        <v>70.616317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0.775979</v>
      </c>
    </row>
    <row r="109">
      <c r="A109" t="inlineStr">
        <is>
          <t>Metric (LTM, or next-12m DPS for yield)</t>
        </is>
      </c>
      <c r="C109" s="13" t="n">
        <v>888.4189710000001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104.7386379957271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2543.987238823125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3635.20539321169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3604.155568</v>
      </c>
      <c r="E132" s="23" t="n">
        <v>3333.615911</v>
      </c>
      <c r="F132" s="23" t="n">
        <v>3063.076255</v>
      </c>
      <c r="G132" s="23" t="n">
        <v>2792.536599</v>
      </c>
      <c r="H132" s="23" t="n">
        <v>2521.996943</v>
      </c>
    </row>
    <row r="133">
      <c r="C133" s="1" t="n">
        <v>-0.005</v>
      </c>
      <c r="D133" s="23" t="n">
        <v>3619.68048</v>
      </c>
      <c r="E133" s="23" t="n">
        <v>3348.008383</v>
      </c>
      <c r="F133" s="23" t="n">
        <v>3076.336286</v>
      </c>
      <c r="G133" s="23" t="n">
        <v>2804.664188</v>
      </c>
      <c r="H133" s="23" t="n">
        <v>2532.992091</v>
      </c>
    </row>
    <row r="134">
      <c r="C134" s="1" t="n">
        <v>0</v>
      </c>
      <c r="D134" s="23" t="n">
        <v>3635.205393</v>
      </c>
      <c r="E134" s="23" t="n">
        <v>3362.400855</v>
      </c>
      <c r="F134" s="23" t="n">
        <v>3089.596316</v>
      </c>
      <c r="G134" s="23" t="n">
        <v>2816.791777</v>
      </c>
      <c r="H134" s="23" t="n">
        <v>2543.987239</v>
      </c>
    </row>
    <row r="135">
      <c r="C135" s="1" t="n">
        <v>0.005</v>
      </c>
      <c r="D135" s="23" t="n">
        <v>3650.730306</v>
      </c>
      <c r="E135" s="23" t="n">
        <v>3376.793326</v>
      </c>
      <c r="F135" s="23" t="n">
        <v>3102.856346</v>
      </c>
      <c r="G135" s="23" t="n">
        <v>2828.919367</v>
      </c>
      <c r="H135" s="23" t="n">
        <v>2554.982387</v>
      </c>
    </row>
    <row r="136">
      <c r="C136" s="1" t="n">
        <v>0.01</v>
      </c>
      <c r="D136" s="23" t="n">
        <v>3666.255219</v>
      </c>
      <c r="E136" s="23" t="n">
        <v>3391.185798</v>
      </c>
      <c r="F136" s="23" t="n">
        <v>3116.116377</v>
      </c>
      <c r="G136" s="23" t="n">
        <v>2841.046956</v>
      </c>
      <c r="H136" s="23" t="n">
        <v>2565.977535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2460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18183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4609.002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0.4977315788136887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2390.53783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4.069228</v>
      </c>
    </row>
    <row r="104">
      <c r="A104" t="inlineStr">
        <is>
          <t>Metric (LTM, or next-12m DPS for yield)</t>
        </is>
      </c>
      <c r="C104" s="13" t="n">
        <v>447.69422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0.901424</v>
      </c>
    </row>
    <row r="109">
      <c r="A109" t="inlineStr">
        <is>
          <t>Metric (LTM, or next-12m DPS for yield)</t>
        </is>
      </c>
      <c r="C109" s="13" t="n">
        <v>4609.002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296.014478501549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1877.620359895535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2327.656945956856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2311.78554</v>
      </c>
      <c r="E132" s="23" t="n">
        <v>2196.635515</v>
      </c>
      <c r="F132" s="23" t="n">
        <v>2081.48549</v>
      </c>
      <c r="G132" s="23" t="n">
        <v>1966.335465</v>
      </c>
      <c r="H132" s="23" t="n">
        <v>1851.18544</v>
      </c>
    </row>
    <row r="133">
      <c r="C133" s="1" t="n">
        <v>-0.005</v>
      </c>
      <c r="D133" s="23" t="n">
        <v>2323.386638</v>
      </c>
      <c r="E133" s="23" t="n">
        <v>2207.724354</v>
      </c>
      <c r="F133" s="23" t="n">
        <v>2092.062071</v>
      </c>
      <c r="G133" s="23" t="n">
        <v>1976.399788</v>
      </c>
      <c r="H133" s="23" t="n">
        <v>1860.737505</v>
      </c>
    </row>
    <row r="134">
      <c r="C134" s="1" t="n">
        <v>0</v>
      </c>
      <c r="D134" s="23" t="n">
        <v>2334.987735</v>
      </c>
      <c r="E134" s="23" t="n">
        <v>2218.813194</v>
      </c>
      <c r="F134" s="23" t="n">
        <v>2102.638653</v>
      </c>
      <c r="G134" s="23" t="n">
        <v>1986.464112</v>
      </c>
      <c r="H134" s="23" t="n">
        <v>1870.28957</v>
      </c>
    </row>
    <row r="135">
      <c r="C135" s="1" t="n">
        <v>0.005</v>
      </c>
      <c r="D135" s="23" t="n">
        <v>2346.588833</v>
      </c>
      <c r="E135" s="23" t="n">
        <v>2229.902034</v>
      </c>
      <c r="F135" s="23" t="n">
        <v>2113.215234</v>
      </c>
      <c r="G135" s="23" t="n">
        <v>1996.528435</v>
      </c>
      <c r="H135" s="23" t="n">
        <v>1879.841636</v>
      </c>
    </row>
    <row r="136">
      <c r="C136" s="1" t="n">
        <v>0.01</v>
      </c>
      <c r="D136" s="23" t="n">
        <v>2358.189931</v>
      </c>
      <c r="E136" s="23" t="n">
        <v>2240.990873</v>
      </c>
      <c r="F136" s="23" t="n">
        <v>2123.791816</v>
      </c>
      <c r="G136" s="23" t="n">
        <v>2006.592759</v>
      </c>
      <c r="H136" s="23" t="n">
        <v>1889.393701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0.2169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0.1112</v>
      </c>
      <c r="I13" s="4" t="n">
        <v>0.1084</v>
      </c>
      <c r="J13" s="4" t="n">
        <v>0.1084</v>
      </c>
      <c r="K13" s="4" t="n">
        <v>0.1084</v>
      </c>
      <c r="L13" s="4" t="n">
        <v>0.1084</v>
      </c>
      <c r="M13" s="4" t="n">
        <v>0.1084</v>
      </c>
      <c r="N13" s="4" t="n">
        <v>0.1084</v>
      </c>
      <c r="O13" s="4" t="n">
        <v>0.1084</v>
      </c>
      <c r="P13" s="4" t="n">
        <v>0.1084</v>
      </c>
      <c r="Q13" s="4" t="n">
        <v>0.1084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11548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0.095</v>
      </c>
      <c r="I22" s="4" t="n">
        <v>0.115</v>
      </c>
      <c r="J22" s="4" t="n">
        <v>0.12</v>
      </c>
      <c r="K22" s="4" t="n">
        <v>0.12</v>
      </c>
      <c r="L22" s="4" t="n">
        <v>0.12</v>
      </c>
      <c r="M22" s="4" t="n">
        <v>0.12</v>
      </c>
      <c r="N22" s="4" t="n">
        <v>0.12</v>
      </c>
      <c r="O22" s="4" t="n">
        <v>0.12</v>
      </c>
      <c r="P22" s="4" t="n">
        <v>0.12</v>
      </c>
      <c r="Q22" s="4" t="n">
        <v>0.12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-0.013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18183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238103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4656.957819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238103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0.96</v>
      </c>
    </row>
    <row r="114">
      <c r="A114" t="inlineStr">
        <is>
          <t>Weight: P/E</t>
        </is>
      </c>
      <c r="C114" s="4" t="n">
        <v>0.02</v>
      </c>
    </row>
    <row r="115">
      <c r="A115" t="inlineStr">
        <is>
          <t>Weight: P/BV</t>
        </is>
      </c>
      <c r="C115" s="4" t="n">
        <v>0.02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420.2821550913887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4042.740011534145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5969.101852352195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5638.968512</v>
      </c>
      <c r="E132" s="23" t="n">
        <v>5299.376391</v>
      </c>
      <c r="F132" s="23" t="n">
        <v>4959.78427</v>
      </c>
      <c r="G132" s="23" t="n">
        <v>4620.192149</v>
      </c>
      <c r="H132" s="23" t="n">
        <v>4280.600029</v>
      </c>
    </row>
    <row r="133">
      <c r="C133" s="1" t="n">
        <v>-0.005</v>
      </c>
      <c r="D133" s="23" t="n">
        <v>5665.558222</v>
      </c>
      <c r="E133" s="23" t="n">
        <v>5324.475874</v>
      </c>
      <c r="F133" s="23" t="n">
        <v>4983.393527</v>
      </c>
      <c r="G133" s="23" t="n">
        <v>4642.31118</v>
      </c>
      <c r="H133" s="23" t="n">
        <v>4301.228832</v>
      </c>
    </row>
    <row r="134">
      <c r="C134" s="1" t="n">
        <v>0</v>
      </c>
      <c r="D134" s="23" t="n">
        <v>5692.147931</v>
      </c>
      <c r="E134" s="23" t="n">
        <v>5349.575358</v>
      </c>
      <c r="F134" s="23" t="n">
        <v>5007.002784</v>
      </c>
      <c r="G134" s="23" t="n">
        <v>4664.43021</v>
      </c>
      <c r="H134" s="23" t="n">
        <v>4321.857636</v>
      </c>
    </row>
    <row r="135">
      <c r="C135" s="1" t="n">
        <v>0.005</v>
      </c>
      <c r="D135" s="23" t="n">
        <v>5718.737641</v>
      </c>
      <c r="E135" s="23" t="n">
        <v>5374.674841</v>
      </c>
      <c r="F135" s="23" t="n">
        <v>5030.61204</v>
      </c>
      <c r="G135" s="23" t="n">
        <v>4686.54924</v>
      </c>
      <c r="H135" s="23" t="n">
        <v>4342.48644</v>
      </c>
    </row>
    <row r="136">
      <c r="C136" s="1" t="n">
        <v>0.01</v>
      </c>
      <c r="D136" s="23" t="n">
        <v>5745.327351</v>
      </c>
      <c r="E136" s="23" t="n">
        <v>5399.774324</v>
      </c>
      <c r="F136" s="23" t="n">
        <v>5054.221297</v>
      </c>
      <c r="G136" s="23" t="n">
        <v>4708.66827</v>
      </c>
      <c r="H136" s="23" t="n">
        <v>4363.115244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MNC Asia Holding Tbk (BHIT.JK)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-0.042023</v>
      </c>
      <c r="I11" s="4" t="n">
        <v>0</v>
      </c>
      <c r="J11" s="4" t="n">
        <v>0.0328</v>
      </c>
      <c r="K11" s="4" t="n">
        <v>0.0328</v>
      </c>
      <c r="L11" s="4" t="n">
        <v>0.0328</v>
      </c>
      <c r="M11" s="4" t="n">
        <v>0.0328</v>
      </c>
      <c r="N11" s="4" t="n">
        <v>0.0328</v>
      </c>
      <c r="O11" s="4" t="n">
        <v>0.0328</v>
      </c>
      <c r="P11" s="4" t="n">
        <v>0.0328</v>
      </c>
      <c r="Q11" s="4" t="n">
        <v>0.0328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0.37572</v>
      </c>
      <c r="I12" s="4" t="n">
        <v>0.37572</v>
      </c>
      <c r="J12" s="4" t="n">
        <v>0.37572</v>
      </c>
      <c r="K12" s="4" t="n">
        <v>0.37572</v>
      </c>
      <c r="L12" s="4" t="n">
        <v>0.37572</v>
      </c>
      <c r="M12" s="4" t="n">
        <v>0.37572</v>
      </c>
      <c r="N12" s="4" t="n">
        <v>0.37572</v>
      </c>
      <c r="O12" s="4" t="n">
        <v>0.37572</v>
      </c>
      <c r="P12" s="4" t="n">
        <v>0.37572</v>
      </c>
      <c r="Q12" s="4" t="n">
        <v>0.37572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0.2178</v>
      </c>
      <c r="I13" s="4" t="n">
        <v>0.2178</v>
      </c>
      <c r="J13" s="4" t="n">
        <v>0.2178</v>
      </c>
      <c r="K13" s="4" t="n">
        <v>0.2178</v>
      </c>
      <c r="L13" s="4" t="n">
        <v>0.2178</v>
      </c>
      <c r="M13" s="4" t="n">
        <v>0.2178</v>
      </c>
      <c r="N13" s="4" t="n">
        <v>0.2178</v>
      </c>
      <c r="O13" s="4" t="n">
        <v>0.2178</v>
      </c>
      <c r="P13" s="4" t="n">
        <v>0.2178</v>
      </c>
      <c r="Q13" s="4" t="n">
        <v>0.2178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0.08946</v>
      </c>
      <c r="I14" s="4" t="n">
        <v>0.08946</v>
      </c>
      <c r="J14" s="4" t="n">
        <v>0.08946</v>
      </c>
      <c r="K14" s="4" t="n">
        <v>0.08946</v>
      </c>
      <c r="L14" s="4" t="n">
        <v>0.08946</v>
      </c>
      <c r="M14" s="4" t="n">
        <v>0.08946</v>
      </c>
      <c r="N14" s="4" t="n">
        <v>0.08946</v>
      </c>
      <c r="O14" s="4" t="n">
        <v>0.08946</v>
      </c>
      <c r="P14" s="4" t="n">
        <v>0.08946</v>
      </c>
      <c r="Q14" s="4" t="n">
        <v>0.08946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0.06242</v>
      </c>
      <c r="I15" s="4" t="n">
        <v>0.06242</v>
      </c>
      <c r="J15" s="4" t="n">
        <v>0.06242</v>
      </c>
      <c r="K15" s="4" t="n">
        <v>0.06242</v>
      </c>
      <c r="L15" s="4" t="n">
        <v>0.06242</v>
      </c>
      <c r="M15" s="4" t="n">
        <v>0.06242</v>
      </c>
      <c r="N15" s="4" t="n">
        <v>0.06242</v>
      </c>
      <c r="O15" s="4" t="n">
        <v>0.06242</v>
      </c>
      <c r="P15" s="4" t="n">
        <v>0.06242</v>
      </c>
      <c r="Q15" s="4" t="n">
        <v>0.06242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-0.06751600000000001</v>
      </c>
      <c r="I16" s="4" t="n">
        <v>-0.06751600000000001</v>
      </c>
      <c r="J16" s="4" t="n">
        <v>-0.06751600000000001</v>
      </c>
      <c r="K16" s="4" t="n">
        <v>-0.06751600000000001</v>
      </c>
      <c r="L16" s="4" t="n">
        <v>-0.06751600000000001</v>
      </c>
      <c r="M16" s="4" t="n">
        <v>-0.06751600000000001</v>
      </c>
      <c r="N16" s="4" t="n">
        <v>-0.06751600000000001</v>
      </c>
      <c r="O16" s="4" t="n">
        <v>-0.06751600000000001</v>
      </c>
      <c r="P16" s="4" t="n">
        <v>-0.06751600000000001</v>
      </c>
      <c r="Q16" s="4" t="n">
        <v>-0.06751600000000001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0.15229</v>
      </c>
      <c r="I17" s="4" t="n">
        <v>0.15229</v>
      </c>
      <c r="J17" s="4" t="n">
        <v>0.15229</v>
      </c>
      <c r="K17" s="4" t="n">
        <v>0.15229</v>
      </c>
      <c r="L17" s="4" t="n">
        <v>0.15229</v>
      </c>
      <c r="M17" s="4" t="n">
        <v>0.15229</v>
      </c>
      <c r="N17" s="4" t="n">
        <v>0.15229</v>
      </c>
      <c r="O17" s="4" t="n">
        <v>0.15229</v>
      </c>
      <c r="P17" s="4" t="n">
        <v>0.15229</v>
      </c>
      <c r="Q17" s="4" t="n">
        <v>0.15229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0.092545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0.004067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-292.851</v>
      </c>
      <c r="I21" s="13" t="n">
        <v>-292.851</v>
      </c>
      <c r="J21" s="13" t="n">
        <v>-292.851</v>
      </c>
      <c r="K21" s="13" t="n">
        <v>-292.851</v>
      </c>
      <c r="L21" s="13" t="n">
        <v>-292.851</v>
      </c>
      <c r="M21" s="13" t="n">
        <v>-300.172275</v>
      </c>
      <c r="N21" s="13" t="n">
        <v>-307.676581875</v>
      </c>
      <c r="O21" s="13" t="n">
        <v>-315.3684964218749</v>
      </c>
      <c r="P21" s="13" t="n">
        <v>-323.2527088324217</v>
      </c>
      <c r="Q21" s="13" t="n">
        <v>-331.3340265532323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0.78118</v>
      </c>
      <c r="I22" s="4" t="n">
        <v>0.78118</v>
      </c>
      <c r="J22" s="4" t="n">
        <v>0.78118</v>
      </c>
      <c r="K22" s="4" t="n">
        <v>0.78118</v>
      </c>
      <c r="L22" s="4" t="n">
        <v>0.78118</v>
      </c>
      <c r="M22" s="4" t="n">
        <v>0.78118</v>
      </c>
      <c r="N22" s="4" t="n">
        <v>0.78118</v>
      </c>
      <c r="O22" s="4" t="n">
        <v>0.78118</v>
      </c>
      <c r="P22" s="4" t="n">
        <v>0.78118</v>
      </c>
      <c r="Q22" s="4" t="n">
        <v>0.78118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0.0328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0.4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18083.695</v>
      </c>
      <c r="E29" s="13" t="n">
        <v>15660.503</v>
      </c>
      <c r="F29" s="13" t="n">
        <v>15139.665</v>
      </c>
      <c r="G29" s="13" t="n">
        <v>14490.421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9275.282999999999</v>
      </c>
      <c r="E30" s="13" t="n">
        <v>9357.258</v>
      </c>
      <c r="F30" s="13" t="n">
        <v>9166.35</v>
      </c>
      <c r="G30" s="13" t="n">
        <v>8732.33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8808.412</v>
      </c>
      <c r="E31" s="13" t="n">
        <v>6303.245</v>
      </c>
      <c r="F31" s="13" t="n">
        <v>5973.315</v>
      </c>
      <c r="G31" s="13" t="n">
        <v>5758.091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3849.835</v>
      </c>
      <c r="E32" s="13" t="n">
        <v>3757.646</v>
      </c>
      <c r="F32" s="13" t="n">
        <v>3264.232</v>
      </c>
      <c r="G32" s="13" t="n">
        <v>3221.662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4958.577</v>
      </c>
      <c r="E33" s="13" t="n">
        <v>2545.599</v>
      </c>
      <c r="F33" s="13" t="n">
        <v>2709.083</v>
      </c>
      <c r="G33" s="13" t="n">
        <v>2536.429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524.3150000000001</v>
      </c>
      <c r="E34" s="13" t="n">
        <v>527.977</v>
      </c>
      <c r="F34" s="13" t="n">
        <v>1340.84</v>
      </c>
      <c r="G34" s="13" t="n">
        <v>1360.403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5482.892</v>
      </c>
      <c r="E35" s="13" t="n">
        <v>3073.576</v>
      </c>
      <c r="F35" s="13" t="n">
        <v>4049.923</v>
      </c>
      <c r="G35" s="13" t="n">
        <v>3896.832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830.9299999999999</v>
      </c>
      <c r="E36" s="13" t="n">
        <v>985.193</v>
      </c>
      <c r="F36" s="13" t="n">
        <v>1189.784</v>
      </c>
      <c r="G36" s="13" t="n">
        <v>1115.351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40.071</v>
      </c>
      <c r="E37" s="13" t="n">
        <v>52.074</v>
      </c>
      <c r="F37" s="13" t="n">
        <v>39.978</v>
      </c>
      <c r="G37" s="13" t="n">
        <v>32.14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-653.7380000000003</v>
      </c>
      <c r="E38" s="13" t="n">
        <v>-213.3870000000001</v>
      </c>
      <c r="F38" s="13" t="n">
        <v>-320.1179999999999</v>
      </c>
      <c r="G38" s="13" t="n">
        <v>206.0939999999999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3513.98</v>
      </c>
      <c r="E39" s="13" t="n">
        <v>1399.093</v>
      </c>
      <c r="F39" s="13" t="n">
        <v>1239.159</v>
      </c>
      <c r="G39" s="13" t="n">
        <v>1659.312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831.76</v>
      </c>
      <c r="E40" s="13" t="n">
        <v>165.62</v>
      </c>
      <c r="F40" s="13" t="n">
        <v>295.4</v>
      </c>
      <c r="G40" s="13" t="n">
        <v>252.687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2682.22</v>
      </c>
      <c r="E41" s="13" t="n">
        <v>1233.473</v>
      </c>
      <c r="F41" s="13" t="n">
        <v>943.759</v>
      </c>
      <c r="G41" s="13" t="n">
        <v>1406.625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1951.941</v>
      </c>
      <c r="E42" s="13" t="n">
        <v>926.881</v>
      </c>
      <c r="F42" s="13" t="n">
        <v>753.739</v>
      </c>
      <c r="G42" s="13" t="n">
        <v>928.085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730.279</v>
      </c>
      <c r="E43" s="13" t="n">
        <v>306.592</v>
      </c>
      <c r="F43" s="13" t="n">
        <v>190.02</v>
      </c>
      <c r="G43" s="13" t="n">
        <v>478.54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83542.741759</v>
      </c>
      <c r="E44" s="13" t="n">
        <v>83542.741759</v>
      </c>
      <c r="F44" s="13" t="n">
        <v>83542.741759</v>
      </c>
      <c r="G44" s="13" t="n">
        <v>83542.741759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8.74138177205954</v>
      </c>
      <c r="E45" s="15" t="n">
        <v>3.669881949582665</v>
      </c>
      <c r="F45" s="15" t="n">
        <v>2.274524345252642</v>
      </c>
      <c r="G45" s="15" t="n">
        <v>5.728085886628772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1866.364</v>
      </c>
      <c r="E48" s="13" t="n">
        <v>2467.768</v>
      </c>
      <c r="F48" s="13" t="n">
        <v>1229.277</v>
      </c>
      <c r="G48" s="13" t="n">
        <v>904.524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1718.319999999998</v>
      </c>
      <c r="F49" s="13" t="n">
        <v>-3489.663000000002</v>
      </c>
      <c r="G49" s="13" t="n">
        <v>-821.0139999999956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-1413.851586703669</v>
      </c>
      <c r="F50" s="13" t="n">
        <v>5664.497511563087</v>
      </c>
      <c r="G50" s="13" t="n">
        <v>3427.063939597251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-42.59900000000016</v>
      </c>
      <c r="F51" s="13" t="n">
        <v>-1150.654</v>
      </c>
      <c r="G51" s="13" t="n">
        <v>43.32600000000093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-82.28899999999703</v>
      </c>
      <c r="E54" s="13" t="n">
        <v>1636.031000000001</v>
      </c>
      <c r="F54" s="13" t="n">
        <v>-1853.632000000001</v>
      </c>
      <c r="G54" s="13" t="n">
        <v>-2674.645999999997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9343.790999999999</v>
      </c>
      <c r="E55" s="13" t="n">
        <v>10020.75</v>
      </c>
      <c r="F55" s="13" t="n">
        <v>12188.175</v>
      </c>
      <c r="G55" s="13" t="n">
        <v>10579.309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12297.883</v>
      </c>
      <c r="E56" s="13" t="n">
        <v>12255.284</v>
      </c>
      <c r="F56" s="13" t="n">
        <v>11104.63</v>
      </c>
      <c r="G56" s="13" t="n">
        <v>11147.956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18326.849</v>
      </c>
      <c r="E57" s="13" t="n">
        <v>14422.679</v>
      </c>
      <c r="F57" s="13" t="n">
        <v>15416.471</v>
      </c>
      <c r="G57" s="13" t="n">
        <v>13940.152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17038.624</v>
      </c>
      <c r="E58" s="13" t="n">
        <v>17839.694</v>
      </c>
      <c r="F58" s="13" t="n">
        <v>17518.553</v>
      </c>
      <c r="G58" s="13" t="n">
        <v>16686.254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22393.624</v>
      </c>
      <c r="E59" s="13" t="n">
        <v>23458.275</v>
      </c>
      <c r="F59" s="13" t="n">
        <v>25285.267</v>
      </c>
      <c r="G59" s="13" t="n">
        <v>23728.674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24141.78</v>
      </c>
      <c r="E60" s="13" t="n">
        <v>27473.79299999999</v>
      </c>
      <c r="F60" s="13" t="n">
        <v>28157.43599999999</v>
      </c>
      <c r="G60" s="13" t="n">
        <v>29718.06899999999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2954.092000000001</v>
      </c>
      <c r="E62" s="13" t="n">
        <v>2234.534</v>
      </c>
      <c r="F62" s="13" t="n">
        <v>-1083.545</v>
      </c>
      <c r="G62" s="13" t="n">
        <v>568.6470000000008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203.9509793579936</v>
      </c>
      <c r="E63" s="15" t="n">
        <v>213.5397237914824</v>
      </c>
      <c r="F63" s="15" t="n">
        <v>209.6956914645758</v>
      </c>
      <c r="G63" s="15" t="n">
        <v>199.7331383752725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-0.13399872094724</v>
      </c>
      <c r="F64" s="4" t="n">
        <v>-0.03325806329464642</v>
      </c>
      <c r="G64" s="4" t="n">
        <v>-0.04288364372659503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0.4870913825963112</v>
      </c>
      <c r="E65" s="4" t="n">
        <v>0.4024931383110746</v>
      </c>
      <c r="F65" s="4" t="n">
        <v>0.3945473694431151</v>
      </c>
      <c r="G65" s="4" t="n">
        <v>0.3973722364588303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0.3031953370149187</v>
      </c>
      <c r="E66" s="4" t="n">
        <v>0.1962629169701637</v>
      </c>
      <c r="F66" s="4" t="n">
        <v>0.2675041356595407</v>
      </c>
      <c r="G66" s="4" t="n">
        <v>0.2689246916980535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0.2742015390106944</v>
      </c>
      <c r="E67" s="4" t="n">
        <v>0.1625489934774126</v>
      </c>
      <c r="F67" s="4" t="n">
        <v>0.1789394283162804</v>
      </c>
      <c r="G67" s="4" t="n">
        <v>0.175041774148591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0.04038328450020862</v>
      </c>
      <c r="E68" s="4" t="n">
        <v>0.01957740437839066</v>
      </c>
      <c r="F68" s="4" t="n">
        <v>0.01255113636926577</v>
      </c>
      <c r="G68" s="4" t="n">
        <v>0.0330245753384253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-0.5801714139390561</v>
      </c>
      <c r="F69" s="4" t="n">
        <v>-0.3802186619350798</v>
      </c>
      <c r="G69" s="4" t="n">
        <v>1.518366487738133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0.0175806642969423</v>
      </c>
      <c r="F70" s="4" t="n">
        <v>0.01074827041057776</v>
      </c>
      <c r="G70" s="4" t="n">
        <v>0.02798086245597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0.5387835470769806</v>
      </c>
      <c r="E71" s="18" t="n">
        <v>0.7270143962602518</v>
      </c>
      <c r="F71" s="18" t="n">
        <v>-0.2675470620058703</v>
      </c>
      <c r="G71" s="18" t="n">
        <v>0.1459254594501382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0.1032070049843243</v>
      </c>
      <c r="E73" s="4" t="n">
        <v>0.1575791020250116</v>
      </c>
      <c r="F73" s="4" t="n">
        <v>0.08119578603621679</v>
      </c>
      <c r="G73" s="4" t="n">
        <v>0.06242220291598153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18</v>
      </c>
    </row>
    <row r="77">
      <c r="A77" t="inlineStr">
        <is>
          <t>Shares outstanding (m)</t>
        </is>
      </c>
      <c r="C77" s="13" t="n">
        <v>83542.741759</v>
      </c>
    </row>
    <row r="78">
      <c r="A78" t="inlineStr">
        <is>
          <t>IDR per USD (spot)</t>
        </is>
      </c>
      <c r="C78" s="3" t="n">
        <v>18183</v>
      </c>
    </row>
    <row r="79">
      <c r="A79" t="inlineStr">
        <is>
          <t>Debt at balance-sheet date</t>
        </is>
      </c>
      <c r="C79" s="13" t="n">
        <v>9654.584999999999</v>
      </c>
    </row>
    <row r="80">
      <c r="A80" t="inlineStr">
        <is>
          <t>Cash at balance-sheet date</t>
        </is>
      </c>
      <c r="C80" s="13" t="n">
        <v>10315.724</v>
      </c>
    </row>
    <row r="81">
      <c r="A81" t="inlineStr">
        <is>
          <t>Minority interest (book)</t>
        </is>
      </c>
      <c r="C81" s="13" t="n">
        <v>22465.512</v>
      </c>
    </row>
    <row r="82">
      <c r="A82" t="inlineStr">
        <is>
          <t>Associates &amp; investments (book)</t>
        </is>
      </c>
      <c r="C82" s="13" t="n">
        <v>6662.262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16464.537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0.0328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57.666966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10.475466</v>
      </c>
    </row>
    <row r="104">
      <c r="A104" t="inlineStr">
        <is>
          <t>Metric (LTM, or next-12m DPS for yield)</t>
        </is>
      </c>
      <c r="C104" s="13" t="n">
        <v>377.226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0.217757</v>
      </c>
    </row>
    <row r="109">
      <c r="A109" t="inlineStr">
        <is>
          <t>Metric (LTM, or next-12m DPS for yield)</t>
        </is>
      </c>
      <c r="C109" s="13" t="n">
        <v>16464.537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53.60499054336637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74.58026977104001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70.498097</v>
      </c>
      <c r="E132" s="23" t="n">
        <v>67.03104999999999</v>
      </c>
      <c r="F132" s="23" t="n">
        <v>63.564004</v>
      </c>
      <c r="G132" s="23" t="n">
        <v>60.096958</v>
      </c>
      <c r="H132" s="23" t="n">
        <v>56.629911</v>
      </c>
    </row>
    <row r="133">
      <c r="C133" s="1" t="n">
        <v>-0.005</v>
      </c>
      <c r="D133" s="23" t="n">
        <v>70.79124299999999</v>
      </c>
      <c r="E133" s="23" t="n">
        <v>67.30978</v>
      </c>
      <c r="F133" s="23" t="n">
        <v>63.828317</v>
      </c>
      <c r="G133" s="23" t="n">
        <v>60.346854</v>
      </c>
      <c r="H133" s="23" t="n">
        <v>56.865391</v>
      </c>
    </row>
    <row r="134">
      <c r="C134" s="1" t="n">
        <v>0</v>
      </c>
      <c r="D134" s="23" t="n">
        <v>71.08439</v>
      </c>
      <c r="E134" s="23" t="n">
        <v>67.58851</v>
      </c>
      <c r="F134" s="23" t="n">
        <v>64.09263</v>
      </c>
      <c r="G134" s="23" t="n">
        <v>60.59675</v>
      </c>
      <c r="H134" s="23" t="n">
        <v>57.10087</v>
      </c>
    </row>
    <row r="135">
      <c r="C135" s="1" t="n">
        <v>0.005</v>
      </c>
      <c r="D135" s="23" t="n">
        <v>71.37753600000001</v>
      </c>
      <c r="E135" s="23" t="n">
        <v>67.86724</v>
      </c>
      <c r="F135" s="23" t="n">
        <v>64.356943</v>
      </c>
      <c r="G135" s="23" t="n">
        <v>60.846647</v>
      </c>
      <c r="H135" s="23" t="n">
        <v>57.33635</v>
      </c>
    </row>
    <row r="136">
      <c r="C136" s="1" t="n">
        <v>0.01</v>
      </c>
      <c r="D136" s="23" t="n">
        <v>71.670683</v>
      </c>
      <c r="E136" s="23" t="n">
        <v>68.14597000000001</v>
      </c>
      <c r="F136" s="23" t="n">
        <v>64.621256</v>
      </c>
      <c r="G136" s="23" t="n">
        <v>61.096543</v>
      </c>
      <c r="H136" s="23" t="n">
        <v>57.57183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0.38</v>
      </c>
      <c r="I11" s="4" t="n">
        <v>0.08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0.251</v>
      </c>
      <c r="I12" s="4" t="n">
        <v>0.251</v>
      </c>
      <c r="J12" s="4" t="n">
        <v>0.251</v>
      </c>
      <c r="K12" s="4" t="n">
        <v>0.251</v>
      </c>
      <c r="L12" s="4" t="n">
        <v>0.251</v>
      </c>
      <c r="M12" s="4" t="n">
        <v>0.251</v>
      </c>
      <c r="N12" s="4" t="n">
        <v>0.251</v>
      </c>
      <c r="O12" s="4" t="n">
        <v>0.251</v>
      </c>
      <c r="P12" s="4" t="n">
        <v>0.251</v>
      </c>
      <c r="Q12" s="4" t="n">
        <v>0.251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0.142</v>
      </c>
      <c r="I13" s="4" t="n">
        <v>0.142</v>
      </c>
      <c r="J13" s="4" t="n">
        <v>0.142</v>
      </c>
      <c r="K13" s="4" t="n">
        <v>0.142</v>
      </c>
      <c r="L13" s="4" t="n">
        <v>0.142</v>
      </c>
      <c r="M13" s="4" t="n">
        <v>0.142</v>
      </c>
      <c r="N13" s="4" t="n">
        <v>0.142</v>
      </c>
      <c r="O13" s="4" t="n">
        <v>0.142</v>
      </c>
      <c r="P13" s="4" t="n">
        <v>0.142</v>
      </c>
      <c r="Q13" s="4" t="n">
        <v>0.142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</v>
      </c>
      <c r="I14" s="4" t="n">
        <v>0.05</v>
      </c>
      <c r="J14" s="4" t="n">
        <v>0.05</v>
      </c>
      <c r="K14" s="4" t="n">
        <v>0.05</v>
      </c>
      <c r="L14" s="4" t="n">
        <v>0.05</v>
      </c>
      <c r="M14" s="4" t="n">
        <v>0.05</v>
      </c>
      <c r="N14" s="4" t="n">
        <v>0.05</v>
      </c>
      <c r="O14" s="4" t="n">
        <v>0.05</v>
      </c>
      <c r="P14" s="4" t="n">
        <v>0.05</v>
      </c>
      <c r="Q14" s="4" t="n">
        <v>0.05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0.055</v>
      </c>
      <c r="I15" s="4" t="n">
        <v>0.055</v>
      </c>
      <c r="J15" s="4" t="n">
        <v>0.055</v>
      </c>
      <c r="K15" s="4" t="n">
        <v>0.055</v>
      </c>
      <c r="L15" s="4" t="n">
        <v>0.055</v>
      </c>
      <c r="M15" s="4" t="n">
        <v>0.055</v>
      </c>
      <c r="N15" s="4" t="n">
        <v>0.055</v>
      </c>
      <c r="O15" s="4" t="n">
        <v>0.055</v>
      </c>
      <c r="P15" s="4" t="n">
        <v>0.055</v>
      </c>
      <c r="Q15" s="4" t="n">
        <v>0.055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1000</v>
      </c>
      <c r="I20" s="13" t="n">
        <v>700</v>
      </c>
      <c r="J20" s="13" t="n">
        <v>650</v>
      </c>
      <c r="K20" s="13" t="n">
        <v>640</v>
      </c>
      <c r="L20" s="13" t="n">
        <v>630</v>
      </c>
      <c r="M20" s="13" t="n">
        <v>635.5</v>
      </c>
      <c r="N20" s="13" t="n">
        <v>651.3874999999999</v>
      </c>
      <c r="O20" s="13" t="n">
        <v>667.6721874999998</v>
      </c>
      <c r="P20" s="13" t="n">
        <v>684.3639921874997</v>
      </c>
      <c r="Q20" s="13" t="n">
        <v>701.4730919921872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0.38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18183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4543</v>
      </c>
    </row>
    <row r="84">
      <c r="A84" t="inlineStr">
        <is>
          <t>Parent equity at balance-sheet date</t>
        </is>
      </c>
      <c r="C84" s="13" t="n">
        <v>8470.09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1.651906620794722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19.767945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1.946731</v>
      </c>
    </row>
    <row r="104">
      <c r="A104" t="inlineStr">
        <is>
          <t>Metric (LTM, or next-12m DPS for yield)</t>
        </is>
      </c>
      <c r="C104" s="13" t="n">
        <v>8470.09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0.35</v>
      </c>
    </row>
    <row r="114">
      <c r="A114" t="inlineStr">
        <is>
          <t>Bear 12-month value (engine)</t>
        </is>
      </c>
      <c r="C114" s="15" t="n">
        <v>30.84329942127917</v>
      </c>
    </row>
    <row r="115">
      <c r="A115" t="inlineStr">
        <is>
          <t>Base probability</t>
        </is>
      </c>
      <c r="C115" s="4" t="n">
        <v>0.45</v>
      </c>
    </row>
    <row r="116">
      <c r="A116" t="inlineStr">
        <is>
          <t>Bull probability</t>
        </is>
      </c>
      <c r="C116" s="4" t="n">
        <v>0.2</v>
      </c>
    </row>
    <row r="117">
      <c r="A117" t="inlineStr">
        <is>
          <t>Bull 12-month value (engine)</t>
        </is>
      </c>
      <c r="C117" s="15" t="n">
        <v>36.94503809152588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1.824369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36.636156</v>
      </c>
      <c r="E135" s="23" t="n">
        <v>35.123475</v>
      </c>
      <c r="F135" s="23" t="n">
        <v>33.610794</v>
      </c>
      <c r="G135" s="23" t="n">
        <v>32.098113</v>
      </c>
      <c r="H135" s="23" t="n">
        <v>30.585432</v>
      </c>
    </row>
    <row r="136">
      <c r="C136" s="1" t="n">
        <v>-0.005</v>
      </c>
      <c r="D136" s="23" t="n">
        <v>36.790597</v>
      </c>
      <c r="E136" s="23" t="n">
        <v>35.271539</v>
      </c>
      <c r="F136" s="23" t="n">
        <v>33.752481</v>
      </c>
      <c r="G136" s="23" t="n">
        <v>32.233423</v>
      </c>
      <c r="H136" s="23" t="n">
        <v>30.714366</v>
      </c>
    </row>
    <row r="137">
      <c r="C137" s="1" t="n">
        <v>0</v>
      </c>
      <c r="D137" s="23" t="n">
        <v>36.945038</v>
      </c>
      <c r="E137" s="23" t="n">
        <v>35.419603</v>
      </c>
      <c r="F137" s="23" t="n">
        <v>33.894169</v>
      </c>
      <c r="G137" s="23" t="n">
        <v>32.368734</v>
      </c>
      <c r="H137" s="23" t="n">
        <v>30.843299</v>
      </c>
    </row>
    <row r="138">
      <c r="C138" s="1" t="n">
        <v>0.005</v>
      </c>
      <c r="D138" s="23" t="n">
        <v>37.099479</v>
      </c>
      <c r="E138" s="23" t="n">
        <v>35.567668</v>
      </c>
      <c r="F138" s="23" t="n">
        <v>34.035856</v>
      </c>
      <c r="G138" s="23" t="n">
        <v>32.504045</v>
      </c>
      <c r="H138" s="23" t="n">
        <v>30.972233</v>
      </c>
    </row>
    <row r="139">
      <c r="C139" s="1" t="n">
        <v>0.01</v>
      </c>
      <c r="D139" s="23" t="n">
        <v>37.25392</v>
      </c>
      <c r="E139" s="23" t="n">
        <v>35.715732</v>
      </c>
      <c r="F139" s="23" t="n">
        <v>34.177544</v>
      </c>
      <c r="G139" s="23" t="n">
        <v>32.639355</v>
      </c>
      <c r="H139" s="23" t="n">
        <v>31.101167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</v>
      </c>
      <c r="I11" s="4" t="n">
        <v>0.3</v>
      </c>
      <c r="J11" s="4" t="n">
        <v>0.3</v>
      </c>
      <c r="K11" s="4" t="n">
        <v>0.3</v>
      </c>
      <c r="L11" s="4" t="n">
        <v>0.3</v>
      </c>
      <c r="M11" s="4" t="n">
        <v>0.3</v>
      </c>
      <c r="N11" s="4" t="n">
        <v>0.3</v>
      </c>
      <c r="O11" s="4" t="n">
        <v>0.3</v>
      </c>
      <c r="P11" s="4" t="n">
        <v>0.3</v>
      </c>
      <c r="Q11" s="4" t="n">
        <v>0.3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0.191901</v>
      </c>
      <c r="I12" s="4" t="n">
        <v>0.191901</v>
      </c>
      <c r="J12" s="4" t="n">
        <v>0.191901</v>
      </c>
      <c r="K12" s="4" t="n">
        <v>0.191901</v>
      </c>
      <c r="L12" s="4" t="n">
        <v>0.191901</v>
      </c>
      <c r="M12" s="4" t="n">
        <v>0.191901</v>
      </c>
      <c r="N12" s="4" t="n">
        <v>0.191901</v>
      </c>
      <c r="O12" s="4" t="n">
        <v>0.191901</v>
      </c>
      <c r="P12" s="4" t="n">
        <v>0.191901</v>
      </c>
      <c r="Q12" s="4" t="n">
        <v>0.191901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0.111429</v>
      </c>
      <c r="I13" s="4" t="n">
        <v>0.111429</v>
      </c>
      <c r="J13" s="4" t="n">
        <v>0.111429</v>
      </c>
      <c r="K13" s="4" t="n">
        <v>0.111429</v>
      </c>
      <c r="L13" s="4" t="n">
        <v>0.111429</v>
      </c>
      <c r="M13" s="4" t="n">
        <v>0.111429</v>
      </c>
      <c r="N13" s="4" t="n">
        <v>0.111429</v>
      </c>
      <c r="O13" s="4" t="n">
        <v>0.111429</v>
      </c>
      <c r="P13" s="4" t="n">
        <v>0.111429</v>
      </c>
      <c r="Q13" s="4" t="n">
        <v>0.111429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0.043116</v>
      </c>
      <c r="I14" s="4" t="n">
        <v>0.043116</v>
      </c>
      <c r="J14" s="4" t="n">
        <v>0.043116</v>
      </c>
      <c r="K14" s="4" t="n">
        <v>0.043116</v>
      </c>
      <c r="L14" s="4" t="n">
        <v>0.043116</v>
      </c>
      <c r="M14" s="4" t="n">
        <v>0.043116</v>
      </c>
      <c r="N14" s="4" t="n">
        <v>0.043116</v>
      </c>
      <c r="O14" s="4" t="n">
        <v>0.043116</v>
      </c>
      <c r="P14" s="4" t="n">
        <v>0.043116</v>
      </c>
      <c r="Q14" s="4" t="n">
        <v>0.043116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1</v>
      </c>
      <c r="I23" s="4" t="n">
        <v>1</v>
      </c>
      <c r="J23" s="4" t="n">
        <v>1</v>
      </c>
      <c r="K23" s="4" t="n">
        <v>1</v>
      </c>
      <c r="L23" s="4" t="n">
        <v>1</v>
      </c>
      <c r="M23" s="4" t="n">
        <v>1</v>
      </c>
      <c r="N23" s="4" t="n">
        <v>1</v>
      </c>
      <c r="O23" s="4" t="n">
        <v>1</v>
      </c>
      <c r="P23" s="4" t="n">
        <v>1</v>
      </c>
      <c r="Q23" s="4" t="n">
        <v>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320.228</v>
      </c>
      <c r="G36" s="13" t="n">
        <v>390.532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85.63799999999998</v>
      </c>
      <c r="G38" s="13" t="n">
        <v>2046.023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913.247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-1003.08802574068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0.119681228181775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1405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18183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1.183784802915963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1919.124899</v>
      </c>
    </row>
    <row r="102">
      <c r="A102" s="1" t="inlineStr">
        <is>
          <t>P/E</t>
        </is>
      </c>
    </row>
    <row r="103">
      <c r="A103" t="inlineStr">
        <is>
          <t>Target multiple (peer median (own history unavailable))</t>
        </is>
      </c>
      <c r="C103" s="18" t="n">
        <v>8.560313000000001</v>
      </c>
    </row>
    <row r="104">
      <c r="A104" t="inlineStr">
        <is>
          <t>Metric (LTM, or next-12m DPS for yield)</t>
        </is>
      </c>
      <c r="C104" s="13" t="n">
        <v>489.807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4.737987</v>
      </c>
    </row>
    <row r="109">
      <c r="A109" t="inlineStr">
        <is>
          <t>Metric (LTM, or next-12m DPS for yield)</t>
        </is>
      </c>
      <c r="C109" s="13" t="n">
        <v>2433.674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16.65883679082154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1763.674697934074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2145.720899181972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Fundamental 12-month value (after liquidity discount)</t>
        </is>
      </c>
      <c r="C126" s="23">
        <f>$C$124*(1-$C$125)</f>
        <v/>
      </c>
    </row>
    <row r="127">
      <c r="A127" t="inlineStr">
        <is>
          <t>Konglo lens: price / fundamental value today (engine)</t>
        </is>
      </c>
      <c r="C127" s="18" t="n">
        <v>0.831134</v>
      </c>
    </row>
    <row r="128">
      <c r="A128" t="inlineStr">
        <is>
          <t>Regime bear: probability (konglo deck)</t>
        </is>
      </c>
      <c r="C128" s="4" t="n">
        <v>0.25</v>
      </c>
    </row>
    <row r="129">
      <c r="A129" t="inlineStr">
        <is>
          <t>Regime bear: share of the log gap closed in 12 months</t>
        </is>
      </c>
      <c r="C129" s="4" t="n">
        <v>-0.15</v>
      </c>
    </row>
    <row r="130">
      <c r="A130" t="inlineStr">
        <is>
          <t>Regime base: probability (konglo deck)</t>
        </is>
      </c>
      <c r="C130" s="4" t="n">
        <v>0.5</v>
      </c>
    </row>
    <row r="131">
      <c r="A131" t="inlineStr">
        <is>
          <t>Regime base: share of the log gap closed in 12 months</t>
        </is>
      </c>
      <c r="C131" s="4" t="n">
        <v>0.3</v>
      </c>
    </row>
    <row r="132">
      <c r="A132" t="inlineStr">
        <is>
          <t>Regime bull: probability (konglo deck)</t>
        </is>
      </c>
      <c r="C132" s="4" t="n">
        <v>0.25</v>
      </c>
    </row>
    <row r="133">
      <c r="A133" t="inlineStr">
        <is>
          <t>Regime bull: share of the log gap closed in 12 months</t>
        </is>
      </c>
      <c r="C133" s="4" t="n">
        <v>0.7</v>
      </c>
    </row>
    <row r="134">
      <c r="A134" t="inlineStr">
        <is>
          <t>Share of today's premium kept (probability-weighted)</t>
        </is>
      </c>
      <c r="C134" s="27">
        <f>$C$128*$C$127^(1-$C$129)+$C$130*$C$127^(1-$C$131)+$C$132*$C$127^(1-$C$133)</f>
        <v/>
      </c>
    </row>
    <row r="135">
      <c r="A135" t="inlineStr">
        <is>
          <t>TARGET PRICE (IDR) — konglo lens</t>
        </is>
      </c>
      <c r="C135" s="24">
        <f>$C$126*$C$134</f>
        <v/>
      </c>
    </row>
    <row r="136">
      <c r="A136" t="inlineStr">
        <is>
          <t>Expected 12-month total return</t>
        </is>
      </c>
      <c r="C136" s="25">
        <f>($C$135+$C$117)/$C$76-1</f>
        <v/>
      </c>
    </row>
    <row r="137">
      <c r="A137" t="inlineStr">
        <is>
          <t>Rating</t>
        </is>
      </c>
      <c r="C137" s="26">
        <f>IF($C$136&gt;=0.25,"BUY",IF($C$136&gt;=0.1,"ADD",IF($C$136&lt;=-0.25,"SELL",IF($C$136&lt;=-0.1,"REDUCE","HOLD"))))</f>
        <v/>
      </c>
    </row>
    <row r="139">
      <c r="A139" s="1" t="inlineStr">
        <is>
          <t>12-month value vs holding-company discount and cost of equity (engine values)</t>
        </is>
      </c>
    </row>
    <row r="140">
      <c r="A140" s="5" t="inlineStr">
        <is>
          <t>rows: Cost of equity (+/- pp) · columns: Holdco discount (+/- pp)</t>
        </is>
      </c>
      <c r="D140" s="1" t="n">
        <v>-0.1</v>
      </c>
      <c r="E140" s="1" t="n">
        <v>-0.05</v>
      </c>
      <c r="F140" s="1" t="n">
        <v>0</v>
      </c>
      <c r="G140" s="1" t="n">
        <v>0.05</v>
      </c>
      <c r="H140" s="1" t="n">
        <v>0.1</v>
      </c>
    </row>
    <row r="141">
      <c r="C141" s="1" t="n">
        <v>-0.01</v>
      </c>
      <c r="D141" s="23" t="n">
        <v>2127.978196</v>
      </c>
      <c r="E141" s="23" t="n">
        <v>2032.885692</v>
      </c>
      <c r="F141" s="23" t="n">
        <v>1937.793187</v>
      </c>
      <c r="G141" s="23" t="n">
        <v>1842.700683</v>
      </c>
      <c r="H141" s="23" t="n">
        <v>1747.608179</v>
      </c>
    </row>
    <row r="142">
      <c r="C142" s="1" t="n">
        <v>-0.005</v>
      </c>
      <c r="D142" s="23" t="n">
        <v>2137.252984</v>
      </c>
      <c r="E142" s="23" t="n">
        <v>2041.749238</v>
      </c>
      <c r="F142" s="23" t="n">
        <v>1946.245493</v>
      </c>
      <c r="G142" s="23" t="n">
        <v>1850.741748</v>
      </c>
      <c r="H142" s="23" t="n">
        <v>1755.238002</v>
      </c>
    </row>
    <row r="143">
      <c r="C143" s="1" t="n">
        <v>0</v>
      </c>
      <c r="D143" s="23" t="n">
        <v>2146.527771</v>
      </c>
      <c r="E143" s="23" t="n">
        <v>2050.612785</v>
      </c>
      <c r="F143" s="23" t="n">
        <v>1954.697799</v>
      </c>
      <c r="G143" s="23" t="n">
        <v>1858.782812</v>
      </c>
      <c r="H143" s="23" t="n">
        <v>1762.867826</v>
      </c>
    </row>
    <row r="144">
      <c r="C144" s="1" t="n">
        <v>0.005</v>
      </c>
      <c r="D144" s="23" t="n">
        <v>2155.802559</v>
      </c>
      <c r="E144" s="23" t="n">
        <v>2059.476332</v>
      </c>
      <c r="F144" s="23" t="n">
        <v>1963.150104</v>
      </c>
      <c r="G144" s="23" t="n">
        <v>1866.823877</v>
      </c>
      <c r="H144" s="23" t="n">
        <v>1770.497649</v>
      </c>
    </row>
    <row r="145">
      <c r="C145" s="1" t="n">
        <v>0.01</v>
      </c>
      <c r="D145" s="23" t="n">
        <v>2165.077347</v>
      </c>
      <c r="E145" s="23" t="n">
        <v>2068.339878</v>
      </c>
      <c r="F145" s="23" t="n">
        <v>1971.60241</v>
      </c>
      <c r="G145" s="23" t="n">
        <v>1874.864941</v>
      </c>
      <c r="H145" s="23" t="n">
        <v>1778.127473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26.611</v>
      </c>
      <c r="G33" s="13" t="n">
        <v>25.324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126.468</v>
      </c>
      <c r="G35" s="13" t="n">
        <v>180.642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186.798</v>
      </c>
      <c r="G38" s="13" t="n">
        <v>213.755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1.936368769775187e-05</v>
      </c>
      <c r="G46" s="15" t="n">
        <v>0.00017791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-90.90747433348928</v>
      </c>
      <c r="G50" s="13" t="n">
        <v>-267.9576974609766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0.1577452561545571</v>
      </c>
      <c r="G66" s="4" t="n">
        <v>0.1486009585247998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0.03319226216536136</v>
      </c>
      <c r="G67" s="4" t="n">
        <v>0.02083220222142153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4.050123351361609</v>
      </c>
      <c r="G71" s="18" t="n">
        <v>5.507844244417134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0.01353885294601361</v>
      </c>
      <c r="G72" s="4" t="n">
        <v>0.148628166630749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505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18183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0.4569708560601814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39.31252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0.845401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0.005921282346156363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38.76384520493933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53.03083191315557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12.415948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50.88218</v>
      </c>
      <c r="E135" s="23" t="n">
        <v>48.256593</v>
      </c>
      <c r="F135" s="23" t="n">
        <v>45.631005</v>
      </c>
      <c r="G135" s="23" t="n">
        <v>43.005418</v>
      </c>
      <c r="H135" s="23" t="n">
        <v>40.379831</v>
      </c>
    </row>
    <row r="136">
      <c r="C136" s="1" t="n">
        <v>-0.005</v>
      </c>
      <c r="D136" s="23" t="n">
        <v>51.108948</v>
      </c>
      <c r="E136" s="23" t="n">
        <v>48.471661</v>
      </c>
      <c r="F136" s="23" t="n">
        <v>45.834373</v>
      </c>
      <c r="G136" s="23" t="n">
        <v>43.197085</v>
      </c>
      <c r="H136" s="23" t="n">
        <v>40.559798</v>
      </c>
    </row>
    <row r="137">
      <c r="C137" s="1" t="n">
        <v>0</v>
      </c>
      <c r="D137" s="23" t="n">
        <v>51.335716</v>
      </c>
      <c r="E137" s="23" t="n">
        <v>48.686728</v>
      </c>
      <c r="F137" s="23" t="n">
        <v>46.03774</v>
      </c>
      <c r="G137" s="23" t="n">
        <v>43.388753</v>
      </c>
      <c r="H137" s="23" t="n">
        <v>40.739765</v>
      </c>
    </row>
    <row r="138">
      <c r="C138" s="1" t="n">
        <v>0.005</v>
      </c>
      <c r="D138" s="23" t="n">
        <v>51.562484</v>
      </c>
      <c r="E138" s="23" t="n">
        <v>48.901796</v>
      </c>
      <c r="F138" s="23" t="n">
        <v>46.241108</v>
      </c>
      <c r="G138" s="23" t="n">
        <v>43.58042</v>
      </c>
      <c r="H138" s="23" t="n">
        <v>40.919732</v>
      </c>
    </row>
    <row r="139">
      <c r="C139" s="1" t="n">
        <v>0.01</v>
      </c>
      <c r="D139" s="23" t="n">
        <v>51.789252</v>
      </c>
      <c r="E139" s="23" t="n">
        <v>49.116863</v>
      </c>
      <c r="F139" s="23" t="n">
        <v>46.444475</v>
      </c>
      <c r="G139" s="23" t="n">
        <v>43.772087</v>
      </c>
      <c r="H139" s="23" t="n">
        <v>41.099699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0.066581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0.43326</v>
      </c>
      <c r="I22" s="4" t="n">
        <v>0.43326</v>
      </c>
      <c r="J22" s="4" t="n">
        <v>0.43326</v>
      </c>
      <c r="K22" s="4" t="n">
        <v>0.43326</v>
      </c>
      <c r="L22" s="4" t="n">
        <v>0.43326</v>
      </c>
      <c r="M22" s="4" t="n">
        <v>0.43326</v>
      </c>
      <c r="N22" s="4" t="n">
        <v>0.43326</v>
      </c>
      <c r="O22" s="4" t="n">
        <v>0.43326</v>
      </c>
      <c r="P22" s="4" t="n">
        <v>0.43326</v>
      </c>
      <c r="Q22" s="4" t="n">
        <v>0.43326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750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18183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0.2994399219833106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208.365312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200.858118751518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267.8108250020241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3.599447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0.85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0.45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0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265.429507</v>
      </c>
      <c r="E129" s="23" t="n">
        <v>248.840163</v>
      </c>
      <c r="F129" s="23" t="n">
        <v>232.250819</v>
      </c>
      <c r="G129" s="23" t="n">
        <v>215.661475</v>
      </c>
      <c r="H129" s="23" t="n">
        <v>199.07213</v>
      </c>
    </row>
    <row r="130">
      <c r="C130" s="1" t="n">
        <v>-0.005</v>
      </c>
      <c r="D130" s="23" t="n">
        <v>266.620166</v>
      </c>
      <c r="E130" s="23" t="n">
        <v>249.956406</v>
      </c>
      <c r="F130" s="23" t="n">
        <v>233.292645</v>
      </c>
      <c r="G130" s="23" t="n">
        <v>216.628885</v>
      </c>
      <c r="H130" s="23" t="n">
        <v>199.965125</v>
      </c>
    </row>
    <row r="131">
      <c r="C131" s="1" t="n">
        <v>0</v>
      </c>
      <c r="D131" s="23" t="n">
        <v>267.810825</v>
      </c>
      <c r="E131" s="23" t="n">
        <v>251.072648</v>
      </c>
      <c r="F131" s="23" t="n">
        <v>234.334472</v>
      </c>
      <c r="G131" s="23" t="n">
        <v>217.596295</v>
      </c>
      <c r="H131" s="23" t="n">
        <v>200.858119</v>
      </c>
    </row>
    <row r="132">
      <c r="C132" s="1" t="n">
        <v>0.005</v>
      </c>
      <c r="D132" s="23" t="n">
        <v>269.001484</v>
      </c>
      <c r="E132" s="23" t="n">
        <v>252.188891</v>
      </c>
      <c r="F132" s="23" t="n">
        <v>235.376298</v>
      </c>
      <c r="G132" s="23" t="n">
        <v>218.563706</v>
      </c>
      <c r="H132" s="23" t="n">
        <v>201.751113</v>
      </c>
    </row>
    <row r="133">
      <c r="C133" s="1" t="n">
        <v>0.01</v>
      </c>
      <c r="D133" s="23" t="n">
        <v>270.192143</v>
      </c>
      <c r="E133" s="23" t="n">
        <v>253.305134</v>
      </c>
      <c r="F133" s="23" t="n">
        <v>236.418125</v>
      </c>
      <c r="G133" s="23" t="n">
        <v>219.531116</v>
      </c>
      <c r="H133" s="23" t="n">
        <v>202.644107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Multi Garam Utama Tbk (FOLK.JK)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0.02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0.52</v>
      </c>
      <c r="I12" s="4" t="n">
        <v>0.52</v>
      </c>
      <c r="J12" s="4" t="n">
        <v>0.52</v>
      </c>
      <c r="K12" s="4" t="n">
        <v>0.52</v>
      </c>
      <c r="L12" s="4" t="n">
        <v>0.52</v>
      </c>
      <c r="M12" s="4" t="n">
        <v>0.52</v>
      </c>
      <c r="N12" s="4" t="n">
        <v>0.52</v>
      </c>
      <c r="O12" s="4" t="n">
        <v>0.52</v>
      </c>
      <c r="P12" s="4" t="n">
        <v>0.52</v>
      </c>
      <c r="Q12" s="4" t="n">
        <v>0.52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1</v>
      </c>
      <c r="O13" s="4" t="n">
        <v>1</v>
      </c>
      <c r="P13" s="4" t="n">
        <v>1</v>
      </c>
      <c r="Q13" s="4" t="n">
        <v>1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0.18</v>
      </c>
      <c r="I14" s="4" t="n">
        <v>0.18</v>
      </c>
      <c r="J14" s="4" t="n">
        <v>0.18</v>
      </c>
      <c r="K14" s="4" t="n">
        <v>0.18</v>
      </c>
      <c r="L14" s="4" t="n">
        <v>0.18</v>
      </c>
      <c r="M14" s="4" t="n">
        <v>0.18</v>
      </c>
      <c r="N14" s="4" t="n">
        <v>0.18</v>
      </c>
      <c r="O14" s="4" t="n">
        <v>0.18</v>
      </c>
      <c r="P14" s="4" t="n">
        <v>0.18</v>
      </c>
      <c r="Q14" s="4" t="n">
        <v>0.18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0.02</v>
      </c>
      <c r="I15" s="4" t="n">
        <v>0.02</v>
      </c>
      <c r="J15" s="4" t="n">
        <v>0.02</v>
      </c>
      <c r="K15" s="4" t="n">
        <v>0.02</v>
      </c>
      <c r="L15" s="4" t="n">
        <v>0.02</v>
      </c>
      <c r="M15" s="4" t="n">
        <v>0.02</v>
      </c>
      <c r="N15" s="4" t="n">
        <v>0.02</v>
      </c>
      <c r="O15" s="4" t="n">
        <v>0.02</v>
      </c>
      <c r="P15" s="4" t="n">
        <v>0.02</v>
      </c>
      <c r="Q15" s="4" t="n">
        <v>0.02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0.27</v>
      </c>
      <c r="I22" s="4" t="n">
        <v>0.27</v>
      </c>
      <c r="J22" s="4" t="n">
        <v>0.27</v>
      </c>
      <c r="K22" s="4" t="n">
        <v>0.27</v>
      </c>
      <c r="L22" s="4" t="n">
        <v>0.27</v>
      </c>
      <c r="M22" s="4" t="n">
        <v>0.27</v>
      </c>
      <c r="N22" s="4" t="n">
        <v>0.27</v>
      </c>
      <c r="O22" s="4" t="n">
        <v>0.27</v>
      </c>
      <c r="P22" s="4" t="n">
        <v>0.27</v>
      </c>
      <c r="Q22" s="4" t="n">
        <v>0.27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0.0362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40.237612994</v>
      </c>
      <c r="E29" s="13" t="n">
        <v>24.809591548</v>
      </c>
      <c r="F29" s="13" t="n">
        <v>19.354230679</v>
      </c>
      <c r="G29" s="13" t="n">
        <v>18.756716139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16.314179825</v>
      </c>
      <c r="E30" s="13" t="n">
        <v>17.752245389</v>
      </c>
      <c r="F30" s="13" t="n">
        <v>10.903159742</v>
      </c>
      <c r="G30" s="13" t="n">
        <v>8.925993711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23.923433169</v>
      </c>
      <c r="E31" s="13" t="n">
        <v>7.057346159</v>
      </c>
      <c r="F31" s="13" t="n">
        <v>8.451070937000001</v>
      </c>
      <c r="G31" s="13" t="n">
        <v>9.830722428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22.710808912</v>
      </c>
      <c r="E32" s="13" t="n">
        <v>26.626909008</v>
      </c>
      <c r="F32" s="13" t="n">
        <v>28.668657176</v>
      </c>
      <c r="G32" s="13" t="n">
        <v>23.385558076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1.212624257</v>
      </c>
      <c r="E33" s="13" t="n">
        <v>-19.569562849</v>
      </c>
      <c r="F33" s="13" t="n">
        <v>-20.217586239</v>
      </c>
      <c r="G33" s="13" t="n">
        <v>-13.554835648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0.897056527</v>
      </c>
      <c r="E34" s="13" t="n">
        <v>2.180238161</v>
      </c>
      <c r="F34" s="13" t="n">
        <v>3.479143834</v>
      </c>
      <c r="G34" s="13" t="n">
        <v>3.931858775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2.109680784</v>
      </c>
      <c r="E35" s="13" t="n">
        <v>-17.389324688</v>
      </c>
      <c r="F35" s="13" t="n">
        <v>-16.738442405</v>
      </c>
      <c r="G35" s="13" t="n">
        <v>-9.622976872999999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0.096128059</v>
      </c>
      <c r="E36" s="13" t="n">
        <v>0.176015608</v>
      </c>
      <c r="F36" s="13" t="n">
        <v>0.434061945</v>
      </c>
      <c r="G36" s="13" t="n">
        <v>0.8738955980000001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0.294466682</v>
      </c>
      <c r="E37" s="13" t="n">
        <v>0.758774293</v>
      </c>
      <c r="F37" s="13" t="n">
        <v>0.577333641</v>
      </c>
      <c r="G37" s="13" t="n">
        <v>0.861064776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3.959241911</v>
      </c>
      <c r="E38" s="13" t="n">
        <v>4.610568998</v>
      </c>
      <c r="F38" s="13" t="n">
        <v>-7.633363219</v>
      </c>
      <c r="G38" s="13" t="n">
        <v>-6.617571826000002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5.370204791</v>
      </c>
      <c r="E39" s="13" t="n">
        <v>-14.376235166</v>
      </c>
      <c r="F39" s="13" t="n">
        <v>-27.707677762</v>
      </c>
      <c r="G39" s="13" t="n">
        <v>-20.185238296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0.168865649</v>
      </c>
      <c r="E40" s="13" t="n">
        <v>-0.03593765</v>
      </c>
      <c r="F40" s="13" t="n">
        <v>-2.025463648</v>
      </c>
      <c r="G40" s="13" t="n">
        <v>-1.417782103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5.201339142</v>
      </c>
      <c r="E41" s="13" t="n">
        <v>-14.340297516</v>
      </c>
      <c r="F41" s="13" t="n">
        <v>-25.682214114</v>
      </c>
      <c r="G41" s="13" t="n">
        <v>-18.767456193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0.1446806060000005</v>
      </c>
      <c r="E42" s="13" t="n">
        <v>-3.695613715</v>
      </c>
      <c r="F42" s="13" t="n">
        <v>-9.021017063000002</v>
      </c>
      <c r="G42" s="13" t="n">
        <v>-5.032276852000001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5.056658536</v>
      </c>
      <c r="E43" s="13" t="n">
        <v>-10.644683801</v>
      </c>
      <c r="F43" s="13" t="n">
        <v>-16.661197051</v>
      </c>
      <c r="G43" s="13" t="n">
        <v>-13.735179341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3948.1333</v>
      </c>
      <c r="E44" s="13" t="n">
        <v>3948.1333</v>
      </c>
      <c r="F44" s="13" t="n">
        <v>3948.141464</v>
      </c>
      <c r="G44" s="13" t="n">
        <v>3948.141464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1.280771988119043</v>
      </c>
      <c r="E45" s="15" t="n">
        <v>-2.696130802118561</v>
      </c>
      <c r="F45" s="15" t="n">
        <v>-4.220010149818684</v>
      </c>
      <c r="G45" s="15" t="n">
        <v>-3.478897467641499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>
        <v>0.0015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1.663368485</v>
      </c>
      <c r="E48" s="13" t="n">
        <v>17.800438431</v>
      </c>
      <c r="F48" s="13" t="n">
        <v>0.259592886</v>
      </c>
      <c r="G48" s="13" t="n">
        <v>0.105452993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12.60667146299999</v>
      </c>
      <c r="F49" s="13" t="n">
        <v>-19.134818134</v>
      </c>
      <c r="G49" s="13" t="n">
        <v>-12.929656348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-47.74751467409646</v>
      </c>
      <c r="F50" s="13" t="n">
        <v>3.614712041150296</v>
      </c>
      <c r="G50" s="13" t="n">
        <v>4.153298640328154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0.06780570699999999</v>
      </c>
      <c r="F51" s="13" t="n">
        <v>-0.675689943</v>
      </c>
      <c r="G51" s="13" t="n">
        <v>-0.338528114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17.273240841</v>
      </c>
      <c r="E54" s="13" t="n">
        <v>29.879912304</v>
      </c>
      <c r="F54" s="13" t="n">
        <v>10.74509417</v>
      </c>
      <c r="G54" s="13" t="n">
        <v>-2.184562178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19.127539901</v>
      </c>
      <c r="E55" s="13" t="n">
        <v>4.932305583</v>
      </c>
      <c r="F55" s="13" t="n">
        <v>2.065669244</v>
      </c>
      <c r="G55" s="13" t="n">
        <v>1.247372367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1.034937338</v>
      </c>
      <c r="E56" s="13" t="n">
        <v>1.102743045</v>
      </c>
      <c r="F56" s="13" t="n">
        <v>0.427053102</v>
      </c>
      <c r="G56" s="13" t="n">
        <v>0.088524988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3.332813943</v>
      </c>
      <c r="E57" s="13" t="n">
        <v>16.335260903</v>
      </c>
      <c r="F57" s="13" t="n">
        <v>13.850082016</v>
      </c>
      <c r="G57" s="13" t="n">
        <v>11.096150851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70.464673737</v>
      </c>
      <c r="E58" s="13" t="n">
        <v>112.074417691</v>
      </c>
      <c r="F58" s="13" t="n">
        <v>95.42875848</v>
      </c>
      <c r="G58" s="13" t="n">
        <v>81.71544596299999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2.142906486</v>
      </c>
      <c r="E59" s="13" t="n">
        <v>-1.560481604</v>
      </c>
      <c r="F59" s="13" t="n">
        <v>-10.573045007</v>
      </c>
      <c r="G59" s="13" t="n">
        <v>-15.599400463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33.90892287600001</v>
      </c>
      <c r="E60" s="13" t="n">
        <v>60.46920034199998</v>
      </c>
      <c r="F60" s="13" t="n">
        <v>58.62192114499999</v>
      </c>
      <c r="G60" s="13" t="n">
        <v>56.04560944799999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-18.092602563</v>
      </c>
      <c r="E62" s="13" t="n">
        <v>-3.829562538</v>
      </c>
      <c r="F62" s="13" t="n">
        <v>-1.638616142</v>
      </c>
      <c r="G62" s="13" t="n">
        <v>-1.158847379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17.84759236396603</v>
      </c>
      <c r="E63" s="15" t="n">
        <v>28.3866853459583</v>
      </c>
      <c r="F63" s="15" t="n">
        <v>24.17055197999866</v>
      </c>
      <c r="G63" s="15" t="n">
        <v>20.69719302312213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-0.3834228796897207</v>
      </c>
      <c r="F64" s="4" t="n">
        <v>-0.2198891851341171</v>
      </c>
      <c r="G64" s="4" t="n">
        <v>-0.03087255442544257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0.5945539854107976</v>
      </c>
      <c r="E65" s="4" t="n">
        <v>0.2844603928825632</v>
      </c>
      <c r="F65" s="4" t="n">
        <v>0.436652382477269</v>
      </c>
      <c r="G65" s="4" t="n">
        <v>0.5241174603884642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0.05243056501176109</v>
      </c>
      <c r="E66" s="4" t="n">
        <v>-0.7009113654433309</v>
      </c>
      <c r="F66" s="4" t="n">
        <v>-0.8648466933465757</v>
      </c>
      <c r="G66" s="4" t="n">
        <v>-0.5130416647395635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0.03013658531833932</v>
      </c>
      <c r="E67" s="4" t="n">
        <v>-0.7887902068495594</v>
      </c>
      <c r="F67" s="4" t="n">
        <v>-1.044608105293318</v>
      </c>
      <c r="G67" s="4" t="n">
        <v>-0.7226657133130056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0.1256699431140217</v>
      </c>
      <c r="E68" s="4" t="n">
        <v>-0.4290551813561844</v>
      </c>
      <c r="F68" s="4" t="n">
        <v>-0.8608555580087182</v>
      </c>
      <c r="G68" s="4" t="n">
        <v>-0.7322805996109871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-3.105082580762974</v>
      </c>
      <c r="F69" s="4" t="n">
        <v>0.5652097244327658</v>
      </c>
      <c r="G69" s="4" t="n">
        <v>-0.1756186966064589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-0.1166290871476003</v>
      </c>
      <c r="F70" s="4" t="n">
        <v>-0.1605873930071295</v>
      </c>
      <c r="G70" s="4" t="n">
        <v>-0.15507342601682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-8.575990595456833</v>
      </c>
      <c r="E71" s="18" t="n">
        <v>0.2202249142338862</v>
      </c>
      <c r="F71" s="18" t="n">
        <v>0.09789537773900175</v>
      </c>
      <c r="G71" s="18" t="n">
        <v>0.1204250404312491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-0</v>
      </c>
      <c r="F72" s="4" t="n">
        <v>-0</v>
      </c>
      <c r="G72" s="4" t="n">
        <v>-0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0.04133864713217535</v>
      </c>
      <c r="E73" s="4" t="n">
        <v>0.7174821236601521</v>
      </c>
      <c r="F73" s="4" t="n">
        <v>0.01341272046951818</v>
      </c>
      <c r="G73" s="4" t="n">
        <v>0.005622145807321587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78</v>
      </c>
    </row>
    <row r="77">
      <c r="A77" t="inlineStr">
        <is>
          <t>Shares outstanding (m)</t>
        </is>
      </c>
      <c r="C77" s="13" t="n">
        <v>4091.357544</v>
      </c>
    </row>
    <row r="78">
      <c r="A78" t="inlineStr">
        <is>
          <t>IDR per USD (spot)</t>
        </is>
      </c>
      <c r="C78" s="3" t="n">
        <v>18183</v>
      </c>
    </row>
    <row r="79">
      <c r="A79" t="inlineStr">
        <is>
          <t>Debt at balance-sheet date</t>
        </is>
      </c>
      <c r="C79" s="13" t="n">
        <v>0</v>
      </c>
    </row>
    <row r="80">
      <c r="A80" t="inlineStr">
        <is>
          <t>Cash at balance-sheet date</t>
        </is>
      </c>
      <c r="C80" s="13" t="n">
        <v>45.363686212</v>
      </c>
    </row>
    <row r="81">
      <c r="A81" t="inlineStr">
        <is>
          <t>Minority interest (book)</t>
        </is>
      </c>
      <c r="C81" s="13" t="n">
        <v>-15.884506777</v>
      </c>
    </row>
    <row r="82">
      <c r="A82" t="inlineStr">
        <is>
          <t>Associates &amp; investments (book)</t>
        </is>
      </c>
      <c r="C82" s="13" t="n">
        <v>0.993189624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136.004113106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20.157072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19.32504607101395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25.76672809468527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25.536362</v>
      </c>
      <c r="E120" s="23" t="n">
        <v>23.940339</v>
      </c>
      <c r="F120" s="23" t="n">
        <v>22.344316</v>
      </c>
      <c r="G120" s="23" t="n">
        <v>20.748294</v>
      </c>
      <c r="H120" s="23" t="n">
        <v>19.152271</v>
      </c>
    </row>
    <row r="121">
      <c r="C121" s="1" t="n">
        <v>-0.005</v>
      </c>
      <c r="D121" s="23" t="n">
        <v>25.651545</v>
      </c>
      <c r="E121" s="23" t="n">
        <v>24.048323</v>
      </c>
      <c r="F121" s="23" t="n">
        <v>22.445102</v>
      </c>
      <c r="G121" s="23" t="n">
        <v>20.84188</v>
      </c>
      <c r="H121" s="23" t="n">
        <v>19.238659</v>
      </c>
    </row>
    <row r="122">
      <c r="C122" s="1" t="n">
        <v>0</v>
      </c>
      <c r="D122" s="23" t="n">
        <v>25.766728</v>
      </c>
      <c r="E122" s="23" t="n">
        <v>24.156308</v>
      </c>
      <c r="F122" s="23" t="n">
        <v>22.545887</v>
      </c>
      <c r="G122" s="23" t="n">
        <v>20.935467</v>
      </c>
      <c r="H122" s="23" t="n">
        <v>19.325046</v>
      </c>
    </row>
    <row r="123">
      <c r="C123" s="1" t="n">
        <v>0.005</v>
      </c>
      <c r="D123" s="23" t="n">
        <v>25.881911</v>
      </c>
      <c r="E123" s="23" t="n">
        <v>24.264292</v>
      </c>
      <c r="F123" s="23" t="n">
        <v>22.646672</v>
      </c>
      <c r="G123" s="23" t="n">
        <v>21.029053</v>
      </c>
      <c r="H123" s="23" t="n">
        <v>19.411434</v>
      </c>
    </row>
    <row r="124">
      <c r="C124" s="1" t="n">
        <v>0.01</v>
      </c>
      <c r="D124" s="23" t="n">
        <v>25.997095</v>
      </c>
      <c r="E124" s="23" t="n">
        <v>24.372276</v>
      </c>
      <c r="F124" s="23" t="n">
        <v>22.747458</v>
      </c>
      <c r="G124" s="23" t="n">
        <v>21.122639</v>
      </c>
      <c r="H124" s="23" t="n">
        <v>19.497821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0.0374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0.02269</v>
      </c>
      <c r="I23" s="4" t="n">
        <v>0.019512</v>
      </c>
      <c r="J23" s="4" t="n">
        <v>0.017233</v>
      </c>
      <c r="K23" s="4" t="n">
        <v>0.015535</v>
      </c>
      <c r="L23" s="4" t="n">
        <v>0.01388</v>
      </c>
      <c r="M23" s="4" t="n">
        <v>0.012403</v>
      </c>
      <c r="N23" s="4" t="n">
        <v>0.011103</v>
      </c>
      <c r="O23" s="4" t="n">
        <v>0.009887</v>
      </c>
      <c r="P23" s="4" t="n">
        <v>0.008768</v>
      </c>
      <c r="Q23" s="4" t="n">
        <v>0.007753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269.601</v>
      </c>
      <c r="F43" s="13" t="n">
        <v>130.301</v>
      </c>
      <c r="G43" s="13" t="n">
        <v>19.175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27.80800604208133</v>
      </c>
      <c r="F45" s="15" t="n">
        <v>13.43990191167407</v>
      </c>
      <c r="G45" s="15" t="n">
        <v>1.767401240406894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0.05230533553185657</v>
      </c>
      <c r="F68" s="4" t="n">
        <v>0.02410737263662142</v>
      </c>
      <c r="G68" s="4" t="n">
        <v>0.0033145104861259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0.8591965373010451</v>
      </c>
      <c r="F69" s="4" t="n">
        <v>-0.5166894781547546</v>
      </c>
      <c r="G69" s="4" t="n">
        <v>-0.8684959717695776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0.06540328391471163</v>
      </c>
      <c r="F70" s="4" t="n">
        <v>0.02940040666113787</v>
      </c>
      <c r="G70" s="4" t="n">
        <v>0.004027122750481785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0.0240753687620348</v>
      </c>
      <c r="F72" s="4" t="n">
        <v>0.02324630060942789</v>
      </c>
      <c r="G72" s="4" t="n">
        <v>0.1980308670143416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18183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159.72765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19.175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0.75</v>
      </c>
    </row>
    <row r="109">
      <c r="A109" t="inlineStr">
        <is>
          <t>Weight: P/E</t>
        </is>
      </c>
      <c r="C109" s="4" t="n">
        <v>0.25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0.3500008238023672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116.8834109543646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189.1000910954115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187.742912</v>
      </c>
      <c r="E126" s="23" t="n">
        <v>169.73705</v>
      </c>
      <c r="F126" s="23" t="n">
        <v>151.731187</v>
      </c>
      <c r="G126" s="23" t="n">
        <v>133.725325</v>
      </c>
      <c r="H126" s="23" t="n">
        <v>115.719463</v>
      </c>
    </row>
    <row r="127">
      <c r="C127" s="1" t="n">
        <v>-0.005</v>
      </c>
      <c r="D127" s="23" t="n">
        <v>188.525044</v>
      </c>
      <c r="E127" s="23" t="n">
        <v>170.444309</v>
      </c>
      <c r="F127" s="23" t="n">
        <v>152.363574</v>
      </c>
      <c r="G127" s="23" t="n">
        <v>134.28284</v>
      </c>
      <c r="H127" s="23" t="n">
        <v>116.202105</v>
      </c>
    </row>
    <row r="128">
      <c r="C128" s="1" t="n">
        <v>0</v>
      </c>
      <c r="D128" s="23" t="n">
        <v>189.307176</v>
      </c>
      <c r="E128" s="23" t="n">
        <v>171.151569</v>
      </c>
      <c r="F128" s="23" t="n">
        <v>152.995961</v>
      </c>
      <c r="G128" s="23" t="n">
        <v>134.840354</v>
      </c>
      <c r="H128" s="23" t="n">
        <v>116.684747</v>
      </c>
    </row>
    <row r="129">
      <c r="C129" s="1" t="n">
        <v>0.005</v>
      </c>
      <c r="D129" s="23" t="n">
        <v>190.089307</v>
      </c>
      <c r="E129" s="23" t="n">
        <v>171.858828</v>
      </c>
      <c r="F129" s="23" t="n">
        <v>153.628349</v>
      </c>
      <c r="G129" s="23" t="n">
        <v>135.397869</v>
      </c>
      <c r="H129" s="23" t="n">
        <v>117.16739</v>
      </c>
    </row>
    <row r="130">
      <c r="C130" s="1" t="n">
        <v>0.01</v>
      </c>
      <c r="D130" s="23" t="n">
        <v>190.871439</v>
      </c>
      <c r="E130" s="23" t="n">
        <v>172.566087</v>
      </c>
      <c r="F130" s="23" t="n">
        <v>154.260736</v>
      </c>
      <c r="G130" s="23" t="n">
        <v>135.955384</v>
      </c>
      <c r="H130" s="23" t="n">
        <v>117.650032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0.015</v>
      </c>
      <c r="I11" s="4" t="n">
        <v>0.06</v>
      </c>
      <c r="J11" s="4" t="n">
        <v>0.05</v>
      </c>
      <c r="K11" s="4" t="n">
        <v>0.04</v>
      </c>
      <c r="L11" s="4" t="n">
        <v>0.03</v>
      </c>
      <c r="M11" s="4" t="n">
        <v>0.025</v>
      </c>
      <c r="N11" s="4" t="n">
        <v>0.025</v>
      </c>
      <c r="O11" s="4" t="n">
        <v>0.025</v>
      </c>
      <c r="P11" s="4" t="n">
        <v>0.025</v>
      </c>
      <c r="Q11" s="4" t="n">
        <v>0.025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0.163</v>
      </c>
      <c r="I12" s="4" t="n">
        <v>0.163</v>
      </c>
      <c r="J12" s="4" t="n">
        <v>0.16</v>
      </c>
      <c r="K12" s="4" t="n">
        <v>0.16</v>
      </c>
      <c r="L12" s="4" t="n">
        <v>0.16</v>
      </c>
      <c r="M12" s="4" t="n">
        <v>0.16</v>
      </c>
      <c r="N12" s="4" t="n">
        <v>0.16</v>
      </c>
      <c r="O12" s="4" t="n">
        <v>0.16</v>
      </c>
      <c r="P12" s="4" t="n">
        <v>0.16</v>
      </c>
      <c r="Q12" s="4" t="n">
        <v>0.16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0.192</v>
      </c>
      <c r="I13" s="4" t="n">
        <v>0.192</v>
      </c>
      <c r="J13" s="4" t="n">
        <v>0.192</v>
      </c>
      <c r="K13" s="4" t="n">
        <v>0.192</v>
      </c>
      <c r="L13" s="4" t="n">
        <v>0.192</v>
      </c>
      <c r="M13" s="4" t="n">
        <v>0.192</v>
      </c>
      <c r="N13" s="4" t="n">
        <v>0.192</v>
      </c>
      <c r="O13" s="4" t="n">
        <v>0.192</v>
      </c>
      <c r="P13" s="4" t="n">
        <v>0.192</v>
      </c>
      <c r="Q13" s="4" t="n">
        <v>0.192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0.176</v>
      </c>
      <c r="I14" s="4" t="n">
        <v>0.176</v>
      </c>
      <c r="J14" s="4" t="n">
        <v>0.176</v>
      </c>
      <c r="K14" s="4" t="n">
        <v>0.176</v>
      </c>
      <c r="L14" s="4" t="n">
        <v>0.176</v>
      </c>
      <c r="M14" s="4" t="n">
        <v>0.176</v>
      </c>
      <c r="N14" s="4" t="n">
        <v>0.176</v>
      </c>
      <c r="O14" s="4" t="n">
        <v>0.176</v>
      </c>
      <c r="P14" s="4" t="n">
        <v>0.176</v>
      </c>
      <c r="Q14" s="4" t="n">
        <v>0.176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0.09</v>
      </c>
      <c r="J15" s="4" t="n">
        <v>0.08</v>
      </c>
      <c r="K15" s="4" t="n">
        <v>0.08</v>
      </c>
      <c r="L15" s="4" t="n">
        <v>0.08</v>
      </c>
      <c r="M15" s="4" t="n">
        <v>0.08</v>
      </c>
      <c r="N15" s="4" t="n">
        <v>0.08</v>
      </c>
      <c r="O15" s="4" t="n">
        <v>0.08</v>
      </c>
      <c r="P15" s="4" t="n">
        <v>0.08</v>
      </c>
      <c r="Q15" s="4" t="n">
        <v>0.08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0.03</v>
      </c>
      <c r="I16" s="4" t="n">
        <v>0.03</v>
      </c>
      <c r="J16" s="4" t="n">
        <v>0.03</v>
      </c>
      <c r="K16" s="4" t="n">
        <v>0.03</v>
      </c>
      <c r="L16" s="4" t="n">
        <v>0.03</v>
      </c>
      <c r="M16" s="4" t="n">
        <v>0.03</v>
      </c>
      <c r="N16" s="4" t="n">
        <v>0.03</v>
      </c>
      <c r="O16" s="4" t="n">
        <v>0.03</v>
      </c>
      <c r="P16" s="4" t="n">
        <v>0.03</v>
      </c>
      <c r="Q16" s="4" t="n">
        <v>0.03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0.22</v>
      </c>
      <c r="I17" s="4" t="n">
        <v>0.22</v>
      </c>
      <c r="J17" s="4" t="n">
        <v>0.22</v>
      </c>
      <c r="K17" s="4" t="n">
        <v>0.22</v>
      </c>
      <c r="L17" s="4" t="n">
        <v>0.22</v>
      </c>
      <c r="M17" s="4" t="n">
        <v>0.22</v>
      </c>
      <c r="N17" s="4" t="n">
        <v>0.22</v>
      </c>
      <c r="O17" s="4" t="n">
        <v>0.22</v>
      </c>
      <c r="P17" s="4" t="n">
        <v>0.22</v>
      </c>
      <c r="Q17" s="4" t="n">
        <v>0.22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15</v>
      </c>
      <c r="I20" s="13" t="n">
        <v>10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0.25</v>
      </c>
      <c r="I22" s="4" t="n">
        <v>0.25</v>
      </c>
      <c r="J22" s="4" t="n">
        <v>0.25</v>
      </c>
      <c r="K22" s="4" t="n">
        <v>0.25</v>
      </c>
      <c r="L22" s="4" t="n">
        <v>0.25</v>
      </c>
      <c r="M22" s="4" t="n">
        <v>0.25</v>
      </c>
      <c r="N22" s="4" t="n">
        <v>0.25</v>
      </c>
      <c r="O22" s="4" t="n">
        <v>0.25</v>
      </c>
      <c r="P22" s="4" t="n">
        <v>0.25</v>
      </c>
      <c r="Q22" s="4" t="n">
        <v>0.25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0.005</v>
      </c>
      <c r="I24" s="4" t="n">
        <v>0.005</v>
      </c>
      <c r="J24" s="4" t="n">
        <v>0.005</v>
      </c>
      <c r="K24" s="4" t="n">
        <v>0.005</v>
      </c>
      <c r="L24" s="4" t="n">
        <v>0.005</v>
      </c>
      <c r="M24" s="4" t="n">
        <v>0.005</v>
      </c>
      <c r="N24" s="4" t="n">
        <v>0.005</v>
      </c>
      <c r="O24" s="4" t="n">
        <v>0.005</v>
      </c>
      <c r="P24" s="4" t="n">
        <v>0.005</v>
      </c>
      <c r="Q24" s="4" t="n">
        <v>0.005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-30.953063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37.915051</v>
      </c>
      <c r="G34" s="13" t="n">
        <v>74.121386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84.451605</v>
      </c>
      <c r="G35" s="13" t="n">
        <v>43.168323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-121.2749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0.001343431953985155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65.72154988788424</v>
      </c>
      <c r="G50" s="13" t="n">
        <v>79.53325981773803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0.2189084235361032</v>
      </c>
      <c r="G66" s="4" t="n">
        <v>0.1179912252445367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-0.08460346788179227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3.245810639122845</v>
      </c>
      <c r="G71" s="18" t="n">
        <v>7.119441980639369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0.3854199733698861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520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18183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167.169365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1.680095381571204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150.551704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0.845401</v>
      </c>
    </row>
    <row r="104">
      <c r="A104" t="inlineStr">
        <is>
          <t>Metric (LTM, or next-12m DPS for yield)</t>
        </is>
      </c>
      <c r="C104" s="13" t="n">
        <v>167.169365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EV/EBITDA</t>
        </is>
      </c>
    </row>
    <row r="108">
      <c r="A108" t="inlineStr">
        <is>
          <t>Target multiple (peer median)</t>
        </is>
      </c>
      <c r="C108" s="18" t="n">
        <v>15.439976</v>
      </c>
    </row>
    <row r="109">
      <c r="A109" t="inlineStr">
        <is>
          <t>Metric (LTM, or next-12m DPS for yield)</t>
        </is>
      </c>
      <c r="C109" s="13" t="n">
        <v>43.168323</v>
      </c>
    </row>
    <row r="110">
      <c r="A110" t="inlineStr">
        <is>
          <t>Value per share (IDR) — EV/EBITDA</t>
        </is>
      </c>
      <c r="C110" s="23">
        <f>MAX(0,($C$108*$C$109-($C$79-$C$80)-$C$81+$C$82+$C$83)/$C$77*$C$85*$C$78)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P/BV</t>
        </is>
      </c>
      <c r="C114" s="4" t="n">
        <v>0.3</v>
      </c>
    </row>
    <row r="115">
      <c r="A115" t="inlineStr">
        <is>
          <t>Weight: EV/EBITDA</t>
        </is>
      </c>
      <c r="C115" s="4" t="n">
        <v>0.1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289.7783065641057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320.4772699452854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317.782992</v>
      </c>
      <c r="E132" s="23" t="n">
        <v>310.172773</v>
      </c>
      <c r="F132" s="23" t="n">
        <v>302.562555</v>
      </c>
      <c r="G132" s="23" t="n">
        <v>294.952336</v>
      </c>
      <c r="H132" s="23" t="n">
        <v>287.342117</v>
      </c>
    </row>
    <row r="133">
      <c r="C133" s="1" t="n">
        <v>-0.005</v>
      </c>
      <c r="D133" s="23" t="n">
        <v>319.130131</v>
      </c>
      <c r="E133" s="23" t="n">
        <v>311.487651</v>
      </c>
      <c r="F133" s="23" t="n">
        <v>303.845171</v>
      </c>
      <c r="G133" s="23" t="n">
        <v>296.202692</v>
      </c>
      <c r="H133" s="23" t="n">
        <v>288.560212</v>
      </c>
    </row>
    <row r="134">
      <c r="C134" s="1" t="n">
        <v>0</v>
      </c>
      <c r="D134" s="23" t="n">
        <v>320.47727</v>
      </c>
      <c r="E134" s="23" t="n">
        <v>312.802529</v>
      </c>
      <c r="F134" s="23" t="n">
        <v>305.127788</v>
      </c>
      <c r="G134" s="23" t="n">
        <v>297.453047</v>
      </c>
      <c r="H134" s="23" t="n">
        <v>289.778307</v>
      </c>
    </row>
    <row r="135">
      <c r="C135" s="1" t="n">
        <v>0.005</v>
      </c>
      <c r="D135" s="23" t="n">
        <v>321.824409</v>
      </c>
      <c r="E135" s="23" t="n">
        <v>314.117407</v>
      </c>
      <c r="F135" s="23" t="n">
        <v>306.410405</v>
      </c>
      <c r="G135" s="23" t="n">
        <v>298.703403</v>
      </c>
      <c r="H135" s="23" t="n">
        <v>290.996401</v>
      </c>
    </row>
    <row r="136">
      <c r="C136" s="1" t="n">
        <v>0.01</v>
      </c>
      <c r="D136" s="23" t="n">
        <v>323.171548</v>
      </c>
      <c r="E136" s="23" t="n">
        <v>315.432285</v>
      </c>
      <c r="F136" s="23" t="n">
        <v>307.693022</v>
      </c>
      <c r="G136" s="23" t="n">
        <v>299.953759</v>
      </c>
      <c r="H136" s="23" t="n">
        <v>292.214496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Dosni Roha Indonesia Tbk (ZBRA.JK)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FY2023A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  <c r="P4" s="1" t="inlineStr">
        <is>
          <t>FY2033E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G11" s="4" t="n">
        <v>-0.619513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G12" s="4" t="n">
        <v>0.206501</v>
      </c>
      <c r="H12" s="4" t="n">
        <v>0.206501</v>
      </c>
      <c r="I12" s="4" t="n">
        <v>0.206501</v>
      </c>
      <c r="J12" s="4" t="n">
        <v>0.206501</v>
      </c>
      <c r="K12" s="4" t="n">
        <v>0.206501</v>
      </c>
      <c r="L12" s="4" t="n">
        <v>0.206501</v>
      </c>
      <c r="M12" s="4" t="n">
        <v>0.206501</v>
      </c>
      <c r="N12" s="4" t="n">
        <v>0.206501</v>
      </c>
      <c r="O12" s="4" t="n">
        <v>0.206501</v>
      </c>
      <c r="P12" s="4" t="n">
        <v>0.206501</v>
      </c>
    </row>
    <row r="13">
      <c r="A13" t="inlineStr">
        <is>
          <t>SG&amp;A / revenue</t>
        </is>
      </c>
      <c r="B13" t="inlineStr">
        <is>
          <t>a.opex_pct</t>
        </is>
      </c>
      <c r="G13" s="4" t="n">
        <v>0.208052</v>
      </c>
      <c r="H13" s="4" t="n">
        <v>0.208052</v>
      </c>
      <c r="I13" s="4" t="n">
        <v>0.208052</v>
      </c>
      <c r="J13" s="4" t="n">
        <v>0.208052</v>
      </c>
      <c r="K13" s="4" t="n">
        <v>0.208052</v>
      </c>
      <c r="L13" s="4" t="n">
        <v>0.208052</v>
      </c>
      <c r="M13" s="4" t="n">
        <v>0.208052</v>
      </c>
      <c r="N13" s="4" t="n">
        <v>0.208052</v>
      </c>
      <c r="O13" s="4" t="n">
        <v>0.208052</v>
      </c>
      <c r="P13" s="4" t="n">
        <v>0.208052</v>
      </c>
    </row>
    <row r="14">
      <c r="A14" t="inlineStr">
        <is>
          <t>D&amp;A / revenue</t>
        </is>
      </c>
      <c r="B14" t="inlineStr">
        <is>
          <t>a.da_pct</t>
        </is>
      </c>
      <c r="G14" s="4" t="n">
        <v>0.043317</v>
      </c>
      <c r="H14" s="4" t="n">
        <v>0.043317</v>
      </c>
      <c r="I14" s="4" t="n">
        <v>0.043317</v>
      </c>
      <c r="J14" s="4" t="n">
        <v>0.043317</v>
      </c>
      <c r="K14" s="4" t="n">
        <v>0.043317</v>
      </c>
      <c r="L14" s="4" t="n">
        <v>0.043317</v>
      </c>
      <c r="M14" s="4" t="n">
        <v>0.043317</v>
      </c>
      <c r="N14" s="4" t="n">
        <v>0.043317</v>
      </c>
      <c r="O14" s="4" t="n">
        <v>0.043317</v>
      </c>
      <c r="P14" s="4" t="n">
        <v>0.043317</v>
      </c>
    </row>
    <row r="15">
      <c r="A15" t="inlineStr">
        <is>
          <t>Capex / revenue</t>
        </is>
      </c>
      <c r="B15" t="inlineStr">
        <is>
          <t>a.capex_pct</t>
        </is>
      </c>
      <c r="G15" s="4" t="n">
        <v>0.002658</v>
      </c>
      <c r="H15" s="4" t="n">
        <v>0.002658</v>
      </c>
      <c r="I15" s="4" t="n">
        <v>0.002658</v>
      </c>
      <c r="J15" s="4" t="n">
        <v>0.002658</v>
      </c>
      <c r="K15" s="4" t="n">
        <v>0.002658</v>
      </c>
      <c r="L15" s="4" t="n">
        <v>0.002658</v>
      </c>
      <c r="M15" s="4" t="n">
        <v>0.002658</v>
      </c>
      <c r="N15" s="4" t="n">
        <v>0.002658</v>
      </c>
      <c r="O15" s="4" t="n">
        <v>0.002658</v>
      </c>
      <c r="P15" s="4" t="n">
        <v>0.002658</v>
      </c>
    </row>
    <row r="16">
      <c r="A16" t="inlineStr">
        <is>
          <t>Operating working capital / revenue</t>
        </is>
      </c>
      <c r="B16" t="inlineStr">
        <is>
          <t>a.nwc_pct</t>
        </is>
      </c>
      <c r="G16" s="4" t="n">
        <v>2.118107</v>
      </c>
      <c r="H16" s="4" t="n">
        <v>2.118107</v>
      </c>
      <c r="I16" s="4" t="n">
        <v>2.118107</v>
      </c>
      <c r="J16" s="4" t="n">
        <v>2.118107</v>
      </c>
      <c r="K16" s="4" t="n">
        <v>2.118107</v>
      </c>
      <c r="L16" s="4" t="n">
        <v>2.118107</v>
      </c>
      <c r="M16" s="4" t="n">
        <v>2.118107</v>
      </c>
      <c r="N16" s="4" t="n">
        <v>2.118107</v>
      </c>
      <c r="O16" s="4" t="n">
        <v>2.118107</v>
      </c>
      <c r="P16" s="4" t="n">
        <v>2.118107</v>
      </c>
    </row>
    <row r="17">
      <c r="A17" t="inlineStr">
        <is>
          <t>Effective tax rate</t>
        </is>
      </c>
      <c r="B17" t="inlineStr">
        <is>
          <t>a.tax_rate</t>
        </is>
      </c>
      <c r="G17" s="4" t="n">
        <v>0.1</v>
      </c>
      <c r="H17" s="4" t="n">
        <v>0.1</v>
      </c>
      <c r="I17" s="4" t="n">
        <v>0.1</v>
      </c>
      <c r="J17" s="4" t="n">
        <v>0.1</v>
      </c>
      <c r="K17" s="4" t="n">
        <v>0.1</v>
      </c>
      <c r="L17" s="4" t="n">
        <v>0.1</v>
      </c>
      <c r="M17" s="4" t="n">
        <v>0.1</v>
      </c>
      <c r="N17" s="4" t="n">
        <v>0.1</v>
      </c>
      <c r="O17" s="4" t="n">
        <v>0.1</v>
      </c>
      <c r="P17" s="4" t="n">
        <v>0.1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0.128259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0.005076</v>
      </c>
    </row>
    <row r="20">
      <c r="A20" t="inlineStr">
        <is>
          <t>Net new borrowing</t>
        </is>
      </c>
      <c r="B20" t="inlineStr">
        <is>
          <t>a.net_borrowing</t>
        </is>
      </c>
      <c r="G20" s="13" t="n">
        <v>86.09999999999999</v>
      </c>
      <c r="H20" s="13" t="n">
        <v>97.2</v>
      </c>
      <c r="I20" s="13" t="n">
        <v>109.7</v>
      </c>
      <c r="J20" s="13" t="n">
        <v>123.8</v>
      </c>
      <c r="K20" s="13" t="n">
        <v>139.7</v>
      </c>
      <c r="L20" s="13" t="n">
        <v>143.1925</v>
      </c>
      <c r="M20" s="13" t="n">
        <v>146.7723125</v>
      </c>
      <c r="N20" s="13" t="n">
        <v>150.4416203124999</v>
      </c>
      <c r="O20" s="13" t="n">
        <v>154.2026608203124</v>
      </c>
      <c r="P20" s="13" t="n">
        <v>158.0577273408202</v>
      </c>
    </row>
    <row r="21">
      <c r="A21" t="inlineStr">
        <is>
          <t>Other non-operating items</t>
        </is>
      </c>
      <c r="B21" t="inlineStr">
        <is>
          <t>a.other_nonop</t>
        </is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G22" s="4" t="n">
        <v>0.002813</v>
      </c>
      <c r="H22" s="4" t="n">
        <v>0.002813</v>
      </c>
      <c r="I22" s="4" t="n">
        <v>0.002813</v>
      </c>
      <c r="J22" s="4" t="n">
        <v>0.002813</v>
      </c>
      <c r="K22" s="4" t="n">
        <v>0.002813</v>
      </c>
      <c r="L22" s="4" t="n">
        <v>0.002813</v>
      </c>
      <c r="M22" s="4" t="n">
        <v>0.002813</v>
      </c>
      <c r="N22" s="4" t="n">
        <v>0.002813</v>
      </c>
      <c r="O22" s="4" t="n">
        <v>0.002813</v>
      </c>
      <c r="P22" s="4" t="n">
        <v>0.002813</v>
      </c>
    </row>
    <row r="23">
      <c r="A23" t="inlineStr">
        <is>
          <t>Dividend payout</t>
        </is>
      </c>
      <c r="B23" t="inlineStr">
        <is>
          <t>a.payout</t>
        </is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3497.365178638</v>
      </c>
      <c r="E29" s="13" t="n">
        <v>2958.367547579</v>
      </c>
      <c r="F29" s="13" t="n">
        <v>1724.458039618</v>
      </c>
      <c r="G29" s="14">
        <f>(F29*(1+G11))</f>
        <v/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3010.499286315</v>
      </c>
      <c r="E30" s="13" t="n">
        <v>2607.505060314</v>
      </c>
      <c r="F30" s="13" t="n">
        <v>1368.355683895</v>
      </c>
      <c r="G30" s="14">
        <f>(G29*(1-G12))</f>
        <v/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486.865892323</v>
      </c>
      <c r="E31" s="13" t="n">
        <v>350.862487265</v>
      </c>
      <c r="F31" s="13" t="n">
        <v>356.102355723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340.975502449</v>
      </c>
      <c r="E32" s="13" t="n">
        <v>374.20327184</v>
      </c>
      <c r="F32" s="13" t="n">
        <v>358.776869206</v>
      </c>
      <c r="G32" s="14">
        <f>(G29*G13)</f>
        <v/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145.890389874</v>
      </c>
      <c r="E33" s="13" t="n">
        <v>-23.340784575</v>
      </c>
      <c r="F33" s="13" t="n">
        <v>-2.674513483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29.630833505</v>
      </c>
      <c r="E34" s="13" t="n">
        <v>47.487741301</v>
      </c>
      <c r="F34" s="13" t="n">
        <v>74.698336392</v>
      </c>
      <c r="G34" s="14">
        <f>(G29*G14)</f>
        <v/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175.521223379</v>
      </c>
      <c r="E35" s="13" t="n">
        <v>24.146956726</v>
      </c>
      <c r="F35" s="13" t="n">
        <v>72.023822909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110.394595841</v>
      </c>
      <c r="E36" s="13" t="n">
        <v>125.317753248</v>
      </c>
      <c r="F36" s="13" t="n">
        <v>163.134550045</v>
      </c>
      <c r="G36" s="14">
        <f>(F56*$C$18)</f>
        <v/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0.6483804869999999</v>
      </c>
      <c r="E37" s="13" t="n">
        <v>0.178098149</v>
      </c>
      <c r="F37" s="13" t="n">
        <v>0.140527839</v>
      </c>
      <c r="G37" s="14">
        <f>(F55*$C$19)</f>
        <v/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-4.404213688999991</v>
      </c>
      <c r="E38" s="13" t="n">
        <v>38.72730295900001</v>
      </c>
      <c r="F38" s="13" t="n">
        <v>25.993033329</v>
      </c>
      <c r="G38" s="14">
        <f>G21</f>
        <v/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31.739960831</v>
      </c>
      <c r="E39" s="13" t="n">
        <v>-109.753136715</v>
      </c>
      <c r="F39" s="13" t="n">
        <v>-139.67550236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5.59796312</v>
      </c>
      <c r="E40" s="13" t="n">
        <v>2.555173881</v>
      </c>
      <c r="F40" s="13" t="n">
        <v>5.078187676</v>
      </c>
      <c r="G40" s="14">
        <f>(MAX(G39,0)*G17)</f>
        <v/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29.15913798</v>
      </c>
      <c r="E41" s="13" t="n">
        <v>-112.308310596</v>
      </c>
      <c r="F41" s="13" t="n">
        <v>-144.753690036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0.1292581219999995</v>
      </c>
      <c r="E42" s="13" t="n">
        <v>4.308878535000005</v>
      </c>
      <c r="F42" s="13" t="n">
        <v>-6.133746489000004</v>
      </c>
      <c r="G42" s="14">
        <f>(G41*G22)</f>
        <v/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29.029879858</v>
      </c>
      <c r="E43" s="13" t="n">
        <v>-116.617189131</v>
      </c>
      <c r="F43" s="13" t="n">
        <v>-138.619943547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534.207251</v>
      </c>
      <c r="E44" s="13" t="n">
        <v>534.207251</v>
      </c>
      <c r="F44" s="13" t="n">
        <v>534.207251</v>
      </c>
      <c r="G44" s="14">
        <f>(F44*(1+G24))</f>
        <v/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54.34198020273596</v>
      </c>
      <c r="E45" s="15" t="n">
        <v>-218.2995249740629</v>
      </c>
      <c r="F45" s="15" t="n">
        <v>-259.4871995606813</v>
      </c>
      <c r="G45" s="16">
        <f>(IF(G44=0,0,G43/G44)*$C$7)</f>
        <v/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6">
        <f>(MAX(G45,0)*G23)</f>
        <v/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4">
        <f>IF($C$7=0,0,(F46*F44)/$C$7)</f>
        <v/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9.445720859</v>
      </c>
      <c r="E48" s="13" t="n">
        <v>11.132005633</v>
      </c>
      <c r="F48" s="13" t="n">
        <v>4.58344822</v>
      </c>
      <c r="G48" s="14">
        <f>(G29*G15)</f>
        <v/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-117.2203417780004</v>
      </c>
      <c r="F49" s="13" t="n">
        <v>-398.1918722859998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129.6918937036221</v>
      </c>
      <c r="F50" s="13" t="n">
        <v>465.5350095841962</v>
      </c>
      <c r="G50" s="14">
        <f>((((G33*(1-G17))+G34)-G48)-G49)</f>
        <v/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-31.97334876199989</v>
      </c>
      <c r="F51" s="13" t="n">
        <v>-238.8999774130001</v>
      </c>
      <c r="G51" s="14">
        <f>G20</f>
        <v/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(MAX(F42,0)*G23)</f>
        <v/>
      </c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1905.173048123</v>
      </c>
      <c r="E54" s="13" t="n">
        <v>1787.952706345</v>
      </c>
      <c r="F54" s="13" t="n">
        <v>1389.760834059</v>
      </c>
      <c r="G54" s="14">
        <f>(G29*G16)</f>
        <v/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90.765104701</v>
      </c>
      <c r="E55" s="13" t="n">
        <v>17.158493885</v>
      </c>
      <c r="F55" s="13" t="n">
        <v>14.071659823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1142.795069023</v>
      </c>
      <c r="E56" s="13" t="n">
        <v>1110.821720261</v>
      </c>
      <c r="F56" s="13" t="n">
        <v>871.921742848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511.158416986</v>
      </c>
      <c r="E57" s="13" t="n">
        <v>653.007391213</v>
      </c>
      <c r="F57" s="13" t="n">
        <v>737.169385673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1361.906707107</v>
      </c>
      <c r="E58" s="13" t="n">
        <v>1248.276101084</v>
      </c>
      <c r="F58" s="13" t="n">
        <v>1096.72307478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6.946252461</v>
      </c>
      <c r="E59" s="13" t="n">
        <v>11.724285815</v>
      </c>
      <c r="F59" s="13" t="n">
        <v>17.66919009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4.551458781000065</v>
      </c>
      <c r="E60" s="13" t="n">
        <v>-87.29648428300027</v>
      </c>
      <c r="F60" s="13" t="n">
        <v>-154.6878718369998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1052.029964322</v>
      </c>
      <c r="E62" s="13" t="n">
        <v>1093.663226376</v>
      </c>
      <c r="F62" s="13" t="n">
        <v>857.850083025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2549.397643999782</v>
      </c>
      <c r="E63" s="15" t="n">
        <v>2336.688801485399</v>
      </c>
      <c r="F63" s="15" t="n">
        <v>2052.991741926018</v>
      </c>
      <c r="G63" s="16">
        <f>(IF(G44=0,0,G58/G44)*$C$7)</f>
        <v/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-0.1541153421299016</v>
      </c>
      <c r="F64" s="4" t="n">
        <v>-0.4170913478856872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0.1392093383032432</v>
      </c>
      <c r="E65" s="4" t="n">
        <v>0.118600032491612</v>
      </c>
      <c r="F65" s="4" t="n">
        <v>0.2065010267236676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0.05018670182087027</v>
      </c>
      <c r="E66" s="4" t="n">
        <v>0.008162257169755943</v>
      </c>
      <c r="F66" s="4" t="n">
        <v>0.04176606287558881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0.04171437136879568</v>
      </c>
      <c r="E67" s="4" t="n">
        <v>-0.007889751425275432</v>
      </c>
      <c r="F67" s="4" t="n">
        <v>-0.001550929869881007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0.00830050005510299</v>
      </c>
      <c r="E68" s="4" t="n">
        <v>-0.03941943901677615</v>
      </c>
      <c r="F68" s="4" t="n">
        <v>-0.08038464280505597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-5.017143360614455</v>
      </c>
      <c r="F69" s="4" t="n">
        <v>0.1886750536516839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-0.08935557215766211</v>
      </c>
      <c r="F70" s="4" t="n">
        <v>-0.1182260061954404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5.993747901644746</v>
      </c>
      <c r="E71" s="18" t="n">
        <v>45.291969451306</v>
      </c>
      <c r="F71" s="18" t="n">
        <v>11.91064356732173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-0</v>
      </c>
      <c r="F72" s="4" t="n">
        <v>-0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0.002700810574970756</v>
      </c>
      <c r="E73" s="4" t="n">
        <v>0.003762887962352735</v>
      </c>
      <c r="F73" s="4" t="n">
        <v>0.002657906492764139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</v>
      </c>
    </row>
    <row r="77">
      <c r="A77" t="inlineStr">
        <is>
          <t>Shares outstanding (m)</t>
        </is>
      </c>
      <c r="C77" s="13" t="n">
        <v>534.207251</v>
      </c>
    </row>
    <row r="78">
      <c r="A78" t="inlineStr">
        <is>
          <t>IDR per USD (spot)</t>
        </is>
      </c>
      <c r="C78" s="3" t="n">
        <v>18183</v>
      </c>
    </row>
    <row r="79">
      <c r="A79" t="inlineStr">
        <is>
          <t>Debt at balance-sheet date</t>
        </is>
      </c>
      <c r="C79" s="13" t="n">
        <v>871.921742848</v>
      </c>
    </row>
    <row r="80">
      <c r="A80" t="inlineStr">
        <is>
          <t>Cash at balance-sheet date</t>
        </is>
      </c>
      <c r="C80" s="13" t="n">
        <v>14.071659823</v>
      </c>
    </row>
    <row r="81">
      <c r="A81" t="inlineStr">
        <is>
          <t>Minority interest (book)</t>
        </is>
      </c>
      <c r="C81" s="13" t="n">
        <v>17.66919009</v>
      </c>
    </row>
    <row r="82">
      <c r="A82" t="inlineStr">
        <is>
          <t>Associates &amp; investments (book)</t>
        </is>
      </c>
      <c r="C82" s="13" t="n">
        <v>0</v>
      </c>
    </row>
    <row r="83">
      <c r="A83" t="inlineStr">
        <is>
          <t>Post-balance-sheet &amp; other items (sourced, probability-weighted)</t>
        </is>
      </c>
      <c r="C83" s="13" t="n">
        <v>-8.208196707000001</v>
      </c>
    </row>
    <row r="84">
      <c r="A84" t="inlineStr">
        <is>
          <t>Parent equity at balance-sheet date</t>
        </is>
      </c>
      <c r="C84" s="13" t="n">
        <v>1096.72307478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0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0.35</v>
      </c>
    </row>
    <row r="108">
      <c r="A108" t="inlineStr">
        <is>
          <t>Bear 12-month value (engine)</t>
        </is>
      </c>
      <c r="C108" s="15" t="n">
        <v>0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0.15</v>
      </c>
    </row>
    <row r="111">
      <c r="A111" t="inlineStr">
        <is>
          <t>Bull 12-month value (engine)</t>
        </is>
      </c>
      <c r="C111" s="15" t="n">
        <v>0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0.3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</row>
    <row r="121">
      <c r="C121" s="1" t="n">
        <v>-0.005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</row>
    <row r="122">
      <c r="C122" s="1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</row>
    <row r="123">
      <c r="C123" s="1" t="n">
        <v>0.005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</row>
    <row r="124">
      <c r="C124" s="1" t="n">
        <v>0.01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2026-10-28T19:00:09Z</dcterms:created>
  <dcterms:modified xsi:type="dcterms:W3CDTF">2026-10-28T19:00:09Z</dcterms:modified>
</cp:coreProperties>
</file>