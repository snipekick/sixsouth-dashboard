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BMM" sheetId="4" state="visible" r:id="rId4"/>
    <sheet name="ADRO" sheetId="5" state="visible" r:id="rId5"/>
    <sheet name="ASII" sheetId="6" state="visible" r:id="rId6"/>
    <sheet name="BNBR" sheetId="7" state="visible" r:id="rId7"/>
    <sheet name="BRPT" sheetId="8" state="visible" r:id="rId8"/>
    <sheet name="CUAN" sheetId="9" state="visible" r:id="rId9"/>
    <sheet name="DSSA" sheetId="10" state="visible" r:id="rId10"/>
    <sheet name="IMJS" sheetId="11" state="visible" r:id="rId11"/>
    <sheet name="TOBA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Conglomerates &amp; multi-sector holdings industry model</t>
        </is>
      </c>
    </row>
    <row r="2">
      <c r="A2" s="2" t="inlineStr">
        <is>
          <t>Generated 2026-10-28T05:02:20+07:00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ABMM.JK — PT ABM Investama Tbk</t>
        </is>
      </c>
    </row>
    <row r="10">
      <c r="A10" t="inlineStr">
        <is>
          <t>ADRO.JK — PT Alamtri Resources Indonesia Tbk</t>
        </is>
      </c>
    </row>
    <row r="11">
      <c r="A11" t="inlineStr">
        <is>
          <t>ASII.JK — PT Astra International Tbk</t>
        </is>
      </c>
    </row>
    <row r="12">
      <c r="A12" t="inlineStr">
        <is>
          <t>BNBR.JK — PT Bakrie &amp; Brothers Tbk</t>
        </is>
      </c>
    </row>
    <row r="13">
      <c r="A13" t="inlineStr">
        <is>
          <t>BRPT.JK — PT Barito Pacific Tbk</t>
        </is>
      </c>
    </row>
    <row r="14">
      <c r="A14" t="inlineStr">
        <is>
          <t>CUAN.JK — PT Petrindo Jaya Kreasi Tbk</t>
        </is>
      </c>
    </row>
    <row r="15">
      <c r="A15" t="inlineStr">
        <is>
          <t>DSSA.JK — PT Dian Swastatika Sentosa Tbk</t>
        </is>
      </c>
    </row>
    <row r="16">
      <c r="A16" t="inlineStr">
        <is>
          <t>IMJS.JK — PT Indomobil Multi Jasa Tbk</t>
        </is>
      </c>
    </row>
    <row r="17">
      <c r="A17" t="inlineStr">
        <is>
          <t>TOBA.JK — PT TBS Energi Utama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FY2022A</t>
        </is>
      </c>
      <c r="E3" s="1" t="inlineStr">
        <is>
          <t>FY2023A</t>
        </is>
      </c>
      <c r="F3" s="1" t="inlineStr">
        <is>
          <t>FY2024A</t>
        </is>
      </c>
      <c r="G3" s="1" t="inlineStr">
        <is>
          <t>FY2025A</t>
        </is>
      </c>
      <c r="H3" s="1" t="inlineStr">
        <is>
          <t>FY2026E</t>
        </is>
      </c>
      <c r="I3" s="1" t="inlineStr">
        <is>
          <t>FY2027E</t>
        </is>
      </c>
      <c r="J3" s="1" t="inlineStr">
        <is>
          <t>FY2028E</t>
        </is>
      </c>
      <c r="K3" s="1" t="inlineStr">
        <is>
          <t>FY2029E</t>
        </is>
      </c>
      <c r="L3" s="1" t="inlineStr">
        <is>
          <t>FY2030E</t>
        </is>
      </c>
      <c r="M3" s="1" t="inlineStr">
        <is>
          <t>FY2031E</t>
        </is>
      </c>
      <c r="N3" s="1" t="inlineStr">
        <is>
          <t>FY2032E</t>
        </is>
      </c>
      <c r="O3" s="1" t="inlineStr">
        <is>
          <t>FY2033E</t>
        </is>
      </c>
      <c r="P3" s="1" t="inlineStr">
        <is>
          <t>FY2034E</t>
        </is>
      </c>
      <c r="Q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14843.1773</v>
      </c>
      <c r="E4" s="3" t="n">
        <v>15228.8</v>
      </c>
      <c r="F4" s="3" t="n">
        <v>15846.2378</v>
      </c>
      <c r="G4" s="3" t="n">
        <v>16448.0929</v>
      </c>
      <c r="H4" s="3" t="n">
        <v>17570</v>
      </c>
      <c r="I4" s="3" t="n">
        <v>18350</v>
      </c>
      <c r="J4" s="3" t="n">
        <v>18600</v>
      </c>
      <c r="K4" s="3" t="n">
        <v>18850</v>
      </c>
      <c r="L4" s="3" t="n">
        <v>19093.13725490196</v>
      </c>
      <c r="M4" s="3" t="n">
        <v>19186.73106497501</v>
      </c>
      <c r="N4" s="3" t="n">
        <v>19280.78366823469</v>
      </c>
      <c r="O4" s="3" t="n">
        <v>19375.29731366722</v>
      </c>
      <c r="P4" s="3" t="n">
        <v>19470.27426128323</v>
      </c>
      <c r="Q4" s="3" t="n">
        <v>19565.71678217187</v>
      </c>
    </row>
    <row r="6">
      <c r="A6" s="1" t="inlineStr">
        <is>
          <t>Cost-of-capital scalars (macro deck)</t>
        </is>
      </c>
    </row>
    <row r="7">
      <c r="A7" t="inlineStr">
        <is>
          <t>10-year Indonesian government bond yield (IDR)</t>
        </is>
      </c>
      <c r="B7" t="inlineStr">
        <is>
          <t>m.rf_idr</t>
        </is>
      </c>
      <c r="C7" s="4" t="n">
        <v>0.0745</v>
      </c>
      <c r="D7" s="5" t="inlineStr">
        <is>
          <t>investor.id — "Yield SUN 7,45%, Saatnya Borong atau Tunggu Lebih Tinggi?" (25 Okt 2026 20:58 WIB; deck source S3); corroborated by kalderanews S1 (10Y SUN 7.41%</t>
        </is>
      </c>
    </row>
    <row r="8">
      <c r="A8" t="inlineStr">
        <is>
          <t>10-year US Treasury yield</t>
        </is>
      </c>
      <c r="B8" t="inlineStr">
        <is>
          <t>m.rf_usd</t>
        </is>
      </c>
      <c r="C8" s="4" t="n">
        <v>0.04993</v>
      </c>
      <c r="D8" s="5" t="inlineStr">
        <is>
          <t>Yahoo Finance ^TNX (US 10-year Treasury yield)</t>
        </is>
      </c>
    </row>
    <row r="9">
      <c r="A9" t="inlineStr">
        <is>
          <t>Indonesia sovereign default spread (Damodaran)</t>
        </is>
      </c>
      <c r="B9" t="inlineStr">
        <is>
          <t>m.default_spread_id</t>
        </is>
      </c>
      <c r="C9" s="4" t="n">
        <v>0.0162</v>
      </c>
      <c r="D9" s="5" t="inlineStr">
        <is>
          <t>Damodaran country risk premiums (https://pages.stern.nyu.edu/~adamodar/New_Home_Page/datafile/ctryprem.html), page dated January 5, 2026, read 2026-10-28</t>
        </is>
      </c>
    </row>
    <row r="10">
      <c r="A10" t="inlineStr">
        <is>
          <t>Mature-market equity risk premium (Damodaran)</t>
        </is>
      </c>
      <c r="B10" t="inlineStr">
        <is>
          <t>m.erp_mature</t>
        </is>
      </c>
      <c r="C10" s="4" t="n">
        <v>0.0423</v>
      </c>
      <c r="D10" s="5" t="inlineStr">
        <is>
          <t>Damodaran country risk premiums (https://pages.stern.nyu.edu/~adamodar/New_Home_Page/datafile/ctryprem.html), page dated January 5, 2026, read 2026-10-28</t>
        </is>
      </c>
    </row>
    <row r="11">
      <c r="A11" t="inlineStr">
        <is>
          <t>Indonesia country risk premium (Damodaran)</t>
        </is>
      </c>
      <c r="B11" t="inlineStr">
        <is>
          <t>m.crp_id</t>
        </is>
      </c>
      <c r="C11" s="4" t="n">
        <v>0.0246</v>
      </c>
      <c r="D11" s="5" t="inlineStr">
        <is>
          <t>Damodaran country risk premiums (https://pages.stern.nyu.edu/~adamodar/New_Home_Page/datafile/ctryprem.html), page dated January 5, 2026, read 2026-10-28</t>
        </is>
      </c>
    </row>
    <row r="12">
      <c r="A12" t="inlineStr">
        <is>
          <t>House pre-tax corporate debt spread over the risk-free</t>
        </is>
      </c>
      <c r="B12" t="inlineStr">
        <is>
          <t>m.debt_spread_corp</t>
        </is>
      </c>
      <c r="C12" s="4" t="n">
        <v>0.02</v>
      </c>
      <c r="D12" s="5" t="inlineStr">
        <is>
          <t>SEED house assumption pending the macro desk: 200 bp over the risk-free rate for an average IDX corporate borrower</t>
        </is>
      </c>
    </row>
    <row r="13">
      <c r="A13" t="inlineStr">
        <is>
          <t>Indonesia statutory corporate income tax rate</t>
        </is>
      </c>
      <c r="B13" t="inlineStr">
        <is>
          <t>m.tax_rate_id</t>
        </is>
      </c>
      <c r="C13" s="4" t="n">
        <v>0.22</v>
      </c>
      <c r="D13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ABMM.JK</t>
        </is>
      </c>
      <c r="B2" t="inlineStr">
        <is>
          <t>PT ABM Investama Tbk</t>
        </is>
      </c>
      <c r="C2" s="6">
        <f>'ABMM'!$C$128</f>
        <v/>
      </c>
      <c r="D2" s="7">
        <f>'ABMM'!$C$126</f>
        <v/>
      </c>
      <c r="E2" s="7">
        <f>'ABMM'!$C$76</f>
        <v/>
      </c>
      <c r="F2" s="8">
        <f>'ABMM'!$C$127</f>
        <v/>
      </c>
      <c r="G2" s="7">
        <f>'ABMM'!$C$116</f>
        <v/>
      </c>
      <c r="H2" s="9" t="n">
        <v>5.193583</v>
      </c>
      <c r="I2" s="9" t="n">
        <v>3.93347</v>
      </c>
      <c r="J2" s="10" t="n">
        <v>0.040877</v>
      </c>
    </row>
    <row r="3">
      <c r="A3" t="inlineStr">
        <is>
          <t>ADRO.JK</t>
        </is>
      </c>
      <c r="B3" t="inlineStr">
        <is>
          <t>PT Alamtri Resources Indonesia Tbk</t>
        </is>
      </c>
      <c r="C3" s="6">
        <f>'ADRO'!$C$128</f>
        <v/>
      </c>
      <c r="D3" s="7">
        <f>'ADRO'!$C$126</f>
        <v/>
      </c>
      <c r="E3" s="7">
        <f>'ADRO'!$C$76</f>
        <v/>
      </c>
      <c r="F3" s="8">
        <f>'ADRO'!$C$127</f>
        <v/>
      </c>
      <c r="G3" s="7">
        <f>'ADRO'!$C$116</f>
        <v/>
      </c>
      <c r="H3" s="9" t="n">
        <v>8.379897</v>
      </c>
      <c r="I3" s="9" t="n">
        <v>4.446031</v>
      </c>
      <c r="J3" s="10" t="n">
        <v>0.119285</v>
      </c>
    </row>
    <row r="4">
      <c r="A4" t="inlineStr">
        <is>
          <t>ASII.JK</t>
        </is>
      </c>
      <c r="B4" t="inlineStr">
        <is>
          <t>PT Astra International Tbk</t>
        </is>
      </c>
      <c r="C4" s="6">
        <f>'ASII'!$C$128</f>
        <v/>
      </c>
      <c r="D4" s="7">
        <f>'ASII'!$C$126</f>
        <v/>
      </c>
      <c r="E4" s="7">
        <f>'ASII'!$C$76</f>
        <v/>
      </c>
      <c r="F4" s="8">
        <f>'ASII'!$C$127</f>
        <v/>
      </c>
      <c r="G4" s="7">
        <f>'ASII'!$C$116</f>
        <v/>
      </c>
      <c r="H4" s="9" t="n">
        <v>5.781403</v>
      </c>
      <c r="I4" s="9" t="n">
        <v>4.736639</v>
      </c>
      <c r="J4" s="10" t="n">
        <v>0.08648400000000001</v>
      </c>
    </row>
    <row r="5">
      <c r="A5" t="inlineStr">
        <is>
          <t>BNBR.JK</t>
        </is>
      </c>
      <c r="B5" t="inlineStr">
        <is>
          <t>PT Bakrie &amp; Brothers Tbk</t>
        </is>
      </c>
      <c r="C5" s="6">
        <f>'BNBR'!$C$131</f>
        <v/>
      </c>
      <c r="D5" s="7">
        <f>'BNBR'!$C$129</f>
        <v/>
      </c>
      <c r="E5" s="7">
        <f>'BNBR'!$C$76</f>
        <v/>
      </c>
      <c r="F5" s="8">
        <f>'BNBR'!$C$130</f>
        <v/>
      </c>
      <c r="G5" s="7">
        <f>'BNBR'!$C$110</f>
        <v/>
      </c>
      <c r="H5" s="9" t="n"/>
      <c r="I5" s="9" t="n">
        <v>33.24141</v>
      </c>
      <c r="J5" s="10" t="n">
        <v>0</v>
      </c>
    </row>
    <row r="6">
      <c r="A6" t="inlineStr">
        <is>
          <t>BRPT.JK</t>
        </is>
      </c>
      <c r="B6" t="inlineStr">
        <is>
          <t>PT Barito Pacific Tbk</t>
        </is>
      </c>
      <c r="C6" s="6">
        <f>'BRPT'!$C$137</f>
        <v/>
      </c>
      <c r="D6" s="7">
        <f>'BRPT'!$C$135</f>
        <v/>
      </c>
      <c r="E6" s="7">
        <f>'BRPT'!$C$76</f>
        <v/>
      </c>
      <c r="F6" s="8">
        <f>'BRPT'!$C$136</f>
        <v/>
      </c>
      <c r="G6" s="7">
        <f>'BRPT'!$C$116</f>
        <v/>
      </c>
      <c r="H6" s="9" t="n">
        <v>85.07890999999999</v>
      </c>
      <c r="I6" s="9" t="n">
        <v>15.104914</v>
      </c>
      <c r="J6" s="10" t="n">
        <v>0.011754</v>
      </c>
    </row>
    <row r="7">
      <c r="A7" t="inlineStr">
        <is>
          <t>CUAN.JK</t>
        </is>
      </c>
      <c r="B7" t="inlineStr">
        <is>
          <t>PT Petrindo Jaya Kreasi Tbk</t>
        </is>
      </c>
      <c r="C7" s="6">
        <f>'CUAN'!$C$131</f>
        <v/>
      </c>
      <c r="D7" s="7">
        <f>'CUAN'!$C$129</f>
        <v/>
      </c>
      <c r="E7" s="7">
        <f>'CUAN'!$C$76</f>
        <v/>
      </c>
      <c r="F7" s="8">
        <f>'CUAN'!$C$130</f>
        <v/>
      </c>
      <c r="G7" s="7">
        <f>'CUAN'!$C$110</f>
        <v/>
      </c>
      <c r="H7" s="9" t="n">
        <v>1720.663194</v>
      </c>
      <c r="I7" s="9" t="n">
        <v>14.480343</v>
      </c>
      <c r="J7" s="10" t="n">
        <v>1.2e-05</v>
      </c>
    </row>
    <row r="8">
      <c r="A8" t="inlineStr">
        <is>
          <t>DSSA.JK</t>
        </is>
      </c>
      <c r="B8" t="inlineStr">
        <is>
          <t>PT Dian Swastatika Sentosa Tbk</t>
        </is>
      </c>
      <c r="C8" s="6">
        <f>'DSSA'!$C$125</f>
        <v/>
      </c>
      <c r="D8" s="7">
        <f>'DSSA'!$C$123</f>
        <v/>
      </c>
      <c r="E8" s="7">
        <f>'DSSA'!$C$76</f>
        <v/>
      </c>
      <c r="F8" s="8">
        <f>'DSSA'!$C$124</f>
        <v/>
      </c>
      <c r="G8" s="7">
        <f>'DSSA'!$C$104</f>
        <v/>
      </c>
      <c r="H8" s="9" t="n">
        <v>39.176252</v>
      </c>
      <c r="I8" s="9" t="n">
        <v>15.766212</v>
      </c>
      <c r="J8" s="10" t="n">
        <v>0</v>
      </c>
    </row>
    <row r="9">
      <c r="A9" t="inlineStr">
        <is>
          <t>IMJS.JK</t>
        </is>
      </c>
      <c r="B9" t="inlineStr">
        <is>
          <t>PT Indomobil Multi Jasa Tbk</t>
        </is>
      </c>
      <c r="C9" s="6">
        <f>'IMJS'!$C$122</f>
        <v/>
      </c>
      <c r="D9" s="7">
        <f>'IMJS'!$C$120</f>
        <v/>
      </c>
      <c r="E9" s="7">
        <f>'IMJS'!$C$76</f>
        <v/>
      </c>
      <c r="F9" s="8">
        <f>'IMJS'!$C$121</f>
        <v/>
      </c>
      <c r="G9" s="7">
        <f>'IMJS'!$C$110</f>
        <v/>
      </c>
      <c r="H9" s="9" t="n">
        <v>9.724263000000001</v>
      </c>
      <c r="I9" s="9" t="n">
        <v>12.554759</v>
      </c>
      <c r="J9" s="10" t="n">
        <v>0.002333</v>
      </c>
    </row>
    <row r="10">
      <c r="A10" t="inlineStr">
        <is>
          <t>TOBA.JK</t>
        </is>
      </c>
      <c r="B10" t="inlineStr">
        <is>
          <t>PT TBS Energi Utama Tbk</t>
        </is>
      </c>
      <c r="C10" s="6">
        <f>'TOBA'!$C$128</f>
        <v/>
      </c>
      <c r="D10" s="7">
        <f>'TOBA'!$C$126</f>
        <v/>
      </c>
      <c r="E10" s="7">
        <f>'TOBA'!$C$76</f>
        <v/>
      </c>
      <c r="F10" s="8">
        <f>'TOBA'!$C$127</f>
        <v/>
      </c>
      <c r="G10" s="7">
        <f>'TOBA'!$C$116</f>
        <v/>
      </c>
      <c r="H10" s="9" t="n"/>
      <c r="I10" s="9" t="n">
        <v>10.75277</v>
      </c>
      <c r="J10" s="1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ABM Investama Tbk (ABMM.JK) — Conglomerates &amp; multi-sector holdings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0.09986</v>
      </c>
      <c r="I12" s="4" t="n">
        <v>0.09986</v>
      </c>
      <c r="J12" s="4" t="n">
        <v>0.09986</v>
      </c>
      <c r="K12" s="4" t="n">
        <v>0.09986</v>
      </c>
      <c r="L12" s="4" t="n">
        <v>0.09986</v>
      </c>
      <c r="M12" s="4" t="n">
        <v>0.09986</v>
      </c>
      <c r="N12" s="4" t="n">
        <v>0.09986</v>
      </c>
      <c r="O12" s="4" t="n">
        <v>0.09986</v>
      </c>
      <c r="P12" s="4" t="n">
        <v>0.09986</v>
      </c>
      <c r="Q12" s="4" t="n">
        <v>0.09986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0.058785</v>
      </c>
      <c r="I13" s="4" t="n">
        <v>0.058785</v>
      </c>
      <c r="J13" s="4" t="n">
        <v>0.058785</v>
      </c>
      <c r="K13" s="4" t="n">
        <v>0.058785</v>
      </c>
      <c r="L13" s="4" t="n">
        <v>0.058785</v>
      </c>
      <c r="M13" s="4" t="n">
        <v>0.058785</v>
      </c>
      <c r="N13" s="4" t="n">
        <v>0.058785</v>
      </c>
      <c r="O13" s="4" t="n">
        <v>0.058785</v>
      </c>
      <c r="P13" s="4" t="n">
        <v>0.058785</v>
      </c>
      <c r="Q13" s="4" t="n">
        <v>0.058785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0.20379</v>
      </c>
      <c r="I14" s="4" t="n">
        <v>0.20379</v>
      </c>
      <c r="J14" s="4" t="n">
        <v>0.20379</v>
      </c>
      <c r="K14" s="4" t="n">
        <v>0.20379</v>
      </c>
      <c r="L14" s="4" t="n">
        <v>0.20379</v>
      </c>
      <c r="M14" s="4" t="n">
        <v>0.20379</v>
      </c>
      <c r="N14" s="4" t="n">
        <v>0.20379</v>
      </c>
      <c r="O14" s="4" t="n">
        <v>0.20379</v>
      </c>
      <c r="P14" s="4" t="n">
        <v>0.20379</v>
      </c>
      <c r="Q14" s="4" t="n">
        <v>0.20379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0.13155</v>
      </c>
      <c r="I15" s="4" t="n">
        <v>0.13155</v>
      </c>
      <c r="J15" s="4" t="n">
        <v>0.13155</v>
      </c>
      <c r="K15" s="4" t="n">
        <v>0.13155</v>
      </c>
      <c r="L15" s="4" t="n">
        <v>0.13155</v>
      </c>
      <c r="M15" s="4" t="n">
        <v>0.13155</v>
      </c>
      <c r="N15" s="4" t="n">
        <v>0.13155</v>
      </c>
      <c r="O15" s="4" t="n">
        <v>0.13155</v>
      </c>
      <c r="P15" s="4" t="n">
        <v>0.13155</v>
      </c>
      <c r="Q15" s="4" t="n">
        <v>0.13155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0.106679</v>
      </c>
      <c r="I16" s="4" t="n">
        <v>0.106679</v>
      </c>
      <c r="J16" s="4" t="n">
        <v>0.106679</v>
      </c>
      <c r="K16" s="4" t="n">
        <v>0.106679</v>
      </c>
      <c r="L16" s="4" t="n">
        <v>0.106679</v>
      </c>
      <c r="M16" s="4" t="n">
        <v>0.106679</v>
      </c>
      <c r="N16" s="4" t="n">
        <v>0.106679</v>
      </c>
      <c r="O16" s="4" t="n">
        <v>0.106679</v>
      </c>
      <c r="P16" s="4" t="n">
        <v>0.106679</v>
      </c>
      <c r="Q16" s="4" t="n">
        <v>0.106679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0.059</v>
      </c>
      <c r="I17" s="4" t="n">
        <v>0.059</v>
      </c>
      <c r="J17" s="4" t="n">
        <v>0.059</v>
      </c>
      <c r="K17" s="4" t="n">
        <v>0.059</v>
      </c>
      <c r="L17" s="4" t="n">
        <v>0.059</v>
      </c>
      <c r="M17" s="4" t="n">
        <v>0.059</v>
      </c>
      <c r="N17" s="4" t="n">
        <v>0.059</v>
      </c>
      <c r="O17" s="4" t="n">
        <v>0.059</v>
      </c>
      <c r="P17" s="4" t="n">
        <v>0.059</v>
      </c>
      <c r="Q17" s="4" t="n">
        <v>0.059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105.377069</v>
      </c>
      <c r="I21" s="13" t="n">
        <v>105.377069</v>
      </c>
      <c r="J21" s="13" t="n">
        <v>105.377069</v>
      </c>
      <c r="K21" s="13" t="n">
        <v>105.377069</v>
      </c>
      <c r="L21" s="13" t="n">
        <v>105.377069</v>
      </c>
      <c r="M21" s="13" t="n">
        <v>107.48461038</v>
      </c>
      <c r="N21" s="13" t="n">
        <v>109.6343025876</v>
      </c>
      <c r="O21" s="13" t="n">
        <v>111.826988639352</v>
      </c>
      <c r="P21" s="13" t="n">
        <v>114.063528412139</v>
      </c>
      <c r="Q21" s="13" t="n">
        <v>116.3447989803818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0.2123</v>
      </c>
      <c r="I23" s="4" t="n">
        <v>0.2123</v>
      </c>
      <c r="J23" s="4" t="n">
        <v>0.2123</v>
      </c>
      <c r="K23" s="4" t="n">
        <v>0.2123</v>
      </c>
      <c r="L23" s="4" t="n">
        <v>0.2123</v>
      </c>
      <c r="M23" s="4" t="n">
        <v>0.2123</v>
      </c>
      <c r="N23" s="4" t="n">
        <v>0.2123</v>
      </c>
      <c r="O23" s="4" t="n">
        <v>0.2123</v>
      </c>
      <c r="P23" s="4" t="n">
        <v>0.2123</v>
      </c>
      <c r="Q23" s="4" t="n">
        <v>0.2123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0.662462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1445.527371</v>
      </c>
      <c r="E29" s="13" t="n">
        <v>1492.998856</v>
      </c>
      <c r="F29" s="13" t="n">
        <v>1200.132454</v>
      </c>
      <c r="G29" s="13" t="n">
        <v>1038.170254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923.6231</v>
      </c>
      <c r="E30" s="13" t="n">
        <v>1100.952827</v>
      </c>
      <c r="F30" s="13" t="n">
        <v>1068.940836</v>
      </c>
      <c r="G30" s="13" t="n">
        <v>934.491492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521.904271</v>
      </c>
      <c r="E31" s="13" t="n">
        <v>392.046029</v>
      </c>
      <c r="F31" s="13" t="n">
        <v>131.191618</v>
      </c>
      <c r="G31" s="13" t="n">
        <v>103.678762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126.172622</v>
      </c>
      <c r="E32" s="13" t="n">
        <v>134.172586</v>
      </c>
      <c r="F32" s="13" t="n">
        <v>57.505347</v>
      </c>
      <c r="G32" s="13" t="n">
        <v>61.024162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395.731649</v>
      </c>
      <c r="E33" s="13" t="n">
        <v>257.873443</v>
      </c>
      <c r="F33" s="13" t="n">
        <v>73.686271</v>
      </c>
      <c r="G33" s="13" t="n">
        <v>42.6546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4.986805</v>
      </c>
      <c r="E34" s="13" t="n">
        <v>5.48014</v>
      </c>
      <c r="F34" s="13" t="n">
        <v>205.078832</v>
      </c>
      <c r="G34" s="13" t="n">
        <v>211.565247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400.718454</v>
      </c>
      <c r="E35" s="13" t="n">
        <v>263.353583</v>
      </c>
      <c r="F35" s="13" t="n">
        <v>278.765103</v>
      </c>
      <c r="G35" s="13" t="n">
        <v>254.219847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52.481411</v>
      </c>
      <c r="E36" s="13" t="n">
        <v>106.107407</v>
      </c>
      <c r="F36" s="13" t="n">
        <v>109.803082</v>
      </c>
      <c r="G36" s="13" t="n">
        <v>76.554485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2.596132</v>
      </c>
      <c r="E37" s="13" t="n">
        <v>4.812848</v>
      </c>
      <c r="F37" s="13" t="n">
        <v>4.558293</v>
      </c>
      <c r="G37" s="13" t="n">
        <v>4.382377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87.215074</v>
      </c>
      <c r="E38" s="13" t="n">
        <v>214.912039</v>
      </c>
      <c r="F38" s="13" t="n">
        <v>186.380591</v>
      </c>
      <c r="G38" s="13" t="n">
        <v>105.377069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433.061444</v>
      </c>
      <c r="E39" s="13" t="n">
        <v>371.490923</v>
      </c>
      <c r="F39" s="13" t="n">
        <v>154.822073</v>
      </c>
      <c r="G39" s="13" t="n">
        <v>75.859561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91.157937</v>
      </c>
      <c r="E40" s="13" t="n">
        <v>55.86703</v>
      </c>
      <c r="F40" s="13" t="n">
        <v>15.480224</v>
      </c>
      <c r="G40" s="13" t="n">
        <v>5.378922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341.903507</v>
      </c>
      <c r="E41" s="13" t="n">
        <v>315.623893</v>
      </c>
      <c r="F41" s="13" t="n">
        <v>139.341849</v>
      </c>
      <c r="G41" s="13" t="n">
        <v>70.480639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71.99358100000001</v>
      </c>
      <c r="E42" s="13" t="n">
        <v>26.62333599999999</v>
      </c>
      <c r="F42" s="13" t="n">
        <v>-0.0266640000000109</v>
      </c>
      <c r="G42" s="13" t="n">
        <v>-0.1356779999999986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269.909926</v>
      </c>
      <c r="E43" s="13" t="n">
        <v>289.000557</v>
      </c>
      <c r="F43" s="13" t="n">
        <v>139.368513</v>
      </c>
      <c r="G43" s="13" t="n">
        <v>70.616317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2753.165</v>
      </c>
      <c r="E44" s="13" t="n">
        <v>2753.165</v>
      </c>
      <c r="F44" s="13" t="n">
        <v>2753.165</v>
      </c>
      <c r="G44" s="13" t="n">
        <v>2753.165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0.09803623320796247</v>
      </c>
      <c r="E45" s="15" t="n">
        <v>0.1049703003634</v>
      </c>
      <c r="F45" s="15" t="n">
        <v>0.05062119887474961</v>
      </c>
      <c r="G45" s="15" t="n">
        <v>0.02564914089783939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0.02670405233994259</v>
      </c>
      <c r="E46" s="15" t="n">
        <v>0.01817845698792211</v>
      </c>
      <c r="F46" s="15" t="n">
        <v>0.009352249623977746</v>
      </c>
      <c r="G46" s="15" t="n">
        <v>0.005444544229905703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66.50462400000001</v>
      </c>
      <c r="E47" s="13" t="n">
        <v>97.09999999999999</v>
      </c>
      <c r="F47" s="13" t="n">
        <v>50.000025</v>
      </c>
      <c r="G47" s="13" t="n">
        <v>25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282.461255</v>
      </c>
      <c r="E48" s="13" t="n">
        <v>434.776479</v>
      </c>
      <c r="F48" s="13" t="n">
        <v>282.133452</v>
      </c>
      <c r="G48" s="13" t="n">
        <v>136.575725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23.836187</v>
      </c>
      <c r="F49" s="13" t="n">
        <v>28.06992699999995</v>
      </c>
      <c r="G49" s="13" t="n">
        <v>-0.5215259999999375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-234.039635859657</v>
      </c>
      <c r="F50" s="13" t="n">
        <v>-38.80595916494957</v>
      </c>
      <c r="G50" s="13" t="n">
        <v>115.1411674557321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101.4344430000001</v>
      </c>
      <c r="F51" s="13" t="n">
        <v>-63.8469990000001</v>
      </c>
      <c r="G51" s="13" t="n">
        <v>-7.221436999999924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85.686938</v>
      </c>
      <c r="E54" s="13" t="n">
        <v>109.523125</v>
      </c>
      <c r="F54" s="13" t="n">
        <v>137.5930519999999</v>
      </c>
      <c r="G54" s="13" t="n">
        <v>137.071526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221.631736</v>
      </c>
      <c r="E55" s="13" t="n">
        <v>188.643916</v>
      </c>
      <c r="F55" s="13" t="n">
        <v>170.318176</v>
      </c>
      <c r="G55" s="13" t="n">
        <v>202.368975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938.742045</v>
      </c>
      <c r="E56" s="13" t="n">
        <v>1040.176488</v>
      </c>
      <c r="F56" s="13" t="n">
        <v>976.329489</v>
      </c>
      <c r="G56" s="13" t="n">
        <v>969.108052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696.713289</v>
      </c>
      <c r="E57" s="13" t="n">
        <v>848.808046</v>
      </c>
      <c r="F57" s="13" t="n">
        <v>844.113095</v>
      </c>
      <c r="G57" s="13" t="n">
        <v>836.346124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550.362756</v>
      </c>
      <c r="E58" s="13" t="n">
        <v>759.021033</v>
      </c>
      <c r="F58" s="13" t="n">
        <v>841.403728</v>
      </c>
      <c r="G58" s="13" t="n">
        <v>874.705974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67.158519</v>
      </c>
      <c r="E59" s="13" t="n">
        <v>-0.094066</v>
      </c>
      <c r="F59" s="13" t="n">
        <v>5.851168</v>
      </c>
      <c r="G59" s="13" t="n">
        <v>5.715422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552.2313569999999</v>
      </c>
      <c r="E60" s="13" t="n">
        <v>652.128368</v>
      </c>
      <c r="F60" s="13" t="n">
        <v>671.5600619999999</v>
      </c>
      <c r="G60" s="13" t="n">
        <v>673.7428229999999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717.1103089999999</v>
      </c>
      <c r="E62" s="13" t="n">
        <v>851.5325720000001</v>
      </c>
      <c r="F62" s="13" t="n">
        <v>806.011313</v>
      </c>
      <c r="G62" s="13" t="n">
        <v>766.7390770000001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0.1999018424249909</v>
      </c>
      <c r="E63" s="15" t="n">
        <v>0.2756903538291385</v>
      </c>
      <c r="F63" s="15" t="n">
        <v>0.3056132589220043</v>
      </c>
      <c r="G63" s="15" t="n">
        <v>0.3177092451778226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0.03284025328912299</v>
      </c>
      <c r="F64" s="4" t="n">
        <v>-0.1961598301452415</v>
      </c>
      <c r="G64" s="4" t="n">
        <v>-0.134953604046108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0.3610476573950671</v>
      </c>
      <c r="E65" s="4" t="n">
        <v>0.2625896379119529</v>
      </c>
      <c r="F65" s="4" t="n">
        <v>0.1093142824050319</v>
      </c>
      <c r="G65" s="4" t="n">
        <v>0.09986682011022056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0.2772126367436318</v>
      </c>
      <c r="E66" s="4" t="n">
        <v>0.1763923541814154</v>
      </c>
      <c r="F66" s="4" t="n">
        <v>0.2322786139737206</v>
      </c>
      <c r="G66" s="4" t="n">
        <v>0.2448729830396393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0.2737628196733745</v>
      </c>
      <c r="E67" s="4" t="n">
        <v>0.172721795441215</v>
      </c>
      <c r="F67" s="4" t="n">
        <v>0.06139844877488831</v>
      </c>
      <c r="G67" s="4" t="n">
        <v>0.04108632455577946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0.1867207300359033</v>
      </c>
      <c r="E68" s="4" t="n">
        <v>0.1935705146983716</v>
      </c>
      <c r="F68" s="4" t="n">
        <v>0.1161276095280063</v>
      </c>
      <c r="G68" s="4" t="n">
        <v>0.06801997719345172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0.07072963667145782</v>
      </c>
      <c r="F69" s="4" t="n">
        <v>-0.5177569398248599</v>
      </c>
      <c r="G69" s="4" t="n">
        <v>-0.4933122591327355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0.4414298686570955</v>
      </c>
      <c r="F70" s="4" t="n">
        <v>0.1741644048457708</v>
      </c>
      <c r="G70" s="4" t="n">
        <v>0.08229813853706655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1.789561478493825</v>
      </c>
      <c r="E71" s="18" t="n">
        <v>3.233419353174322</v>
      </c>
      <c r="F71" s="18" t="n">
        <v>2.891363747922207</v>
      </c>
      <c r="G71" s="18" t="n">
        <v>3.016047275805339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0.2723896203079914</v>
      </c>
      <c r="E72" s="4" t="n">
        <v>0.1731771455829844</v>
      </c>
      <c r="F72" s="4" t="n">
        <v>0.1847496667773064</v>
      </c>
      <c r="G72" s="4" t="n">
        <v>0.2122700425558633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0.1954036019425882</v>
      </c>
      <c r="E73" s="4" t="n">
        <v>0.2912101889782024</v>
      </c>
      <c r="F73" s="4" t="n">
        <v>0.2350852616806244</v>
      </c>
      <c r="G73" s="4" t="n">
        <v>0.1315542652794982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2540</v>
      </c>
    </row>
    <row r="77">
      <c r="A77" t="inlineStr">
        <is>
          <t>Shares outstanding (m)</t>
        </is>
      </c>
      <c r="C77" s="13" t="n">
        <v>2753.165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922.343253</v>
      </c>
    </row>
    <row r="80">
      <c r="A80" t="inlineStr">
        <is>
          <t>Cash at balance-sheet date</t>
        </is>
      </c>
      <c r="C80" s="13" t="n">
        <v>217.019467</v>
      </c>
    </row>
    <row r="81">
      <c r="A81" t="inlineStr">
        <is>
          <t>Minority interest (book)</t>
        </is>
      </c>
      <c r="C81" s="13" t="n">
        <v>6.259814</v>
      </c>
    </row>
    <row r="82">
      <c r="A82" t="inlineStr">
        <is>
          <t>Associates &amp; investments (book)</t>
        </is>
      </c>
      <c r="C82" s="13" t="n">
        <v>598.521655</v>
      </c>
    </row>
    <row r="83">
      <c r="A83" t="inlineStr">
        <is>
          <t>Post-balance-sheet &amp; other items (sourced, probability-weighted)</t>
        </is>
      </c>
      <c r="C83" s="13" t="n">
        <v>-6.259814</v>
      </c>
    </row>
    <row r="84">
      <c r="A84" t="inlineStr">
        <is>
          <t>Parent equity at balance-sheet date</t>
        </is>
      </c>
      <c r="C84" s="13" t="n">
        <v>888.4189710000001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2540.001335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3.77447</v>
      </c>
    </row>
    <row r="104">
      <c r="A104" t="inlineStr">
        <is>
          <t>Metric (LTM, or next-12m DPS for yield)</t>
        </is>
      </c>
      <c r="C104" s="13" t="n">
        <v>70.616317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0.775979</v>
      </c>
    </row>
    <row r="109">
      <c r="A109" t="inlineStr">
        <is>
          <t>Metric (LTM, or next-12m DPS for yield)</t>
        </is>
      </c>
      <c r="C109" s="13" t="n">
        <v>888.4189710000001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103.8285183893187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2527.993082784294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3615.278062230801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3584.390207</v>
      </c>
      <c r="E132" s="23" t="n">
        <v>3314.826487</v>
      </c>
      <c r="F132" s="23" t="n">
        <v>3045.262767</v>
      </c>
      <c r="G132" s="23" t="n">
        <v>2775.699047</v>
      </c>
      <c r="H132" s="23" t="n">
        <v>2506.135327</v>
      </c>
    </row>
    <row r="133">
      <c r="C133" s="1" t="n">
        <v>-0.005</v>
      </c>
      <c r="D133" s="23" t="n">
        <v>3599.834135</v>
      </c>
      <c r="E133" s="23" t="n">
        <v>3329.141652</v>
      </c>
      <c r="F133" s="23" t="n">
        <v>3058.44917</v>
      </c>
      <c r="G133" s="23" t="n">
        <v>2787.756687</v>
      </c>
      <c r="H133" s="23" t="n">
        <v>2517.064205</v>
      </c>
    </row>
    <row r="134">
      <c r="C134" s="1" t="n">
        <v>0</v>
      </c>
      <c r="D134" s="23" t="n">
        <v>3615.278062</v>
      </c>
      <c r="E134" s="23" t="n">
        <v>3343.456817</v>
      </c>
      <c r="F134" s="23" t="n">
        <v>3071.635573</v>
      </c>
      <c r="G134" s="23" t="n">
        <v>2799.814328</v>
      </c>
      <c r="H134" s="23" t="n">
        <v>2527.993083</v>
      </c>
    </row>
    <row r="135">
      <c r="C135" s="1" t="n">
        <v>0.005</v>
      </c>
      <c r="D135" s="23" t="n">
        <v>3630.72199</v>
      </c>
      <c r="E135" s="23" t="n">
        <v>3357.771983</v>
      </c>
      <c r="F135" s="23" t="n">
        <v>3084.821975</v>
      </c>
      <c r="G135" s="23" t="n">
        <v>2811.871968</v>
      </c>
      <c r="H135" s="23" t="n">
        <v>2538.921961</v>
      </c>
    </row>
    <row r="136">
      <c r="C136" s="1" t="n">
        <v>0.01</v>
      </c>
      <c r="D136" s="23" t="n">
        <v>3646.165918</v>
      </c>
      <c r="E136" s="23" t="n">
        <v>3372.087148</v>
      </c>
      <c r="F136" s="23" t="n">
        <v>3098.008378</v>
      </c>
      <c r="G136" s="23" t="n">
        <v>2823.929609</v>
      </c>
      <c r="H136" s="23" t="n">
        <v>2549.850839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Alamtri Resources Indonesia Tbk (ADRO.JK) — Conglomerates &amp; multi-sector holdings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-0.06</v>
      </c>
      <c r="J11" s="4" t="n">
        <v>-0.03</v>
      </c>
      <c r="K11" s="4" t="n">
        <v>-0.02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0.339852</v>
      </c>
      <c r="I12" s="4" t="n">
        <v>0.339852</v>
      </c>
      <c r="J12" s="4" t="n">
        <v>0.339852</v>
      </c>
      <c r="K12" s="4" t="n">
        <v>0.339852</v>
      </c>
      <c r="L12" s="4" t="n">
        <v>0.339852</v>
      </c>
      <c r="M12" s="4" t="n">
        <v>0.339852</v>
      </c>
      <c r="N12" s="4" t="n">
        <v>0.339852</v>
      </c>
      <c r="O12" s="4" t="n">
        <v>0.339852</v>
      </c>
      <c r="P12" s="4" t="n">
        <v>0.339852</v>
      </c>
      <c r="Q12" s="4" t="n">
        <v>0.339852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0.057192</v>
      </c>
      <c r="I13" s="4" t="n">
        <v>0.057192</v>
      </c>
      <c r="J13" s="4" t="n">
        <v>0.057192</v>
      </c>
      <c r="K13" s="4" t="n">
        <v>0.057192</v>
      </c>
      <c r="L13" s="4" t="n">
        <v>0.057192</v>
      </c>
      <c r="M13" s="4" t="n">
        <v>0.057192</v>
      </c>
      <c r="N13" s="4" t="n">
        <v>0.057192</v>
      </c>
      <c r="O13" s="4" t="n">
        <v>0.057192</v>
      </c>
      <c r="P13" s="4" t="n">
        <v>0.057192</v>
      </c>
      <c r="Q13" s="4" t="n">
        <v>0.057192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0.126756</v>
      </c>
      <c r="I14" s="4" t="n">
        <v>0.126756</v>
      </c>
      <c r="J14" s="4" t="n">
        <v>0.126756</v>
      </c>
      <c r="K14" s="4" t="n">
        <v>0.126756</v>
      </c>
      <c r="L14" s="4" t="n">
        <v>0.126756</v>
      </c>
      <c r="M14" s="4" t="n">
        <v>0.126756</v>
      </c>
      <c r="N14" s="4" t="n">
        <v>0.126756</v>
      </c>
      <c r="O14" s="4" t="n">
        <v>0.126756</v>
      </c>
      <c r="P14" s="4" t="n">
        <v>0.126756</v>
      </c>
      <c r="Q14" s="4" t="n">
        <v>0.126756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0.177</v>
      </c>
      <c r="I15" s="4" t="n">
        <v>0.16</v>
      </c>
      <c r="J15" s="4" t="n">
        <v>0.15</v>
      </c>
      <c r="K15" s="4" t="n">
        <v>0.14</v>
      </c>
      <c r="L15" s="4" t="n">
        <v>0.14</v>
      </c>
      <c r="M15" s="4" t="n">
        <v>0.14</v>
      </c>
      <c r="N15" s="4" t="n">
        <v>0.14</v>
      </c>
      <c r="O15" s="4" t="n">
        <v>0.14</v>
      </c>
      <c r="P15" s="4" t="n">
        <v>0.14</v>
      </c>
      <c r="Q15" s="4" t="n">
        <v>0.14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-0.0927</v>
      </c>
      <c r="I16" s="4" t="n">
        <v>-0.0927</v>
      </c>
      <c r="J16" s="4" t="n">
        <v>-0.0927</v>
      </c>
      <c r="K16" s="4" t="n">
        <v>-0.0927</v>
      </c>
      <c r="L16" s="4" t="n">
        <v>-0.0927</v>
      </c>
      <c r="M16" s="4" t="n">
        <v>-0.0927</v>
      </c>
      <c r="N16" s="4" t="n">
        <v>-0.0927</v>
      </c>
      <c r="O16" s="4" t="n">
        <v>-0.0927</v>
      </c>
      <c r="P16" s="4" t="n">
        <v>-0.0927</v>
      </c>
      <c r="Q16" s="4" t="n">
        <v>-0.0927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0.200202</v>
      </c>
      <c r="I17" s="4" t="n">
        <v>0.200202</v>
      </c>
      <c r="J17" s="4" t="n">
        <v>0.200202</v>
      </c>
      <c r="K17" s="4" t="n">
        <v>0.200202</v>
      </c>
      <c r="L17" s="4" t="n">
        <v>0.200202</v>
      </c>
      <c r="M17" s="4" t="n">
        <v>0.200202</v>
      </c>
      <c r="N17" s="4" t="n">
        <v>0.200202</v>
      </c>
      <c r="O17" s="4" t="n">
        <v>0.200202</v>
      </c>
      <c r="P17" s="4" t="n">
        <v>0.200202</v>
      </c>
      <c r="Q17" s="4" t="n">
        <v>0.200202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0.020375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0.047925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1118.124</v>
      </c>
      <c r="I20" s="13" t="n">
        <v>150</v>
      </c>
      <c r="J20" s="13" t="n">
        <v>150</v>
      </c>
      <c r="K20" s="13" t="n">
        <v>150</v>
      </c>
      <c r="L20" s="13" t="n">
        <v>150</v>
      </c>
      <c r="M20" s="13" t="n">
        <v>153</v>
      </c>
      <c r="N20" s="13" t="n">
        <v>156.06</v>
      </c>
      <c r="O20" s="13" t="n">
        <v>159.1812</v>
      </c>
      <c r="P20" s="13" t="n">
        <v>162.364824</v>
      </c>
      <c r="Q20" s="13" t="n">
        <v>165.61212048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0.086048</v>
      </c>
      <c r="I22" s="4" t="n">
        <v>0.086048</v>
      </c>
      <c r="J22" s="4" t="n">
        <v>0.086048</v>
      </c>
      <c r="K22" s="4" t="n">
        <v>0.086048</v>
      </c>
      <c r="L22" s="4" t="n">
        <v>0.086048</v>
      </c>
      <c r="M22" s="4" t="n">
        <v>0.086048</v>
      </c>
      <c r="N22" s="4" t="n">
        <v>0.086048</v>
      </c>
      <c r="O22" s="4" t="n">
        <v>0.086048</v>
      </c>
      <c r="P22" s="4" t="n">
        <v>0.086048</v>
      </c>
      <c r="Q22" s="4" t="n">
        <v>0.086048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0.9996</v>
      </c>
      <c r="I23" s="4" t="n">
        <v>0.8</v>
      </c>
      <c r="J23" s="4" t="n">
        <v>0.7</v>
      </c>
      <c r="K23" s="4" t="n">
        <v>0.6</v>
      </c>
      <c r="L23" s="4" t="n">
        <v>0.6</v>
      </c>
      <c r="M23" s="4" t="n">
        <v>0.6</v>
      </c>
      <c r="N23" s="4" t="n">
        <v>0.6</v>
      </c>
      <c r="O23" s="4" t="n">
        <v>0.6</v>
      </c>
      <c r="P23" s="4" t="n">
        <v>0.6</v>
      </c>
      <c r="Q23" s="4" t="n">
        <v>0.6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8102.399</v>
      </c>
      <c r="E29" s="13" t="n">
        <v>2135.412</v>
      </c>
      <c r="F29" s="13" t="n">
        <v>2078.689</v>
      </c>
      <c r="G29" s="13" t="n">
        <v>1874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3449.427</v>
      </c>
      <c r="E30" s="13" t="n">
        <v>1267.731</v>
      </c>
      <c r="F30" s="13" t="n">
        <v>1204.69</v>
      </c>
      <c r="G30" s="13" t="n">
        <v>1236.892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4652.972</v>
      </c>
      <c r="E31" s="13" t="n">
        <v>867.681</v>
      </c>
      <c r="F31" s="13" t="n">
        <v>873.999</v>
      </c>
      <c r="G31" s="13" t="n">
        <v>636.636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375.9740000000002</v>
      </c>
      <c r="E32" s="13" t="n">
        <v>93.94500000000005</v>
      </c>
      <c r="F32" s="13" t="n">
        <v>140.357</v>
      </c>
      <c r="G32" s="13" t="n">
        <v>107.149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4276.998</v>
      </c>
      <c r="E33" s="13" t="n">
        <v>773.736</v>
      </c>
      <c r="F33" s="13" t="n">
        <v>733.6420000000001</v>
      </c>
      <c r="G33" s="13" t="n">
        <v>529.487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6.847</v>
      </c>
      <c r="E34" s="13" t="n">
        <v>4.893</v>
      </c>
      <c r="F34" s="13" t="n">
        <v>210.763</v>
      </c>
      <c r="G34" s="13" t="n">
        <v>237.474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4283.844999999999</v>
      </c>
      <c r="E35" s="13" t="n">
        <v>778.629</v>
      </c>
      <c r="F35" s="13" t="n">
        <v>944.4050000000001</v>
      </c>
      <c r="G35" s="13" t="n">
        <v>766.961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74.744</v>
      </c>
      <c r="E36" s="13" t="n">
        <v>60.059</v>
      </c>
      <c r="F36" s="13" t="n">
        <v>43.773</v>
      </c>
      <c r="G36" s="13" t="n">
        <v>11.814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47.397</v>
      </c>
      <c r="E37" s="13" t="n">
        <v>65.965</v>
      </c>
      <c r="F37" s="13" t="n">
        <v>118.218</v>
      </c>
      <c r="G37" s="13" t="n">
        <v>97.461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226.5680000000005</v>
      </c>
      <c r="E38" s="13" t="n">
        <v>38.94599999999997</v>
      </c>
      <c r="F38" s="13" t="n">
        <v>1.73299999999999</v>
      </c>
      <c r="G38" s="13" t="n">
        <v>-2.672999999999959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4476.219</v>
      </c>
      <c r="E39" s="13" t="n">
        <v>818.588</v>
      </c>
      <c r="F39" s="13" t="n">
        <v>809.8200000000001</v>
      </c>
      <c r="G39" s="13" t="n">
        <v>612.461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1645.096</v>
      </c>
      <c r="E40" s="13" t="n">
        <v>165.282</v>
      </c>
      <c r="F40" s="13" t="n">
        <v>172.336</v>
      </c>
      <c r="G40" s="13" t="n">
        <v>122.616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2831.123</v>
      </c>
      <c r="E41" s="13" t="n">
        <v>1854.878</v>
      </c>
      <c r="F41" s="13" t="n">
        <v>1556.132</v>
      </c>
      <c r="G41" s="13" t="n">
        <v>489.845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338.0430000000001</v>
      </c>
      <c r="E42" s="13" t="n">
        <v>213.441</v>
      </c>
      <c r="F42" s="13" t="n">
        <v>176.1190000000001</v>
      </c>
      <c r="G42" s="13" t="n">
        <v>42.15100000000001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2493.08</v>
      </c>
      <c r="E43" s="13" t="n">
        <v>1641.437</v>
      </c>
      <c r="F43" s="13" t="n">
        <v>1380.013</v>
      </c>
      <c r="G43" s="13" t="n">
        <v>447.69422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30985.962</v>
      </c>
      <c r="E44" s="13" t="n">
        <v>30881.2059</v>
      </c>
      <c r="F44" s="13" t="n">
        <v>30244.9184</v>
      </c>
      <c r="G44" s="13" t="n">
        <v>28800.4942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0.08045837014839172</v>
      </c>
      <c r="E45" s="15" t="n">
        <v>0.05315326756718396</v>
      </c>
      <c r="F45" s="15" t="n">
        <v>0.04562792935159646</v>
      </c>
      <c r="G45" s="15" t="n">
        <v>0.01554467145220029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0.04583207099617164</v>
      </c>
      <c r="E46" s="15" t="n">
        <v>0.1053209352514923</v>
      </c>
      <c r="F46" s="15" t="n">
        <v>0.01684</v>
      </c>
      <c r="G46" s="15" t="n">
        <v>0.01553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650</v>
      </c>
      <c r="E47" s="13" t="n">
        <v>1000</v>
      </c>
      <c r="F47" s="13" t="n">
        <v>3429.396</v>
      </c>
      <c r="G47" s="13" t="n">
        <v>447.5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403.609</v>
      </c>
      <c r="E48" s="13" t="n">
        <v>587.773</v>
      </c>
      <c r="F48" s="13" t="n">
        <v>837.466</v>
      </c>
      <c r="G48" s="13" t="n">
        <v>797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880.8450000000003</v>
      </c>
      <c r="F49" s="13" t="n">
        <v>227.434</v>
      </c>
      <c r="G49" s="13" t="n">
        <v>-157.1700000000003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-846.2148835360404</v>
      </c>
      <c r="F50" s="13" t="n">
        <v>-276.6197285964781</v>
      </c>
      <c r="G50" s="13" t="n">
        <v>21.12657197601175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-143.3889999999999</v>
      </c>
      <c r="F51" s="13" t="n">
        <v>-859.4110000000001</v>
      </c>
      <c r="G51" s="13" t="n">
        <v>241.419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-1124.784</v>
      </c>
      <c r="E54" s="13" t="n">
        <v>-243.9389999999999</v>
      </c>
      <c r="F54" s="13" t="n">
        <v>-16.50499999999988</v>
      </c>
      <c r="G54" s="13" t="n">
        <v>-173.6750000000002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4172.281</v>
      </c>
      <c r="E55" s="13" t="n">
        <v>3359.503</v>
      </c>
      <c r="F55" s="13" t="n">
        <v>2033.611</v>
      </c>
      <c r="G55" s="13" t="n">
        <v>1580.309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1582.645</v>
      </c>
      <c r="E56" s="13" t="n">
        <v>1439.256</v>
      </c>
      <c r="F56" s="13" t="n">
        <v>579.845</v>
      </c>
      <c r="G56" s="13" t="n">
        <v>821.264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2485.251</v>
      </c>
      <c r="E57" s="13" t="n">
        <v>2748.958</v>
      </c>
      <c r="F57" s="13" t="n">
        <v>2076.5</v>
      </c>
      <c r="G57" s="13" t="n">
        <v>2901.523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6024.6</v>
      </c>
      <c r="E58" s="13" t="n">
        <v>6772.664</v>
      </c>
      <c r="F58" s="13" t="n">
        <v>4926.856</v>
      </c>
      <c r="G58" s="13" t="n">
        <v>4485.423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502.738</v>
      </c>
      <c r="E59" s="13" t="n">
        <v>636.086</v>
      </c>
      <c r="F59" s="13" t="n">
        <v>443.976</v>
      </c>
      <c r="G59" s="13" t="n">
        <v>518.53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2577.235000000001</v>
      </c>
      <c r="E60" s="13" t="n">
        <v>2983.483999999999</v>
      </c>
      <c r="F60" s="13" t="n">
        <v>1857.071</v>
      </c>
      <c r="G60" s="13" t="n">
        <v>1517.059999999999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-2589.636</v>
      </c>
      <c r="E62" s="13" t="n">
        <v>-1920.247</v>
      </c>
      <c r="F62" s="13" t="n">
        <v>-1453.766</v>
      </c>
      <c r="G62" s="13" t="n">
        <v>-759.045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0.1944299809055469</v>
      </c>
      <c r="E63" s="15" t="n">
        <v>0.2193134562792446</v>
      </c>
      <c r="F63" s="15" t="n">
        <v>0.1628986375443486</v>
      </c>
      <c r="G63" s="15" t="n">
        <v>0.1557411816912503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-0.7364469461452097</v>
      </c>
      <c r="F64" s="4" t="n">
        <v>-0.02656302390358389</v>
      </c>
      <c r="G64" s="4" t="n">
        <v>-0.09847023773157015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0.5742709042099753</v>
      </c>
      <c r="E65" s="4" t="n">
        <v>0.4063295513933611</v>
      </c>
      <c r="F65" s="4" t="n">
        <v>0.4204568360153924</v>
      </c>
      <c r="G65" s="4" t="n">
        <v>0.3397203842049092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0.5287131626077658</v>
      </c>
      <c r="E66" s="4" t="n">
        <v>0.364627060258161</v>
      </c>
      <c r="F66" s="4" t="n">
        <v>0.4543272225907772</v>
      </c>
      <c r="G66" s="4" t="n">
        <v>0.4092641408751334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0.5278681042491241</v>
      </c>
      <c r="E67" s="4" t="n">
        <v>0.3623356991531377</v>
      </c>
      <c r="F67" s="4" t="n">
        <v>0.3529349508271801</v>
      </c>
      <c r="G67" s="4" t="n">
        <v>0.2825437566702241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0.307696522968074</v>
      </c>
      <c r="E68" s="4" t="n">
        <v>0.7686746164206252</v>
      </c>
      <c r="F68" s="4" t="n">
        <v>0.6638862282910046</v>
      </c>
      <c r="G68" s="4" t="n">
        <v>0.2388976627534685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-0.3393693226801409</v>
      </c>
      <c r="F69" s="4" t="n">
        <v>-0.1415780921855033</v>
      </c>
      <c r="G69" s="4" t="n">
        <v>-0.6593167458374616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0.2565293644016409</v>
      </c>
      <c r="F70" s="4" t="n">
        <v>0.23590933645141</v>
      </c>
      <c r="G70" s="4" t="n">
        <v>0.09512982349970714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-0.6045120680136654</v>
      </c>
      <c r="E71" s="18" t="n">
        <v>-2.466189931276642</v>
      </c>
      <c r="F71" s="18" t="n">
        <v>-1.53934593738915</v>
      </c>
      <c r="G71" s="18" t="n">
        <v>-0.9896787450730871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0.5696370795436474</v>
      </c>
      <c r="E72" s="4" t="n">
        <v>1.981457398049333</v>
      </c>
      <c r="F72" s="4" t="n">
        <v>0.3690721941430987</v>
      </c>
      <c r="G72" s="4" t="n">
        <v>0.9990561748284355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0.04981351819380901</v>
      </c>
      <c r="E73" s="4" t="n">
        <v>0.2752503966447693</v>
      </c>
      <c r="F73" s="4" t="n">
        <v>0.4028818163756098</v>
      </c>
      <c r="G73" s="4" t="n">
        <v>0.4252934898612593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2460</v>
      </c>
    </row>
    <row r="77">
      <c r="A77" t="inlineStr">
        <is>
          <t>Shares outstanding (m)</t>
        </is>
      </c>
      <c r="C77" s="13" t="n">
        <v>28800.4942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1939.388</v>
      </c>
    </row>
    <row r="80">
      <c r="A80" t="inlineStr">
        <is>
          <t>Cash at balance-sheet date</t>
        </is>
      </c>
      <c r="C80" s="13" t="n">
        <v>1587.927</v>
      </c>
    </row>
    <row r="81">
      <c r="A81" t="inlineStr">
        <is>
          <t>Minority interest (book)</t>
        </is>
      </c>
      <c r="C81" s="13" t="n">
        <v>518.405</v>
      </c>
    </row>
    <row r="82">
      <c r="A82" t="inlineStr">
        <is>
          <t>Associates &amp; investments (book)</t>
        </is>
      </c>
      <c r="C82" s="13" t="n">
        <v>696.758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4609.002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0.4934065725192069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2379.342963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4.069228</v>
      </c>
    </row>
    <row r="104">
      <c r="A104" t="inlineStr">
        <is>
          <t>Metric (LTM, or next-12m DPS for yield)</t>
        </is>
      </c>
      <c r="C104" s="13" t="n">
        <v>447.69422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0.901424</v>
      </c>
    </row>
    <row r="109">
      <c r="A109" t="inlineStr">
        <is>
          <t>Metric (LTM, or next-12m DPS for yield)</t>
        </is>
      </c>
      <c r="C109" s="13" t="n">
        <v>4609.002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293.4422798762812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1865.688134798716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2313.417703343997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2297.618536</v>
      </c>
      <c r="E132" s="23" t="n">
        <v>2183.072318</v>
      </c>
      <c r="F132" s="23" t="n">
        <v>2068.5261</v>
      </c>
      <c r="G132" s="23" t="n">
        <v>1953.979881</v>
      </c>
      <c r="H132" s="23" t="n">
        <v>1839.433663</v>
      </c>
    </row>
    <row r="133">
      <c r="C133" s="1" t="n">
        <v>-0.005</v>
      </c>
      <c r="D133" s="23" t="n">
        <v>2309.151664</v>
      </c>
      <c r="E133" s="23" t="n">
        <v>2194.095587</v>
      </c>
      <c r="F133" s="23" t="n">
        <v>2079.039509</v>
      </c>
      <c r="G133" s="23" t="n">
        <v>1963.983432</v>
      </c>
      <c r="H133" s="23" t="n">
        <v>1848.927355</v>
      </c>
    </row>
    <row r="134">
      <c r="C134" s="1" t="n">
        <v>0</v>
      </c>
      <c r="D134" s="23" t="n">
        <v>2320.684792</v>
      </c>
      <c r="E134" s="23" t="n">
        <v>2205.118856</v>
      </c>
      <c r="F134" s="23" t="n">
        <v>2089.552919</v>
      </c>
      <c r="G134" s="23" t="n">
        <v>1973.986982</v>
      </c>
      <c r="H134" s="23" t="n">
        <v>1858.421046</v>
      </c>
    </row>
    <row r="135">
      <c r="C135" s="1" t="n">
        <v>0.005</v>
      </c>
      <c r="D135" s="23" t="n">
        <v>2332.21792</v>
      </c>
      <c r="E135" s="23" t="n">
        <v>2216.142125</v>
      </c>
      <c r="F135" s="23" t="n">
        <v>2100.066329</v>
      </c>
      <c r="G135" s="23" t="n">
        <v>1983.990533</v>
      </c>
      <c r="H135" s="23" t="n">
        <v>1867.914737</v>
      </c>
    </row>
    <row r="136">
      <c r="C136" s="1" t="n">
        <v>0.01</v>
      </c>
      <c r="D136" s="23" t="n">
        <v>2343.751049</v>
      </c>
      <c r="E136" s="23" t="n">
        <v>2227.165394</v>
      </c>
      <c r="F136" s="23" t="n">
        <v>2110.579739</v>
      </c>
      <c r="G136" s="23" t="n">
        <v>1993.994083</v>
      </c>
      <c r="H136" s="23" t="n">
        <v>1877.408428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Astra International Tbk (ASII.JK) — Conglomerates &amp; multi-sector holdings</t>
        </is>
      </c>
    </row>
    <row r="2">
      <c r="A2" s="5" t="inlineStr">
        <is>
          <t>Units: IDR bn; per-share in IDR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0.05</v>
      </c>
      <c r="N11" s="4" t="n">
        <v>0.05</v>
      </c>
      <c r="O11" s="4" t="n">
        <v>0.05</v>
      </c>
      <c r="P11" s="4" t="n">
        <v>0.05</v>
      </c>
      <c r="Q11" s="4" t="n">
        <v>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0.220925</v>
      </c>
      <c r="I12" s="4" t="n">
        <v>0.220925</v>
      </c>
      <c r="J12" s="4" t="n">
        <v>0.220925</v>
      </c>
      <c r="K12" s="4" t="n">
        <v>0.220925</v>
      </c>
      <c r="L12" s="4" t="n">
        <v>0.220925</v>
      </c>
      <c r="M12" s="4" t="n">
        <v>0.220925</v>
      </c>
      <c r="N12" s="4" t="n">
        <v>0.220925</v>
      </c>
      <c r="O12" s="4" t="n">
        <v>0.220925</v>
      </c>
      <c r="P12" s="4" t="n">
        <v>0.220925</v>
      </c>
      <c r="Q12" s="4" t="n">
        <v>0.220925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0.101353</v>
      </c>
      <c r="I13" s="4" t="n">
        <v>0.101353</v>
      </c>
      <c r="J13" s="4" t="n">
        <v>0.101353</v>
      </c>
      <c r="K13" s="4" t="n">
        <v>0.101353</v>
      </c>
      <c r="L13" s="4" t="n">
        <v>0.101353</v>
      </c>
      <c r="M13" s="4" t="n">
        <v>0.101353</v>
      </c>
      <c r="N13" s="4" t="n">
        <v>0.101353</v>
      </c>
      <c r="O13" s="4" t="n">
        <v>0.101353</v>
      </c>
      <c r="P13" s="4" t="n">
        <v>0.101353</v>
      </c>
      <c r="Q13" s="4" t="n">
        <v>0.101353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0.055261</v>
      </c>
      <c r="I14" s="4" t="n">
        <v>0.055261</v>
      </c>
      <c r="J14" s="4" t="n">
        <v>0.055261</v>
      </c>
      <c r="K14" s="4" t="n">
        <v>0.055261</v>
      </c>
      <c r="L14" s="4" t="n">
        <v>0.055261</v>
      </c>
      <c r="M14" s="4" t="n">
        <v>0.055261</v>
      </c>
      <c r="N14" s="4" t="n">
        <v>0.055261</v>
      </c>
      <c r="O14" s="4" t="n">
        <v>0.055261</v>
      </c>
      <c r="P14" s="4" t="n">
        <v>0.055261</v>
      </c>
      <c r="Q14" s="4" t="n">
        <v>0.055261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0.053928</v>
      </c>
      <c r="I15" s="4" t="n">
        <v>0.053928</v>
      </c>
      <c r="J15" s="4" t="n">
        <v>0.053928</v>
      </c>
      <c r="K15" s="4" t="n">
        <v>0.053928</v>
      </c>
      <c r="L15" s="4" t="n">
        <v>0.053928</v>
      </c>
      <c r="M15" s="4" t="n">
        <v>0.053928</v>
      </c>
      <c r="N15" s="4" t="n">
        <v>0.053928</v>
      </c>
      <c r="O15" s="4" t="n">
        <v>0.053928</v>
      </c>
      <c r="P15" s="4" t="n">
        <v>0.053928</v>
      </c>
      <c r="Q15" s="4" t="n">
        <v>0.053928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0.140455</v>
      </c>
      <c r="I16" s="4" t="n">
        <v>0.140455</v>
      </c>
      <c r="J16" s="4" t="n">
        <v>0.140455</v>
      </c>
      <c r="K16" s="4" t="n">
        <v>0.140455</v>
      </c>
      <c r="L16" s="4" t="n">
        <v>0.140455</v>
      </c>
      <c r="M16" s="4" t="n">
        <v>0.140455</v>
      </c>
      <c r="N16" s="4" t="n">
        <v>0.140455</v>
      </c>
      <c r="O16" s="4" t="n">
        <v>0.140455</v>
      </c>
      <c r="P16" s="4" t="n">
        <v>0.140455</v>
      </c>
      <c r="Q16" s="4" t="n">
        <v>0.140455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0.184904</v>
      </c>
      <c r="I17" s="4" t="n">
        <v>0.184904</v>
      </c>
      <c r="J17" s="4" t="n">
        <v>0.184904</v>
      </c>
      <c r="K17" s="4" t="n">
        <v>0.184904</v>
      </c>
      <c r="L17" s="4" t="n">
        <v>0.184904</v>
      </c>
      <c r="M17" s="4" t="n">
        <v>0.184904</v>
      </c>
      <c r="N17" s="4" t="n">
        <v>0.184904</v>
      </c>
      <c r="O17" s="4" t="n">
        <v>0.184904</v>
      </c>
      <c r="P17" s="4" t="n">
        <v>0.184904</v>
      </c>
      <c r="Q17" s="4" t="n">
        <v>0.184904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0.040635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0.06737799999999999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10702</v>
      </c>
      <c r="I21" s="13" t="n">
        <v>10702</v>
      </c>
      <c r="J21" s="13" t="n">
        <v>10702</v>
      </c>
      <c r="K21" s="13" t="n">
        <v>10702</v>
      </c>
      <c r="L21" s="13" t="n">
        <v>10702</v>
      </c>
      <c r="M21" s="13" t="n">
        <v>10969.55</v>
      </c>
      <c r="N21" s="13" t="n">
        <v>11243.78875</v>
      </c>
      <c r="O21" s="13" t="n">
        <v>11524.88346875</v>
      </c>
      <c r="P21" s="13" t="n">
        <v>11813.00555546874</v>
      </c>
      <c r="Q21" s="13" t="n">
        <v>12108.33069435546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0.213707</v>
      </c>
      <c r="I22" s="4" t="n">
        <v>0.213707</v>
      </c>
      <c r="J22" s="4" t="n">
        <v>0.213707</v>
      </c>
      <c r="K22" s="4" t="n">
        <v>0.213707</v>
      </c>
      <c r="L22" s="4" t="n">
        <v>0.213707</v>
      </c>
      <c r="M22" s="4" t="n">
        <v>0.213707</v>
      </c>
      <c r="N22" s="4" t="n">
        <v>0.213707</v>
      </c>
      <c r="O22" s="4" t="n">
        <v>0.213707</v>
      </c>
      <c r="P22" s="4" t="n">
        <v>0.213707</v>
      </c>
      <c r="Q22" s="4" t="n">
        <v>0.213707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0.5</v>
      </c>
      <c r="I23" s="4" t="n">
        <v>0.5</v>
      </c>
      <c r="J23" s="4" t="n">
        <v>0.5</v>
      </c>
      <c r="K23" s="4" t="n">
        <v>0.5</v>
      </c>
      <c r="L23" s="4" t="n">
        <v>0.5</v>
      </c>
      <c r="M23" s="4" t="n">
        <v>0.5</v>
      </c>
      <c r="N23" s="4" t="n">
        <v>0.5</v>
      </c>
      <c r="O23" s="4" t="n">
        <v>0.5</v>
      </c>
      <c r="P23" s="4" t="n">
        <v>0.5</v>
      </c>
      <c r="Q23" s="4" t="n">
        <v>0.5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-0.0073</v>
      </c>
      <c r="I24" s="4" t="n">
        <v>-0.02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301379</v>
      </c>
      <c r="E29" s="13" t="n">
        <v>316565</v>
      </c>
      <c r="F29" s="13" t="n">
        <v>328480</v>
      </c>
      <c r="G29" s="13" t="n">
        <v>323392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231291</v>
      </c>
      <c r="E30" s="13" t="n">
        <v>243255</v>
      </c>
      <c r="F30" s="13" t="n">
        <v>255421</v>
      </c>
      <c r="G30" s="13" t="n">
        <v>251948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70088</v>
      </c>
      <c r="E31" s="13" t="n">
        <v>73310</v>
      </c>
      <c r="F31" s="13" t="n">
        <v>73059</v>
      </c>
      <c r="G31" s="13" t="n">
        <v>71444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27887</v>
      </c>
      <c r="E32" s="13" t="n">
        <v>29042</v>
      </c>
      <c r="F32" s="13" t="n">
        <v>30659</v>
      </c>
      <c r="G32" s="13" t="n">
        <v>32779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42201</v>
      </c>
      <c r="E33" s="13" t="n">
        <v>44268</v>
      </c>
      <c r="F33" s="13" t="n">
        <v>42400</v>
      </c>
      <c r="G33" s="13" t="n">
        <v>38665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/>
      <c r="E34" s="13" t="n"/>
      <c r="F34" s="13" t="n">
        <v>16696</v>
      </c>
      <c r="G34" s="13" t="n">
        <v>17871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/>
      <c r="E35" s="13" t="n"/>
      <c r="F35" s="13" t="n">
        <v>59096</v>
      </c>
      <c r="G35" s="13" t="n">
        <v>56536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2107</v>
      </c>
      <c r="E36" s="13" t="n">
        <v>3112</v>
      </c>
      <c r="F36" s="13" t="n">
        <v>3808</v>
      </c>
      <c r="G36" s="13" t="n">
        <v>3734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2535</v>
      </c>
      <c r="E37" s="13" t="n">
        <v>3053</v>
      </c>
      <c r="F37" s="13" t="n">
        <v>3289</v>
      </c>
      <c r="G37" s="13" t="n">
        <v>3655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7761</v>
      </c>
      <c r="E38" s="13" t="n">
        <v>10520</v>
      </c>
      <c r="F38" s="13" t="n">
        <v>11120</v>
      </c>
      <c r="G38" s="13" t="n">
        <v>10702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50390</v>
      </c>
      <c r="E39" s="13" t="n">
        <v>54729</v>
      </c>
      <c r="F39" s="13" t="n">
        <v>53001</v>
      </c>
      <c r="G39" s="13" t="n">
        <v>49288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9970</v>
      </c>
      <c r="E40" s="13" t="n">
        <v>10228</v>
      </c>
      <c r="F40" s="13" t="n">
        <v>9728</v>
      </c>
      <c r="G40" s="13" t="n">
        <v>9083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40420</v>
      </c>
      <c r="E41" s="13" t="n">
        <v>44501</v>
      </c>
      <c r="F41" s="13" t="n">
        <v>43273</v>
      </c>
      <c r="G41" s="13" t="n">
        <v>40205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11476</v>
      </c>
      <c r="E42" s="13" t="n">
        <v>10662</v>
      </c>
      <c r="F42" s="13" t="n">
        <v>9372</v>
      </c>
      <c r="G42" s="13" t="n">
        <v>7436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28944</v>
      </c>
      <c r="E43" s="13" t="n">
        <v>33839</v>
      </c>
      <c r="F43" s="13" t="n">
        <v>33901</v>
      </c>
      <c r="G43" s="13" t="n">
        <v>32769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40483.55314</v>
      </c>
      <c r="E44" s="13" t="n">
        <v>40483.55314</v>
      </c>
      <c r="F44" s="13" t="n">
        <v>40483.55314</v>
      </c>
      <c r="G44" s="13" t="n">
        <v>40213.71534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714.9570073532334</v>
      </c>
      <c r="E45" s="15" t="n">
        <v>835.8703072079211</v>
      </c>
      <c r="F45" s="15" t="n">
        <v>837.4017933347833</v>
      </c>
      <c r="G45" s="15" t="n">
        <v>814.8712379083548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650</v>
      </c>
      <c r="E46" s="15" t="n">
        <v>519</v>
      </c>
      <c r="F46" s="15" t="n">
        <v>406</v>
      </c>
      <c r="G46" s="15" t="n">
        <v>390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11409</v>
      </c>
      <c r="E47" s="13" t="n">
        <v>26297</v>
      </c>
      <c r="F47" s="13" t="n">
        <v>20998</v>
      </c>
      <c r="G47" s="13" t="n">
        <v>16426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11855</v>
      </c>
      <c r="E48" s="13" t="n">
        <v>22098</v>
      </c>
      <c r="F48" s="13" t="n">
        <v>17508</v>
      </c>
      <c r="G48" s="13" t="n">
        <v>17440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4533</v>
      </c>
      <c r="F49" s="13" t="n">
        <v>7857</v>
      </c>
      <c r="G49" s="13" t="n">
        <v>5718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/>
      <c r="F50" s="13" t="n">
        <v>25948.74683496538</v>
      </c>
      <c r="G50" s="13" t="n">
        <v>26252.65113212141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22589</v>
      </c>
      <c r="F51" s="13" t="n">
        <v>7363</v>
      </c>
      <c r="G51" s="13" t="n">
        <v>9628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33708</v>
      </c>
      <c r="E54" s="13" t="n">
        <v>38241</v>
      </c>
      <c r="F54" s="13" t="n">
        <v>46098</v>
      </c>
      <c r="G54" s="13" t="n">
        <v>51816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61581</v>
      </c>
      <c r="E55" s="13" t="n">
        <v>41984</v>
      </c>
      <c r="F55" s="13" t="n">
        <v>49247</v>
      </c>
      <c r="G55" s="13" t="n">
        <v>53986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70721</v>
      </c>
      <c r="E56" s="13" t="n">
        <v>93310</v>
      </c>
      <c r="F56" s="13" t="n">
        <v>100673</v>
      </c>
      <c r="G56" s="13" t="n">
        <v>110301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78751</v>
      </c>
      <c r="E57" s="13" t="n">
        <v>96846</v>
      </c>
      <c r="F57" s="13" t="n">
        <v>101911</v>
      </c>
      <c r="G57" s="13" t="n">
        <v>105960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192142</v>
      </c>
      <c r="E58" s="13" t="n">
        <v>198640</v>
      </c>
      <c r="F58" s="13" t="n">
        <v>213676</v>
      </c>
      <c r="G58" s="13" t="n">
        <v>228906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51578</v>
      </c>
      <c r="E59" s="13" t="n">
        <v>51784</v>
      </c>
      <c r="F59" s="13" t="n">
        <v>58328</v>
      </c>
      <c r="G59" s="13" t="n">
        <v>61906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140401</v>
      </c>
      <c r="E60" s="13" t="n">
        <v>166663</v>
      </c>
      <c r="F60" s="13" t="n">
        <v>175421</v>
      </c>
      <c r="G60" s="13" t="n">
        <v>189351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9140</v>
      </c>
      <c r="E62" s="13" t="n">
        <v>51326</v>
      </c>
      <c r="F62" s="13" t="n">
        <v>51426</v>
      </c>
      <c r="G62" s="13" t="n">
        <v>56315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4746.174312702632</v>
      </c>
      <c r="E63" s="15" t="n">
        <v>4906.683939353451</v>
      </c>
      <c r="F63" s="15" t="n">
        <v>5278.094026506686</v>
      </c>
      <c r="G63" s="15" t="n">
        <v>5692.237040637488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0.05038838140680002</v>
      </c>
      <c r="F64" s="4" t="n">
        <v>0.03763839969674465</v>
      </c>
      <c r="G64" s="4" t="n">
        <v>-0.01548952752070143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0.2325576765468065</v>
      </c>
      <c r="E65" s="4" t="n">
        <v>0.2315796124018764</v>
      </c>
      <c r="F65" s="4" t="n">
        <v>0.2224153677545056</v>
      </c>
      <c r="G65" s="4" t="n">
        <v>0.2209207401543637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/>
      <c r="E66" s="4" t="n"/>
      <c r="F66" s="4" t="n">
        <v>0.1799074525085241</v>
      </c>
      <c r="G66" s="4" t="n">
        <v>0.1748218879873343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0.1400263455648867</v>
      </c>
      <c r="E67" s="4" t="n">
        <v>0.1398385797545528</v>
      </c>
      <c r="F67" s="4" t="n">
        <v>0.1290793960058451</v>
      </c>
      <c r="G67" s="4" t="n">
        <v>0.1195607807243222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0.09603854283145143</v>
      </c>
      <c r="E68" s="4" t="n">
        <v>0.1068943187023202</v>
      </c>
      <c r="F68" s="4" t="n">
        <v>0.1032056746225037</v>
      </c>
      <c r="G68" s="4" t="n">
        <v>0.1013290372056204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0.1691196793808736</v>
      </c>
      <c r="F69" s="4" t="n">
        <v>0.001832205443423218</v>
      </c>
      <c r="G69" s="4" t="n">
        <v>-0.02690531069524593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0.1731860730535183</v>
      </c>
      <c r="F70" s="4" t="n">
        <v>0.1644418358734563</v>
      </c>
      <c r="G70" s="4" t="n">
        <v>0.14808103357118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/>
      <c r="E71" s="18" t="n"/>
      <c r="F71" s="18" t="n">
        <v>0.8702111818058752</v>
      </c>
      <c r="G71" s="18" t="n">
        <v>0.9960909862742323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0.9091455756288006</v>
      </c>
      <c r="E72" s="4" t="n">
        <v>0.6209097219084488</v>
      </c>
      <c r="F72" s="4" t="n">
        <v>0.484832971736527</v>
      </c>
      <c r="G72" s="4" t="n">
        <v>0.4786032220269157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0.03933585286300638</v>
      </c>
      <c r="E73" s="4" t="n">
        <v>0.06980556915641338</v>
      </c>
      <c r="F73" s="4" t="n">
        <v>0.05330004870920604</v>
      </c>
      <c r="G73" s="4" t="n">
        <v>0.05392835939046111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4540</v>
      </c>
    </row>
    <row r="77">
      <c r="A77" t="inlineStr">
        <is>
          <t>Shares outstanding (m)</t>
        </is>
      </c>
      <c r="C77" s="13" t="n">
        <v>39920.06104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119198</v>
      </c>
    </row>
    <row r="80">
      <c r="A80" t="inlineStr">
        <is>
          <t>Cash at balance-sheet date</t>
        </is>
      </c>
      <c r="C80" s="13" t="n">
        <v>47648</v>
      </c>
    </row>
    <row r="81">
      <c r="A81" t="inlineStr">
        <is>
          <t>Minority interest (book)</t>
        </is>
      </c>
      <c r="C81" s="13" t="n">
        <v>59776</v>
      </c>
    </row>
    <row r="82">
      <c r="A82" t="inlineStr">
        <is>
          <t>Associates &amp; investments (book)</t>
        </is>
      </c>
      <c r="C82" s="13" t="n">
        <v>71856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230068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0.6576910304066798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4249.791636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7.20138</v>
      </c>
    </row>
    <row r="104">
      <c r="A104" t="inlineStr">
        <is>
          <t>Metric (LTM, or next-12m DPS for yield)</t>
        </is>
      </c>
      <c r="C104" s="13" t="n">
        <v>32769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1.114466</v>
      </c>
    </row>
    <row r="109">
      <c r="A109" t="inlineStr">
        <is>
          <t>Metric (LTM, or next-12m DPS for yield)</t>
        </is>
      </c>
      <c r="C109" s="13" t="n">
        <v>230068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392.6382537228818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5009.300470800708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5677.192522546568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5681.645735</v>
      </c>
      <c r="E132" s="23" t="n">
        <v>5487.957627</v>
      </c>
      <c r="F132" s="23" t="n">
        <v>5294.26952</v>
      </c>
      <c r="G132" s="23" t="n">
        <v>5100.581412</v>
      </c>
      <c r="H132" s="23" t="n">
        <v>4906.893305</v>
      </c>
    </row>
    <row r="133">
      <c r="C133" s="1" t="n">
        <v>-0.005</v>
      </c>
      <c r="D133" s="23" t="n">
        <v>5708.301415</v>
      </c>
      <c r="E133" s="23" t="n">
        <v>5513.763349</v>
      </c>
      <c r="F133" s="23" t="n">
        <v>5319.225284</v>
      </c>
      <c r="G133" s="23" t="n">
        <v>5124.687218</v>
      </c>
      <c r="H133" s="23" t="n">
        <v>4930.149152</v>
      </c>
    </row>
    <row r="134">
      <c r="C134" s="1" t="n">
        <v>0</v>
      </c>
      <c r="D134" s="23" t="n">
        <v>5734.957095</v>
      </c>
      <c r="E134" s="23" t="n">
        <v>5539.569071</v>
      </c>
      <c r="F134" s="23" t="n">
        <v>5344.181047</v>
      </c>
      <c r="G134" s="23" t="n">
        <v>5148.793023</v>
      </c>
      <c r="H134" s="23" t="n">
        <v>4953.404999</v>
      </c>
    </row>
    <row r="135">
      <c r="C135" s="1" t="n">
        <v>0.005</v>
      </c>
      <c r="D135" s="23" t="n">
        <v>5761.612776</v>
      </c>
      <c r="E135" s="23" t="n">
        <v>5565.374793</v>
      </c>
      <c r="F135" s="23" t="n">
        <v>5369.136811</v>
      </c>
      <c r="G135" s="23" t="n">
        <v>5172.898828</v>
      </c>
      <c r="H135" s="23" t="n">
        <v>4976.660846</v>
      </c>
    </row>
    <row r="136">
      <c r="C136" s="1" t="n">
        <v>0.01</v>
      </c>
      <c r="D136" s="23" t="n">
        <v>5788.268456</v>
      </c>
      <c r="E136" s="23" t="n">
        <v>5591.180515</v>
      </c>
      <c r="F136" s="23" t="n">
        <v>5394.092574</v>
      </c>
      <c r="G136" s="23" t="n">
        <v>5197.004633</v>
      </c>
      <c r="H136" s="23" t="n">
        <v>4999.916693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Bakrie &amp; Brothers Tbk (BNBR.JK)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0.38</v>
      </c>
      <c r="I11" s="4" t="n">
        <v>0.08</v>
      </c>
      <c r="J11" s="4" t="n">
        <v>0.06</v>
      </c>
      <c r="K11" s="4" t="n">
        <v>0.05</v>
      </c>
      <c r="L11" s="4" t="n">
        <v>0.04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0.251</v>
      </c>
      <c r="I12" s="4" t="n">
        <v>0.251</v>
      </c>
      <c r="J12" s="4" t="n">
        <v>0.251</v>
      </c>
      <c r="K12" s="4" t="n">
        <v>0.251</v>
      </c>
      <c r="L12" s="4" t="n">
        <v>0.251</v>
      </c>
      <c r="M12" s="4" t="n">
        <v>0.251</v>
      </c>
      <c r="N12" s="4" t="n">
        <v>0.251</v>
      </c>
      <c r="O12" s="4" t="n">
        <v>0.251</v>
      </c>
      <c r="P12" s="4" t="n">
        <v>0.251</v>
      </c>
      <c r="Q12" s="4" t="n">
        <v>0.251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0.142</v>
      </c>
      <c r="I13" s="4" t="n">
        <v>0.142</v>
      </c>
      <c r="J13" s="4" t="n">
        <v>0.142</v>
      </c>
      <c r="K13" s="4" t="n">
        <v>0.142</v>
      </c>
      <c r="L13" s="4" t="n">
        <v>0.142</v>
      </c>
      <c r="M13" s="4" t="n">
        <v>0.142</v>
      </c>
      <c r="N13" s="4" t="n">
        <v>0.142</v>
      </c>
      <c r="O13" s="4" t="n">
        <v>0.142</v>
      </c>
      <c r="P13" s="4" t="n">
        <v>0.142</v>
      </c>
      <c r="Q13" s="4" t="n">
        <v>0.142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</v>
      </c>
      <c r="I14" s="4" t="n">
        <v>0.05</v>
      </c>
      <c r="J14" s="4" t="n">
        <v>0.05</v>
      </c>
      <c r="K14" s="4" t="n">
        <v>0.05</v>
      </c>
      <c r="L14" s="4" t="n">
        <v>0.05</v>
      </c>
      <c r="M14" s="4" t="n">
        <v>0.05</v>
      </c>
      <c r="N14" s="4" t="n">
        <v>0.05</v>
      </c>
      <c r="O14" s="4" t="n">
        <v>0.05</v>
      </c>
      <c r="P14" s="4" t="n">
        <v>0.05</v>
      </c>
      <c r="Q14" s="4" t="n">
        <v>0.05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0.055</v>
      </c>
      <c r="I15" s="4" t="n">
        <v>0.055</v>
      </c>
      <c r="J15" s="4" t="n">
        <v>0.055</v>
      </c>
      <c r="K15" s="4" t="n">
        <v>0.055</v>
      </c>
      <c r="L15" s="4" t="n">
        <v>0.055</v>
      </c>
      <c r="M15" s="4" t="n">
        <v>0.055</v>
      </c>
      <c r="N15" s="4" t="n">
        <v>0.055</v>
      </c>
      <c r="O15" s="4" t="n">
        <v>0.055</v>
      </c>
      <c r="P15" s="4" t="n">
        <v>0.055</v>
      </c>
      <c r="Q15" s="4" t="n">
        <v>0.055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0.388</v>
      </c>
      <c r="I16" s="4" t="n">
        <v>0.388</v>
      </c>
      <c r="J16" s="4" t="n">
        <v>0.388</v>
      </c>
      <c r="K16" s="4" t="n">
        <v>0.388</v>
      </c>
      <c r="L16" s="4" t="n">
        <v>0.388</v>
      </c>
      <c r="M16" s="4" t="n">
        <v>0.388</v>
      </c>
      <c r="N16" s="4" t="n">
        <v>0.388</v>
      </c>
      <c r="O16" s="4" t="n">
        <v>0.388</v>
      </c>
      <c r="P16" s="4" t="n">
        <v>0.388</v>
      </c>
      <c r="Q16" s="4" t="n">
        <v>0.388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0.12</v>
      </c>
      <c r="I17" s="4" t="n">
        <v>0.12</v>
      </c>
      <c r="J17" s="4" t="n">
        <v>0.12</v>
      </c>
      <c r="K17" s="4" t="n">
        <v>0.12</v>
      </c>
      <c r="L17" s="4" t="n">
        <v>0.12</v>
      </c>
      <c r="M17" s="4" t="n">
        <v>0.12</v>
      </c>
      <c r="N17" s="4" t="n">
        <v>0.12</v>
      </c>
      <c r="O17" s="4" t="n">
        <v>0.12</v>
      </c>
      <c r="P17" s="4" t="n">
        <v>0.12</v>
      </c>
      <c r="Q17" s="4" t="n">
        <v>0.12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1000</v>
      </c>
      <c r="I20" s="13" t="n">
        <v>700</v>
      </c>
      <c r="J20" s="13" t="n">
        <v>650</v>
      </c>
      <c r="K20" s="13" t="n">
        <v>640</v>
      </c>
      <c r="L20" s="13" t="n">
        <v>630</v>
      </c>
      <c r="M20" s="13" t="n">
        <v>635.5</v>
      </c>
      <c r="N20" s="13" t="n">
        <v>651.3874999999999</v>
      </c>
      <c r="O20" s="13" t="n">
        <v>667.6721874999998</v>
      </c>
      <c r="P20" s="13" t="n">
        <v>684.3639921874997</v>
      </c>
      <c r="Q20" s="13" t="n">
        <v>701.4730919921872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0.02</v>
      </c>
      <c r="I22" s="4" t="n">
        <v>0.02</v>
      </c>
      <c r="J22" s="4" t="n">
        <v>0.02</v>
      </c>
      <c r="K22" s="4" t="n">
        <v>0.02</v>
      </c>
      <c r="L22" s="4" t="n">
        <v>0.02</v>
      </c>
      <c r="M22" s="4" t="n">
        <v>0.02</v>
      </c>
      <c r="N22" s="4" t="n">
        <v>0.02</v>
      </c>
      <c r="O22" s="4" t="n">
        <v>0.02</v>
      </c>
      <c r="P22" s="4" t="n">
        <v>0.02</v>
      </c>
      <c r="Q22" s="4" t="n">
        <v>0.02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0.5185185185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0.38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3626.696</v>
      </c>
      <c r="E29" s="13" t="n">
        <v>3759.484</v>
      </c>
      <c r="F29" s="13" t="n">
        <v>3869.905</v>
      </c>
      <c r="G29" s="13" t="n">
        <v>3742.973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2910.526</v>
      </c>
      <c r="E30" s="13" t="n">
        <v>2876.109</v>
      </c>
      <c r="F30" s="13" t="n">
        <v>3000.428</v>
      </c>
      <c r="G30" s="13" t="n">
        <v>2998.589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716.17</v>
      </c>
      <c r="E31" s="13" t="n">
        <v>883.375</v>
      </c>
      <c r="F31" s="13" t="n">
        <v>869.477</v>
      </c>
      <c r="G31" s="13" t="n">
        <v>744.384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800.0649999999999</v>
      </c>
      <c r="E32" s="13" t="n">
        <v>567.174</v>
      </c>
      <c r="F32" s="13" t="n">
        <v>586.605</v>
      </c>
      <c r="G32" s="13" t="n">
        <v>627.521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-83.895</v>
      </c>
      <c r="E33" s="13" t="n">
        <v>316.201</v>
      </c>
      <c r="F33" s="13" t="n">
        <v>282.872</v>
      </c>
      <c r="G33" s="13" t="n">
        <v>116.863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3.19</v>
      </c>
      <c r="E34" s="13" t="n">
        <v>5.514</v>
      </c>
      <c r="F34" s="13" t="n">
        <v>115.127</v>
      </c>
      <c r="G34" s="13" t="n">
        <v>171.363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-80.705</v>
      </c>
      <c r="E35" s="13" t="n">
        <v>321.715</v>
      </c>
      <c r="F35" s="13" t="n">
        <v>397.999</v>
      </c>
      <c r="G35" s="13" t="n">
        <v>288.226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56.361</v>
      </c>
      <c r="E36" s="13" t="n">
        <v>65.3</v>
      </c>
      <c r="F36" s="13" t="n">
        <v>54.837</v>
      </c>
      <c r="G36" s="13" t="n">
        <v>175.837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4.867</v>
      </c>
      <c r="E37" s="13" t="n">
        <v>12.703</v>
      </c>
      <c r="F37" s="13" t="n">
        <v>13.815</v>
      </c>
      <c r="G37" s="13" t="n">
        <v>93.544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489.109</v>
      </c>
      <c r="E38" s="13" t="n">
        <v>54.36399999999999</v>
      </c>
      <c r="F38" s="13" t="n">
        <v>147.38</v>
      </c>
      <c r="G38" s="13" t="n">
        <v>484.2620000000001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353.72</v>
      </c>
      <c r="E39" s="13" t="n">
        <v>317.968</v>
      </c>
      <c r="F39" s="13" t="n">
        <v>389.23</v>
      </c>
      <c r="G39" s="13" t="n">
        <v>518.832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47.559</v>
      </c>
      <c r="E40" s="13" t="n">
        <v>53.51</v>
      </c>
      <c r="F40" s="13" t="n">
        <v>53.182</v>
      </c>
      <c r="G40" s="13" t="n">
        <v>16.089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306.161</v>
      </c>
      <c r="E41" s="13" t="n">
        <v>264.458</v>
      </c>
      <c r="F41" s="13" t="n">
        <v>336.048</v>
      </c>
      <c r="G41" s="13" t="n">
        <v>502.743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40.02699999999999</v>
      </c>
      <c r="E42" s="13" t="n">
        <v>26.99000000000004</v>
      </c>
      <c r="F42" s="13" t="n">
        <v>8.458000000000027</v>
      </c>
      <c r="G42" s="13" t="n">
        <v>8.89100000000002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266.134</v>
      </c>
      <c r="E43" s="13" t="n">
        <v>237.468</v>
      </c>
      <c r="F43" s="13" t="n">
        <v>327.59</v>
      </c>
      <c r="G43" s="13" t="n">
        <v>493.852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23599.272659</v>
      </c>
      <c r="E44" s="13" t="n">
        <v>185717.516286</v>
      </c>
      <c r="F44" s="13" t="n">
        <v>201414.781911</v>
      </c>
      <c r="G44" s="13" t="n">
        <v>173416.832509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11.2772119651961</v>
      </c>
      <c r="E45" s="15" t="n">
        <v>1.278651603515447</v>
      </c>
      <c r="F45" s="15" t="n">
        <v>1.626444677455469</v>
      </c>
      <c r="G45" s="15" t="n">
        <v>2.847774306882061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52.943</v>
      </c>
      <c r="E48" s="13" t="n">
        <v>105.978</v>
      </c>
      <c r="F48" s="13" t="n">
        <v>364.186</v>
      </c>
      <c r="G48" s="13" t="n">
        <v>195.704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12108.694</v>
      </c>
      <c r="F49" s="13" t="n">
        <v>681.3000000000002</v>
      </c>
      <c r="G49" s="13" t="n">
        <v>99.13599999999951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-11946.16963620868</v>
      </c>
      <c r="F50" s="13" t="n">
        <v>-686.1368951879354</v>
      </c>
      <c r="G50" s="13" t="n">
        <v>-10.23792606277129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145.3179999999998</v>
      </c>
      <c r="F51" s="13" t="n">
        <v>-951.3929999999998</v>
      </c>
      <c r="G51" s="13" t="n">
        <v>15515.103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-11435.275</v>
      </c>
      <c r="E54" s="13" t="n">
        <v>673.4189999999999</v>
      </c>
      <c r="F54" s="13" t="n">
        <v>1354.719</v>
      </c>
      <c r="G54" s="13" t="n">
        <v>1453.855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12286.75</v>
      </c>
      <c r="E55" s="13" t="n">
        <v>1466.188</v>
      </c>
      <c r="F55" s="13" t="n">
        <v>1023.001</v>
      </c>
      <c r="G55" s="13" t="n">
        <v>1557.818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2039.306</v>
      </c>
      <c r="E56" s="13" t="n">
        <v>2184.624</v>
      </c>
      <c r="F56" s="13" t="n">
        <v>1233.231</v>
      </c>
      <c r="G56" s="13" t="n">
        <v>16748.334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1749.054</v>
      </c>
      <c r="E57" s="13" t="n">
        <v>1789.682</v>
      </c>
      <c r="F57" s="13" t="n">
        <v>2164.861</v>
      </c>
      <c r="G57" s="13" t="n">
        <v>2274.582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1432.532</v>
      </c>
      <c r="E58" s="13" t="n">
        <v>2177.916</v>
      </c>
      <c r="F58" s="13" t="n">
        <v>3254.872</v>
      </c>
      <c r="G58" s="13" t="n">
        <v>3853.17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93.71599999999999</v>
      </c>
      <c r="E59" s="13" t="n">
        <v>482.747</v>
      </c>
      <c r="F59" s="13" t="n">
        <v>656.794</v>
      </c>
      <c r="G59" s="13" t="n">
        <v>818.494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965.0250000000015</v>
      </c>
      <c r="E60" s="13" t="n">
        <v>915.9980000000003</v>
      </c>
      <c r="F60" s="13" t="n">
        <v>602.3159999999998</v>
      </c>
      <c r="G60" s="13" t="n">
        <v>16133.743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-10247.444</v>
      </c>
      <c r="E62" s="13" t="n">
        <v>718.4359999999997</v>
      </c>
      <c r="F62" s="13" t="n">
        <v>210.23</v>
      </c>
      <c r="G62" s="13" t="n">
        <v>15190.516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60.70237929361262</v>
      </c>
      <c r="E63" s="15" t="n">
        <v>11.72703600368028</v>
      </c>
      <c r="F63" s="15" t="n">
        <v>16.16004530113507</v>
      </c>
      <c r="G63" s="15" t="n">
        <v>22.21912339334204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0.03661404209230668</v>
      </c>
      <c r="F64" s="4" t="n">
        <v>0.02937131797874404</v>
      </c>
      <c r="G64" s="4" t="n">
        <v>-0.03279977157061997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0.1974717483902704</v>
      </c>
      <c r="E65" s="4" t="n">
        <v>0.2349724057876028</v>
      </c>
      <c r="F65" s="4" t="n">
        <v>0.2246765747479589</v>
      </c>
      <c r="G65" s="4" t="n">
        <v>0.1988750653558014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-0.02225303692396606</v>
      </c>
      <c r="E66" s="4" t="n">
        <v>0.08557424369940131</v>
      </c>
      <c r="F66" s="4" t="n">
        <v>0.1028446434731602</v>
      </c>
      <c r="G66" s="4" t="n">
        <v>0.07700456295036058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-0.02313262539788281</v>
      </c>
      <c r="E67" s="4" t="n">
        <v>0.08410755305781326</v>
      </c>
      <c r="F67" s="4" t="n">
        <v>0.07309533438159335</v>
      </c>
      <c r="G67" s="4" t="n">
        <v>0.03122197248016483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0.07338194323428267</v>
      </c>
      <c r="E68" s="4" t="n">
        <v>0.06316505137407155</v>
      </c>
      <c r="F68" s="4" t="n">
        <v>0.0846506567990687</v>
      </c>
      <c r="G68" s="4" t="n">
        <v>0.1319411067084908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-0.886616336780612</v>
      </c>
      <c r="F69" s="4" t="n">
        <v>0.2719998731349655</v>
      </c>
      <c r="G69" s="4" t="n">
        <v>0.7509198722561725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0.1315448941516399</v>
      </c>
      <c r="F70" s="4" t="n">
        <v>0.1205973802033136</v>
      </c>
      <c r="G70" s="4" t="n">
        <v>0.1389558474752963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126.9740908246081</v>
      </c>
      <c r="E71" s="18" t="n">
        <v>2.233144242574949</v>
      </c>
      <c r="F71" s="18" t="n">
        <v>0.5282174075814261</v>
      </c>
      <c r="G71" s="18" t="n">
        <v>52.70348962272661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0.01459813560331497</v>
      </c>
      <c r="E73" s="4" t="n">
        <v>0.02818950685785603</v>
      </c>
      <c r="F73" s="4" t="n">
        <v>0.09410721968627135</v>
      </c>
      <c r="G73" s="4" t="n">
        <v>0.0522857097820369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51</v>
      </c>
    </row>
    <row r="77">
      <c r="A77" t="inlineStr">
        <is>
          <t>Shares outstanding (m)</t>
        </is>
      </c>
      <c r="C77" s="13" t="n">
        <v>263336.671589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16968.639</v>
      </c>
    </row>
    <row r="80">
      <c r="A80" t="inlineStr">
        <is>
          <t>Cash at balance-sheet date</t>
        </is>
      </c>
      <c r="C80" s="13" t="n">
        <v>1432.62</v>
      </c>
    </row>
    <row r="81">
      <c r="A81" t="inlineStr">
        <is>
          <t>Minority interest (book)</t>
        </is>
      </c>
      <c r="C81" s="13" t="n">
        <v>821.8869999999999</v>
      </c>
    </row>
    <row r="82">
      <c r="A82" t="inlineStr">
        <is>
          <t>Associates &amp; investments (book)</t>
        </is>
      </c>
      <c r="C82" s="13" t="n">
        <v>10</v>
      </c>
    </row>
    <row r="83">
      <c r="A83" t="inlineStr">
        <is>
          <t>Post-balance-sheet &amp; other items (sourced, probability-weighted)</t>
        </is>
      </c>
      <c r="C83" s="13" t="n">
        <v>4543</v>
      </c>
    </row>
    <row r="84">
      <c r="A84" t="inlineStr">
        <is>
          <t>Parent equity at balance-sheet date</t>
        </is>
      </c>
      <c r="C84" s="13" t="n">
        <v>8470.09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1.651906620794722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19.767945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1.963795</v>
      </c>
    </row>
    <row r="104">
      <c r="A104" t="inlineStr">
        <is>
          <t>Metric (LTM, or next-12m DPS for yield)</t>
        </is>
      </c>
      <c r="C104" s="13" t="n">
        <v>8470.09</v>
      </c>
    </row>
    <row r="105">
      <c r="A105" t="inlineStr">
        <is>
          <t>Value per share (IDR) — P/BV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0.35</v>
      </c>
    </row>
    <row r="114">
      <c r="A114" t="inlineStr">
        <is>
          <t>Bear 12-month value (engine)</t>
        </is>
      </c>
      <c r="C114" s="15" t="n">
        <v>30.97459745527777</v>
      </c>
    </row>
    <row r="115">
      <c r="A115" t="inlineStr">
        <is>
          <t>Base probability</t>
        </is>
      </c>
      <c r="C115" s="4" t="n">
        <v>0.45</v>
      </c>
    </row>
    <row r="116">
      <c r="A116" t="inlineStr">
        <is>
          <t>Bull probability</t>
        </is>
      </c>
      <c r="C116" s="4" t="n">
        <v>0.2</v>
      </c>
    </row>
    <row r="117">
      <c r="A117" t="inlineStr">
        <is>
          <t>Bull 12-month value (engine)</t>
        </is>
      </c>
      <c r="C117" s="15" t="n">
        <v>37.07633612552448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1.817233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-0.15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36.766357</v>
      </c>
      <c r="E135" s="23" t="n">
        <v>35.253675</v>
      </c>
      <c r="F135" s="23" t="n">
        <v>33.740994</v>
      </c>
      <c r="G135" s="23" t="n">
        <v>32.228313</v>
      </c>
      <c r="H135" s="23" t="n">
        <v>30.715632</v>
      </c>
    </row>
    <row r="136">
      <c r="C136" s="1" t="n">
        <v>-0.005</v>
      </c>
      <c r="D136" s="23" t="n">
        <v>36.921346</v>
      </c>
      <c r="E136" s="23" t="n">
        <v>35.402288</v>
      </c>
      <c r="F136" s="23" t="n">
        <v>33.883231</v>
      </c>
      <c r="G136" s="23" t="n">
        <v>32.364173</v>
      </c>
      <c r="H136" s="23" t="n">
        <v>30.845115</v>
      </c>
    </row>
    <row r="137">
      <c r="C137" s="1" t="n">
        <v>0</v>
      </c>
      <c r="D137" s="23" t="n">
        <v>37.076336</v>
      </c>
      <c r="E137" s="23" t="n">
        <v>35.550901</v>
      </c>
      <c r="F137" s="23" t="n">
        <v>34.025467</v>
      </c>
      <c r="G137" s="23" t="n">
        <v>32.500032</v>
      </c>
      <c r="H137" s="23" t="n">
        <v>30.974597</v>
      </c>
    </row>
    <row r="138">
      <c r="C138" s="1" t="n">
        <v>0.005</v>
      </c>
      <c r="D138" s="23" t="n">
        <v>37.231326</v>
      </c>
      <c r="E138" s="23" t="n">
        <v>35.699514</v>
      </c>
      <c r="F138" s="23" t="n">
        <v>34.167703</v>
      </c>
      <c r="G138" s="23" t="n">
        <v>32.635892</v>
      </c>
      <c r="H138" s="23" t="n">
        <v>31.10408</v>
      </c>
    </row>
    <row r="139">
      <c r="C139" s="1" t="n">
        <v>0.01</v>
      </c>
      <c r="D139" s="23" t="n">
        <v>37.386316</v>
      </c>
      <c r="E139" s="23" t="n">
        <v>35.848127</v>
      </c>
      <c r="F139" s="23" t="n">
        <v>34.309939</v>
      </c>
      <c r="G139" s="23" t="n">
        <v>32.771751</v>
      </c>
      <c r="H139" s="23" t="n">
        <v>31.233563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Barito Pacific Tbk (BRPT.JK) — Conglomerates &amp; multi-sector holdings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</v>
      </c>
      <c r="I11" s="4" t="n">
        <v>0.3</v>
      </c>
      <c r="J11" s="4" t="n">
        <v>0.3</v>
      </c>
      <c r="K11" s="4" t="n">
        <v>0.3</v>
      </c>
      <c r="L11" s="4" t="n">
        <v>0.3</v>
      </c>
      <c r="M11" s="4" t="n">
        <v>0.3</v>
      </c>
      <c r="N11" s="4" t="n">
        <v>0.3</v>
      </c>
      <c r="O11" s="4" t="n">
        <v>0.3</v>
      </c>
      <c r="P11" s="4" t="n">
        <v>0.3</v>
      </c>
      <c r="Q11" s="4" t="n">
        <v>0.3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0.191901</v>
      </c>
      <c r="I12" s="4" t="n">
        <v>0.191901</v>
      </c>
      <c r="J12" s="4" t="n">
        <v>0.191901</v>
      </c>
      <c r="K12" s="4" t="n">
        <v>0.191901</v>
      </c>
      <c r="L12" s="4" t="n">
        <v>0.191901</v>
      </c>
      <c r="M12" s="4" t="n">
        <v>0.191901</v>
      </c>
      <c r="N12" s="4" t="n">
        <v>0.191901</v>
      </c>
      <c r="O12" s="4" t="n">
        <v>0.191901</v>
      </c>
      <c r="P12" s="4" t="n">
        <v>0.191901</v>
      </c>
      <c r="Q12" s="4" t="n">
        <v>0.191901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0.111429</v>
      </c>
      <c r="I13" s="4" t="n">
        <v>0.111429</v>
      </c>
      <c r="J13" s="4" t="n">
        <v>0.111429</v>
      </c>
      <c r="K13" s="4" t="n">
        <v>0.111429</v>
      </c>
      <c r="L13" s="4" t="n">
        <v>0.111429</v>
      </c>
      <c r="M13" s="4" t="n">
        <v>0.111429</v>
      </c>
      <c r="N13" s="4" t="n">
        <v>0.111429</v>
      </c>
      <c r="O13" s="4" t="n">
        <v>0.111429</v>
      </c>
      <c r="P13" s="4" t="n">
        <v>0.111429</v>
      </c>
      <c r="Q13" s="4" t="n">
        <v>0.111429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0.043116</v>
      </c>
      <c r="I14" s="4" t="n">
        <v>0.043116</v>
      </c>
      <c r="J14" s="4" t="n">
        <v>0.043116</v>
      </c>
      <c r="K14" s="4" t="n">
        <v>0.043116</v>
      </c>
      <c r="L14" s="4" t="n">
        <v>0.043116</v>
      </c>
      <c r="M14" s="4" t="n">
        <v>0.043116</v>
      </c>
      <c r="N14" s="4" t="n">
        <v>0.043116</v>
      </c>
      <c r="O14" s="4" t="n">
        <v>0.043116</v>
      </c>
      <c r="P14" s="4" t="n">
        <v>0.043116</v>
      </c>
      <c r="Q14" s="4" t="n">
        <v>0.043116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0.127661</v>
      </c>
      <c r="I15" s="4" t="n">
        <v>0.127661</v>
      </c>
      <c r="J15" s="4" t="n">
        <v>0.127661</v>
      </c>
      <c r="K15" s="4" t="n">
        <v>0.127661</v>
      </c>
      <c r="L15" s="4" t="n">
        <v>0.127661</v>
      </c>
      <c r="M15" s="4" t="n">
        <v>0.127661</v>
      </c>
      <c r="N15" s="4" t="n">
        <v>0.127661</v>
      </c>
      <c r="O15" s="4" t="n">
        <v>0.127661</v>
      </c>
      <c r="P15" s="4" t="n">
        <v>0.127661</v>
      </c>
      <c r="Q15" s="4" t="n">
        <v>0.127661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0.183589</v>
      </c>
      <c r="I16" s="4" t="n">
        <v>0.183589</v>
      </c>
      <c r="J16" s="4" t="n">
        <v>0.183589</v>
      </c>
      <c r="K16" s="4" t="n">
        <v>0.183589</v>
      </c>
      <c r="L16" s="4" t="n">
        <v>0.183589</v>
      </c>
      <c r="M16" s="4" t="n">
        <v>0.183589</v>
      </c>
      <c r="N16" s="4" t="n">
        <v>0.183589</v>
      </c>
      <c r="O16" s="4" t="n">
        <v>0.183589</v>
      </c>
      <c r="P16" s="4" t="n">
        <v>0.183589</v>
      </c>
      <c r="Q16" s="4" t="n">
        <v>0.183589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0.338994</v>
      </c>
      <c r="I17" s="4" t="n">
        <v>0.338994</v>
      </c>
      <c r="J17" s="4" t="n">
        <v>0.338994</v>
      </c>
      <c r="K17" s="4" t="n">
        <v>0.338994</v>
      </c>
      <c r="L17" s="4" t="n">
        <v>0.338994</v>
      </c>
      <c r="M17" s="4" t="n">
        <v>0.338994</v>
      </c>
      <c r="N17" s="4" t="n">
        <v>0.338994</v>
      </c>
      <c r="O17" s="4" t="n">
        <v>0.338994</v>
      </c>
      <c r="P17" s="4" t="n">
        <v>0.338994</v>
      </c>
      <c r="Q17" s="4" t="n">
        <v>0.338994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0.078279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0.060805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0.658493</v>
      </c>
      <c r="I22" s="4" t="n">
        <v>0.658493</v>
      </c>
      <c r="J22" s="4" t="n">
        <v>0.658493</v>
      </c>
      <c r="K22" s="4" t="n">
        <v>0.658493</v>
      </c>
      <c r="L22" s="4" t="n">
        <v>0.658493</v>
      </c>
      <c r="M22" s="4" t="n">
        <v>0.658493</v>
      </c>
      <c r="N22" s="4" t="n">
        <v>0.658493</v>
      </c>
      <c r="O22" s="4" t="n">
        <v>0.658493</v>
      </c>
      <c r="P22" s="4" t="n">
        <v>0.658493</v>
      </c>
      <c r="Q22" s="4" t="n">
        <v>0.658493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1</v>
      </c>
      <c r="I23" s="4" t="n">
        <v>1</v>
      </c>
      <c r="J23" s="4" t="n">
        <v>1</v>
      </c>
      <c r="K23" s="4" t="n">
        <v>1</v>
      </c>
      <c r="L23" s="4" t="n">
        <v>1</v>
      </c>
      <c r="M23" s="4" t="n">
        <v>1</v>
      </c>
      <c r="N23" s="4" t="n">
        <v>1</v>
      </c>
      <c r="O23" s="4" t="n">
        <v>1</v>
      </c>
      <c r="P23" s="4" t="n">
        <v>1</v>
      </c>
      <c r="Q23" s="4" t="n">
        <v>1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2961.532</v>
      </c>
      <c r="E29" s="13" t="n">
        <v>2760.359</v>
      </c>
      <c r="F29" s="13" t="n">
        <v>2386.995</v>
      </c>
      <c r="G29" s="13" t="n">
        <v>7630.662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2515.859</v>
      </c>
      <c r="E30" s="13" t="n">
        <v>2202.219</v>
      </c>
      <c r="F30" s="13" t="n">
        <v>1666.836</v>
      </c>
      <c r="G30" s="13" t="n">
        <v>7082.758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445.673</v>
      </c>
      <c r="E31" s="13" t="n">
        <v>558.14</v>
      </c>
      <c r="F31" s="13" t="n">
        <v>720.159</v>
      </c>
      <c r="G31" s="13" t="n">
        <v>547.904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177.859</v>
      </c>
      <c r="E32" s="13" t="n">
        <v>209.066</v>
      </c>
      <c r="F32" s="13" t="n">
        <v>381.684</v>
      </c>
      <c r="G32" s="13" t="n">
        <v>752.749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267.814</v>
      </c>
      <c r="E33" s="13" t="n">
        <v>349.074</v>
      </c>
      <c r="F33" s="13" t="n">
        <v>338.475</v>
      </c>
      <c r="G33" s="13" t="n">
        <v>-204.845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2.533</v>
      </c>
      <c r="E34" s="13" t="n">
        <v>4.041</v>
      </c>
      <c r="F34" s="13" t="n">
        <v>208.64</v>
      </c>
      <c r="G34" s="13" t="n">
        <v>308.865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270.347</v>
      </c>
      <c r="E35" s="13" t="n">
        <v>353.115</v>
      </c>
      <c r="F35" s="13" t="n">
        <v>547.115</v>
      </c>
      <c r="G35" s="13" t="n">
        <v>104.02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191.858</v>
      </c>
      <c r="E36" s="13" t="n">
        <v>300.843</v>
      </c>
      <c r="F36" s="13" t="n">
        <v>320.228</v>
      </c>
      <c r="G36" s="13" t="n">
        <v>390.532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30.265</v>
      </c>
      <c r="E37" s="13" t="n">
        <v>104.146</v>
      </c>
      <c r="F37" s="13" t="n">
        <v>128.811</v>
      </c>
      <c r="G37" s="13" t="n">
        <v>152.342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49.20199999999998</v>
      </c>
      <c r="E38" s="13" t="n">
        <v>70.84099999999999</v>
      </c>
      <c r="F38" s="13" t="n">
        <v>85.63799999999998</v>
      </c>
      <c r="G38" s="13" t="n">
        <v>2046.023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155.423</v>
      </c>
      <c r="E39" s="13" t="n">
        <v>223.218</v>
      </c>
      <c r="F39" s="13" t="n">
        <v>232.696</v>
      </c>
      <c r="G39" s="13" t="n">
        <v>1602.988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123.213</v>
      </c>
      <c r="E40" s="13" t="n">
        <v>123.442</v>
      </c>
      <c r="F40" s="13" t="n">
        <v>109.8</v>
      </c>
      <c r="G40" s="13" t="n">
        <v>-12.646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32.21</v>
      </c>
      <c r="E41" s="13" t="n">
        <v>99.776</v>
      </c>
      <c r="F41" s="13" t="n">
        <v>122.896</v>
      </c>
      <c r="G41" s="13" t="n">
        <v>1615.634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30.451</v>
      </c>
      <c r="E42" s="13" t="n">
        <v>73.66</v>
      </c>
      <c r="F42" s="13" t="n">
        <v>66.41200000000001</v>
      </c>
      <c r="G42" s="13" t="n">
        <v>1125.827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1.759</v>
      </c>
      <c r="E43" s="13" t="n">
        <v>26.116</v>
      </c>
      <c r="F43" s="13" t="n">
        <v>56.484</v>
      </c>
      <c r="G43" s="13" t="n">
        <v>489.807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93711.466142</v>
      </c>
      <c r="E44" s="13" t="n">
        <v>93711.466142</v>
      </c>
      <c r="F44" s="13" t="n">
        <v>93708.44622899999</v>
      </c>
      <c r="G44" s="13" t="n">
        <v>93711.74092900001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1.877038181575994e-05</v>
      </c>
      <c r="E45" s="15" t="n">
        <v>0.0002786852140422891</v>
      </c>
      <c r="F45" s="15" t="n">
        <v>0.0006027631688819943</v>
      </c>
      <c r="G45" s="15" t="n">
        <v>0.005226741016060075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0.0001053810408921933</v>
      </c>
      <c r="E46" s="15" t="n">
        <v>5.341801958251994e-05</v>
      </c>
      <c r="F46" s="15" t="n">
        <v>0</v>
      </c>
      <c r="G46" s="15" t="n">
        <v>9.035426828535518e-05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78.771</v>
      </c>
      <c r="E47" s="13" t="n">
        <v>67.697</v>
      </c>
      <c r="F47" s="13" t="n">
        <v>73.367</v>
      </c>
      <c r="G47" s="13" t="n">
        <v>60.121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179.543</v>
      </c>
      <c r="E48" s="13" t="n">
        <v>123.988</v>
      </c>
      <c r="F48" s="13" t="n">
        <v>521.285</v>
      </c>
      <c r="G48" s="13" t="n">
        <v>913.247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8.441000000000486</v>
      </c>
      <c r="F49" s="13" t="n">
        <v>412.7979999999995</v>
      </c>
      <c r="G49" s="13" t="n">
        <v>192.2450000000003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27.64425288283158</v>
      </c>
      <c r="F50" s="13" t="n">
        <v>-546.6809086877295</v>
      </c>
      <c r="G50" s="13" t="n">
        <v>-1003.08802574068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301.7900000000004</v>
      </c>
      <c r="F51" s="13" t="n">
        <v>370.665</v>
      </c>
      <c r="G51" s="13" t="n">
        <v>3465.454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318.8119999999999</v>
      </c>
      <c r="E54" s="13" t="n">
        <v>327.2530000000004</v>
      </c>
      <c r="F54" s="13" t="n">
        <v>740.0509999999999</v>
      </c>
      <c r="G54" s="13" t="n">
        <v>932.2960000000003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1980.83</v>
      </c>
      <c r="E55" s="13" t="n">
        <v>2453.115</v>
      </c>
      <c r="F55" s="13" t="n">
        <v>1970.032</v>
      </c>
      <c r="G55" s="13" t="n">
        <v>3565.203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3970.48</v>
      </c>
      <c r="E56" s="13" t="n">
        <v>4272.27</v>
      </c>
      <c r="F56" s="13" t="n">
        <v>4642.935</v>
      </c>
      <c r="G56" s="13" t="n">
        <v>8108.389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3227.142</v>
      </c>
      <c r="E57" s="13" t="n">
        <v>3334.918</v>
      </c>
      <c r="F57" s="13" t="n">
        <v>3833.281</v>
      </c>
      <c r="G57" s="13" t="n">
        <v>6361.397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1579.95</v>
      </c>
      <c r="E58" s="13" t="n">
        <v>1688.393</v>
      </c>
      <c r="F58" s="13" t="n">
        <v>1727.829</v>
      </c>
      <c r="G58" s="13" t="n">
        <v>2243.416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2141.947</v>
      </c>
      <c r="E59" s="13" t="n">
        <v>2423.536</v>
      </c>
      <c r="F59" s="13" t="n">
        <v>2460.156</v>
      </c>
      <c r="G59" s="13" t="n">
        <v>3802.216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2165.593000000001</v>
      </c>
      <c r="E60" s="13" t="n">
        <v>2268.913</v>
      </c>
      <c r="F60" s="13" t="n">
        <v>2287.556</v>
      </c>
      <c r="G60" s="13" t="n">
        <v>3295.125000000001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1989.65</v>
      </c>
      <c r="E62" s="13" t="n">
        <v>1819.155000000001</v>
      </c>
      <c r="F62" s="13" t="n">
        <v>2672.903</v>
      </c>
      <c r="G62" s="13" t="n">
        <v>4543.186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0.01685972981797039</v>
      </c>
      <c r="E63" s="15" t="n">
        <v>0.01801693079309629</v>
      </c>
      <c r="F63" s="15" t="n">
        <v>0.01843834861777153</v>
      </c>
      <c r="G63" s="15" t="n">
        <v>0.02393954031544145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-0.06792869366260446</v>
      </c>
      <c r="F64" s="4" t="n">
        <v>-0.1352592180944581</v>
      </c>
      <c r="G64" s="4" t="n">
        <v>2.196764970182175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0.1504873153489478</v>
      </c>
      <c r="E65" s="4" t="n">
        <v>0.2021983372452641</v>
      </c>
      <c r="F65" s="4" t="n">
        <v>0.3017010927965915</v>
      </c>
      <c r="G65" s="4" t="n">
        <v>0.07180294448895784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0.0912861991698891</v>
      </c>
      <c r="E66" s="4" t="n">
        <v>0.1279235780563325</v>
      </c>
      <c r="F66" s="4" t="n">
        <v>0.2292065965785433</v>
      </c>
      <c r="G66" s="4" t="n">
        <v>0.01363184478620597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0.09043089860248008</v>
      </c>
      <c r="E67" s="4" t="n">
        <v>0.1264596380398347</v>
      </c>
      <c r="F67" s="4" t="n">
        <v>0.1417996267273287</v>
      </c>
      <c r="G67" s="4" t="n">
        <v>-0.02684498409181274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0.000593949347837538</v>
      </c>
      <c r="E68" s="4" t="n">
        <v>0.009461088213525849</v>
      </c>
      <c r="F68" s="4" t="n">
        <v>0.02366322510101613</v>
      </c>
      <c r="G68" s="4" t="n">
        <v>0.06418931935394334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13.8470722001137</v>
      </c>
      <c r="F69" s="4" t="n">
        <v>1.16288176950259</v>
      </c>
      <c r="G69" s="4" t="n">
        <v>7.671301243827886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0.01598118679710177</v>
      </c>
      <c r="F70" s="4" t="n">
        <v>0.03306810857139847</v>
      </c>
      <c r="G70" s="4" t="n">
        <v>0.2466767978304033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7.359615605129703</v>
      </c>
      <c r="E71" s="18" t="n">
        <v>5.15173527037934</v>
      </c>
      <c r="F71" s="18" t="n">
        <v>4.885450042495637</v>
      </c>
      <c r="G71" s="18" t="n">
        <v>43.67608152278407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5.614219355075323</v>
      </c>
      <c r="E72" s="4" t="n">
        <v>0.1916787001638846</v>
      </c>
      <c r="F72" s="4" t="n">
        <v>0</v>
      </c>
      <c r="G72" s="4" t="n">
        <v>0.01728692277036989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0.06062504136372661</v>
      </c>
      <c r="E73" s="4" t="n">
        <v>0.04491734589595049</v>
      </c>
      <c r="F73" s="4" t="n">
        <v>0.2183854595422278</v>
      </c>
      <c r="G73" s="4" t="n">
        <v>0.119681228181775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1405</v>
      </c>
    </row>
    <row r="77">
      <c r="A77" t="inlineStr">
        <is>
          <t>Shares outstanding (m)</t>
        </is>
      </c>
      <c r="C77" s="13" t="n">
        <v>93711.74092900001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8571.909</v>
      </c>
    </row>
    <row r="80">
      <c r="A80" t="inlineStr">
        <is>
          <t>Cash at balance-sheet date</t>
        </is>
      </c>
      <c r="C80" s="13" t="n">
        <v>3699.009</v>
      </c>
    </row>
    <row r="81">
      <c r="A81" t="inlineStr">
        <is>
          <t>Minority interest (book)</t>
        </is>
      </c>
      <c r="C81" s="13" t="n">
        <v>4060.05</v>
      </c>
    </row>
    <row r="82">
      <c r="A82" t="inlineStr">
        <is>
          <t>Associates &amp; investments (book)</t>
        </is>
      </c>
      <c r="C82" s="13" t="n">
        <v>760.66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2433.674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1.173498381596009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1919.124899</v>
      </c>
    </row>
    <row r="102">
      <c r="A102" s="1" t="inlineStr">
        <is>
          <t>P/E</t>
        </is>
      </c>
    </row>
    <row r="103">
      <c r="A103" t="inlineStr">
        <is>
          <t>Target multiple (peer median (own history unavailable))</t>
        </is>
      </c>
      <c r="C103" s="18" t="n">
        <v>8.598459</v>
      </c>
    </row>
    <row r="104">
      <c r="A104" t="inlineStr">
        <is>
          <t>Metric (LTM, or next-12m DPS for yield)</t>
        </is>
      </c>
      <c r="C104" s="13" t="n">
        <v>489.807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4.737987</v>
      </c>
    </row>
    <row r="109">
      <c r="A109" t="inlineStr">
        <is>
          <t>Metric (LTM, or next-12m DPS for yield)</t>
        </is>
      </c>
      <c r="C109" s="13" t="n">
        <v>2433.674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16.51408090824167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1758.008562157326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2139.768386048682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Fundamental 12-month value (after liquidity discount)</t>
        </is>
      </c>
      <c r="C126" s="23">
        <f>$C$124*(1-$C$125)</f>
        <v/>
      </c>
    </row>
    <row r="127">
      <c r="A127" t="inlineStr">
        <is>
          <t>Konglo lens: price / fundamental value today (engine)</t>
        </is>
      </c>
      <c r="C127" s="18" t="n">
        <v>0.832999</v>
      </c>
    </row>
    <row r="128">
      <c r="A128" t="inlineStr">
        <is>
          <t>Regime bear: probability (konglo deck)</t>
        </is>
      </c>
      <c r="C128" s="4" t="n">
        <v>0.25</v>
      </c>
    </row>
    <row r="129">
      <c r="A129" t="inlineStr">
        <is>
          <t>Regime bear: share of the log gap closed in 12 months</t>
        </is>
      </c>
      <c r="C129" s="4" t="n">
        <v>-0.15</v>
      </c>
    </row>
    <row r="130">
      <c r="A130" t="inlineStr">
        <is>
          <t>Regime base: probability (konglo deck)</t>
        </is>
      </c>
      <c r="C130" s="4" t="n">
        <v>0.5</v>
      </c>
    </row>
    <row r="131">
      <c r="A131" t="inlineStr">
        <is>
          <t>Regime base: share of the log gap closed in 12 months</t>
        </is>
      </c>
      <c r="C131" s="4" t="n">
        <v>0.3</v>
      </c>
    </row>
    <row r="132">
      <c r="A132" t="inlineStr">
        <is>
          <t>Regime bull: probability (konglo deck)</t>
        </is>
      </c>
      <c r="C132" s="4" t="n">
        <v>0.25</v>
      </c>
    </row>
    <row r="133">
      <c r="A133" t="inlineStr">
        <is>
          <t>Regime bull: share of the log gap closed in 12 months</t>
        </is>
      </c>
      <c r="C133" s="4" t="n">
        <v>0.7</v>
      </c>
    </row>
    <row r="134">
      <c r="A134" t="inlineStr">
        <is>
          <t>Share of today's premium kept (probability-weighted)</t>
        </is>
      </c>
      <c r="C134" s="27">
        <f>$C$128*$C$127^(1-$C$129)+$C$130*$C$127^(1-$C$131)+$C$132*$C$127^(1-$C$133)</f>
        <v/>
      </c>
    </row>
    <row r="135">
      <c r="A135" t="inlineStr">
        <is>
          <t>TARGET PRICE (IDR) — konglo lens</t>
        </is>
      </c>
      <c r="C135" s="24">
        <f>$C$126*$C$134</f>
        <v/>
      </c>
    </row>
    <row r="136">
      <c r="A136" t="inlineStr">
        <is>
          <t>Expected 12-month total return</t>
        </is>
      </c>
      <c r="C136" s="25">
        <f>($C$135+$C$117)/$C$76-1</f>
        <v/>
      </c>
    </row>
    <row r="137">
      <c r="A137" t="inlineStr">
        <is>
          <t>Rating</t>
        </is>
      </c>
      <c r="C137" s="26">
        <f>IF($C$136&gt;=0.25,"BUY",IF($C$136&gt;=0.1,"ADD",IF($C$136&lt;=-0.25,"SELL",IF($C$136&lt;=-0.1,"REDUCE","HOLD"))))</f>
        <v/>
      </c>
    </row>
    <row r="139">
      <c r="A139" s="1" t="inlineStr">
        <is>
          <t>12-month value vs holding-company discount and cost of equity (engine values)</t>
        </is>
      </c>
    </row>
    <row r="140">
      <c r="A140" s="5" t="inlineStr">
        <is>
          <t>rows: Cost of equity (+/- pp) · columns: Holdco discount (+/- pp)</t>
        </is>
      </c>
      <c r="D140" s="1" t="n">
        <v>-0.1</v>
      </c>
      <c r="E140" s="1" t="n">
        <v>-0.05</v>
      </c>
      <c r="F140" s="1" t="n">
        <v>0</v>
      </c>
      <c r="G140" s="1" t="n">
        <v>0.05</v>
      </c>
      <c r="H140" s="1" t="n">
        <v>0.1</v>
      </c>
    </row>
    <row r="141">
      <c r="C141" s="1" t="n">
        <v>-0.01</v>
      </c>
      <c r="D141" s="23" t="n">
        <v>2122.056522</v>
      </c>
      <c r="E141" s="23" t="n">
        <v>2027.039118</v>
      </c>
      <c r="F141" s="23" t="n">
        <v>1932.021714</v>
      </c>
      <c r="G141" s="23" t="n">
        <v>1837.004309</v>
      </c>
      <c r="H141" s="23" t="n">
        <v>1741.986905</v>
      </c>
    </row>
    <row r="142">
      <c r="C142" s="1" t="n">
        <v>-0.005</v>
      </c>
      <c r="D142" s="23" t="n">
        <v>2131.312385</v>
      </c>
      <c r="E142" s="23" t="n">
        <v>2035.883739</v>
      </c>
      <c r="F142" s="23" t="n">
        <v>1940.455094</v>
      </c>
      <c r="G142" s="23" t="n">
        <v>1845.026448</v>
      </c>
      <c r="H142" s="23" t="n">
        <v>1749.597803</v>
      </c>
    </row>
    <row r="143">
      <c r="C143" s="1" t="n">
        <v>0</v>
      </c>
      <c r="D143" s="23" t="n">
        <v>2140.568247</v>
      </c>
      <c r="E143" s="23" t="n">
        <v>2044.728361</v>
      </c>
      <c r="F143" s="23" t="n">
        <v>1948.888474</v>
      </c>
      <c r="G143" s="23" t="n">
        <v>1853.048588</v>
      </c>
      <c r="H143" s="23" t="n">
        <v>1757.208701</v>
      </c>
    </row>
    <row r="144">
      <c r="C144" s="1" t="n">
        <v>0.005</v>
      </c>
      <c r="D144" s="23" t="n">
        <v>2149.824109</v>
      </c>
      <c r="E144" s="23" t="n">
        <v>2053.572982</v>
      </c>
      <c r="F144" s="23" t="n">
        <v>1957.321854</v>
      </c>
      <c r="G144" s="23" t="n">
        <v>1861.070727</v>
      </c>
      <c r="H144" s="23" t="n">
        <v>1764.819599</v>
      </c>
    </row>
    <row r="145">
      <c r="C145" s="1" t="n">
        <v>0.01</v>
      </c>
      <c r="D145" s="23" t="n">
        <v>2159.079972</v>
      </c>
      <c r="E145" s="23" t="n">
        <v>2062.417603</v>
      </c>
      <c r="F145" s="23" t="n">
        <v>1965.755235</v>
      </c>
      <c r="G145" s="23" t="n">
        <v>1869.092866</v>
      </c>
      <c r="H145" s="23" t="n">
        <v>1772.430498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Petrindo Jaya Kreasi Tbk (CUAN.JK) — Conglomerates &amp; multi-sector holdings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0.24</v>
      </c>
      <c r="I11" s="4" t="n">
        <v>0.12</v>
      </c>
      <c r="J11" s="4" t="n">
        <v>0.1</v>
      </c>
      <c r="K11" s="4" t="n">
        <v>0.08</v>
      </c>
      <c r="L11" s="4" t="n">
        <v>0.07000000000000001</v>
      </c>
      <c r="M11" s="4" t="n">
        <v>0.06</v>
      </c>
      <c r="N11" s="4" t="n">
        <v>0.06</v>
      </c>
      <c r="O11" s="4" t="n">
        <v>0.06</v>
      </c>
      <c r="P11" s="4" t="n">
        <v>0.06</v>
      </c>
      <c r="Q11" s="4" t="n">
        <v>0.06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0.1381</v>
      </c>
      <c r="I12" s="4" t="n">
        <v>0.1381</v>
      </c>
      <c r="J12" s="4" t="n">
        <v>0.1381</v>
      </c>
      <c r="K12" s="4" t="n">
        <v>0.1381</v>
      </c>
      <c r="L12" s="4" t="n">
        <v>0.1381</v>
      </c>
      <c r="M12" s="4" t="n">
        <v>0.1381</v>
      </c>
      <c r="N12" s="4" t="n">
        <v>0.1381</v>
      </c>
      <c r="O12" s="4" t="n">
        <v>0.1381</v>
      </c>
      <c r="P12" s="4" t="n">
        <v>0.1381</v>
      </c>
      <c r="Q12" s="4" t="n">
        <v>0.1381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0.057314</v>
      </c>
      <c r="I13" s="4" t="n">
        <v>0.057314</v>
      </c>
      <c r="J13" s="4" t="n">
        <v>0.057314</v>
      </c>
      <c r="K13" s="4" t="n">
        <v>0.057314</v>
      </c>
      <c r="L13" s="4" t="n">
        <v>0.057314</v>
      </c>
      <c r="M13" s="4" t="n">
        <v>0.057314</v>
      </c>
      <c r="N13" s="4" t="n">
        <v>0.057314</v>
      </c>
      <c r="O13" s="4" t="n">
        <v>0.057314</v>
      </c>
      <c r="P13" s="4" t="n">
        <v>0.057314</v>
      </c>
      <c r="Q13" s="4" t="n">
        <v>0.057314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0.1272</v>
      </c>
      <c r="I14" s="4" t="n">
        <v>0.1272</v>
      </c>
      <c r="J14" s="4" t="n">
        <v>0.1272</v>
      </c>
      <c r="K14" s="4" t="n">
        <v>0.1272</v>
      </c>
      <c r="L14" s="4" t="n">
        <v>0.1272</v>
      </c>
      <c r="M14" s="4" t="n">
        <v>0.1272</v>
      </c>
      <c r="N14" s="4" t="n">
        <v>0.1272</v>
      </c>
      <c r="O14" s="4" t="n">
        <v>0.1272</v>
      </c>
      <c r="P14" s="4" t="n">
        <v>0.1272</v>
      </c>
      <c r="Q14" s="4" t="n">
        <v>0.1272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0.1</v>
      </c>
      <c r="J15" s="4" t="n">
        <v>0.1</v>
      </c>
      <c r="K15" s="4" t="n">
        <v>0.1</v>
      </c>
      <c r="L15" s="4" t="n">
        <v>0.1</v>
      </c>
      <c r="M15" s="4" t="n">
        <v>0.1</v>
      </c>
      <c r="N15" s="4" t="n">
        <v>0.1</v>
      </c>
      <c r="O15" s="4" t="n">
        <v>0.1</v>
      </c>
      <c r="P15" s="4" t="n">
        <v>0.1</v>
      </c>
      <c r="Q15" s="4" t="n">
        <v>0.1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0.189128</v>
      </c>
      <c r="I16" s="4" t="n">
        <v>0.189128</v>
      </c>
      <c r="J16" s="4" t="n">
        <v>0.189128</v>
      </c>
      <c r="K16" s="4" t="n">
        <v>0.189128</v>
      </c>
      <c r="L16" s="4" t="n">
        <v>0.189128</v>
      </c>
      <c r="M16" s="4" t="n">
        <v>0.189128</v>
      </c>
      <c r="N16" s="4" t="n">
        <v>0.189128</v>
      </c>
      <c r="O16" s="4" t="n">
        <v>0.189128</v>
      </c>
      <c r="P16" s="4" t="n">
        <v>0.189128</v>
      </c>
      <c r="Q16" s="4" t="n">
        <v>0.189128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0.38098</v>
      </c>
      <c r="I17" s="4" t="n">
        <v>0.38098</v>
      </c>
      <c r="J17" s="4" t="n">
        <v>0.38098</v>
      </c>
      <c r="K17" s="4" t="n">
        <v>0.38098</v>
      </c>
      <c r="L17" s="4" t="n">
        <v>0.38098</v>
      </c>
      <c r="M17" s="4" t="n">
        <v>0.38098</v>
      </c>
      <c r="N17" s="4" t="n">
        <v>0.38098</v>
      </c>
      <c r="O17" s="4" t="n">
        <v>0.38098</v>
      </c>
      <c r="P17" s="4" t="n">
        <v>0.38098</v>
      </c>
      <c r="Q17" s="4" t="n">
        <v>0.38098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0.08500000000000001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0.015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0.456174</v>
      </c>
      <c r="I22" s="4" t="n">
        <v>0.456174</v>
      </c>
      <c r="J22" s="4" t="n">
        <v>0.456174</v>
      </c>
      <c r="K22" s="4" t="n">
        <v>0.456174</v>
      </c>
      <c r="L22" s="4" t="n">
        <v>0.456174</v>
      </c>
      <c r="M22" s="4" t="n">
        <v>0.456174</v>
      </c>
      <c r="N22" s="4" t="n">
        <v>0.456174</v>
      </c>
      <c r="O22" s="4" t="n">
        <v>0.456174</v>
      </c>
      <c r="P22" s="4" t="n">
        <v>0.456174</v>
      </c>
      <c r="Q22" s="4" t="n">
        <v>0.456174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</v>
      </c>
      <c r="I23" s="4" t="n">
        <v>0.02</v>
      </c>
      <c r="J23" s="4" t="n">
        <v>0.02</v>
      </c>
      <c r="K23" s="4" t="n">
        <v>0.02</v>
      </c>
      <c r="L23" s="4" t="n">
        <v>0.02</v>
      </c>
      <c r="M23" s="4" t="n">
        <v>0.02</v>
      </c>
      <c r="N23" s="4" t="n">
        <v>0.02</v>
      </c>
      <c r="O23" s="4" t="n">
        <v>0.02</v>
      </c>
      <c r="P23" s="4" t="n">
        <v>0.02</v>
      </c>
      <c r="Q23" s="4" t="n">
        <v>0.02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97.665445660545</v>
      </c>
      <c r="E29" s="13" t="n">
        <v>97.943</v>
      </c>
      <c r="F29" s="13" t="n">
        <v>801.723</v>
      </c>
      <c r="G29" s="13" t="n">
        <v>1215.618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28.191867203577</v>
      </c>
      <c r="E30" s="13" t="n">
        <v>60.725</v>
      </c>
      <c r="F30" s="13" t="n">
        <v>683.857</v>
      </c>
      <c r="G30" s="13" t="n">
        <v>1055.649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69.473578456968</v>
      </c>
      <c r="E31" s="13" t="n">
        <v>37.218</v>
      </c>
      <c r="F31" s="13" t="n">
        <v>117.866</v>
      </c>
      <c r="G31" s="13" t="n">
        <v>159.969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20.983647454543</v>
      </c>
      <c r="E32" s="13" t="n">
        <v>16.226</v>
      </c>
      <c r="F32" s="13" t="n">
        <v>91.255</v>
      </c>
      <c r="G32" s="13" t="n">
        <v>134.645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48.489931002425</v>
      </c>
      <c r="E33" s="13" t="n">
        <v>20.992</v>
      </c>
      <c r="F33" s="13" t="n">
        <v>26.611</v>
      </c>
      <c r="G33" s="13" t="n">
        <v>25.324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0.009312827986</v>
      </c>
      <c r="E34" s="13" t="n">
        <v>0.013</v>
      </c>
      <c r="F34" s="13" t="n">
        <v>99.857</v>
      </c>
      <c r="G34" s="13" t="n">
        <v>155.318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48.499243830411</v>
      </c>
      <c r="E35" s="13" t="n">
        <v>21.005</v>
      </c>
      <c r="F35" s="13" t="n">
        <v>126.468</v>
      </c>
      <c r="G35" s="13" t="n">
        <v>180.642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0.856846594907</v>
      </c>
      <c r="E36" s="13" t="n">
        <v>0.954</v>
      </c>
      <c r="F36" s="13" t="n">
        <v>46.127</v>
      </c>
      <c r="G36" s="13" t="n">
        <v>96.072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0.095691848466</v>
      </c>
      <c r="E37" s="13" t="n">
        <v>1.118</v>
      </c>
      <c r="F37" s="13" t="n">
        <v>3.758</v>
      </c>
      <c r="G37" s="13" t="n">
        <v>6.263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-9.020562075079397e-16</v>
      </c>
      <c r="E38" s="13" t="n">
        <v>-1.568</v>
      </c>
      <c r="F38" s="13" t="n">
        <v>186.798</v>
      </c>
      <c r="G38" s="13" t="n">
        <v>213.755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47.728776255984</v>
      </c>
      <c r="E39" s="13" t="n">
        <v>19.588</v>
      </c>
      <c r="F39" s="13" t="n">
        <v>171.04</v>
      </c>
      <c r="G39" s="13" t="n">
        <v>149.27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11.578736722216</v>
      </c>
      <c r="E40" s="13" t="n">
        <v>4.338</v>
      </c>
      <c r="F40" s="13" t="n">
        <v>1.07</v>
      </c>
      <c r="G40" s="13" t="n">
        <v>-2.725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36.15003953376799</v>
      </c>
      <c r="E41" s="13" t="n">
        <v>15.25</v>
      </c>
      <c r="F41" s="13" t="n">
        <v>169.97</v>
      </c>
      <c r="G41" s="13" t="n">
        <v>151.995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-0.5446104299110033</v>
      </c>
      <c r="E42" s="13" t="n">
        <v>-0.3710000000000004</v>
      </c>
      <c r="F42" s="13" t="n">
        <v>9.185000000000002</v>
      </c>
      <c r="G42" s="13" t="n">
        <v>17.428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36.694649963679</v>
      </c>
      <c r="E43" s="13" t="n">
        <v>15.621</v>
      </c>
      <c r="F43" s="13" t="n">
        <v>160.785</v>
      </c>
      <c r="G43" s="13" t="n">
        <v>134.567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112418.9</v>
      </c>
      <c r="E44" s="13" t="n">
        <v>112418.9</v>
      </c>
      <c r="F44" s="13" t="n">
        <v>112418.9</v>
      </c>
      <c r="G44" s="13" t="n">
        <v>112418.9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0.0003264099716656096</v>
      </c>
      <c r="E45" s="15" t="n">
        <v>0.0001389535033699849</v>
      </c>
      <c r="F45" s="15" t="n">
        <v>0.001430231037663596</v>
      </c>
      <c r="G45" s="15" t="n">
        <v>0.001197014025221738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1.936368769775187e-05</v>
      </c>
      <c r="G46" s="15" t="n">
        <v>0.00017791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>
        <v>0</v>
      </c>
      <c r="F47" s="13" t="n">
        <v>2.232</v>
      </c>
      <c r="G47" s="13" t="n">
        <v>2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2.701289274822</v>
      </c>
      <c r="E48" s="13" t="n">
        <v>11.787</v>
      </c>
      <c r="F48" s="13" t="n">
        <v>143.704</v>
      </c>
      <c r="G48" s="13" t="n">
        <v>436.073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57.11300000000001</v>
      </c>
      <c r="F49" s="13" t="n">
        <v>73.50500000000002</v>
      </c>
      <c r="G49" s="13" t="n">
        <v>12.98899999999992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-52.54393281600981</v>
      </c>
      <c r="F50" s="13" t="n">
        <v>-90.90747433348928</v>
      </c>
      <c r="G50" s="13" t="n">
        <v>-267.9576974609766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73.973</v>
      </c>
      <c r="F51" s="13" t="n">
        <v>742.4010000000001</v>
      </c>
      <c r="G51" s="13" t="n">
        <v>632.375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12.919</v>
      </c>
      <c r="E54" s="13" t="n">
        <v>70.03200000000001</v>
      </c>
      <c r="F54" s="13" t="n">
        <v>143.537</v>
      </c>
      <c r="G54" s="13" t="n">
        <v>156.526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16.193</v>
      </c>
      <c r="E55" s="13" t="n">
        <v>60.919</v>
      </c>
      <c r="F55" s="13" t="n">
        <v>304.163</v>
      </c>
      <c r="G55" s="13" t="n">
        <v>453.801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0</v>
      </c>
      <c r="E56" s="13" t="n">
        <v>73.973</v>
      </c>
      <c r="F56" s="13" t="n">
        <v>816.374</v>
      </c>
      <c r="G56" s="13" t="n">
        <v>1448.749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51.416</v>
      </c>
      <c r="E57" s="13" t="n">
        <v>62.242</v>
      </c>
      <c r="F57" s="13" t="n">
        <v>903.902</v>
      </c>
      <c r="G57" s="13" t="n">
        <v>1390.681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69.748</v>
      </c>
      <c r="E58" s="13" t="n">
        <v>108.715</v>
      </c>
      <c r="F58" s="13" t="n">
        <v>306.151</v>
      </c>
      <c r="G58" s="13" t="n">
        <v>339.384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11.326</v>
      </c>
      <c r="E59" s="13" t="n">
        <v>11.987</v>
      </c>
      <c r="F59" s="13" t="n">
        <v>259.748</v>
      </c>
      <c r="G59" s="13" t="n">
        <v>287.026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0.5460000000000207</v>
      </c>
      <c r="E60" s="13" t="n">
        <v>1.481999999999964</v>
      </c>
      <c r="F60" s="13" t="n">
        <v>30.67100000000005</v>
      </c>
      <c r="G60" s="13" t="n">
        <v>74.15100000000029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-16.193</v>
      </c>
      <c r="E62" s="13" t="n">
        <v>13.054</v>
      </c>
      <c r="F62" s="13" t="n">
        <v>512.211</v>
      </c>
      <c r="G62" s="13" t="n">
        <v>994.9480000000001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0.0006204294829428149</v>
      </c>
      <c r="E63" s="15" t="n">
        <v>0.0009670526930969794</v>
      </c>
      <c r="F63" s="15" t="n">
        <v>0.0027233054228426</v>
      </c>
      <c r="G63" s="15" t="n">
        <v>0.003018922974695536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0.002841888833638118</v>
      </c>
      <c r="F64" s="4" t="n">
        <v>7.185607955647672</v>
      </c>
      <c r="G64" s="4" t="n">
        <v>0.5162568617839329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0.711342460858027</v>
      </c>
      <c r="E65" s="4" t="n">
        <v>0.3799965285931614</v>
      </c>
      <c r="F65" s="4" t="n">
        <v>0.1470158645816573</v>
      </c>
      <c r="G65" s="4" t="n">
        <v>0.1315947937592237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0.4965854965632311</v>
      </c>
      <c r="E66" s="4" t="n">
        <v>0.2144614724891008</v>
      </c>
      <c r="F66" s="4" t="n">
        <v>0.1577452561545571</v>
      </c>
      <c r="G66" s="4" t="n">
        <v>0.1486009585247998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0.4964901421835627</v>
      </c>
      <c r="E67" s="4" t="n">
        <v>0.2143287422276222</v>
      </c>
      <c r="F67" s="4" t="n">
        <v>0.03319226216536136</v>
      </c>
      <c r="G67" s="4" t="n">
        <v>0.02083220222142153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0.3757178366975183</v>
      </c>
      <c r="E68" s="4" t="n">
        <v>0.1594907241967267</v>
      </c>
      <c r="F68" s="4" t="n">
        <v>0.2005493169087079</v>
      </c>
      <c r="G68" s="4" t="n">
        <v>0.1106984266438964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-0.5742976151710961</v>
      </c>
      <c r="F69" s="4" t="n">
        <v>9.292874975993854</v>
      </c>
      <c r="G69" s="4" t="n">
        <v>-0.1630624747333393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0.1750614973411856</v>
      </c>
      <c r="F70" s="4" t="n">
        <v>0.7751177488634885</v>
      </c>
      <c r="G70" s="4" t="n">
        <v>0.4169162012904025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-0.3338814942480883</v>
      </c>
      <c r="E71" s="18" t="n">
        <v>0.621471078314687</v>
      </c>
      <c r="F71" s="18" t="n">
        <v>4.050123351361609</v>
      </c>
      <c r="G71" s="18" t="n">
        <v>5.507844244417134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0</v>
      </c>
      <c r="F72" s="4" t="n">
        <v>0.01353885294601361</v>
      </c>
      <c r="G72" s="4" t="n">
        <v>0.148628166630749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0.02765859774203918</v>
      </c>
      <c r="E73" s="4" t="n">
        <v>0.120345507080649</v>
      </c>
      <c r="F73" s="4" t="n">
        <v>0.1792439533355037</v>
      </c>
      <c r="G73" s="4" t="n">
        <v>0.3587253561562925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505</v>
      </c>
    </row>
    <row r="77">
      <c r="A77" t="inlineStr">
        <is>
          <t>Shares outstanding (m)</t>
        </is>
      </c>
      <c r="C77" s="13" t="n">
        <v>112399.1994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1426.519</v>
      </c>
    </row>
    <row r="80">
      <c r="A80" t="inlineStr">
        <is>
          <t>Cash at balance-sheet date</t>
        </is>
      </c>
      <c r="C80" s="13" t="n">
        <v>449.092</v>
      </c>
    </row>
    <row r="81">
      <c r="A81" t="inlineStr">
        <is>
          <t>Minority interest (book)</t>
        </is>
      </c>
      <c r="C81" s="13" t="n">
        <v>291.21</v>
      </c>
    </row>
    <row r="82">
      <c r="A82" t="inlineStr">
        <is>
          <t>Associates &amp; investments (book)</t>
        </is>
      </c>
      <c r="C82" s="13" t="n">
        <v>33.982</v>
      </c>
    </row>
    <row r="83">
      <c r="A83" t="inlineStr">
        <is>
          <t>Post-balance-sheet &amp; other items (sourced, probability-weighted)</t>
        </is>
      </c>
      <c r="C83" s="13" t="n">
        <v>-20.2</v>
      </c>
    </row>
    <row r="84">
      <c r="A84" t="inlineStr">
        <is>
          <t>Parent equity at balance-sheet date</t>
        </is>
      </c>
      <c r="C84" s="13" t="n">
        <v>347.161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0.4530000374242298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38.970916</v>
      </c>
    </row>
    <row r="102">
      <c r="A102" s="1" t="inlineStr">
        <is>
          <t>P/BV</t>
        </is>
      </c>
    </row>
    <row r="103">
      <c r="A103" t="inlineStr">
        <is>
          <t>Target multiple (peer median (own history unavailable))</t>
        </is>
      </c>
      <c r="C103" s="18" t="n">
        <v>0.852811</v>
      </c>
    </row>
    <row r="104">
      <c r="A104" t="inlineStr">
        <is>
          <t>Metric (LTM, or next-12m DPS for yield)</t>
        </is>
      </c>
      <c r="C104" s="13" t="n">
        <v>347.161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0.833333</v>
      </c>
    </row>
    <row r="109">
      <c r="A109" t="inlineStr">
        <is>
          <t>Weight: P/BV</t>
        </is>
      </c>
      <c r="C109" s="4" t="n">
        <v>0.166667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0.005869829746987211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38.48561407492389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52.6172979768608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12.503458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0.75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0.35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50.489435</v>
      </c>
      <c r="E135" s="23" t="n">
        <v>47.888092</v>
      </c>
      <c r="F135" s="23" t="n">
        <v>45.28675</v>
      </c>
      <c r="G135" s="23" t="n">
        <v>42.685407</v>
      </c>
      <c r="H135" s="23" t="n">
        <v>40.084065</v>
      </c>
    </row>
    <row r="136">
      <c r="C136" s="1" t="n">
        <v>-0.005</v>
      </c>
      <c r="D136" s="23" t="n">
        <v>50.714576</v>
      </c>
      <c r="E136" s="23" t="n">
        <v>48.101635</v>
      </c>
      <c r="F136" s="23" t="n">
        <v>45.488694</v>
      </c>
      <c r="G136" s="23" t="n">
        <v>42.875753</v>
      </c>
      <c r="H136" s="23" t="n">
        <v>40.262812</v>
      </c>
    </row>
    <row r="137">
      <c r="C137" s="1" t="n">
        <v>0</v>
      </c>
      <c r="D137" s="23" t="n">
        <v>50.939717</v>
      </c>
      <c r="E137" s="23" t="n">
        <v>48.315177</v>
      </c>
      <c r="F137" s="23" t="n">
        <v>45.690638</v>
      </c>
      <c r="G137" s="23" t="n">
        <v>43.066098</v>
      </c>
      <c r="H137" s="23" t="n">
        <v>40.441559</v>
      </c>
    </row>
    <row r="138">
      <c r="C138" s="1" t="n">
        <v>0.005</v>
      </c>
      <c r="D138" s="23" t="n">
        <v>51.164858</v>
      </c>
      <c r="E138" s="23" t="n">
        <v>48.52872</v>
      </c>
      <c r="F138" s="23" t="n">
        <v>45.892582</v>
      </c>
      <c r="G138" s="23" t="n">
        <v>43.256444</v>
      </c>
      <c r="H138" s="23" t="n">
        <v>40.620306</v>
      </c>
    </row>
    <row r="139">
      <c r="C139" s="1" t="n">
        <v>0.01</v>
      </c>
      <c r="D139" s="23" t="n">
        <v>51.389999</v>
      </c>
      <c r="E139" s="23" t="n">
        <v>48.742263</v>
      </c>
      <c r="F139" s="23" t="n">
        <v>46.094526</v>
      </c>
      <c r="G139" s="23" t="n">
        <v>43.44679</v>
      </c>
      <c r="H139" s="23" t="n">
        <v>40.799053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Dian Swastatika Sentosa Tbk (DSSA.JK) — Conglomerates &amp; multi-sector holdings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-0.05</v>
      </c>
      <c r="J11" s="4" t="n">
        <v>-0.06</v>
      </c>
      <c r="K11" s="4" t="n">
        <v>-0.06</v>
      </c>
      <c r="L11" s="4" t="n">
        <v>-0.06</v>
      </c>
      <c r="M11" s="4" t="n">
        <v>-0.05</v>
      </c>
      <c r="N11" s="4" t="n">
        <v>-0.05</v>
      </c>
      <c r="O11" s="4" t="n">
        <v>-0.05</v>
      </c>
      <c r="P11" s="4" t="n">
        <v>-0.05</v>
      </c>
      <c r="Q11" s="4" t="n">
        <v>-0.05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0.337361</v>
      </c>
      <c r="I12" s="4" t="n">
        <v>0.337361</v>
      </c>
      <c r="J12" s="4" t="n">
        <v>0.337361</v>
      </c>
      <c r="K12" s="4" t="n">
        <v>0.337361</v>
      </c>
      <c r="L12" s="4" t="n">
        <v>0.337361</v>
      </c>
      <c r="M12" s="4" t="n">
        <v>0.337361</v>
      </c>
      <c r="N12" s="4" t="n">
        <v>0.337361</v>
      </c>
      <c r="O12" s="4" t="n">
        <v>0.337361</v>
      </c>
      <c r="P12" s="4" t="n">
        <v>0.337361</v>
      </c>
      <c r="Q12" s="4" t="n">
        <v>0.337361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0.193723</v>
      </c>
      <c r="I13" s="4" t="n">
        <v>0.193723</v>
      </c>
      <c r="J13" s="4" t="n">
        <v>0.193723</v>
      </c>
      <c r="K13" s="4" t="n">
        <v>0.193723</v>
      </c>
      <c r="L13" s="4" t="n">
        <v>0.193723</v>
      </c>
      <c r="M13" s="4" t="n">
        <v>0.193723</v>
      </c>
      <c r="N13" s="4" t="n">
        <v>0.193723</v>
      </c>
      <c r="O13" s="4" t="n">
        <v>0.193723</v>
      </c>
      <c r="P13" s="4" t="n">
        <v>0.193723</v>
      </c>
      <c r="Q13" s="4" t="n">
        <v>0.193723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0.028005</v>
      </c>
      <c r="I14" s="4" t="n">
        <v>0.028005</v>
      </c>
      <c r="J14" s="4" t="n">
        <v>0.028005</v>
      </c>
      <c r="K14" s="4" t="n">
        <v>0.028005</v>
      </c>
      <c r="L14" s="4" t="n">
        <v>0.028005</v>
      </c>
      <c r="M14" s="4" t="n">
        <v>0.028005</v>
      </c>
      <c r="N14" s="4" t="n">
        <v>0.028005</v>
      </c>
      <c r="O14" s="4" t="n">
        <v>0.028005</v>
      </c>
      <c r="P14" s="4" t="n">
        <v>0.028005</v>
      </c>
      <c r="Q14" s="4" t="n">
        <v>0.028005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0.167325</v>
      </c>
      <c r="I15" s="4" t="n">
        <v>0.167325</v>
      </c>
      <c r="J15" s="4" t="n">
        <v>0.167325</v>
      </c>
      <c r="K15" s="4" t="n">
        <v>0.167325</v>
      </c>
      <c r="L15" s="4" t="n">
        <v>0.167325</v>
      </c>
      <c r="M15" s="4" t="n">
        <v>0.167325</v>
      </c>
      <c r="N15" s="4" t="n">
        <v>0.167325</v>
      </c>
      <c r="O15" s="4" t="n">
        <v>0.167325</v>
      </c>
      <c r="P15" s="4" t="n">
        <v>0.167325</v>
      </c>
      <c r="Q15" s="4" t="n">
        <v>0.167325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0.155985</v>
      </c>
      <c r="I16" s="4" t="n">
        <v>0.155985</v>
      </c>
      <c r="J16" s="4" t="n">
        <v>0.155985</v>
      </c>
      <c r="K16" s="4" t="n">
        <v>0.155985</v>
      </c>
      <c r="L16" s="4" t="n">
        <v>0.155985</v>
      </c>
      <c r="M16" s="4" t="n">
        <v>0.155985</v>
      </c>
      <c r="N16" s="4" t="n">
        <v>0.155985</v>
      </c>
      <c r="O16" s="4" t="n">
        <v>0.155985</v>
      </c>
      <c r="P16" s="4" t="n">
        <v>0.155985</v>
      </c>
      <c r="Q16" s="4" t="n">
        <v>0.155985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0.241607</v>
      </c>
      <c r="I17" s="4" t="n">
        <v>0.241607</v>
      </c>
      <c r="J17" s="4" t="n">
        <v>0.241607</v>
      </c>
      <c r="K17" s="4" t="n">
        <v>0.241607</v>
      </c>
      <c r="L17" s="4" t="n">
        <v>0.241607</v>
      </c>
      <c r="M17" s="4" t="n">
        <v>0.241607</v>
      </c>
      <c r="N17" s="4" t="n">
        <v>0.241607</v>
      </c>
      <c r="O17" s="4" t="n">
        <v>0.241607</v>
      </c>
      <c r="P17" s="4" t="n">
        <v>0.241607</v>
      </c>
      <c r="Q17" s="4" t="n">
        <v>0.241607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0.066581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0.07000000000000001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0.43326</v>
      </c>
      <c r="I22" s="4" t="n">
        <v>0.43326</v>
      </c>
      <c r="J22" s="4" t="n">
        <v>0.43326</v>
      </c>
      <c r="K22" s="4" t="n">
        <v>0.43326</v>
      </c>
      <c r="L22" s="4" t="n">
        <v>0.43326</v>
      </c>
      <c r="M22" s="4" t="n">
        <v>0.43326</v>
      </c>
      <c r="N22" s="4" t="n">
        <v>0.43326</v>
      </c>
      <c r="O22" s="4" t="n">
        <v>0.43326</v>
      </c>
      <c r="P22" s="4" t="n">
        <v>0.43326</v>
      </c>
      <c r="Q22" s="4" t="n">
        <v>0.43326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5956.105798</v>
      </c>
      <c r="E29" s="13" t="n">
        <v>5014.659972</v>
      </c>
      <c r="F29" s="13" t="n">
        <v>3017.79603</v>
      </c>
      <c r="G29" s="13" t="n">
        <v>2791.216594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3318.073368</v>
      </c>
      <c r="E30" s="13" t="n">
        <v>2942.400531</v>
      </c>
      <c r="F30" s="13" t="n">
        <v>1789.388822</v>
      </c>
      <c r="G30" s="13" t="n">
        <v>1849.6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2638.03243</v>
      </c>
      <c r="E31" s="13" t="n">
        <v>2072.259441</v>
      </c>
      <c r="F31" s="13" t="n">
        <v>1228.407208</v>
      </c>
      <c r="G31" s="13" t="n">
        <v>941.656015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860.9013520000003</v>
      </c>
      <c r="E32" s="13" t="n">
        <v>817.4717290000001</v>
      </c>
      <c r="F32" s="13" t="n">
        <v>577.672898</v>
      </c>
      <c r="G32" s="13" t="n">
        <v>540.7234980000001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1777.131078</v>
      </c>
      <c r="E33" s="13" t="n">
        <v>1254.787712</v>
      </c>
      <c r="F33" s="13" t="n">
        <v>650.7343100000001</v>
      </c>
      <c r="G33" s="13" t="n">
        <v>400.932517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14.25822</v>
      </c>
      <c r="E34" s="13" t="n">
        <v>14.185685</v>
      </c>
      <c r="F34" s="13" t="n">
        <v>83.646621</v>
      </c>
      <c r="G34" s="13" t="n">
        <v>78.164895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1791.389298</v>
      </c>
      <c r="E35" s="13" t="n">
        <v>1268.973397</v>
      </c>
      <c r="F35" s="13" t="n">
        <v>734.380931</v>
      </c>
      <c r="G35" s="13" t="n">
        <v>479.097412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158.888223</v>
      </c>
      <c r="E36" s="13" t="n">
        <v>107.45761</v>
      </c>
      <c r="F36" s="13" t="n">
        <v>60.859253</v>
      </c>
      <c r="G36" s="13" t="n">
        <v>71.37262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24.584143</v>
      </c>
      <c r="E37" s="13" t="n">
        <v>42.939142</v>
      </c>
      <c r="F37" s="13" t="n">
        <v>67.10893900000001</v>
      </c>
      <c r="G37" s="13" t="n">
        <v>90.36784900000001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-42.47878499999989</v>
      </c>
      <c r="E38" s="13" t="n">
        <v>-9.199558000000003</v>
      </c>
      <c r="F38" s="13" t="n">
        <v>53.25965199999995</v>
      </c>
      <c r="G38" s="13" t="n">
        <v>44.15677099999996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1600.348213</v>
      </c>
      <c r="E39" s="13" t="n">
        <v>1181.069686</v>
      </c>
      <c r="F39" s="13" t="n">
        <v>710.243648</v>
      </c>
      <c r="G39" s="13" t="n">
        <v>464.084517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302.184619</v>
      </c>
      <c r="E40" s="13" t="n">
        <v>315.756167</v>
      </c>
      <c r="F40" s="13" t="n">
        <v>167.463158</v>
      </c>
      <c r="G40" s="13" t="n">
        <v>102.883644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1298.163594</v>
      </c>
      <c r="E41" s="13" t="n">
        <v>865.313519</v>
      </c>
      <c r="F41" s="13" t="n">
        <v>542.78049</v>
      </c>
      <c r="G41" s="13" t="n">
        <v>361.200873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708.2662730000001</v>
      </c>
      <c r="E42" s="13" t="n">
        <v>439.134328</v>
      </c>
      <c r="F42" s="13" t="n">
        <v>233.695697</v>
      </c>
      <c r="G42" s="13" t="n">
        <v>130.66173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589.897321</v>
      </c>
      <c r="E43" s="13" t="n">
        <v>426.179191</v>
      </c>
      <c r="F43" s="13" t="n">
        <v>309.084793</v>
      </c>
      <c r="G43" s="13" t="n">
        <v>230.539143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192638.08</v>
      </c>
      <c r="E44" s="13" t="n">
        <v>154111.74825</v>
      </c>
      <c r="F44" s="13" t="n">
        <v>154732.12325</v>
      </c>
      <c r="G44" s="13" t="n">
        <v>154732.12325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0.003062205151754004</v>
      </c>
      <c r="E45" s="15" t="n">
        <v>0.002765390671635574</v>
      </c>
      <c r="F45" s="15" t="n">
        <v>0.001997547674703675</v>
      </c>
      <c r="G45" s="15" t="n">
        <v>0.00148992425204118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188.541235</v>
      </c>
      <c r="E48" s="13" t="n">
        <v>306.133372</v>
      </c>
      <c r="F48" s="13" t="n">
        <v>403.843971</v>
      </c>
      <c r="G48" s="13" t="n">
        <v>467.049182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319.7526750000002</v>
      </c>
      <c r="F49" s="13" t="n">
        <v>316.4726659999999</v>
      </c>
      <c r="G49" s="13" t="n">
        <v>22.53228899999999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307.622844360474</v>
      </c>
      <c r="F50" s="13" t="n">
        <v>-139.3675921962576</v>
      </c>
      <c r="G50" s="13" t="n">
        <v>-99.36743441123343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-830.2185499999999</v>
      </c>
      <c r="F51" s="13" t="n">
        <v>409.4546759999999</v>
      </c>
      <c r="G51" s="13" t="n">
        <v>269.8341850000002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-47.96453100000008</v>
      </c>
      <c r="E54" s="13" t="n">
        <v>271.7881440000001</v>
      </c>
      <c r="F54" s="13" t="n">
        <v>588.26081</v>
      </c>
      <c r="G54" s="13" t="n">
        <v>610.793099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1122.685374</v>
      </c>
      <c r="E55" s="13" t="n">
        <v>657.753749</v>
      </c>
      <c r="F55" s="13" t="n">
        <v>908.48203</v>
      </c>
      <c r="G55" s="13" t="n">
        <v>575.526176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1637.093653</v>
      </c>
      <c r="E56" s="13" t="n">
        <v>806.875103</v>
      </c>
      <c r="F56" s="13" t="n">
        <v>1216.329779</v>
      </c>
      <c r="G56" s="13" t="n">
        <v>1486.163964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3118.331876</v>
      </c>
      <c r="E57" s="13" t="n">
        <v>870.644301</v>
      </c>
      <c r="F57" s="13" t="n">
        <v>985.016787</v>
      </c>
      <c r="G57" s="13" t="n">
        <v>1356.247947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2072.667286</v>
      </c>
      <c r="E58" s="13" t="n">
        <v>1383.424532</v>
      </c>
      <c r="F58" s="13" t="n">
        <v>1608.439898</v>
      </c>
      <c r="G58" s="13" t="n">
        <v>1816.771286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985.3180609999999</v>
      </c>
      <c r="E59" s="13" t="n">
        <v>337.390654</v>
      </c>
      <c r="F59" s="13" t="n">
        <v>335.139495</v>
      </c>
      <c r="G59" s="13" t="n">
        <v>444.426346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502.0262809999999</v>
      </c>
      <c r="E60" s="13" t="n">
        <v>727.5040949999996</v>
      </c>
      <c r="F60" s="13" t="n">
        <v>678.149545</v>
      </c>
      <c r="G60" s="13" t="n">
        <v>1204.794374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514.408279</v>
      </c>
      <c r="E62" s="13" t="n">
        <v>149.121354</v>
      </c>
      <c r="F62" s="13" t="n">
        <v>307.8477489999999</v>
      </c>
      <c r="G62" s="13" t="n">
        <v>910.6377880000001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0.01075938509146271</v>
      </c>
      <c r="E63" s="15" t="n">
        <v>0.008976762302091398</v>
      </c>
      <c r="F63" s="15" t="n">
        <v>0.01039499661877741</v>
      </c>
      <c r="G63" s="15" t="n">
        <v>0.01174139698881176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-0.1580639864248428</v>
      </c>
      <c r="F64" s="4" t="n">
        <v>-0.3982052528286558</v>
      </c>
      <c r="G64" s="4" t="n">
        <v>-0.07508109684934539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0.4429122852192829</v>
      </c>
      <c r="E65" s="4" t="n">
        <v>0.4132402700423812</v>
      </c>
      <c r="F65" s="4" t="n">
        <v>0.4070544184525288</v>
      </c>
      <c r="G65" s="4" t="n">
        <v>0.3373640071588081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0.3007651910081131</v>
      </c>
      <c r="E66" s="4" t="n">
        <v>0.2530527302121133</v>
      </c>
      <c r="F66" s="4" t="n">
        <v>0.2433500885081355</v>
      </c>
      <c r="G66" s="4" t="n">
        <v>0.1716446559646672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0.2983713080779631</v>
      </c>
      <c r="E67" s="4" t="n">
        <v>0.250223887363504</v>
      </c>
      <c r="F67" s="4" t="n">
        <v>0.2156323036848849</v>
      </c>
      <c r="G67" s="4" t="n">
        <v>0.1436407758043015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0.09904077278111507</v>
      </c>
      <c r="E68" s="4" t="n">
        <v>0.08498665779526955</v>
      </c>
      <c r="F68" s="4" t="n">
        <v>0.1024207036948087</v>
      </c>
      <c r="G68" s="4" t="n">
        <v>0.08259450144269241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-0.09692834588447408</v>
      </c>
      <c r="F69" s="4" t="n">
        <v>-0.2776616717513415</v>
      </c>
      <c r="G69" s="4" t="n">
        <v>-0.2541233078393476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0.2466249240140992</v>
      </c>
      <c r="F70" s="4" t="n">
        <v>0.2066168439323302</v>
      </c>
      <c r="G70" s="4" t="n">
        <v>0.1346130971876448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0.2871560523300615</v>
      </c>
      <c r="E71" s="18" t="n">
        <v>0.1175133807789353</v>
      </c>
      <c r="F71" s="18" t="n">
        <v>0.4191935492943782</v>
      </c>
      <c r="G71" s="18" t="n">
        <v>1.900736186819561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0.03165511852783244</v>
      </c>
      <c r="E73" s="4" t="n">
        <v>0.06104768293550013</v>
      </c>
      <c r="F73" s="4" t="n">
        <v>0.1338208304952936</v>
      </c>
      <c r="G73" s="4" t="n">
        <v>0.1673281761809417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750</v>
      </c>
    </row>
    <row r="77">
      <c r="A77" t="inlineStr">
        <is>
          <t>Shares outstanding (m)</t>
        </is>
      </c>
      <c r="C77" s="13" t="n">
        <v>154732.12325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1911.110993</v>
      </c>
    </row>
    <row r="80">
      <c r="A80" t="inlineStr">
        <is>
          <t>Cash at balance-sheet date</t>
        </is>
      </c>
      <c r="C80" s="13" t="n">
        <v>814.3766900000001</v>
      </c>
    </row>
    <row r="81">
      <c r="A81" t="inlineStr">
        <is>
          <t>Minority interest (book)</t>
        </is>
      </c>
      <c r="C81" s="13" t="n">
        <v>954.039943</v>
      </c>
    </row>
    <row r="82">
      <c r="A82" t="inlineStr">
        <is>
          <t>Associates &amp; investments (book)</t>
        </is>
      </c>
      <c r="C82" s="13" t="n">
        <v>6.479142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2093.883533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0.2968379581889223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207.101805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199.5421109785326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266.0561479713768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3.621407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0.85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0.45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0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263.68927</v>
      </c>
      <c r="E129" s="23" t="n">
        <v>247.208691</v>
      </c>
      <c r="F129" s="23" t="n">
        <v>230.728111</v>
      </c>
      <c r="G129" s="23" t="n">
        <v>214.247532</v>
      </c>
      <c r="H129" s="23" t="n">
        <v>197.766953</v>
      </c>
    </row>
    <row r="130">
      <c r="C130" s="1" t="n">
        <v>-0.005</v>
      </c>
      <c r="D130" s="23" t="n">
        <v>264.872709</v>
      </c>
      <c r="E130" s="23" t="n">
        <v>248.318165</v>
      </c>
      <c r="F130" s="23" t="n">
        <v>231.76362</v>
      </c>
      <c r="G130" s="23" t="n">
        <v>215.209076</v>
      </c>
      <c r="H130" s="23" t="n">
        <v>198.654532</v>
      </c>
    </row>
    <row r="131">
      <c r="C131" s="1" t="n">
        <v>0</v>
      </c>
      <c r="D131" s="23" t="n">
        <v>266.056148</v>
      </c>
      <c r="E131" s="23" t="n">
        <v>249.427639</v>
      </c>
      <c r="F131" s="23" t="n">
        <v>232.799129</v>
      </c>
      <c r="G131" s="23" t="n">
        <v>216.17062</v>
      </c>
      <c r="H131" s="23" t="n">
        <v>199.542111</v>
      </c>
    </row>
    <row r="132">
      <c r="C132" s="1" t="n">
        <v>0.005</v>
      </c>
      <c r="D132" s="23" t="n">
        <v>267.239587</v>
      </c>
      <c r="E132" s="23" t="n">
        <v>250.537113</v>
      </c>
      <c r="F132" s="23" t="n">
        <v>233.834639</v>
      </c>
      <c r="G132" s="23" t="n">
        <v>217.132164</v>
      </c>
      <c r="H132" s="23" t="n">
        <v>200.42969</v>
      </c>
    </row>
    <row r="133">
      <c r="C133" s="1" t="n">
        <v>0.01</v>
      </c>
      <c r="D133" s="23" t="n">
        <v>268.423026</v>
      </c>
      <c r="E133" s="23" t="n">
        <v>251.646587</v>
      </c>
      <c r="F133" s="23" t="n">
        <v>234.870148</v>
      </c>
      <c r="G133" s="23" t="n">
        <v>218.093708</v>
      </c>
      <c r="H133" s="23" t="n">
        <v>201.317269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Indomobil Multi Jasa Tbk (IMJS.JK)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0.18</v>
      </c>
      <c r="I11" s="4" t="n">
        <v>0.13</v>
      </c>
      <c r="J11" s="4" t="n">
        <v>0.11</v>
      </c>
      <c r="K11" s="4" t="n">
        <v>0.1</v>
      </c>
      <c r="L11" s="4" t="n">
        <v>0.1</v>
      </c>
      <c r="M11" s="4" t="n">
        <v>0.1</v>
      </c>
      <c r="N11" s="4" t="n">
        <v>0.1</v>
      </c>
      <c r="O11" s="4" t="n">
        <v>0.1</v>
      </c>
      <c r="P11" s="4" t="n">
        <v>0.1</v>
      </c>
      <c r="Q11" s="4" t="n">
        <v>0.1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0.382</v>
      </c>
      <c r="I12" s="4" t="n">
        <v>0.382</v>
      </c>
      <c r="J12" s="4" t="n">
        <v>0.382</v>
      </c>
      <c r="K12" s="4" t="n">
        <v>0.382</v>
      </c>
      <c r="L12" s="4" t="n">
        <v>0.382</v>
      </c>
      <c r="M12" s="4" t="n">
        <v>0.382</v>
      </c>
      <c r="N12" s="4" t="n">
        <v>0.382</v>
      </c>
      <c r="O12" s="4" t="n">
        <v>0.382</v>
      </c>
      <c r="P12" s="4" t="n">
        <v>0.382</v>
      </c>
      <c r="Q12" s="4" t="n">
        <v>0.382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0.205</v>
      </c>
      <c r="I13" s="4" t="n">
        <v>0.205</v>
      </c>
      <c r="J13" s="4" t="n">
        <v>0.205</v>
      </c>
      <c r="K13" s="4" t="n">
        <v>0.205</v>
      </c>
      <c r="L13" s="4" t="n">
        <v>0.205</v>
      </c>
      <c r="M13" s="4" t="n">
        <v>0.205</v>
      </c>
      <c r="N13" s="4" t="n">
        <v>0.205</v>
      </c>
      <c r="O13" s="4" t="n">
        <v>0.205</v>
      </c>
      <c r="P13" s="4" t="n">
        <v>0.205</v>
      </c>
      <c r="Q13" s="4" t="n">
        <v>0.205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0.163</v>
      </c>
      <c r="I14" s="4" t="n">
        <v>0.163</v>
      </c>
      <c r="J14" s="4" t="n">
        <v>0.163</v>
      </c>
      <c r="K14" s="4" t="n">
        <v>0.163</v>
      </c>
      <c r="L14" s="4" t="n">
        <v>0.163</v>
      </c>
      <c r="M14" s="4" t="n">
        <v>0.163</v>
      </c>
      <c r="N14" s="4" t="n">
        <v>0.163</v>
      </c>
      <c r="O14" s="4" t="n">
        <v>0.163</v>
      </c>
      <c r="P14" s="4" t="n">
        <v>0.163</v>
      </c>
      <c r="Q14" s="4" t="n">
        <v>0.163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0.4</v>
      </c>
      <c r="I15" s="4" t="n">
        <v>0.4</v>
      </c>
      <c r="J15" s="4" t="n">
        <v>0.4</v>
      </c>
      <c r="K15" s="4" t="n">
        <v>0.4</v>
      </c>
      <c r="L15" s="4" t="n">
        <v>0.4</v>
      </c>
      <c r="M15" s="4" t="n">
        <v>0.4</v>
      </c>
      <c r="N15" s="4" t="n">
        <v>0.4</v>
      </c>
      <c r="O15" s="4" t="n">
        <v>0.4</v>
      </c>
      <c r="P15" s="4" t="n">
        <v>0.4</v>
      </c>
      <c r="Q15" s="4" t="n">
        <v>0.4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1.370792</v>
      </c>
      <c r="I16" s="4" t="n">
        <v>1.370792</v>
      </c>
      <c r="J16" s="4" t="n">
        <v>1.370792</v>
      </c>
      <c r="K16" s="4" t="n">
        <v>1.370792</v>
      </c>
      <c r="L16" s="4" t="n">
        <v>1.370792</v>
      </c>
      <c r="M16" s="4" t="n">
        <v>1.370792</v>
      </c>
      <c r="N16" s="4" t="n">
        <v>1.370792</v>
      </c>
      <c r="O16" s="4" t="n">
        <v>1.370792</v>
      </c>
      <c r="P16" s="4" t="n">
        <v>1.370792</v>
      </c>
      <c r="Q16" s="4" t="n">
        <v>1.370792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0.42</v>
      </c>
      <c r="I17" s="4" t="n">
        <v>0.42</v>
      </c>
      <c r="J17" s="4" t="n">
        <v>0.42</v>
      </c>
      <c r="K17" s="4" t="n">
        <v>0.42</v>
      </c>
      <c r="L17" s="4" t="n">
        <v>0.42</v>
      </c>
      <c r="M17" s="4" t="n">
        <v>0.42</v>
      </c>
      <c r="N17" s="4" t="n">
        <v>0.42</v>
      </c>
      <c r="O17" s="4" t="n">
        <v>0.42</v>
      </c>
      <c r="P17" s="4" t="n">
        <v>0.42</v>
      </c>
      <c r="Q17" s="4" t="n">
        <v>0.42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0.0374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0.021156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2900</v>
      </c>
      <c r="I20" s="13" t="n">
        <v>2800</v>
      </c>
      <c r="J20" s="13" t="n">
        <v>2900</v>
      </c>
      <c r="K20" s="13" t="n">
        <v>3050</v>
      </c>
      <c r="L20" s="13" t="n">
        <v>3350</v>
      </c>
      <c r="M20" s="13" t="n">
        <v>3690</v>
      </c>
      <c r="N20" s="13" t="n">
        <v>3782.25</v>
      </c>
      <c r="O20" s="13" t="n">
        <v>3876.806249999999</v>
      </c>
      <c r="P20" s="13" t="n">
        <v>3973.726406249998</v>
      </c>
      <c r="Q20" s="13" t="n">
        <v>4073.069566406248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30</v>
      </c>
      <c r="I21" s="13" t="n">
        <v>30</v>
      </c>
      <c r="J21" s="13" t="n">
        <v>30</v>
      </c>
      <c r="K21" s="13" t="n">
        <v>30</v>
      </c>
      <c r="L21" s="13" t="n">
        <v>30</v>
      </c>
      <c r="M21" s="13" t="n">
        <v>30.75</v>
      </c>
      <c r="N21" s="13" t="n">
        <v>31.51875</v>
      </c>
      <c r="O21" s="13" t="n">
        <v>32.30671874999999</v>
      </c>
      <c r="P21" s="13" t="n">
        <v>33.11438671874998</v>
      </c>
      <c r="Q21" s="13" t="n">
        <v>33.94224638671874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0.02269</v>
      </c>
      <c r="I23" s="4" t="n">
        <v>0.019512</v>
      </c>
      <c r="J23" s="4" t="n">
        <v>0.017233</v>
      </c>
      <c r="K23" s="4" t="n">
        <v>0.015535</v>
      </c>
      <c r="L23" s="4" t="n">
        <v>0.01388</v>
      </c>
      <c r="M23" s="4" t="n">
        <v>0.012403</v>
      </c>
      <c r="N23" s="4" t="n">
        <v>0.011103</v>
      </c>
      <c r="O23" s="4" t="n">
        <v>0.009887</v>
      </c>
      <c r="P23" s="4" t="n">
        <v>0.008768</v>
      </c>
      <c r="Q23" s="4" t="n">
        <v>0.007753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4825.433552907</v>
      </c>
      <c r="E29" s="13" t="n">
        <v>5154.369</v>
      </c>
      <c r="F29" s="13" t="n">
        <v>5405.027</v>
      </c>
      <c r="G29" s="13" t="n">
        <v>5785.168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2835.276374528</v>
      </c>
      <c r="E30" s="13" t="n">
        <v>3044.639</v>
      </c>
      <c r="F30" s="13" t="n">
        <v>3301.787</v>
      </c>
      <c r="G30" s="13" t="n">
        <v>3590.973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1990.157178379</v>
      </c>
      <c r="E31" s="13" t="n">
        <v>2109.73</v>
      </c>
      <c r="F31" s="13" t="n">
        <v>2103.24</v>
      </c>
      <c r="G31" s="13" t="n">
        <v>2194.195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1117.9349366</v>
      </c>
      <c r="E32" s="13" t="n">
        <v>1251.718</v>
      </c>
      <c r="F32" s="13" t="n">
        <v>1147.356</v>
      </c>
      <c r="G32" s="13" t="n">
        <v>1074.07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872.222241779</v>
      </c>
      <c r="E33" s="13" t="n">
        <v>858.0119999999999</v>
      </c>
      <c r="F33" s="13" t="n">
        <v>1036.743</v>
      </c>
      <c r="G33" s="13" t="n">
        <v>969.816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85.109710363</v>
      </c>
      <c r="E34" s="13" t="n">
        <v>734.0599999999999</v>
      </c>
      <c r="F34" s="13" t="n">
        <v>808.5650000000001</v>
      </c>
      <c r="G34" s="13" t="n">
        <v>915.492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957.331952142</v>
      </c>
      <c r="E35" s="13" t="n">
        <v>1592.072</v>
      </c>
      <c r="F35" s="13" t="n">
        <v>1845.308</v>
      </c>
      <c r="G35" s="13" t="n">
        <v>1885.308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422.40457947</v>
      </c>
      <c r="E36" s="13" t="n">
        <v>661.367</v>
      </c>
      <c r="F36" s="13" t="n">
        <v>890.597</v>
      </c>
      <c r="G36" s="13" t="n">
        <v>880.181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17.970743381</v>
      </c>
      <c r="E37" s="13" t="n">
        <v>33.426</v>
      </c>
      <c r="F37" s="13" t="n">
        <v>53.323</v>
      </c>
      <c r="G37" s="13" t="n">
        <v>34.319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-293.571361928</v>
      </c>
      <c r="E38" s="13" t="n">
        <v>105.9319999999999</v>
      </c>
      <c r="F38" s="13" t="n">
        <v>29.624</v>
      </c>
      <c r="G38" s="13" t="n">
        <v>29.79799999999996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174.217043762</v>
      </c>
      <c r="E39" s="13" t="n">
        <v>336.003</v>
      </c>
      <c r="F39" s="13" t="n">
        <v>229.093</v>
      </c>
      <c r="G39" s="13" t="n">
        <v>153.752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82.83621490900001</v>
      </c>
      <c r="E40" s="13" t="n">
        <v>66.402</v>
      </c>
      <c r="F40" s="13" t="n">
        <v>98.792</v>
      </c>
      <c r="G40" s="13" t="n">
        <v>134.577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91.380828853</v>
      </c>
      <c r="E41" s="13" t="n">
        <v>269.601</v>
      </c>
      <c r="F41" s="13" t="n">
        <v>130.301</v>
      </c>
      <c r="G41" s="13" t="n">
        <v>19.175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-53.62858494</v>
      </c>
      <c r="E42" s="13" t="n">
        <v>-64.09699999999998</v>
      </c>
      <c r="F42" s="13" t="n">
        <v>-98.17600000000002</v>
      </c>
      <c r="G42" s="13" t="n">
        <v>-103.68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145.009413793</v>
      </c>
      <c r="E43" s="13" t="n">
        <v>269.601</v>
      </c>
      <c r="F43" s="13" t="n">
        <v>130.301</v>
      </c>
      <c r="G43" s="13" t="n">
        <v>19.175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9695.085638</v>
      </c>
      <c r="E44" s="13" t="n">
        <v>9695.085638</v>
      </c>
      <c r="F44" s="13" t="n">
        <v>9695.085638</v>
      </c>
      <c r="G44" s="13" t="n">
        <v>10849.2625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14.95700184685671</v>
      </c>
      <c r="E45" s="15" t="n">
        <v>27.80800604208133</v>
      </c>
      <c r="F45" s="15" t="n">
        <v>13.43990191167407</v>
      </c>
      <c r="G45" s="15" t="n">
        <v>1.767401240406894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0.446325</v>
      </c>
      <c r="E46" s="15" t="n">
        <v>0.669488</v>
      </c>
      <c r="F46" s="15" t="n">
        <v>0.312428</v>
      </c>
      <c r="G46" s="15" t="n">
        <v>0.35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2.16358125</v>
      </c>
      <c r="E47" s="13" t="n">
        <v>4.327</v>
      </c>
      <c r="F47" s="13" t="n">
        <v>6.491</v>
      </c>
      <c r="G47" s="13" t="n">
        <v>3.029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1371.775474307</v>
      </c>
      <c r="E48" s="13" t="n">
        <v>1681.692</v>
      </c>
      <c r="F48" s="13" t="n">
        <v>1417.619</v>
      </c>
      <c r="G48" s="13" t="n">
        <v>2362.351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881.3520046500007</v>
      </c>
      <c r="F49" s="13" t="n">
        <v>-210.5819999999994</v>
      </c>
      <c r="G49" s="13" t="n">
        <v>666.1289999999981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-1140.535112193683</v>
      </c>
      <c r="F50" s="13" t="n">
        <v>191.1952951290518</v>
      </c>
      <c r="G50" s="13" t="n">
        <v>-1992.038537228782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1923.258856070999</v>
      </c>
      <c r="F51" s="13" t="n">
        <v>632.0640000000021</v>
      </c>
      <c r="G51" s="13" t="n">
        <v>2854.645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6498.15299535</v>
      </c>
      <c r="E54" s="13" t="n">
        <v>7379.505000000001</v>
      </c>
      <c r="F54" s="13" t="n">
        <v>7168.923000000002</v>
      </c>
      <c r="G54" s="13" t="n">
        <v>7835.052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2066.740880175</v>
      </c>
      <c r="E55" s="13" t="n">
        <v>1670.661</v>
      </c>
      <c r="F55" s="13" t="n">
        <v>2231.71</v>
      </c>
      <c r="G55" s="13" t="n">
        <v>2077.414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21159.536143929</v>
      </c>
      <c r="E56" s="13" t="n">
        <v>23082.795</v>
      </c>
      <c r="F56" s="13" t="n">
        <v>23714.859</v>
      </c>
      <c r="G56" s="13" t="n">
        <v>26569.504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9716.576462356999</v>
      </c>
      <c r="E57" s="13" t="n">
        <v>10048.888</v>
      </c>
      <c r="F57" s="13" t="n">
        <v>10197.513</v>
      </c>
      <c r="G57" s="13" t="n">
        <v>11079.765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3901.71193176</v>
      </c>
      <c r="E58" s="13" t="n">
        <v>4342.553</v>
      </c>
      <c r="F58" s="13" t="n">
        <v>4521.338</v>
      </c>
      <c r="G58" s="13" t="n">
        <v>5001.59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521.319556014</v>
      </c>
      <c r="E59" s="13" t="n">
        <v>395.235</v>
      </c>
      <c r="F59" s="13" t="n">
        <v>175.594</v>
      </c>
      <c r="G59" s="13" t="n">
        <v>91.85299999999999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7301.097293821003</v>
      </c>
      <c r="E60" s="13" t="n">
        <v>8721.528999999997</v>
      </c>
      <c r="F60" s="13" t="n">
        <v>8813.644999999999</v>
      </c>
      <c r="G60" s="13" t="n">
        <v>10670.716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19092.795263754</v>
      </c>
      <c r="E62" s="13" t="n">
        <v>21412.134</v>
      </c>
      <c r="F62" s="13" t="n">
        <v>21483.149</v>
      </c>
      <c r="G62" s="13" t="n">
        <v>24492.09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402.4422349058161</v>
      </c>
      <c r="E63" s="15" t="n">
        <v>447.9128047079144</v>
      </c>
      <c r="F63" s="15" t="n">
        <v>466.3535907592773</v>
      </c>
      <c r="G63" s="15" t="n">
        <v>461.00737262095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0.0681670244728243</v>
      </c>
      <c r="F64" s="4" t="n">
        <v>0.04863020090335013</v>
      </c>
      <c r="G64" s="4" t="n">
        <v>0.07033100852225149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0.4124307498090122</v>
      </c>
      <c r="E65" s="4" t="n">
        <v>0.4093090735257798</v>
      </c>
      <c r="F65" s="4" t="n">
        <v>0.3891266408104899</v>
      </c>
      <c r="G65" s="4" t="n">
        <v>0.37927939171343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0.1983929405815301</v>
      </c>
      <c r="E66" s="4" t="n">
        <v>0.3088781575397493</v>
      </c>
      <c r="F66" s="4" t="n">
        <v>0.3414058801186377</v>
      </c>
      <c r="G66" s="4" t="n">
        <v>0.3258864738240964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0.1807552072193688</v>
      </c>
      <c r="E67" s="4" t="n">
        <v>0.1664630529944597</v>
      </c>
      <c r="F67" s="4" t="n">
        <v>0.1918108827208449</v>
      </c>
      <c r="G67" s="4" t="n">
        <v>0.1676383468898397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0.03005106426253482</v>
      </c>
      <c r="E68" s="4" t="n">
        <v>0.05230533553185657</v>
      </c>
      <c r="F68" s="4" t="n">
        <v>0.02410737263662142</v>
      </c>
      <c r="G68" s="4" t="n">
        <v>0.0033145104861259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0.8591965373010451</v>
      </c>
      <c r="F69" s="4" t="n">
        <v>-0.5166894781547546</v>
      </c>
      <c r="G69" s="4" t="n">
        <v>-0.8684959717695776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0.06540328391471163</v>
      </c>
      <c r="F70" s="4" t="n">
        <v>0.02940040666113787</v>
      </c>
      <c r="G70" s="4" t="n">
        <v>0.004027122750481785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19.94375641702387</v>
      </c>
      <c r="E71" s="18" t="n">
        <v>13.44922465818129</v>
      </c>
      <c r="F71" s="18" t="n">
        <v>11.64203970285719</v>
      </c>
      <c r="G71" s="18" t="n">
        <v>12.99102852159965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0.02984053920497425</v>
      </c>
      <c r="E72" s="4" t="n">
        <v>0.0240753687620348</v>
      </c>
      <c r="F72" s="4" t="n">
        <v>0.02324630060942789</v>
      </c>
      <c r="G72" s="4" t="n">
        <v>0.1980308670143416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0.2842802536324632</v>
      </c>
      <c r="E73" s="4" t="n">
        <v>0.3262653488719958</v>
      </c>
      <c r="F73" s="4" t="n">
        <v>0.2622778757626927</v>
      </c>
      <c r="G73" s="4" t="n">
        <v>0.4083461361882663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150</v>
      </c>
    </row>
    <row r="77">
      <c r="A77" t="inlineStr">
        <is>
          <t>Shares outstanding (m)</t>
        </is>
      </c>
      <c r="C77" s="13" t="n">
        <v>10849.2625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26948.708</v>
      </c>
    </row>
    <row r="80">
      <c r="A80" t="inlineStr">
        <is>
          <t>Cash at balance-sheet date</t>
        </is>
      </c>
      <c r="C80" s="13" t="n">
        <v>1551.543</v>
      </c>
    </row>
    <row r="81">
      <c r="A81" t="inlineStr">
        <is>
          <t>Minority interest (book)</t>
        </is>
      </c>
      <c r="C81" s="13" t="n">
        <v>43.254</v>
      </c>
    </row>
    <row r="82">
      <c r="A82" t="inlineStr">
        <is>
          <t>Associates &amp; investments (book)</t>
        </is>
      </c>
      <c r="C82" s="13" t="n">
        <v>628.606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5501.129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159.72765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15.122018</v>
      </c>
    </row>
    <row r="104">
      <c r="A104" t="inlineStr">
        <is>
          <t>Metric (LTM, or next-12m DPS for yield)</t>
        </is>
      </c>
      <c r="C104" s="13" t="n">
        <v>19.175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0.75</v>
      </c>
    </row>
    <row r="109">
      <c r="A109" t="inlineStr">
        <is>
          <t>Weight: P/E</t>
        </is>
      </c>
      <c r="C109" s="4" t="n">
        <v>0.25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0.3500008238023672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116.8834109543646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189.1000910954115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0.1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187.742912</v>
      </c>
      <c r="E126" s="23" t="n">
        <v>169.73705</v>
      </c>
      <c r="F126" s="23" t="n">
        <v>151.731187</v>
      </c>
      <c r="G126" s="23" t="n">
        <v>133.725325</v>
      </c>
      <c r="H126" s="23" t="n">
        <v>115.719463</v>
      </c>
    </row>
    <row r="127">
      <c r="C127" s="1" t="n">
        <v>-0.005</v>
      </c>
      <c r="D127" s="23" t="n">
        <v>188.525044</v>
      </c>
      <c r="E127" s="23" t="n">
        <v>170.444309</v>
      </c>
      <c r="F127" s="23" t="n">
        <v>152.363574</v>
      </c>
      <c r="G127" s="23" t="n">
        <v>134.28284</v>
      </c>
      <c r="H127" s="23" t="n">
        <v>116.202105</v>
      </c>
    </row>
    <row r="128">
      <c r="C128" s="1" t="n">
        <v>0</v>
      </c>
      <c r="D128" s="23" t="n">
        <v>189.307176</v>
      </c>
      <c r="E128" s="23" t="n">
        <v>171.151569</v>
      </c>
      <c r="F128" s="23" t="n">
        <v>152.995961</v>
      </c>
      <c r="G128" s="23" t="n">
        <v>134.840354</v>
      </c>
      <c r="H128" s="23" t="n">
        <v>116.684747</v>
      </c>
    </row>
    <row r="129">
      <c r="C129" s="1" t="n">
        <v>0.005</v>
      </c>
      <c r="D129" s="23" t="n">
        <v>190.089307</v>
      </c>
      <c r="E129" s="23" t="n">
        <v>171.858828</v>
      </c>
      <c r="F129" s="23" t="n">
        <v>153.628349</v>
      </c>
      <c r="G129" s="23" t="n">
        <v>135.397869</v>
      </c>
      <c r="H129" s="23" t="n">
        <v>117.16739</v>
      </c>
    </row>
    <row r="130">
      <c r="C130" s="1" t="n">
        <v>0.01</v>
      </c>
      <c r="D130" s="23" t="n">
        <v>190.871439</v>
      </c>
      <c r="E130" s="23" t="n">
        <v>172.566087</v>
      </c>
      <c r="F130" s="23" t="n">
        <v>154.260736</v>
      </c>
      <c r="G130" s="23" t="n">
        <v>135.955384</v>
      </c>
      <c r="H130" s="23" t="n">
        <v>117.650032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TBS Energi Utama Tbk (TOBA.JK) — Conglomerates &amp; multi-sector holdings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0.015</v>
      </c>
      <c r="I11" s="4" t="n">
        <v>0.06</v>
      </c>
      <c r="J11" s="4" t="n">
        <v>0.05</v>
      </c>
      <c r="K11" s="4" t="n">
        <v>0.04</v>
      </c>
      <c r="L11" s="4" t="n">
        <v>0.03</v>
      </c>
      <c r="M11" s="4" t="n">
        <v>0.025</v>
      </c>
      <c r="N11" s="4" t="n">
        <v>0.025</v>
      </c>
      <c r="O11" s="4" t="n">
        <v>0.025</v>
      </c>
      <c r="P11" s="4" t="n">
        <v>0.025</v>
      </c>
      <c r="Q11" s="4" t="n">
        <v>0.025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0.163</v>
      </c>
      <c r="I12" s="4" t="n">
        <v>0.163</v>
      </c>
      <c r="J12" s="4" t="n">
        <v>0.16</v>
      </c>
      <c r="K12" s="4" t="n">
        <v>0.16</v>
      </c>
      <c r="L12" s="4" t="n">
        <v>0.16</v>
      </c>
      <c r="M12" s="4" t="n">
        <v>0.16</v>
      </c>
      <c r="N12" s="4" t="n">
        <v>0.16</v>
      </c>
      <c r="O12" s="4" t="n">
        <v>0.16</v>
      </c>
      <c r="P12" s="4" t="n">
        <v>0.16</v>
      </c>
      <c r="Q12" s="4" t="n">
        <v>0.16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0.192</v>
      </c>
      <c r="I13" s="4" t="n">
        <v>0.192</v>
      </c>
      <c r="J13" s="4" t="n">
        <v>0.192</v>
      </c>
      <c r="K13" s="4" t="n">
        <v>0.192</v>
      </c>
      <c r="L13" s="4" t="n">
        <v>0.192</v>
      </c>
      <c r="M13" s="4" t="n">
        <v>0.192</v>
      </c>
      <c r="N13" s="4" t="n">
        <v>0.192</v>
      </c>
      <c r="O13" s="4" t="n">
        <v>0.192</v>
      </c>
      <c r="P13" s="4" t="n">
        <v>0.192</v>
      </c>
      <c r="Q13" s="4" t="n">
        <v>0.192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0.176</v>
      </c>
      <c r="I14" s="4" t="n">
        <v>0.176</v>
      </c>
      <c r="J14" s="4" t="n">
        <v>0.176</v>
      </c>
      <c r="K14" s="4" t="n">
        <v>0.176</v>
      </c>
      <c r="L14" s="4" t="n">
        <v>0.176</v>
      </c>
      <c r="M14" s="4" t="n">
        <v>0.176</v>
      </c>
      <c r="N14" s="4" t="n">
        <v>0.176</v>
      </c>
      <c r="O14" s="4" t="n">
        <v>0.176</v>
      </c>
      <c r="P14" s="4" t="n">
        <v>0.176</v>
      </c>
      <c r="Q14" s="4" t="n">
        <v>0.176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0.09</v>
      </c>
      <c r="J15" s="4" t="n">
        <v>0.08</v>
      </c>
      <c r="K15" s="4" t="n">
        <v>0.08</v>
      </c>
      <c r="L15" s="4" t="n">
        <v>0.08</v>
      </c>
      <c r="M15" s="4" t="n">
        <v>0.08</v>
      </c>
      <c r="N15" s="4" t="n">
        <v>0.08</v>
      </c>
      <c r="O15" s="4" t="n">
        <v>0.08</v>
      </c>
      <c r="P15" s="4" t="n">
        <v>0.08</v>
      </c>
      <c r="Q15" s="4" t="n">
        <v>0.08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0.03</v>
      </c>
      <c r="I16" s="4" t="n">
        <v>0.03</v>
      </c>
      <c r="J16" s="4" t="n">
        <v>0.03</v>
      </c>
      <c r="K16" s="4" t="n">
        <v>0.03</v>
      </c>
      <c r="L16" s="4" t="n">
        <v>0.03</v>
      </c>
      <c r="M16" s="4" t="n">
        <v>0.03</v>
      </c>
      <c r="N16" s="4" t="n">
        <v>0.03</v>
      </c>
      <c r="O16" s="4" t="n">
        <v>0.03</v>
      </c>
      <c r="P16" s="4" t="n">
        <v>0.03</v>
      </c>
      <c r="Q16" s="4" t="n">
        <v>0.03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0.22</v>
      </c>
      <c r="I17" s="4" t="n">
        <v>0.22</v>
      </c>
      <c r="J17" s="4" t="n">
        <v>0.22</v>
      </c>
      <c r="K17" s="4" t="n">
        <v>0.22</v>
      </c>
      <c r="L17" s="4" t="n">
        <v>0.22</v>
      </c>
      <c r="M17" s="4" t="n">
        <v>0.22</v>
      </c>
      <c r="N17" s="4" t="n">
        <v>0.22</v>
      </c>
      <c r="O17" s="4" t="n">
        <v>0.22</v>
      </c>
      <c r="P17" s="4" t="n">
        <v>0.22</v>
      </c>
      <c r="Q17" s="4" t="n">
        <v>0.22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15</v>
      </c>
      <c r="I20" s="13" t="n">
        <v>10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0.25</v>
      </c>
      <c r="I22" s="4" t="n">
        <v>0.25</v>
      </c>
      <c r="J22" s="4" t="n">
        <v>0.25</v>
      </c>
      <c r="K22" s="4" t="n">
        <v>0.25</v>
      </c>
      <c r="L22" s="4" t="n">
        <v>0.25</v>
      </c>
      <c r="M22" s="4" t="n">
        <v>0.25</v>
      </c>
      <c r="N22" s="4" t="n">
        <v>0.25</v>
      </c>
      <c r="O22" s="4" t="n">
        <v>0.25</v>
      </c>
      <c r="P22" s="4" t="n">
        <v>0.25</v>
      </c>
      <c r="Q22" s="4" t="n">
        <v>0.25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0.005</v>
      </c>
      <c r="I24" s="4" t="n">
        <v>0.005</v>
      </c>
      <c r="J24" s="4" t="n">
        <v>0.005</v>
      </c>
      <c r="K24" s="4" t="n">
        <v>0.005</v>
      </c>
      <c r="L24" s="4" t="n">
        <v>0.005</v>
      </c>
      <c r="M24" s="4" t="n">
        <v>0.005</v>
      </c>
      <c r="N24" s="4" t="n">
        <v>0.005</v>
      </c>
      <c r="O24" s="4" t="n">
        <v>0.005</v>
      </c>
      <c r="P24" s="4" t="n">
        <v>0.005</v>
      </c>
      <c r="Q24" s="4" t="n">
        <v>0.005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635.79044</v>
      </c>
      <c r="E29" s="13" t="n">
        <v>501.262751</v>
      </c>
      <c r="F29" s="13" t="n">
        <v>385.785086</v>
      </c>
      <c r="G29" s="13" t="n">
        <v>365.860452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499.774421</v>
      </c>
      <c r="E30" s="13" t="n">
        <v>437.43594</v>
      </c>
      <c r="F30" s="13" t="n">
        <v>309.214727</v>
      </c>
      <c r="G30" s="13" t="n">
        <v>336.170789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136.016019</v>
      </c>
      <c r="E31" s="13" t="n">
        <v>63.826811</v>
      </c>
      <c r="F31" s="13" t="n">
        <v>76.570359</v>
      </c>
      <c r="G31" s="13" t="n">
        <v>29.689663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33.68404700000001</v>
      </c>
      <c r="E32" s="13" t="n">
        <v>52.186766</v>
      </c>
      <c r="F32" s="13" t="n">
        <v>30.03380499999999</v>
      </c>
      <c r="G32" s="13" t="n">
        <v>58.587121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102.331972</v>
      </c>
      <c r="E33" s="13" t="n">
        <v>11.640045</v>
      </c>
      <c r="F33" s="13" t="n">
        <v>46.536554</v>
      </c>
      <c r="G33" s="13" t="n">
        <v>-30.953063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2.110986</v>
      </c>
      <c r="E34" s="13" t="n">
        <v>3.222409</v>
      </c>
      <c r="F34" s="13" t="n">
        <v>37.915051</v>
      </c>
      <c r="G34" s="13" t="n">
        <v>74.121386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104.442958</v>
      </c>
      <c r="E35" s="13" t="n">
        <v>14.862454</v>
      </c>
      <c r="F35" s="13" t="n">
        <v>84.451605</v>
      </c>
      <c r="G35" s="13" t="n">
        <v>43.168323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27.639834</v>
      </c>
      <c r="E36" s="13" t="n">
        <v>37.285575</v>
      </c>
      <c r="F36" s="13" t="n">
        <v>11.027625</v>
      </c>
      <c r="G36" s="13" t="n">
        <v>20.673733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58.519707</v>
      </c>
      <c r="E37" s="13" t="n">
        <v>56.92771</v>
      </c>
      <c r="F37" s="13" t="n">
        <v>2.892319</v>
      </c>
      <c r="G37" s="13" t="n">
        <v>3.91329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-18.52620299999999</v>
      </c>
      <c r="E38" s="13" t="n">
        <v>1.569433000000004</v>
      </c>
      <c r="F38" s="13" t="n">
        <v>-1.475847000000001</v>
      </c>
      <c r="G38" s="13" t="n">
        <v>-121.2749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114.685642</v>
      </c>
      <c r="E39" s="13" t="n">
        <v>32.851613</v>
      </c>
      <c r="F39" s="13" t="n">
        <v>36.925401</v>
      </c>
      <c r="G39" s="13" t="n">
        <v>-168.988406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20.800288</v>
      </c>
      <c r="E40" s="13" t="n">
        <v>12.005343</v>
      </c>
      <c r="F40" s="13" t="n">
        <v>14.096239</v>
      </c>
      <c r="G40" s="13" t="n">
        <v>1.868331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93.88535400000001</v>
      </c>
      <c r="E41" s="13" t="n">
        <v>20.84627</v>
      </c>
      <c r="F41" s="13" t="n">
        <v>47.976127</v>
      </c>
      <c r="G41" s="13" t="n">
        <v>-161.949908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36.06529500000001</v>
      </c>
      <c r="E42" s="13" t="n">
        <v>12.939754</v>
      </c>
      <c r="F42" s="13" t="n">
        <v>19.506093</v>
      </c>
      <c r="G42" s="13" t="n">
        <v>-0.7030369999999948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57.820059</v>
      </c>
      <c r="E43" s="13" t="n">
        <v>7.906516</v>
      </c>
      <c r="F43" s="13" t="n">
        <v>28.470034</v>
      </c>
      <c r="G43" s="13" t="n">
        <v>-161.246871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8049.964</v>
      </c>
      <c r="E44" s="13" t="n">
        <v>8106.700622</v>
      </c>
      <c r="F44" s="13" t="n">
        <v>8167.82697</v>
      </c>
      <c r="G44" s="13" t="n">
        <v>8249.360331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0.007182648146004131</v>
      </c>
      <c r="E45" s="15" t="n">
        <v>0.0009753062767043921</v>
      </c>
      <c r="F45" s="15" t="n">
        <v>0.00348563138085184</v>
      </c>
      <c r="G45" s="15" t="n">
        <v>-0.01954659083008602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0.0008471926447158789</v>
      </c>
      <c r="E46" s="15" t="n">
        <v>0</v>
      </c>
      <c r="F46" s="15" t="n">
        <v>0.001343431953985155</v>
      </c>
      <c r="G46" s="15" t="n">
        <v>0.001070995536956725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0</v>
      </c>
      <c r="E47" s="13" t="n">
        <v>6.849162</v>
      </c>
      <c r="F47" s="13" t="n">
        <v>0</v>
      </c>
      <c r="G47" s="13" t="n">
        <v>9.351333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22.222611</v>
      </c>
      <c r="E48" s="13" t="n">
        <v>29.019167</v>
      </c>
      <c r="F48" s="13" t="n">
        <v>21.15415</v>
      </c>
      <c r="G48" s="13" t="n">
        <v>47.119136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31.09209799999991</v>
      </c>
      <c r="F49" s="13" t="n">
        <v>-20.18938299999996</v>
      </c>
      <c r="G49" s="13" t="n">
        <v>-83.82628899999997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-49.50256659977624</v>
      </c>
      <c r="F50" s="13" t="n">
        <v>65.72154988788424</v>
      </c>
      <c r="G50" s="13" t="n">
        <v>79.53325981773803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35.36014299999999</v>
      </c>
      <c r="F51" s="13" t="n">
        <v>-61.08946599999996</v>
      </c>
      <c r="G51" s="13" t="n">
        <v>51.00127900000001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82.04047100000005</v>
      </c>
      <c r="E54" s="13" t="n">
        <v>113.132569</v>
      </c>
      <c r="F54" s="13" t="n">
        <v>92.943186</v>
      </c>
      <c r="G54" s="13" t="n">
        <v>9.116897000000023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105.294404</v>
      </c>
      <c r="E55" s="13" t="n">
        <v>50.275131</v>
      </c>
      <c r="F55" s="13" t="n">
        <v>67.831883</v>
      </c>
      <c r="G55" s="13" t="n">
        <v>85.612709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367.675124</v>
      </c>
      <c r="E56" s="13" t="n">
        <v>403.035267</v>
      </c>
      <c r="F56" s="13" t="n">
        <v>341.945801</v>
      </c>
      <c r="G56" s="13" t="n">
        <v>392.94708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84.90246500000001</v>
      </c>
      <c r="E57" s="13" t="n">
        <v>105.449212</v>
      </c>
      <c r="F57" s="13" t="n">
        <v>91.98756899999999</v>
      </c>
      <c r="G57" s="13" t="n">
        <v>375.023881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338.01759</v>
      </c>
      <c r="E58" s="13" t="n">
        <v>327.803704</v>
      </c>
      <c r="F58" s="13" t="n">
        <v>357.353398</v>
      </c>
      <c r="G58" s="13" t="n">
        <v>194.114131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85.69270299999999</v>
      </c>
      <c r="E59" s="13" t="n">
        <v>95.88394099999999</v>
      </c>
      <c r="F59" s="13" t="n">
        <v>79.306832</v>
      </c>
      <c r="G59" s="13" t="n">
        <v>21.207129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519.1480769999999</v>
      </c>
      <c r="E60" s="13" t="n">
        <v>557.866</v>
      </c>
      <c r="F60" s="13" t="n">
        <v>525.843393</v>
      </c>
      <c r="G60" s="13" t="n">
        <v>138.514853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262.38072</v>
      </c>
      <c r="E62" s="13" t="n">
        <v>352.760136</v>
      </c>
      <c r="F62" s="13" t="n">
        <v>274.113918</v>
      </c>
      <c r="G62" s="13" t="n">
        <v>307.334371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0.04198995051406441</v>
      </c>
      <c r="E63" s="15" t="n">
        <v>0.04043614280147522</v>
      </c>
      <c r="F63" s="15" t="n">
        <v>0.04375134283727364</v>
      </c>
      <c r="G63" s="15" t="n">
        <v>0.02353081005208911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-0.2115912422338405</v>
      </c>
      <c r="F64" s="4" t="n">
        <v>-0.2303735212114335</v>
      </c>
      <c r="G64" s="4" t="n">
        <v>-0.05164697839045018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0.2139321550666915</v>
      </c>
      <c r="E65" s="4" t="n">
        <v>0.1273320446665306</v>
      </c>
      <c r="F65" s="4" t="n">
        <v>0.1984793134278913</v>
      </c>
      <c r="G65" s="4" t="n">
        <v>0.0811502386707815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0.1642726147313571</v>
      </c>
      <c r="E66" s="4" t="n">
        <v>0.02965002679802154</v>
      </c>
      <c r="F66" s="4" t="n">
        <v>0.2189084235361032</v>
      </c>
      <c r="G66" s="4" t="n">
        <v>0.1179912252445367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0.1609523603406179</v>
      </c>
      <c r="E67" s="4" t="n">
        <v>0.02322144419623951</v>
      </c>
      <c r="F67" s="4" t="n">
        <v>0.1206281831226623</v>
      </c>
      <c r="G67" s="4" t="n">
        <v>-0.08460346788179227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0.0909420075583395</v>
      </c>
      <c r="E68" s="4" t="n">
        <v>0.01577319676003613</v>
      </c>
      <c r="F68" s="4" t="n">
        <v>0.07379765323535602</v>
      </c>
      <c r="G68" s="4" t="n">
        <v>-0.4407332635121765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-0.8642135523167765</v>
      </c>
      <c r="F69" s="4" t="n">
        <v>2.573883880487224</v>
      </c>
      <c r="G69" s="4" t="n">
        <v>-6.607761892856585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0.02374966397515067</v>
      </c>
      <c r="F70" s="4" t="n">
        <v>0.08310512703406232</v>
      </c>
      <c r="G70" s="4" t="n">
        <v>-0.5847918962423624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2.512191583084041</v>
      </c>
      <c r="E71" s="18" t="n">
        <v>23.73498589129359</v>
      </c>
      <c r="F71" s="18" t="n">
        <v>3.245810639122845</v>
      </c>
      <c r="G71" s="18" t="n">
        <v>7.119441980639369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0.117949901971349</v>
      </c>
      <c r="E72" s="4" t="n">
        <v>0</v>
      </c>
      <c r="F72" s="4" t="n">
        <v>0.3854199733698861</v>
      </c>
      <c r="G72" s="4" t="n">
        <v>-0.05479193513931103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0.03495272907846806</v>
      </c>
      <c r="E73" s="4" t="n">
        <v>0.05789212731667748</v>
      </c>
      <c r="F73" s="4" t="n">
        <v>0.05483402746160074</v>
      </c>
      <c r="G73" s="4" t="n">
        <v>0.1287899135925192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520</v>
      </c>
    </row>
    <row r="77">
      <c r="A77" t="inlineStr">
        <is>
          <t>Shares outstanding (m)</t>
        </is>
      </c>
      <c r="C77" s="13" t="n">
        <v>8309.574774999999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399.255165</v>
      </c>
    </row>
    <row r="80">
      <c r="A80" t="inlineStr">
        <is>
          <t>Cash at balance-sheet date</t>
        </is>
      </c>
      <c r="C80" s="13" t="n">
        <v>85.09519</v>
      </c>
    </row>
    <row r="81">
      <c r="A81" t="inlineStr">
        <is>
          <t>Minority interest (book)</t>
        </is>
      </c>
      <c r="C81" s="13" t="n">
        <v>21.751102</v>
      </c>
    </row>
    <row r="82">
      <c r="A82" t="inlineStr">
        <is>
          <t>Associates &amp; investments (book)</t>
        </is>
      </c>
      <c r="C82" s="13" t="n">
        <v>4.911794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167.169365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1.665496301645546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149.243494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0.852811</v>
      </c>
    </row>
    <row r="104">
      <c r="A104" t="inlineStr">
        <is>
          <t>Metric (LTM, or next-12m DPS for yield)</t>
        </is>
      </c>
      <c r="C104" s="13" t="n">
        <v>167.169365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EV/EBITDA</t>
        </is>
      </c>
    </row>
    <row r="108">
      <c r="A108" t="inlineStr">
        <is>
          <t>Target multiple (peer median)</t>
        </is>
      </c>
      <c r="C108" s="18" t="n">
        <v>15.542483</v>
      </c>
    </row>
    <row r="109">
      <c r="A109" t="inlineStr">
        <is>
          <t>Metric (LTM, or next-12m DPS for yield)</t>
        </is>
      </c>
      <c r="C109" s="13" t="n">
        <v>43.168323</v>
      </c>
    </row>
    <row r="110">
      <c r="A110" t="inlineStr">
        <is>
          <t>Value per share (IDR) — EV/EBITDA</t>
        </is>
      </c>
      <c r="C110" s="23">
        <f>MAX(0,($C$108*$C$109-($C$79-$C$80)-$C$81+$C$82+$C$83)/$C$77*$C$85*$C$78)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P/BV</t>
        </is>
      </c>
      <c r="C114" s="4" t="n">
        <v>0.3</v>
      </c>
    </row>
    <row r="115">
      <c r="A115" t="inlineStr">
        <is>
          <t>Weight: EV/EBITDA</t>
        </is>
      </c>
      <c r="C115" s="4" t="n">
        <v>0.1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289.0895474785341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319.4932113051718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316.804685</v>
      </c>
      <c r="E132" s="23" t="n">
        <v>309.26773</v>
      </c>
      <c r="F132" s="23" t="n">
        <v>301.730776</v>
      </c>
      <c r="G132" s="23" t="n">
        <v>294.193821</v>
      </c>
      <c r="H132" s="23" t="n">
        <v>286.656867</v>
      </c>
    </row>
    <row r="133">
      <c r="C133" s="1" t="n">
        <v>-0.005</v>
      </c>
      <c r="D133" s="23" t="n">
        <v>318.148948</v>
      </c>
      <c r="E133" s="23" t="n">
        <v>310.580013</v>
      </c>
      <c r="F133" s="23" t="n">
        <v>303.011078</v>
      </c>
      <c r="G133" s="23" t="n">
        <v>295.442142</v>
      </c>
      <c r="H133" s="23" t="n">
        <v>287.873207</v>
      </c>
    </row>
    <row r="134">
      <c r="C134" s="1" t="n">
        <v>0</v>
      </c>
      <c r="D134" s="23" t="n">
        <v>319.493211</v>
      </c>
      <c r="E134" s="23" t="n">
        <v>311.892295</v>
      </c>
      <c r="F134" s="23" t="n">
        <v>304.291379</v>
      </c>
      <c r="G134" s="23" t="n">
        <v>296.690463</v>
      </c>
      <c r="H134" s="23" t="n">
        <v>289.089547</v>
      </c>
    </row>
    <row r="135">
      <c r="C135" s="1" t="n">
        <v>0.005</v>
      </c>
      <c r="D135" s="23" t="n">
        <v>320.837475</v>
      </c>
      <c r="E135" s="23" t="n">
        <v>313.204578</v>
      </c>
      <c r="F135" s="23" t="n">
        <v>305.571681</v>
      </c>
      <c r="G135" s="23" t="n">
        <v>297.938784</v>
      </c>
      <c r="H135" s="23" t="n">
        <v>290.305888</v>
      </c>
    </row>
    <row r="136">
      <c r="C136" s="1" t="n">
        <v>0.01</v>
      </c>
      <c r="D136" s="23" t="n">
        <v>322.181738</v>
      </c>
      <c r="E136" s="23" t="n">
        <v>314.51686</v>
      </c>
      <c r="F136" s="23" t="n">
        <v>306.851983</v>
      </c>
      <c r="G136" s="23" t="n">
        <v>299.187105</v>
      </c>
      <c r="H136" s="23" t="n">
        <v>291.522228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2026-10-27T22:02:20Z</dcterms:created>
  <dcterms:modified xsi:type="dcterms:W3CDTF">2026-10-27T22:02:20Z</dcterms:modified>
</cp:coreProperties>
</file>