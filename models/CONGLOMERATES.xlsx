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rivers" sheetId="2" state="visible" r:id="rId2"/>
    <sheet name="Comps" sheetId="3" state="visible" r:id="rId3"/>
    <sheet name="ABMM" sheetId="4" state="visible" r:id="rId4"/>
    <sheet name="ADRO" sheetId="5" state="visible" r:id="rId5"/>
    <sheet name="ASII" sheetId="6" state="visible" r:id="rId6"/>
    <sheet name="BHIT" sheetId="7" state="visible" r:id="rId7"/>
    <sheet name="BNBR" sheetId="8" state="visible" r:id="rId8"/>
    <sheet name="BRPT" sheetId="9" state="visible" r:id="rId9"/>
    <sheet name="CUAN" sheetId="10" state="visible" r:id="rId10"/>
    <sheet name="DSSA" sheetId="11" state="visible" r:id="rId11"/>
    <sheet name="FOLK" sheetId="12" state="visible" r:id="rId12"/>
    <sheet name="IMJS" sheetId="13" state="visible" r:id="rId13"/>
    <sheet name="TOBA" sheetId="14" state="visible" r:id="rId14"/>
    <sheet name="ZBR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0;(#,##0.00);&quot;-&quot;"/>
    <numFmt numFmtId="165" formatCode="0.0%;(0.0%);&quot;-&quot;"/>
    <numFmt numFmtId="166" formatCode="#,##0.0;(#,##0.0);&quot;-&quot;"/>
    <numFmt numFmtId="167" formatCode="#,##0;(#,##0);&quot;-&quot;"/>
    <numFmt numFmtId="168" formatCode="0.0&quot;x&quot;;(0.0&quot;x&quot;);&quot;-&quot;"/>
    <numFmt numFmtId="169" formatCode="#,##0.000;(#,##0.000);&quot;-&quot;"/>
    <numFmt numFmtId="170" formatCode="0.00;(0.00);&quot;-&quot;"/>
  </numFmts>
  <fonts count="8">
    <font>
      <name val="Calibri"/>
      <family val="2"/>
      <color theme="1"/>
      <sz val="11"/>
      <scheme val="minor"/>
    </font>
    <font>
      <b val="1"/>
    </font>
    <font>
      <color rgb="FF0000FF"/>
    </font>
    <font>
      <color rgb="FF6B7280"/>
    </font>
    <font>
      <b val="1"/>
      <sz val="12"/>
    </font>
    <font>
      <color rgb="FF000000"/>
    </font>
    <font>
      <color rgb="FF008000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49" fontId="6" fillId="0" borderId="0" pivotButton="0" quotePrefix="0" xfId="0"/>
    <xf numFmtId="167" fontId="6" fillId="0" borderId="0" pivotButton="0" quotePrefix="0" xfId="0"/>
    <xf numFmtId="165" fontId="6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166" fontId="5" fillId="0" borderId="0" pivotButton="0" quotePrefix="0" xfId="0"/>
    <xf numFmtId="167" fontId="2" fillId="0" borderId="0" pivotButton="0" quotePrefix="0" xfId="0"/>
    <xf numFmtId="167" fontId="5" fillId="0" borderId="0" pivotButton="0" quotePrefix="0" xfId="0"/>
    <xf numFmtId="165" fontId="5" fillId="0" borderId="0" pivotButton="0" quotePrefix="0" xfId="0"/>
    <xf numFmtId="168" fontId="2" fillId="0" borderId="0" pivotButton="0" quotePrefix="0" xfId="0"/>
    <xf numFmtId="168" fontId="5" fillId="0" borderId="0" pivotButton="0" quotePrefix="0" xfId="0"/>
    <xf numFmtId="169" fontId="2" fillId="0" borderId="0" pivotButton="0" quotePrefix="0" xfId="0"/>
    <xf numFmtId="170" fontId="2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7" fontId="1" fillId="0" borderId="0" pivotButton="0" quotePrefix="0" xfId="0"/>
    <xf numFmtId="165" fontId="1" fillId="0" borderId="0" pivotButton="0" quotePrefix="0" xfId="0"/>
    <xf numFmtId="49" fontId="1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Six South — Conglomerates &amp; multi-sector holdings industry model</t>
        </is>
      </c>
    </row>
    <row r="2">
      <c r="A2" s="2" t="inlineStr">
        <is>
          <t>Generated 2026-10-29T10:26:30+07:00 by the coverage engine. The engine (scripts/cov_engine.py) is the source of truth; this workbook is a live rendering of it.</t>
        </is>
      </c>
    </row>
    <row r="3">
      <c r="A3" s="2" t="inlineStr">
        <is>
          <t>Colour key: blue = input or hard-coded history; black = formula; green = link to another sheet.</t>
        </is>
      </c>
    </row>
    <row r="4">
      <c r="A4" s="2" t="inlineStr">
        <is>
          <t>Drivers: every deck variable these models read. Change one and every ticker tab and the Comps sheet recalculate (forecasts, cash flows, DCF value, base-case value, target, rating).</t>
        </is>
      </c>
    </row>
    <row r="5">
      <c r="A5" s="2" t="inlineStr">
        <is>
          <t>Scenario (bear/bull) and sensitivity tables need full model re-runs and are engine values.</t>
        </is>
      </c>
    </row>
    <row r="6">
      <c r="A6" s="2" t="inlineStr">
        <is>
          <t>Paper fund — research for education and process transparency, not investment advice.</t>
        </is>
      </c>
    </row>
    <row r="7">
      <c r="A7" s="2" t="inlineStr"/>
    </row>
    <row r="8">
      <c r="A8" s="1" t="inlineStr">
        <is>
          <t>Tickers:</t>
        </is>
      </c>
    </row>
    <row r="9">
      <c r="A9" t="inlineStr">
        <is>
          <t>ABMM.JK — PT ABM Investama Tbk</t>
        </is>
      </c>
    </row>
    <row r="10">
      <c r="A10" t="inlineStr">
        <is>
          <t>ADRO.JK — PT Alamtri Resources Indonesia Tbk</t>
        </is>
      </c>
    </row>
    <row r="11">
      <c r="A11" t="inlineStr">
        <is>
          <t>ASII.JK — PT Astra International Tbk</t>
        </is>
      </c>
    </row>
    <row r="12">
      <c r="A12" t="inlineStr">
        <is>
          <t>BHIT.JK — PT MNC Asia Holding Tbk</t>
        </is>
      </c>
    </row>
    <row r="13">
      <c r="A13" t="inlineStr">
        <is>
          <t>BNBR.JK — PT Bakrie &amp; Brothers Tbk</t>
        </is>
      </c>
    </row>
    <row r="14">
      <c r="A14" t="inlineStr">
        <is>
          <t>BRPT.JK — PT Barito Pacific Tbk</t>
        </is>
      </c>
    </row>
    <row r="15">
      <c r="A15" t="inlineStr">
        <is>
          <t>CUAN.JK — PT Petrindo Jaya Kreasi Tbk</t>
        </is>
      </c>
    </row>
    <row r="16">
      <c r="A16" t="inlineStr">
        <is>
          <t>DSSA.JK — PT Dian Swastatika Sentosa Tbk</t>
        </is>
      </c>
    </row>
    <row r="17">
      <c r="A17" t="inlineStr">
        <is>
          <t>FOLK.JK — PT Multi Garam Utama Tbk</t>
        </is>
      </c>
    </row>
    <row r="18">
      <c r="A18" t="inlineStr">
        <is>
          <t>IMJS.JK — PT Indomobil Multi Jasa Tbk</t>
        </is>
      </c>
    </row>
    <row r="19">
      <c r="A19" t="inlineStr">
        <is>
          <t>TOBA.JK — PT TBS Energi Utama Tbk</t>
        </is>
      </c>
    </row>
    <row r="20">
      <c r="A20" t="inlineStr">
        <is>
          <t>ZBRA.JK — PT Dosni Roha Indonesia Tbk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8" customWidth="1" min="2" max="2"/>
    <col width="16" customWidth="1" min="3" max="3"/>
  </cols>
  <sheetData>
    <row r="1">
      <c r="A1" s="1" t="inlineStr">
        <is>
          <t>Driver decks (state/drivers) — edit a blue cell to flow it through every ticker tab</t>
        </is>
      </c>
    </row>
    <row r="3">
      <c r="A3" s="1" t="inlineStr">
        <is>
          <t>Variable</t>
        </is>
      </c>
      <c r="B3" s="1" t="inlineStr">
        <is>
          <t>Key</t>
        </is>
      </c>
      <c r="C3" s="1" t="inlineStr">
        <is>
          <t>Unit / status</t>
        </is>
      </c>
      <c r="D3" s="1" t="inlineStr">
        <is>
          <t>FY2021A</t>
        </is>
      </c>
      <c r="E3" s="1" t="inlineStr">
        <is>
          <t>FY2022A</t>
        </is>
      </c>
      <c r="F3" s="1" t="inlineStr">
        <is>
          <t>FY2023A</t>
        </is>
      </c>
      <c r="G3" s="1" t="inlineStr">
        <is>
          <t>FY2024A</t>
        </is>
      </c>
      <c r="H3" s="1" t="inlineStr">
        <is>
          <t>FY2024E</t>
        </is>
      </c>
      <c r="I3" s="1" t="inlineStr">
        <is>
          <t>FY2025A</t>
        </is>
      </c>
      <c r="J3" s="1" t="inlineStr">
        <is>
          <t>FY2025E</t>
        </is>
      </c>
      <c r="K3" s="1" t="inlineStr">
        <is>
          <t>FY2026E</t>
        </is>
      </c>
      <c r="L3" s="1" t="inlineStr">
        <is>
          <t>FY2027E</t>
        </is>
      </c>
      <c r="M3" s="1" t="inlineStr">
        <is>
          <t>FY2028E</t>
        </is>
      </c>
      <c r="N3" s="1" t="inlineStr">
        <is>
          <t>FY2029E</t>
        </is>
      </c>
      <c r="O3" s="1" t="inlineStr">
        <is>
          <t>FY2030E</t>
        </is>
      </c>
      <c r="P3" s="1" t="inlineStr">
        <is>
          <t>FY2031E</t>
        </is>
      </c>
      <c r="Q3" s="1" t="inlineStr">
        <is>
          <t>FY2032E</t>
        </is>
      </c>
      <c r="R3" s="1" t="inlineStr">
        <is>
          <t>FY2033E</t>
        </is>
      </c>
      <c r="S3" s="1" t="inlineStr">
        <is>
          <t>FY2034E</t>
        </is>
      </c>
      <c r="T3" s="1" t="inlineStr">
        <is>
          <t>FY2035E</t>
        </is>
      </c>
    </row>
    <row r="4">
      <c r="A4" t="inlineStr">
        <is>
          <t>IDR per USD</t>
        </is>
      </c>
      <c r="B4" t="inlineStr">
        <is>
          <t>m.usd_idr</t>
        </is>
      </c>
      <c r="C4" t="inlineStr">
        <is>
          <t>IDR/USD · reviewed</t>
        </is>
      </c>
      <c r="D4" s="3" t="n">
        <v>14310.5396</v>
      </c>
      <c r="E4" s="3" t="n">
        <v>14843.1773</v>
      </c>
      <c r="F4" s="3" t="n">
        <v>15228.8</v>
      </c>
      <c r="G4" s="3" t="n">
        <v>15846.2378</v>
      </c>
      <c r="H4" s="3" t="n">
        <v>19000</v>
      </c>
      <c r="I4" s="3" t="n">
        <v>16448.0929</v>
      </c>
      <c r="J4" s="3" t="n">
        <v>19000</v>
      </c>
      <c r="K4" s="3" t="n">
        <v>17570</v>
      </c>
      <c r="L4" s="3" t="n">
        <v>18350</v>
      </c>
      <c r="M4" s="3" t="n">
        <v>18600</v>
      </c>
      <c r="N4" s="3" t="n">
        <v>18850</v>
      </c>
      <c r="O4" s="3" t="n">
        <v>19093.13725490196</v>
      </c>
      <c r="P4" s="3" t="n">
        <v>19186.73106497501</v>
      </c>
      <c r="Q4" s="3" t="n">
        <v>19280.78366823469</v>
      </c>
      <c r="R4" s="3" t="n">
        <v>19375.29731366722</v>
      </c>
      <c r="S4" s="3" t="n">
        <v>19470.27426128323</v>
      </c>
      <c r="T4" s="3" t="n">
        <v>19565.71678217187</v>
      </c>
    </row>
    <row r="6">
      <c r="A6" s="1" t="inlineStr">
        <is>
          <t>Cost-of-capital scalars (macro deck)</t>
        </is>
      </c>
    </row>
    <row r="7">
      <c r="A7" t="inlineStr">
        <is>
          <t>10-year Indonesian government bond yield (IDR)</t>
        </is>
      </c>
      <c r="B7" t="inlineStr">
        <is>
          <t>m.rf_idr</t>
        </is>
      </c>
      <c r="C7" s="4" t="n">
        <v>0.0745</v>
      </c>
      <c r="D7" s="5" t="inlineStr">
        <is>
          <t>investor.id — "Yield SUN 7,45%, Saatnya Borong atau Tunggu Lebih Tinggi?" (25 Okt 2026 20:58 WIB; deck source S3); corroborated by kalderanews S1 (10Y SUN 7.41%</t>
        </is>
      </c>
    </row>
    <row r="8">
      <c r="A8" t="inlineStr">
        <is>
          <t>10-year US Treasury yield</t>
        </is>
      </c>
      <c r="B8" t="inlineStr">
        <is>
          <t>m.rf_usd</t>
        </is>
      </c>
      <c r="C8" s="4" t="n">
        <v>0.05045</v>
      </c>
      <c r="D8" s="5" t="inlineStr">
        <is>
          <t>Yahoo Finance ^TNX (US 10-year Treasury yield)</t>
        </is>
      </c>
    </row>
    <row r="9">
      <c r="A9" t="inlineStr">
        <is>
          <t>Indonesia sovereign default spread (Damodaran)</t>
        </is>
      </c>
      <c r="B9" t="inlineStr">
        <is>
          <t>m.default_spread_id</t>
        </is>
      </c>
      <c r="C9" s="4" t="n">
        <v>0.0162</v>
      </c>
      <c r="D9" s="5" t="inlineStr">
        <is>
          <t>Damodaran country risk premiums (https://pages.stern.nyu.edu/~adamodar/New_Home_Page/datafile/ctryprem.html), page dated January 5, 2026, read 2026-10-29</t>
        </is>
      </c>
    </row>
    <row r="10">
      <c r="A10" t="inlineStr">
        <is>
          <t>Mature-market equity risk premium (Damodaran)</t>
        </is>
      </c>
      <c r="B10" t="inlineStr">
        <is>
          <t>m.erp_mature</t>
        </is>
      </c>
      <c r="C10" s="4" t="n">
        <v>0.0423</v>
      </c>
      <c r="D10" s="5" t="inlineStr">
        <is>
          <t>Damodaran country risk premiums (https://pages.stern.nyu.edu/~adamodar/New_Home_Page/datafile/ctryprem.html), page dated January 5, 2026, read 2026-10-29</t>
        </is>
      </c>
    </row>
    <row r="11">
      <c r="A11" t="inlineStr">
        <is>
          <t>Indonesia country risk premium (Damodaran)</t>
        </is>
      </c>
      <c r="B11" t="inlineStr">
        <is>
          <t>m.crp_id</t>
        </is>
      </c>
      <c r="C11" s="4" t="n">
        <v>0.0246</v>
      </c>
      <c r="D11" s="5" t="inlineStr">
        <is>
          <t>Damodaran country risk premiums (https://pages.stern.nyu.edu/~adamodar/New_Home_Page/datafile/ctryprem.html), page dated January 5, 2026, read 2026-10-29</t>
        </is>
      </c>
    </row>
    <row r="12">
      <c r="A12" t="inlineStr">
        <is>
          <t>House pre-tax corporate debt spread over the risk-free</t>
        </is>
      </c>
      <c r="B12" t="inlineStr">
        <is>
          <t>m.debt_spread_corp</t>
        </is>
      </c>
      <c r="C12" s="4" t="n">
        <v>0.02</v>
      </c>
      <c r="D12" s="5" t="inlineStr">
        <is>
          <t>SEED house assumption pending the macro desk: 200 bp over the risk-free rate for an average IDX corporate borrower</t>
        </is>
      </c>
    </row>
    <row r="13">
      <c r="A13" t="inlineStr">
        <is>
          <t>Indonesia statutory corporate income tax rate</t>
        </is>
      </c>
      <c r="B13" t="inlineStr">
        <is>
          <t>m.tax_rate_id</t>
        </is>
      </c>
      <c r="C13" s="4" t="n">
        <v>0.22</v>
      </c>
      <c r="D13" s="5" t="inlineStr">
        <is>
          <t>Law 7/2021 on Harmonisation of Tax Regulations (UU HPP): 22% corporate income tax from fiscal 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Rating</t>
        </is>
      </c>
      <c r="D1" s="1" t="inlineStr">
        <is>
          <t>Target (IDR)</t>
        </is>
      </c>
      <c r="E1" s="1" t="inlineStr">
        <is>
          <t>Price (IDR)</t>
        </is>
      </c>
      <c r="F1" s="1" t="inlineStr">
        <is>
          <t>Exp. 12m TR</t>
        </is>
      </c>
      <c r="G1" s="1" t="inlineStr">
        <is>
          <t>Value today</t>
        </is>
      </c>
      <c r="H1" s="1" t="inlineStr">
        <is>
          <t>P/E FY+0</t>
        </is>
      </c>
      <c r="I1" s="1" t="inlineStr">
        <is>
          <t>EV/EBITDA FY+0</t>
        </is>
      </c>
      <c r="J1" s="1" t="inlineStr">
        <is>
          <t>Div. yield FY+0</t>
        </is>
      </c>
    </row>
    <row r="2">
      <c r="A2" t="inlineStr">
        <is>
          <t>ABMM.JK</t>
        </is>
      </c>
      <c r="B2" t="inlineStr">
        <is>
          <t>PT ABM Investama Tbk</t>
        </is>
      </c>
      <c r="C2" s="6">
        <f>'ABMM'!$C$128</f>
        <v/>
      </c>
      <c r="D2" s="7">
        <f>'ABMM'!$C$126</f>
        <v/>
      </c>
      <c r="E2" s="7">
        <f>'ABMM'!$C$76</f>
        <v/>
      </c>
      <c r="F2" s="8">
        <f>'ABMM'!$C$127</f>
        <v/>
      </c>
      <c r="G2" s="7">
        <f>'ABMM'!$C$116</f>
        <v/>
      </c>
      <c r="H2" s="9" t="n">
        <v>5.148453</v>
      </c>
      <c r="I2" s="9" t="n">
        <v>3.920208</v>
      </c>
      <c r="J2" s="10" t="n">
        <v>0.041236</v>
      </c>
    </row>
    <row r="3">
      <c r="A3" t="inlineStr">
        <is>
          <t>ADRO.JK</t>
        </is>
      </c>
      <c r="B3" t="inlineStr">
        <is>
          <t>PT Alamtri Resources Indonesia Tbk</t>
        </is>
      </c>
      <c r="C3" s="6">
        <f>'ADRO'!$C$128</f>
        <v/>
      </c>
      <c r="D3" s="7">
        <f>'ADRO'!$C$126</f>
        <v/>
      </c>
      <c r="E3" s="7">
        <f>'ADRO'!$C$76</f>
        <v/>
      </c>
      <c r="F3" s="8">
        <f>'ADRO'!$C$127</f>
        <v/>
      </c>
      <c r="G3" s="7">
        <f>'ADRO'!$C$116</f>
        <v/>
      </c>
      <c r="H3" s="9" t="n">
        <v>8.307079999999999</v>
      </c>
      <c r="I3" s="9" t="n">
        <v>4.405562</v>
      </c>
      <c r="J3" s="10" t="n">
        <v>0.120331</v>
      </c>
    </row>
    <row r="4">
      <c r="A4" t="inlineStr">
        <is>
          <t>ASII.JK</t>
        </is>
      </c>
      <c r="B4" t="inlineStr">
        <is>
          <t>PT Astra International Tbk</t>
        </is>
      </c>
      <c r="C4" s="6">
        <f>'ASII'!$C$128</f>
        <v/>
      </c>
      <c r="D4" s="7">
        <f>'ASII'!$C$126</f>
        <v/>
      </c>
      <c r="E4" s="7">
        <f>'ASII'!$C$76</f>
        <v/>
      </c>
      <c r="F4" s="8">
        <f>'ASII'!$C$127</f>
        <v/>
      </c>
      <c r="G4" s="7">
        <f>'ASII'!$C$116</f>
        <v/>
      </c>
      <c r="H4" s="9" t="n">
        <v>5.401133</v>
      </c>
      <c r="I4" s="9" t="n">
        <v>5.201985</v>
      </c>
      <c r="J4" s="10" t="n">
        <v>0.092573</v>
      </c>
    </row>
    <row r="5">
      <c r="A5" t="inlineStr">
        <is>
          <t>BHIT.JK</t>
        </is>
      </c>
      <c r="B5" t="inlineStr">
        <is>
          <t>PT MNC Asia Holding Tbk</t>
        </is>
      </c>
      <c r="C5" s="6">
        <f>'BHIT'!$C$128</f>
        <v/>
      </c>
      <c r="D5" s="7">
        <f>'BHIT'!$C$126</f>
        <v/>
      </c>
      <c r="E5" s="7">
        <f>'BHIT'!$C$76</f>
        <v/>
      </c>
      <c r="F5" s="8">
        <f>'BHIT'!$C$127</f>
        <v/>
      </c>
      <c r="G5" s="7">
        <f>'BHIT'!$C$116</f>
        <v/>
      </c>
      <c r="H5" s="9" t="n">
        <v>8.902137</v>
      </c>
      <c r="I5" s="9" t="n">
        <v>7.317416</v>
      </c>
      <c r="J5" s="10" t="n">
        <v>0</v>
      </c>
    </row>
    <row r="6">
      <c r="A6" t="inlineStr">
        <is>
          <t>BNBR.JK</t>
        </is>
      </c>
      <c r="B6" t="inlineStr">
        <is>
          <t>PT Bakrie &amp; Brothers Tbk</t>
        </is>
      </c>
      <c r="C6" s="6">
        <f>'BNBR'!$C$131</f>
        <v/>
      </c>
      <c r="D6" s="7">
        <f>'BNBR'!$C$129</f>
        <v/>
      </c>
      <c r="E6" s="7">
        <f>'BNBR'!$C$76</f>
        <v/>
      </c>
      <c r="F6" s="8">
        <f>'BNBR'!$C$130</f>
        <v/>
      </c>
      <c r="G6" s="7">
        <f>'BNBR'!$C$110</f>
        <v/>
      </c>
      <c r="H6" s="9" t="n"/>
      <c r="I6" s="9" t="n">
        <v>33.24141</v>
      </c>
      <c r="J6" s="10" t="n">
        <v>0</v>
      </c>
    </row>
    <row r="7">
      <c r="A7" t="inlineStr">
        <is>
          <t>BRPT.JK</t>
        </is>
      </c>
      <c r="B7" t="inlineStr">
        <is>
          <t>PT Barito Pacific Tbk</t>
        </is>
      </c>
      <c r="C7" s="6">
        <f>'BRPT'!$C$137</f>
        <v/>
      </c>
      <c r="D7" s="7">
        <f>'BRPT'!$C$135</f>
        <v/>
      </c>
      <c r="E7" s="7">
        <f>'BRPT'!$C$76</f>
        <v/>
      </c>
      <c r="F7" s="8">
        <f>'BRPT'!$C$136</f>
        <v/>
      </c>
      <c r="G7" s="7">
        <f>'BRPT'!$C$116</f>
        <v/>
      </c>
      <c r="H7" s="9" t="n">
        <v>84.33962200000001</v>
      </c>
      <c r="I7" s="9" t="n">
        <v>15.053141</v>
      </c>
      <c r="J7" s="10" t="n">
        <v>0.011857</v>
      </c>
    </row>
    <row r="8">
      <c r="A8" t="inlineStr">
        <is>
          <t>CUAN.JK</t>
        </is>
      </c>
      <c r="B8" t="inlineStr">
        <is>
          <t>PT Petrindo Jaya Kreasi Tbk</t>
        </is>
      </c>
      <c r="C8" s="6">
        <f>'CUAN'!$C$131</f>
        <v/>
      </c>
      <c r="D8" s="7">
        <f>'CUAN'!$C$129</f>
        <v/>
      </c>
      <c r="E8" s="7">
        <f>'CUAN'!$C$76</f>
        <v/>
      </c>
      <c r="F8" s="8">
        <f>'CUAN'!$C$130</f>
        <v/>
      </c>
      <c r="G8" s="7">
        <f>'CUAN'!$C$110</f>
        <v/>
      </c>
      <c r="H8" s="9" t="n">
        <v>1705.711603</v>
      </c>
      <c r="I8" s="9" t="n">
        <v>14.393063</v>
      </c>
      <c r="J8" s="10" t="n">
        <v>1.2e-05</v>
      </c>
    </row>
    <row r="9">
      <c r="A9" t="inlineStr">
        <is>
          <t>DSSA.JK</t>
        </is>
      </c>
      <c r="B9" t="inlineStr">
        <is>
          <t>PT Dian Swastatika Sentosa Tbk</t>
        </is>
      </c>
      <c r="C9" s="6">
        <f>'DSSA'!$C$125</f>
        <v/>
      </c>
      <c r="D9" s="7">
        <f>'DSSA'!$C$123</f>
        <v/>
      </c>
      <c r="E9" s="7">
        <f>'DSSA'!$C$76</f>
        <v/>
      </c>
      <c r="F9" s="8">
        <f>'DSSA'!$C$124</f>
        <v/>
      </c>
      <c r="G9" s="7">
        <f>'DSSA'!$C$104</f>
        <v/>
      </c>
      <c r="H9" s="9" t="n">
        <v>38.835833</v>
      </c>
      <c r="I9" s="9" t="n">
        <v>15.660056</v>
      </c>
      <c r="J9" s="10" t="n">
        <v>0</v>
      </c>
    </row>
    <row r="10">
      <c r="A10" t="inlineStr">
        <is>
          <t>FOLK.JK</t>
        </is>
      </c>
      <c r="B10" t="inlineStr">
        <is>
          <t>PT Multi Garam Utama Tbk</t>
        </is>
      </c>
      <c r="C10" s="6">
        <f>'FOLK'!$C$116</f>
        <v/>
      </c>
      <c r="D10" s="7">
        <f>'FOLK'!$C$114</f>
        <v/>
      </c>
      <c r="E10" s="7">
        <f>'FOLK'!$C$76</f>
        <v/>
      </c>
      <c r="F10" s="8">
        <f>'FOLK'!$C$115</f>
        <v/>
      </c>
      <c r="G10" s="7">
        <f>'FOLK'!$C$104</f>
        <v/>
      </c>
      <c r="H10" s="9" t="n"/>
      <c r="I10" s="9" t="n"/>
      <c r="J10" s="10" t="n">
        <v>0</v>
      </c>
    </row>
    <row r="11">
      <c r="A11" t="inlineStr">
        <is>
          <t>IMJS.JK</t>
        </is>
      </c>
      <c r="B11" t="inlineStr">
        <is>
          <t>PT Indomobil Multi Jasa Tbk</t>
        </is>
      </c>
      <c r="C11" s="6">
        <f>'IMJS'!$C$122</f>
        <v/>
      </c>
      <c r="D11" s="7">
        <f>'IMJS'!$C$120</f>
        <v/>
      </c>
      <c r="E11" s="7">
        <f>'IMJS'!$C$76</f>
        <v/>
      </c>
      <c r="F11" s="8">
        <f>'IMJS'!$C$121</f>
        <v/>
      </c>
      <c r="G11" s="7">
        <f>'IMJS'!$C$110</f>
        <v/>
      </c>
      <c r="H11" s="9" t="n">
        <v>9.724263000000001</v>
      </c>
      <c r="I11" s="9" t="n">
        <v>12.554759</v>
      </c>
      <c r="J11" s="10" t="n">
        <v>0.002333</v>
      </c>
    </row>
    <row r="12">
      <c r="A12" t="inlineStr">
        <is>
          <t>TOBA.JK</t>
        </is>
      </c>
      <c r="B12" t="inlineStr">
        <is>
          <t>PT TBS Energi Utama Tbk</t>
        </is>
      </c>
      <c r="C12" s="6">
        <f>'TOBA'!$C$128</f>
        <v/>
      </c>
      <c r="D12" s="7">
        <f>'TOBA'!$C$126</f>
        <v/>
      </c>
      <c r="E12" s="7">
        <f>'TOBA'!$C$76</f>
        <v/>
      </c>
      <c r="F12" s="8">
        <f>'TOBA'!$C$127</f>
        <v/>
      </c>
      <c r="G12" s="7">
        <f>'TOBA'!$C$116</f>
        <v/>
      </c>
      <c r="H12" s="9" t="n"/>
      <c r="I12" s="9" t="n">
        <v>10.714611</v>
      </c>
      <c r="J12" s="10" t="n">
        <v>0</v>
      </c>
    </row>
    <row r="13">
      <c r="A13" t="inlineStr">
        <is>
          <t>ZBRA.JK</t>
        </is>
      </c>
      <c r="B13" t="inlineStr">
        <is>
          <t>PT Dosni Roha Indonesia Tbk</t>
        </is>
      </c>
      <c r="C13" s="6">
        <f>'ZBRA'!$C$116</f>
        <v/>
      </c>
      <c r="D13" s="7">
        <f>'ZBRA'!$C$114</f>
        <v/>
      </c>
      <c r="E13" s="7">
        <f>'ZBRA'!$C$76</f>
        <v/>
      </c>
      <c r="F13" s="8">
        <f>'ZBRA'!$C$115</f>
        <v/>
      </c>
      <c r="G13" s="7">
        <f>'ZBRA'!$C$104</f>
        <v/>
      </c>
      <c r="H13" s="9" t="n"/>
      <c r="I13" s="9" t="n">
        <v>36.065089</v>
      </c>
      <c r="J13" s="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1" t="inlineStr">
        <is>
          <t>PT ABM Investama Tbk (ABMM.JK) — Conglomerates &amp; multi-sector holdings</t>
        </is>
      </c>
    </row>
    <row r="2">
      <c r="A2" s="5" t="inlineStr">
        <is>
          <t>Units: USD m; per-share in USD unless marked IDR. Model asof 2026-10-29 · data 2026-10-26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  <c r="M4" s="1" t="inlineStr">
        <is>
          <t>FY2031E</t>
        </is>
      </c>
      <c r="N4" s="1" t="inlineStr">
        <is>
          <t>FY2032E</t>
        </is>
      </c>
      <c r="O4" s="1" t="inlineStr">
        <is>
          <t>FY2033E</t>
        </is>
      </c>
      <c r="P4" s="1" t="inlineStr">
        <is>
          <t>FY2034E</t>
        </is>
      </c>
      <c r="Q4" s="1" t="inlineStr">
        <is>
          <t>FY2035E</t>
        </is>
      </c>
    </row>
    <row r="6">
      <c r="A6" s="1" t="inlineStr">
        <is>
          <t>PARAMETERS</t>
        </is>
      </c>
    </row>
    <row r="7">
      <c r="A7" t="inlineStr">
        <is>
          <t>ps_factor</t>
        </is>
      </c>
      <c r="C7" s="12" t="n">
        <v>1</v>
      </c>
    </row>
    <row r="8">
      <c r="A8" t="inlineStr">
        <is>
          <t>vp_factor</t>
        </is>
      </c>
      <c r="C8" s="12" t="n">
        <v>1</v>
      </c>
    </row>
    <row r="10">
      <c r="A10" s="1" t="inlineStr">
        <is>
          <t>INPUTS (company assumptions)</t>
        </is>
      </c>
    </row>
    <row r="11">
      <c r="A11" t="inlineStr">
        <is>
          <t>Revenue growth</t>
        </is>
      </c>
      <c r="B11" t="inlineStr">
        <is>
          <t>a.revenue_growth</t>
        </is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</row>
    <row r="12">
      <c r="A12" t="inlineStr">
        <is>
          <t>Gross margin at base input costs</t>
        </is>
      </c>
      <c r="B12" t="inlineStr">
        <is>
          <t>a.gross_margin</t>
        </is>
      </c>
      <c r="H12" s="4" t="n">
        <v>0.09986</v>
      </c>
      <c r="I12" s="4" t="n">
        <v>0.09986</v>
      </c>
      <c r="J12" s="4" t="n">
        <v>0.09986</v>
      </c>
      <c r="K12" s="4" t="n">
        <v>0.09986</v>
      </c>
      <c r="L12" s="4" t="n">
        <v>0.09986</v>
      </c>
      <c r="M12" s="4" t="n">
        <v>0.09986</v>
      </c>
      <c r="N12" s="4" t="n">
        <v>0.09986</v>
      </c>
      <c r="O12" s="4" t="n">
        <v>0.09986</v>
      </c>
      <c r="P12" s="4" t="n">
        <v>0.09986</v>
      </c>
      <c r="Q12" s="4" t="n">
        <v>0.09986</v>
      </c>
    </row>
    <row r="13">
      <c r="A13" t="inlineStr">
        <is>
          <t>SG&amp;A / revenue</t>
        </is>
      </c>
      <c r="B13" t="inlineStr">
        <is>
          <t>a.opex_pct</t>
        </is>
      </c>
      <c r="H13" s="4" t="n">
        <v>0.058785</v>
      </c>
      <c r="I13" s="4" t="n">
        <v>0.058785</v>
      </c>
      <c r="J13" s="4" t="n">
        <v>0.058785</v>
      </c>
      <c r="K13" s="4" t="n">
        <v>0.058785</v>
      </c>
      <c r="L13" s="4" t="n">
        <v>0.058785</v>
      </c>
      <c r="M13" s="4" t="n">
        <v>0.058785</v>
      </c>
      <c r="N13" s="4" t="n">
        <v>0.058785</v>
      </c>
      <c r="O13" s="4" t="n">
        <v>0.058785</v>
      </c>
      <c r="P13" s="4" t="n">
        <v>0.058785</v>
      </c>
      <c r="Q13" s="4" t="n">
        <v>0.058785</v>
      </c>
    </row>
    <row r="14">
      <c r="A14" t="inlineStr">
        <is>
          <t>D&amp;A / revenue</t>
        </is>
      </c>
      <c r="B14" t="inlineStr">
        <is>
          <t>a.da_pct</t>
        </is>
      </c>
      <c r="H14" s="4" t="n">
        <v>0.20379</v>
      </c>
      <c r="I14" s="4" t="n">
        <v>0.20379</v>
      </c>
      <c r="J14" s="4" t="n">
        <v>0.20379</v>
      </c>
      <c r="K14" s="4" t="n">
        <v>0.20379</v>
      </c>
      <c r="L14" s="4" t="n">
        <v>0.20379</v>
      </c>
      <c r="M14" s="4" t="n">
        <v>0.20379</v>
      </c>
      <c r="N14" s="4" t="n">
        <v>0.20379</v>
      </c>
      <c r="O14" s="4" t="n">
        <v>0.20379</v>
      </c>
      <c r="P14" s="4" t="n">
        <v>0.20379</v>
      </c>
      <c r="Q14" s="4" t="n">
        <v>0.20379</v>
      </c>
    </row>
    <row r="15">
      <c r="A15" t="inlineStr">
        <is>
          <t>Capex / revenue</t>
        </is>
      </c>
      <c r="B15" t="inlineStr">
        <is>
          <t>a.capex_pct</t>
        </is>
      </c>
      <c r="H15" s="4" t="n">
        <v>0.13155</v>
      </c>
      <c r="I15" s="4" t="n">
        <v>0.13155</v>
      </c>
      <c r="J15" s="4" t="n">
        <v>0.13155</v>
      </c>
      <c r="K15" s="4" t="n">
        <v>0.13155</v>
      </c>
      <c r="L15" s="4" t="n">
        <v>0.13155</v>
      </c>
      <c r="M15" s="4" t="n">
        <v>0.13155</v>
      </c>
      <c r="N15" s="4" t="n">
        <v>0.13155</v>
      </c>
      <c r="O15" s="4" t="n">
        <v>0.13155</v>
      </c>
      <c r="P15" s="4" t="n">
        <v>0.13155</v>
      </c>
      <c r="Q15" s="4" t="n">
        <v>0.13155</v>
      </c>
    </row>
    <row r="16">
      <c r="A16" t="inlineStr">
        <is>
          <t>Operating working capital / revenue</t>
        </is>
      </c>
      <c r="B16" t="inlineStr">
        <is>
          <t>a.nwc_pct</t>
        </is>
      </c>
      <c r="H16" s="4" t="n">
        <v>0.106679</v>
      </c>
      <c r="I16" s="4" t="n">
        <v>0.106679</v>
      </c>
      <c r="J16" s="4" t="n">
        <v>0.106679</v>
      </c>
      <c r="K16" s="4" t="n">
        <v>0.106679</v>
      </c>
      <c r="L16" s="4" t="n">
        <v>0.106679</v>
      </c>
      <c r="M16" s="4" t="n">
        <v>0.106679</v>
      </c>
      <c r="N16" s="4" t="n">
        <v>0.106679</v>
      </c>
      <c r="O16" s="4" t="n">
        <v>0.106679</v>
      </c>
      <c r="P16" s="4" t="n">
        <v>0.106679</v>
      </c>
      <c r="Q16" s="4" t="n">
        <v>0.106679</v>
      </c>
    </row>
    <row r="17">
      <c r="A17" t="inlineStr">
        <is>
          <t>Effective tax rate</t>
        </is>
      </c>
      <c r="B17" t="inlineStr">
        <is>
          <t>a.tax_rate</t>
        </is>
      </c>
      <c r="H17" s="4" t="n">
        <v>0.059</v>
      </c>
      <c r="I17" s="4" t="n">
        <v>0.059</v>
      </c>
      <c r="J17" s="4" t="n">
        <v>0.059</v>
      </c>
      <c r="K17" s="4" t="n">
        <v>0.059</v>
      </c>
      <c r="L17" s="4" t="n">
        <v>0.059</v>
      </c>
      <c r="M17" s="4" t="n">
        <v>0.059</v>
      </c>
      <c r="N17" s="4" t="n">
        <v>0.059</v>
      </c>
      <c r="O17" s="4" t="n">
        <v>0.059</v>
      </c>
      <c r="P17" s="4" t="n">
        <v>0.059</v>
      </c>
      <c r="Q17" s="4" t="n">
        <v>0.059</v>
      </c>
    </row>
    <row r="18">
      <c r="A18" t="inlineStr">
        <is>
          <t>Cost of debt (on opening debt)</t>
        </is>
      </c>
      <c r="B18" t="inlineStr">
        <is>
          <t>a.cost_of_debt</t>
        </is>
      </c>
      <c r="C18" s="4" t="n">
        <v>0.075</v>
      </c>
    </row>
    <row r="19">
      <c r="A19" t="inlineStr">
        <is>
          <t>Yield on opening cash</t>
        </is>
      </c>
      <c r="B19" t="inlineStr">
        <is>
          <t>a.cash_yield</t>
        </is>
      </c>
      <c r="C19" s="4" t="n">
        <v>0.02</v>
      </c>
    </row>
    <row r="20">
      <c r="A20" t="inlineStr">
        <is>
          <t>Net new borrowing</t>
        </is>
      </c>
      <c r="B20" t="inlineStr">
        <is>
          <t>a.net_borrowing</t>
        </is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</row>
    <row r="21">
      <c r="A21" t="inlineStr">
        <is>
          <t>Other non-operating items</t>
        </is>
      </c>
      <c r="B21" t="inlineStr">
        <is>
          <t>a.other_nonop</t>
        </is>
      </c>
      <c r="H21" s="13" t="n">
        <v>105.377069</v>
      </c>
      <c r="I21" s="13" t="n">
        <v>105.377069</v>
      </c>
      <c r="J21" s="13" t="n">
        <v>105.377069</v>
      </c>
      <c r="K21" s="13" t="n">
        <v>105.377069</v>
      </c>
      <c r="L21" s="13" t="n">
        <v>105.377069</v>
      </c>
      <c r="M21" s="13" t="n">
        <v>107.48461038</v>
      </c>
      <c r="N21" s="13" t="n">
        <v>109.6343025876</v>
      </c>
      <c r="O21" s="13" t="n">
        <v>111.826988639352</v>
      </c>
      <c r="P21" s="13" t="n">
        <v>114.063528412139</v>
      </c>
      <c r="Q21" s="13" t="n">
        <v>116.3447989803818</v>
      </c>
    </row>
    <row r="22">
      <c r="A22" t="inlineStr">
        <is>
          <t>Minorities' share of net profit</t>
        </is>
      </c>
      <c r="B22" t="inlineStr">
        <is>
          <t>a.minority_pct</t>
        </is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</row>
    <row r="23">
      <c r="A23" t="inlineStr">
        <is>
          <t>Dividend payout</t>
        </is>
      </c>
      <c r="B23" t="inlineStr">
        <is>
          <t>a.payout</t>
        </is>
      </c>
      <c r="H23" s="4" t="n">
        <v>0.2123</v>
      </c>
      <c r="I23" s="4" t="n">
        <v>0.2123</v>
      </c>
      <c r="J23" s="4" t="n">
        <v>0.2123</v>
      </c>
      <c r="K23" s="4" t="n">
        <v>0.2123</v>
      </c>
      <c r="L23" s="4" t="n">
        <v>0.2123</v>
      </c>
      <c r="M23" s="4" t="n">
        <v>0.2123</v>
      </c>
      <c r="N23" s="4" t="n">
        <v>0.2123</v>
      </c>
      <c r="O23" s="4" t="n">
        <v>0.2123</v>
      </c>
      <c r="P23" s="4" t="n">
        <v>0.2123</v>
      </c>
      <c r="Q23" s="4" t="n">
        <v>0.2123</v>
      </c>
    </row>
    <row r="24">
      <c r="A24" t="inlineStr">
        <is>
          <t>Change in share count</t>
        </is>
      </c>
      <c r="B24" t="inlineStr">
        <is>
          <t>a.share_change</t>
        </is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</row>
    <row r="25">
      <c r="A25" t="inlineStr">
        <is>
          <t>Terminal growth (DCF)</t>
        </is>
      </c>
      <c r="B25" t="inlineStr">
        <is>
          <t>a.terminal_growth</t>
        </is>
      </c>
      <c r="C25" s="4" t="n">
        <v>0</v>
      </c>
    </row>
    <row r="26">
      <c r="A26" t="inlineStr">
        <is>
          <t>Holding-company discount to SOTP</t>
        </is>
      </c>
      <c r="B26" t="inlineStr">
        <is>
          <t>a.holdco_discount</t>
        </is>
      </c>
      <c r="C26" s="4" t="n">
        <v>0.662462</v>
      </c>
    </row>
    <row r="28">
      <c r="A28" s="1" t="inlineStr">
        <is>
          <t>MODEL</t>
        </is>
      </c>
    </row>
    <row r="29">
      <c r="A29" t="inlineStr">
        <is>
          <t>Revenue</t>
        </is>
      </c>
      <c r="B29" t="inlineStr">
        <is>
          <t>revenue</t>
        </is>
      </c>
      <c r="D29" s="13" t="n">
        <v>1445.527371</v>
      </c>
      <c r="E29" s="13" t="n">
        <v>1492.998856</v>
      </c>
      <c r="F29" s="13" t="n">
        <v>1200.132454</v>
      </c>
      <c r="G29" s="13" t="n">
        <v>1038.170254</v>
      </c>
      <c r="H29" s="14">
        <f>(G29*(1+H11))</f>
        <v/>
      </c>
      <c r="I29" s="14">
        <f>(H29*(1+I11))</f>
        <v/>
      </c>
      <c r="J29" s="14">
        <f>(I29*(1+J11))</f>
        <v/>
      </c>
      <c r="K29" s="14">
        <f>(J29*(1+K11))</f>
        <v/>
      </c>
      <c r="L29" s="14">
        <f>(K29*(1+L11))</f>
        <v/>
      </c>
      <c r="M29" s="14">
        <f>(L29*(1+M11))</f>
        <v/>
      </c>
      <c r="N29" s="14">
        <f>(M29*(1+N11))</f>
        <v/>
      </c>
      <c r="O29" s="14">
        <f>(N29*(1+O11))</f>
        <v/>
      </c>
      <c r="P29" s="14">
        <f>(O29*(1+P11))</f>
        <v/>
      </c>
      <c r="Q29" s="14">
        <f>(P29*(1+Q11))</f>
        <v/>
      </c>
    </row>
    <row r="30">
      <c r="A30" t="inlineStr">
        <is>
          <t>Cost of revenue</t>
        </is>
      </c>
      <c r="B30" t="inlineStr">
        <is>
          <t>cogs</t>
        </is>
      </c>
      <c r="D30" s="13" t="n">
        <v>923.6231</v>
      </c>
      <c r="E30" s="13" t="n">
        <v>1100.952827</v>
      </c>
      <c r="F30" s="13" t="n">
        <v>1068.940836</v>
      </c>
      <c r="G30" s="13" t="n">
        <v>934.491492</v>
      </c>
      <c r="H30" s="14">
        <f>(H29*(1-H12))</f>
        <v/>
      </c>
      <c r="I30" s="14">
        <f>(I29*(1-I12))</f>
        <v/>
      </c>
      <c r="J30" s="14">
        <f>(J29*(1-J12))</f>
        <v/>
      </c>
      <c r="K30" s="14">
        <f>(K29*(1-K12))</f>
        <v/>
      </c>
      <c r="L30" s="14">
        <f>(L29*(1-L12))</f>
        <v/>
      </c>
      <c r="M30" s="14">
        <f>(M29*(1-M12))</f>
        <v/>
      </c>
      <c r="N30" s="14">
        <f>(N29*(1-N12))</f>
        <v/>
      </c>
      <c r="O30" s="14">
        <f>(O29*(1-O12))</f>
        <v/>
      </c>
      <c r="P30" s="14">
        <f>(P29*(1-P12))</f>
        <v/>
      </c>
      <c r="Q30" s="14">
        <f>(Q29*(1-Q12))</f>
        <v/>
      </c>
    </row>
    <row r="31">
      <c r="A31" t="inlineStr">
        <is>
          <t>Gross profit</t>
        </is>
      </c>
      <c r="B31" t="inlineStr">
        <is>
          <t>gross_profit</t>
        </is>
      </c>
      <c r="D31" s="13" t="n">
        <v>521.904271</v>
      </c>
      <c r="E31" s="13" t="n">
        <v>392.046029</v>
      </c>
      <c r="F31" s="13" t="n">
        <v>131.191618</v>
      </c>
      <c r="G31" s="13" t="n">
        <v>103.678762</v>
      </c>
      <c r="H31" s="14">
        <f>(H29-H30)</f>
        <v/>
      </c>
      <c r="I31" s="14">
        <f>(I29-I30)</f>
        <v/>
      </c>
      <c r="J31" s="14">
        <f>(J29-J30)</f>
        <v/>
      </c>
      <c r="K31" s="14">
        <f>(K29-K30)</f>
        <v/>
      </c>
      <c r="L31" s="14">
        <f>(L29-L30)</f>
        <v/>
      </c>
      <c r="M31" s="14">
        <f>(M29-M30)</f>
        <v/>
      </c>
      <c r="N31" s="14">
        <f>(N29-N30)</f>
        <v/>
      </c>
      <c r="O31" s="14">
        <f>(O29-O30)</f>
        <v/>
      </c>
      <c r="P31" s="14">
        <f>(P29-P30)</f>
        <v/>
      </c>
      <c r="Q31" s="14">
        <f>(Q29-Q30)</f>
        <v/>
      </c>
    </row>
    <row r="32">
      <c r="A32" t="inlineStr">
        <is>
          <t>SG&amp;A and other opex</t>
        </is>
      </c>
      <c r="B32" t="inlineStr">
        <is>
          <t>opex</t>
        </is>
      </c>
      <c r="D32" s="13" t="n">
        <v>126.172622</v>
      </c>
      <c r="E32" s="13" t="n">
        <v>134.172586</v>
      </c>
      <c r="F32" s="13" t="n">
        <v>57.505347</v>
      </c>
      <c r="G32" s="13" t="n">
        <v>61.024162</v>
      </c>
      <c r="H32" s="14">
        <f>(H29*H13)</f>
        <v/>
      </c>
      <c r="I32" s="14">
        <f>(I29*I13)</f>
        <v/>
      </c>
      <c r="J32" s="14">
        <f>(J29*J13)</f>
        <v/>
      </c>
      <c r="K32" s="14">
        <f>(K29*K13)</f>
        <v/>
      </c>
      <c r="L32" s="14">
        <f>(L29*L13)</f>
        <v/>
      </c>
      <c r="M32" s="14">
        <f>(M29*M13)</f>
        <v/>
      </c>
      <c r="N32" s="14">
        <f>(N29*N13)</f>
        <v/>
      </c>
      <c r="O32" s="14">
        <f>(O29*O13)</f>
        <v/>
      </c>
      <c r="P32" s="14">
        <f>(P29*P13)</f>
        <v/>
      </c>
      <c r="Q32" s="14">
        <f>(Q29*Q13)</f>
        <v/>
      </c>
    </row>
    <row r="33">
      <c r="A33" t="inlineStr">
        <is>
          <t>EBIT</t>
        </is>
      </c>
      <c r="B33" t="inlineStr">
        <is>
          <t>ebit</t>
        </is>
      </c>
      <c r="D33" s="13" t="n">
        <v>395.731649</v>
      </c>
      <c r="E33" s="13" t="n">
        <v>257.873443</v>
      </c>
      <c r="F33" s="13" t="n">
        <v>73.686271</v>
      </c>
      <c r="G33" s="13" t="n">
        <v>42.6546</v>
      </c>
      <c r="H33" s="14">
        <f>(H31-H32)</f>
        <v/>
      </c>
      <c r="I33" s="14">
        <f>(I31-I32)</f>
        <v/>
      </c>
      <c r="J33" s="14">
        <f>(J31-J32)</f>
        <v/>
      </c>
      <c r="K33" s="14">
        <f>(K31-K32)</f>
        <v/>
      </c>
      <c r="L33" s="14">
        <f>(L31-L32)</f>
        <v/>
      </c>
      <c r="M33" s="14">
        <f>(M31-M32)</f>
        <v/>
      </c>
      <c r="N33" s="14">
        <f>(N31-N32)</f>
        <v/>
      </c>
      <c r="O33" s="14">
        <f>(O31-O32)</f>
        <v/>
      </c>
      <c r="P33" s="14">
        <f>(P31-P32)</f>
        <v/>
      </c>
      <c r="Q33" s="14">
        <f>(Q31-Q32)</f>
        <v/>
      </c>
    </row>
    <row r="34">
      <c r="A34" t="inlineStr">
        <is>
          <t>Depreciation &amp; amortisation</t>
        </is>
      </c>
      <c r="B34" t="inlineStr">
        <is>
          <t>da</t>
        </is>
      </c>
      <c r="D34" s="13" t="n">
        <v>4.986805</v>
      </c>
      <c r="E34" s="13" t="n">
        <v>5.48014</v>
      </c>
      <c r="F34" s="13" t="n">
        <v>205.078832</v>
      </c>
      <c r="G34" s="13" t="n">
        <v>211.565247</v>
      </c>
      <c r="H34" s="14">
        <f>(H29*H14)</f>
        <v/>
      </c>
      <c r="I34" s="14">
        <f>(I29*I14)</f>
        <v/>
      </c>
      <c r="J34" s="14">
        <f>(J29*J14)</f>
        <v/>
      </c>
      <c r="K34" s="14">
        <f>(K29*K14)</f>
        <v/>
      </c>
      <c r="L34" s="14">
        <f>(L29*L14)</f>
        <v/>
      </c>
      <c r="M34" s="14">
        <f>(M29*M14)</f>
        <v/>
      </c>
      <c r="N34" s="14">
        <f>(N29*N14)</f>
        <v/>
      </c>
      <c r="O34" s="14">
        <f>(O29*O14)</f>
        <v/>
      </c>
      <c r="P34" s="14">
        <f>(P29*P14)</f>
        <v/>
      </c>
      <c r="Q34" s="14">
        <f>(Q29*Q14)</f>
        <v/>
      </c>
    </row>
    <row r="35">
      <c r="A35" t="inlineStr">
        <is>
          <t>EBITDA</t>
        </is>
      </c>
      <c r="B35" t="inlineStr">
        <is>
          <t>ebitda</t>
        </is>
      </c>
      <c r="D35" s="13" t="n">
        <v>400.718454</v>
      </c>
      <c r="E35" s="13" t="n">
        <v>263.353583</v>
      </c>
      <c r="F35" s="13" t="n">
        <v>278.765103</v>
      </c>
      <c r="G35" s="13" t="n">
        <v>254.219847</v>
      </c>
      <c r="H35" s="14">
        <f>(H33+H34)</f>
        <v/>
      </c>
      <c r="I35" s="14">
        <f>(I33+I34)</f>
        <v/>
      </c>
      <c r="J35" s="14">
        <f>(J33+J34)</f>
        <v/>
      </c>
      <c r="K35" s="14">
        <f>(K33+K34)</f>
        <v/>
      </c>
      <c r="L35" s="14">
        <f>(L33+L34)</f>
        <v/>
      </c>
      <c r="M35" s="14">
        <f>(M33+M34)</f>
        <v/>
      </c>
      <c r="N35" s="14">
        <f>(N33+N34)</f>
        <v/>
      </c>
      <c r="O35" s="14">
        <f>(O33+O34)</f>
        <v/>
      </c>
      <c r="P35" s="14">
        <f>(P33+P34)</f>
        <v/>
      </c>
      <c r="Q35" s="14">
        <f>(Q33+Q34)</f>
        <v/>
      </c>
    </row>
    <row r="36">
      <c r="A36" t="inlineStr">
        <is>
          <t>Interest expense</t>
        </is>
      </c>
      <c r="B36" t="inlineStr">
        <is>
          <t>interest_expense</t>
        </is>
      </c>
      <c r="D36" s="13" t="n">
        <v>52.481411</v>
      </c>
      <c r="E36" s="13" t="n">
        <v>106.107407</v>
      </c>
      <c r="F36" s="13" t="n">
        <v>109.803082</v>
      </c>
      <c r="G36" s="13" t="n">
        <v>76.554485</v>
      </c>
      <c r="H36" s="14">
        <f>(G56*$C$18)</f>
        <v/>
      </c>
      <c r="I36" s="14">
        <f>(H56*$C$18)</f>
        <v/>
      </c>
      <c r="J36" s="14">
        <f>(I56*$C$18)</f>
        <v/>
      </c>
      <c r="K36" s="14">
        <f>(J56*$C$18)</f>
        <v/>
      </c>
      <c r="L36" s="14">
        <f>(K56*$C$18)</f>
        <v/>
      </c>
      <c r="M36" s="14">
        <f>(L56*$C$18)</f>
        <v/>
      </c>
      <c r="N36" s="14">
        <f>(M56*$C$18)</f>
        <v/>
      </c>
      <c r="O36" s="14">
        <f>(N56*$C$18)</f>
        <v/>
      </c>
      <c r="P36" s="14">
        <f>(O56*$C$18)</f>
        <v/>
      </c>
      <c r="Q36" s="14">
        <f>(P56*$C$18)</f>
        <v/>
      </c>
    </row>
    <row r="37">
      <c r="A37" t="inlineStr">
        <is>
          <t>Interest income</t>
        </is>
      </c>
      <c r="B37" t="inlineStr">
        <is>
          <t>interest_income</t>
        </is>
      </c>
      <c r="D37" s="13" t="n">
        <v>2.596132</v>
      </c>
      <c r="E37" s="13" t="n">
        <v>4.812848</v>
      </c>
      <c r="F37" s="13" t="n">
        <v>4.558293</v>
      </c>
      <c r="G37" s="13" t="n">
        <v>4.382377</v>
      </c>
      <c r="H37" s="14">
        <f>(G55*$C$19)</f>
        <v/>
      </c>
      <c r="I37" s="14">
        <f>(H55*$C$19)</f>
        <v/>
      </c>
      <c r="J37" s="14">
        <f>(I55*$C$19)</f>
        <v/>
      </c>
      <c r="K37" s="14">
        <f>(J55*$C$19)</f>
        <v/>
      </c>
      <c r="L37" s="14">
        <f>(K55*$C$19)</f>
        <v/>
      </c>
      <c r="M37" s="14">
        <f>(L55*$C$19)</f>
        <v/>
      </c>
      <c r="N37" s="14">
        <f>(M55*$C$19)</f>
        <v/>
      </c>
      <c r="O37" s="14">
        <f>(N55*$C$19)</f>
        <v/>
      </c>
      <c r="P37" s="14">
        <f>(O55*$C$19)</f>
        <v/>
      </c>
      <c r="Q37" s="14">
        <f>(P55*$C$19)</f>
        <v/>
      </c>
    </row>
    <row r="38">
      <c r="A38" t="inlineStr">
        <is>
          <t>Other non-operating</t>
        </is>
      </c>
      <c r="B38" t="inlineStr">
        <is>
          <t>other_nonop</t>
        </is>
      </c>
      <c r="D38" s="13" t="n">
        <v>87.215074</v>
      </c>
      <c r="E38" s="13" t="n">
        <v>214.912039</v>
      </c>
      <c r="F38" s="13" t="n">
        <v>186.380591</v>
      </c>
      <c r="G38" s="13" t="n">
        <v>105.377069</v>
      </c>
      <c r="H38" s="14">
        <f>H21</f>
        <v/>
      </c>
      <c r="I38" s="14">
        <f>I21</f>
        <v/>
      </c>
      <c r="J38" s="14">
        <f>J21</f>
        <v/>
      </c>
      <c r="K38" s="14">
        <f>K21</f>
        <v/>
      </c>
      <c r="L38" s="14">
        <f>L21</f>
        <v/>
      </c>
      <c r="M38" s="14">
        <f>M21</f>
        <v/>
      </c>
      <c r="N38" s="14">
        <f>N21</f>
        <v/>
      </c>
      <c r="O38" s="14">
        <f>O21</f>
        <v/>
      </c>
      <c r="P38" s="14">
        <f>P21</f>
        <v/>
      </c>
      <c r="Q38" s="14">
        <f>Q21</f>
        <v/>
      </c>
    </row>
    <row r="39">
      <c r="A39" t="inlineStr">
        <is>
          <t>Profit before tax</t>
        </is>
      </c>
      <c r="B39" t="inlineStr">
        <is>
          <t>pbt</t>
        </is>
      </c>
      <c r="D39" s="13" t="n">
        <v>433.061444</v>
      </c>
      <c r="E39" s="13" t="n">
        <v>371.490923</v>
      </c>
      <c r="F39" s="13" t="n">
        <v>154.822073</v>
      </c>
      <c r="G39" s="13" t="n">
        <v>75.859561</v>
      </c>
      <c r="H39" s="14">
        <f>(((H33-H36)+H37)+H38)</f>
        <v/>
      </c>
      <c r="I39" s="14">
        <f>(((I33-I36)+I37)+I38)</f>
        <v/>
      </c>
      <c r="J39" s="14">
        <f>(((J33-J36)+J37)+J38)</f>
        <v/>
      </c>
      <c r="K39" s="14">
        <f>(((K33-K36)+K37)+K38)</f>
        <v/>
      </c>
      <c r="L39" s="14">
        <f>(((L33-L36)+L37)+L38)</f>
        <v/>
      </c>
      <c r="M39" s="14">
        <f>(((M33-M36)+M37)+M38)</f>
        <v/>
      </c>
      <c r="N39" s="14">
        <f>(((N33-N36)+N37)+N38)</f>
        <v/>
      </c>
      <c r="O39" s="14">
        <f>(((O33-O36)+O37)+O38)</f>
        <v/>
      </c>
      <c r="P39" s="14">
        <f>(((P33-P36)+P37)+P38)</f>
        <v/>
      </c>
      <c r="Q39" s="14">
        <f>(((Q33-Q36)+Q37)+Q38)</f>
        <v/>
      </c>
    </row>
    <row r="40">
      <c r="A40" t="inlineStr">
        <is>
          <t>Tax</t>
        </is>
      </c>
      <c r="B40" t="inlineStr">
        <is>
          <t>tax</t>
        </is>
      </c>
      <c r="D40" s="13" t="n">
        <v>91.157937</v>
      </c>
      <c r="E40" s="13" t="n">
        <v>55.86703</v>
      </c>
      <c r="F40" s="13" t="n">
        <v>15.480224</v>
      </c>
      <c r="G40" s="13" t="n">
        <v>5.378922</v>
      </c>
      <c r="H40" s="14">
        <f>(MAX(H39,0)*H17)</f>
        <v/>
      </c>
      <c r="I40" s="14">
        <f>(MAX(I39,0)*I17)</f>
        <v/>
      </c>
      <c r="J40" s="14">
        <f>(MAX(J39,0)*J17)</f>
        <v/>
      </c>
      <c r="K40" s="14">
        <f>(MAX(K39,0)*K17)</f>
        <v/>
      </c>
      <c r="L40" s="14">
        <f>(MAX(L39,0)*L17)</f>
        <v/>
      </c>
      <c r="M40" s="14">
        <f>(MAX(M39,0)*M17)</f>
        <v/>
      </c>
      <c r="N40" s="14">
        <f>(MAX(N39,0)*N17)</f>
        <v/>
      </c>
      <c r="O40" s="14">
        <f>(MAX(O39,0)*O17)</f>
        <v/>
      </c>
      <c r="P40" s="14">
        <f>(MAX(P39,0)*P17)</f>
        <v/>
      </c>
      <c r="Q40" s="14">
        <f>(MAX(Q39,0)*Q17)</f>
        <v/>
      </c>
    </row>
    <row r="41">
      <c r="A41" t="inlineStr">
        <is>
          <t>Net profit (incl. minorities)</t>
        </is>
      </c>
      <c r="B41" t="inlineStr">
        <is>
          <t>np</t>
        </is>
      </c>
      <c r="D41" s="13" t="n">
        <v>341.903507</v>
      </c>
      <c r="E41" s="13" t="n">
        <v>315.623893</v>
      </c>
      <c r="F41" s="13" t="n">
        <v>139.341849</v>
      </c>
      <c r="G41" s="13" t="n">
        <v>70.480639</v>
      </c>
      <c r="H41" s="14">
        <f>(H39-H40)</f>
        <v/>
      </c>
      <c r="I41" s="14">
        <f>(I39-I40)</f>
        <v/>
      </c>
      <c r="J41" s="14">
        <f>(J39-J40)</f>
        <v/>
      </c>
      <c r="K41" s="14">
        <f>(K39-K40)</f>
        <v/>
      </c>
      <c r="L41" s="14">
        <f>(L39-L40)</f>
        <v/>
      </c>
      <c r="M41" s="14">
        <f>(M39-M40)</f>
        <v/>
      </c>
      <c r="N41" s="14">
        <f>(N39-N40)</f>
        <v/>
      </c>
      <c r="O41" s="14">
        <f>(O39-O40)</f>
        <v/>
      </c>
      <c r="P41" s="14">
        <f>(P39-P40)</f>
        <v/>
      </c>
      <c r="Q41" s="14">
        <f>(Q39-Q40)</f>
        <v/>
      </c>
    </row>
    <row r="42">
      <c r="A42" t="inlineStr">
        <is>
          <t>Minority interests</t>
        </is>
      </c>
      <c r="B42" t="inlineStr">
        <is>
          <t>minority</t>
        </is>
      </c>
      <c r="D42" s="13" t="n">
        <v>71.99358100000001</v>
      </c>
      <c r="E42" s="13" t="n">
        <v>26.62333599999999</v>
      </c>
      <c r="F42" s="13" t="n">
        <v>-0.0266640000000109</v>
      </c>
      <c r="G42" s="13" t="n">
        <v>-0.1356779999999986</v>
      </c>
      <c r="H42" s="14">
        <f>(H41*H22)</f>
        <v/>
      </c>
      <c r="I42" s="14">
        <f>(I41*I22)</f>
        <v/>
      </c>
      <c r="J42" s="14">
        <f>(J41*J22)</f>
        <v/>
      </c>
      <c r="K42" s="14">
        <f>(K41*K22)</f>
        <v/>
      </c>
      <c r="L42" s="14">
        <f>(L41*L22)</f>
        <v/>
      </c>
      <c r="M42" s="14">
        <f>(M41*M22)</f>
        <v/>
      </c>
      <c r="N42" s="14">
        <f>(N41*N22)</f>
        <v/>
      </c>
      <c r="O42" s="14">
        <f>(O41*O22)</f>
        <v/>
      </c>
      <c r="P42" s="14">
        <f>(P41*P22)</f>
        <v/>
      </c>
      <c r="Q42" s="14">
        <f>(Q41*Q22)</f>
        <v/>
      </c>
    </row>
    <row r="43">
      <c r="A43" t="inlineStr">
        <is>
          <t>Net profit to parent</t>
        </is>
      </c>
      <c r="B43" t="inlineStr">
        <is>
          <t>np_parent</t>
        </is>
      </c>
      <c r="D43" s="13" t="n">
        <v>269.909926</v>
      </c>
      <c r="E43" s="13" t="n">
        <v>289.000557</v>
      </c>
      <c r="F43" s="13" t="n">
        <v>139.368513</v>
      </c>
      <c r="G43" s="13" t="n">
        <v>70.616317</v>
      </c>
      <c r="H43" s="14">
        <f>(H41-H42)</f>
        <v/>
      </c>
      <c r="I43" s="14">
        <f>(I41-I42)</f>
        <v/>
      </c>
      <c r="J43" s="14">
        <f>(J41-J42)</f>
        <v/>
      </c>
      <c r="K43" s="14">
        <f>(K41-K42)</f>
        <v/>
      </c>
      <c r="L43" s="14">
        <f>(L41-L42)</f>
        <v/>
      </c>
      <c r="M43" s="14">
        <f>(M41-M42)</f>
        <v/>
      </c>
      <c r="N43" s="14">
        <f>(N41-N42)</f>
        <v/>
      </c>
      <c r="O43" s="14">
        <f>(O41-O42)</f>
        <v/>
      </c>
      <c r="P43" s="14">
        <f>(P41-P42)</f>
        <v/>
      </c>
      <c r="Q43" s="14">
        <f>(Q41-Q42)</f>
        <v/>
      </c>
    </row>
    <row r="44">
      <c r="A44" t="inlineStr">
        <is>
          <t>Shares outstanding (m)</t>
        </is>
      </c>
      <c r="B44" t="inlineStr">
        <is>
          <t>shares</t>
        </is>
      </c>
      <c r="D44" s="13" t="n">
        <v>2753.165</v>
      </c>
      <c r="E44" s="13" t="n">
        <v>2753.165</v>
      </c>
      <c r="F44" s="13" t="n">
        <v>2753.165</v>
      </c>
      <c r="G44" s="13" t="n">
        <v>2753.165</v>
      </c>
      <c r="H44" s="14">
        <f>(G44*(1+H24))</f>
        <v/>
      </c>
      <c r="I44" s="14">
        <f>(H44*(1+I24))</f>
        <v/>
      </c>
      <c r="J44" s="14">
        <f>(I44*(1+J24))</f>
        <v/>
      </c>
      <c r="K44" s="14">
        <f>(J44*(1+K24))</f>
        <v/>
      </c>
      <c r="L44" s="14">
        <f>(K44*(1+L24))</f>
        <v/>
      </c>
      <c r="M44" s="14">
        <f>(L44*(1+M24))</f>
        <v/>
      </c>
      <c r="N44" s="14">
        <f>(M44*(1+N24))</f>
        <v/>
      </c>
      <c r="O44" s="14">
        <f>(N44*(1+O24))</f>
        <v/>
      </c>
      <c r="P44" s="14">
        <f>(O44*(1+P24))</f>
        <v/>
      </c>
      <c r="Q44" s="14">
        <f>(P44*(1+Q24))</f>
        <v/>
      </c>
    </row>
    <row r="45">
      <c r="A45" t="inlineStr">
        <is>
          <t>EPS</t>
        </is>
      </c>
      <c r="B45" t="inlineStr">
        <is>
          <t>eps</t>
        </is>
      </c>
      <c r="D45" s="15" t="n">
        <v>0.09803623320796247</v>
      </c>
      <c r="E45" s="15" t="n">
        <v>0.1049703003634</v>
      </c>
      <c r="F45" s="15" t="n">
        <v>0.05062119887474961</v>
      </c>
      <c r="G45" s="15" t="n">
        <v>0.02564914089783939</v>
      </c>
      <c r="H45" s="16">
        <f>(IF(H44=0,0,H43/H44)*$C$7)</f>
        <v/>
      </c>
      <c r="I45" s="16">
        <f>(IF(I44=0,0,I43/I44)*$C$7)</f>
        <v/>
      </c>
      <c r="J45" s="16">
        <f>(IF(J44=0,0,J43/J44)*$C$7)</f>
        <v/>
      </c>
      <c r="K45" s="16">
        <f>(IF(K44=0,0,K43/K44)*$C$7)</f>
        <v/>
      </c>
      <c r="L45" s="16">
        <f>(IF(L44=0,0,L43/L44)*$C$7)</f>
        <v/>
      </c>
      <c r="M45" s="16">
        <f>(IF(M44=0,0,M43/M44)*$C$7)</f>
        <v/>
      </c>
      <c r="N45" s="16">
        <f>(IF(N44=0,0,N43/N44)*$C$7)</f>
        <v/>
      </c>
      <c r="O45" s="16">
        <f>(IF(O44=0,0,O43/O44)*$C$7)</f>
        <v/>
      </c>
      <c r="P45" s="16">
        <f>(IF(P44=0,0,P43/P44)*$C$7)</f>
        <v/>
      </c>
      <c r="Q45" s="16">
        <f>(IF(Q44=0,0,Q43/Q44)*$C$7)</f>
        <v/>
      </c>
    </row>
    <row r="46">
      <c r="A46" t="inlineStr">
        <is>
          <t>DPS (declared on the year)</t>
        </is>
      </c>
      <c r="B46" t="inlineStr">
        <is>
          <t>dps</t>
        </is>
      </c>
      <c r="D46" s="15" t="n">
        <v>0.02670405233994259</v>
      </c>
      <c r="E46" s="15" t="n">
        <v>0.01817845698792211</v>
      </c>
      <c r="F46" s="15" t="n">
        <v>0.009352249623977746</v>
      </c>
      <c r="G46" s="15" t="n">
        <v>0.005444544229905703</v>
      </c>
      <c r="H46" s="16">
        <f>(MAX(H45,0)*H23)</f>
        <v/>
      </c>
      <c r="I46" s="16">
        <f>(MAX(I45,0)*I23)</f>
        <v/>
      </c>
      <c r="J46" s="16">
        <f>(MAX(J45,0)*J23)</f>
        <v/>
      </c>
      <c r="K46" s="16">
        <f>(MAX(K45,0)*K23)</f>
        <v/>
      </c>
      <c r="L46" s="16">
        <f>(MAX(L45,0)*L23)</f>
        <v/>
      </c>
      <c r="M46" s="16">
        <f>(MAX(M45,0)*M23)</f>
        <v/>
      </c>
      <c r="N46" s="16">
        <f>(MAX(N45,0)*N23)</f>
        <v/>
      </c>
      <c r="O46" s="16">
        <f>(MAX(O45,0)*O23)</f>
        <v/>
      </c>
      <c r="P46" s="16">
        <f>(MAX(P45,0)*P23)</f>
        <v/>
      </c>
      <c r="Q46" s="16">
        <f>(MAX(Q45,0)*Q23)</f>
        <v/>
      </c>
    </row>
    <row r="47">
      <c r="A47" t="inlineStr">
        <is>
          <t>Dividends paid</t>
        </is>
      </c>
      <c r="B47" t="inlineStr">
        <is>
          <t>dividends_paid</t>
        </is>
      </c>
      <c r="D47" s="13" t="n">
        <v>66.50462400000001</v>
      </c>
      <c r="E47" s="13" t="n">
        <v>97.09999999999999</v>
      </c>
      <c r="F47" s="13" t="n">
        <v>50.000025</v>
      </c>
      <c r="G47" s="13" t="n">
        <v>25</v>
      </c>
      <c r="H47" s="14">
        <f>IF($C$7=0,0,(G46*G44)/$C$7)</f>
        <v/>
      </c>
      <c r="I47" s="14">
        <f>IF($C$7=0,0,(H46*H44)/$C$7)</f>
        <v/>
      </c>
      <c r="J47" s="14">
        <f>IF($C$7=0,0,(I46*I44)/$C$7)</f>
        <v/>
      </c>
      <c r="K47" s="14">
        <f>IF($C$7=0,0,(J46*J44)/$C$7)</f>
        <v/>
      </c>
      <c r="L47" s="14">
        <f>IF($C$7=0,0,(K46*K44)/$C$7)</f>
        <v/>
      </c>
      <c r="M47" s="14">
        <f>IF($C$7=0,0,(L46*L44)/$C$7)</f>
        <v/>
      </c>
      <c r="N47" s="14">
        <f>IF($C$7=0,0,(M46*M44)/$C$7)</f>
        <v/>
      </c>
      <c r="O47" s="14">
        <f>IF($C$7=0,0,(N46*N44)/$C$7)</f>
        <v/>
      </c>
      <c r="P47" s="14">
        <f>IF($C$7=0,0,(O46*O44)/$C$7)</f>
        <v/>
      </c>
      <c r="Q47" s="14">
        <f>IF($C$7=0,0,(P46*P44)/$C$7)</f>
        <v/>
      </c>
    </row>
    <row r="48">
      <c r="A48" t="inlineStr">
        <is>
          <t>Capital expenditure</t>
        </is>
      </c>
      <c r="B48" t="inlineStr">
        <is>
          <t>capex</t>
        </is>
      </c>
      <c r="D48" s="13" t="n">
        <v>282.461255</v>
      </c>
      <c r="E48" s="13" t="n">
        <v>434.776479</v>
      </c>
      <c r="F48" s="13" t="n">
        <v>282.133452</v>
      </c>
      <c r="G48" s="13" t="n">
        <v>136.575725</v>
      </c>
      <c r="H48" s="14">
        <f>(H29*H15)</f>
        <v/>
      </c>
      <c r="I48" s="14">
        <f>(I29*I15)</f>
        <v/>
      </c>
      <c r="J48" s="14">
        <f>(J29*J15)</f>
        <v/>
      </c>
      <c r="K48" s="14">
        <f>(K29*K15)</f>
        <v/>
      </c>
      <c r="L48" s="14">
        <f>(L29*L15)</f>
        <v/>
      </c>
      <c r="M48" s="14">
        <f>(M29*M15)</f>
        <v/>
      </c>
      <c r="N48" s="14">
        <f>(N29*N15)</f>
        <v/>
      </c>
      <c r="O48" s="14">
        <f>(O29*O15)</f>
        <v/>
      </c>
      <c r="P48" s="14">
        <f>(P29*P15)</f>
        <v/>
      </c>
      <c r="Q48" s="14">
        <f>(Q29*Q15)</f>
        <v/>
      </c>
    </row>
    <row r="49">
      <c r="A49" t="inlineStr">
        <is>
          <t>Change in working capital</t>
        </is>
      </c>
      <c r="B49" t="inlineStr">
        <is>
          <t>delta_nwc</t>
        </is>
      </c>
      <c r="D49" s="13" t="n"/>
      <c r="E49" s="13" t="n">
        <v>23.836187</v>
      </c>
      <c r="F49" s="13" t="n">
        <v>28.06992699999995</v>
      </c>
      <c r="G49" s="13" t="n">
        <v>-0.5215259999999375</v>
      </c>
      <c r="H49" s="14">
        <f>(H54-G54)</f>
        <v/>
      </c>
      <c r="I49" s="14">
        <f>(I54-H54)</f>
        <v/>
      </c>
      <c r="J49" s="14">
        <f>(J54-I54)</f>
        <v/>
      </c>
      <c r="K49" s="14">
        <f>(K54-J54)</f>
        <v/>
      </c>
      <c r="L49" s="14">
        <f>(L54-K54)</f>
        <v/>
      </c>
      <c r="M49" s="14">
        <f>(M54-L54)</f>
        <v/>
      </c>
      <c r="N49" s="14">
        <f>(N54-M54)</f>
        <v/>
      </c>
      <c r="O49" s="14">
        <f>(O54-N54)</f>
        <v/>
      </c>
      <c r="P49" s="14">
        <f>(P54-O54)</f>
        <v/>
      </c>
      <c r="Q49" s="14">
        <f>(Q54-P54)</f>
        <v/>
      </c>
    </row>
    <row r="50">
      <c r="A50" t="inlineStr">
        <is>
          <t>Free cash flow to firm</t>
        </is>
      </c>
      <c r="B50" t="inlineStr">
        <is>
          <t>fcff</t>
        </is>
      </c>
      <c r="D50" s="13" t="n"/>
      <c r="E50" s="13" t="n">
        <v>-234.039635859657</v>
      </c>
      <c r="F50" s="13" t="n">
        <v>-38.80595916494957</v>
      </c>
      <c r="G50" s="13" t="n">
        <v>115.1411674557321</v>
      </c>
      <c r="H50" s="14">
        <f>((((H33*(1-H17))+H34)-H48)-H49)</f>
        <v/>
      </c>
      <c r="I50" s="14">
        <f>((((I33*(1-I17))+I34)-I48)-I49)</f>
        <v/>
      </c>
      <c r="J50" s="14">
        <f>((((J33*(1-J17))+J34)-J48)-J49)</f>
        <v/>
      </c>
      <c r="K50" s="14">
        <f>((((K33*(1-K17))+K34)-K48)-K49)</f>
        <v/>
      </c>
      <c r="L50" s="14">
        <f>((((L33*(1-L17))+L34)-L48)-L49)</f>
        <v/>
      </c>
      <c r="M50" s="14">
        <f>((((M33*(1-M17))+M34)-M48)-M49)</f>
        <v/>
      </c>
      <c r="N50" s="14">
        <f>((((N33*(1-N17))+N34)-N48)-N49)</f>
        <v/>
      </c>
      <c r="O50" s="14">
        <f>((((O33*(1-O17))+O34)-O48)-O49)</f>
        <v/>
      </c>
      <c r="P50" s="14">
        <f>((((P33*(1-P17))+P34)-P48)-P49)</f>
        <v/>
      </c>
      <c r="Q50" s="14">
        <f>((((Q33*(1-Q17))+Q34)-Q48)-Q49)</f>
        <v/>
      </c>
    </row>
    <row r="51">
      <c r="A51" t="inlineStr">
        <is>
          <t>Net borrowing</t>
        </is>
      </c>
      <c r="B51" t="inlineStr">
        <is>
          <t>net_borrowing</t>
        </is>
      </c>
      <c r="D51" s="13" t="n"/>
      <c r="E51" s="13" t="n">
        <v>101.4344430000001</v>
      </c>
      <c r="F51" s="13" t="n">
        <v>-63.8469990000001</v>
      </c>
      <c r="G51" s="13" t="n">
        <v>-7.221436999999924</v>
      </c>
      <c r="H51" s="14">
        <f>H20</f>
        <v/>
      </c>
      <c r="I51" s="14">
        <f>I20</f>
        <v/>
      </c>
      <c r="J51" s="14">
        <f>J20</f>
        <v/>
      </c>
      <c r="K51" s="14">
        <f>K20</f>
        <v/>
      </c>
      <c r="L51" s="14">
        <f>L20</f>
        <v/>
      </c>
      <c r="M51" s="14">
        <f>M20</f>
        <v/>
      </c>
      <c r="N51" s="14">
        <f>N20</f>
        <v/>
      </c>
      <c r="O51" s="14">
        <f>O20</f>
        <v/>
      </c>
      <c r="P51" s="14">
        <f>P20</f>
        <v/>
      </c>
      <c r="Q51" s="14">
        <f>Q20</f>
        <v/>
      </c>
    </row>
    <row r="52">
      <c r="A52" t="inlineStr">
        <is>
          <t>Dividends to minorities</t>
        </is>
      </c>
      <c r="B52" t="inlineStr">
        <is>
          <t>minority_div</t>
        </is>
      </c>
      <c r="D52" s="13" t="n"/>
      <c r="E52" s="13" t="n"/>
      <c r="F52" s="13" t="n"/>
      <c r="G52" s="13" t="n"/>
      <c r="H52" s="14">
        <f>(MAX(G42,0)*H23)</f>
        <v/>
      </c>
      <c r="I52" s="14">
        <f>(MAX(H42,0)*I23)</f>
        <v/>
      </c>
      <c r="J52" s="14">
        <f>(MAX(I42,0)*J23)</f>
        <v/>
      </c>
      <c r="K52" s="14">
        <f>(MAX(J42,0)*K23)</f>
        <v/>
      </c>
      <c r="L52" s="14">
        <f>(MAX(K42,0)*L23)</f>
        <v/>
      </c>
      <c r="M52" s="14">
        <f>(MAX(L42,0)*M23)</f>
        <v/>
      </c>
      <c r="N52" s="14">
        <f>(MAX(M42,0)*N23)</f>
        <v/>
      </c>
      <c r="O52" s="14">
        <f>(MAX(N42,0)*O23)</f>
        <v/>
      </c>
      <c r="P52" s="14">
        <f>(MAX(O42,0)*P23)</f>
        <v/>
      </c>
      <c r="Q52" s="14">
        <f>(MAX(P42,0)*Q23)</f>
        <v/>
      </c>
    </row>
    <row r="53">
      <c r="A53" t="inlineStr">
        <is>
          <t>Free cash flow to equity</t>
        </is>
      </c>
      <c r="B53" t="inlineStr">
        <is>
          <t>fcfe</t>
        </is>
      </c>
      <c r="D53" s="13" t="n"/>
      <c r="E53" s="13" t="n"/>
      <c r="F53" s="13" t="n"/>
      <c r="G53" s="13" t="n"/>
      <c r="H53" s="14">
        <f>(((((H41+H34)-H48)-H49)+H51)-H52)</f>
        <v/>
      </c>
      <c r="I53" s="14">
        <f>(((((I41+I34)-I48)-I49)+I51)-I52)</f>
        <v/>
      </c>
      <c r="J53" s="14">
        <f>(((((J41+J34)-J48)-J49)+J51)-J52)</f>
        <v/>
      </c>
      <c r="K53" s="14">
        <f>(((((K41+K34)-K48)-K49)+K51)-K52)</f>
        <v/>
      </c>
      <c r="L53" s="14">
        <f>(((((L41+L34)-L48)-L49)+L51)-L52)</f>
        <v/>
      </c>
      <c r="M53" s="14">
        <f>(((((M41+M34)-M48)-M49)+M51)-M52)</f>
        <v/>
      </c>
      <c r="N53" s="14">
        <f>(((((N41+N34)-N48)-N49)+N51)-N52)</f>
        <v/>
      </c>
      <c r="O53" s="14">
        <f>(((((O41+O34)-O48)-O49)+O51)-O52)</f>
        <v/>
      </c>
      <c r="P53" s="14">
        <f>(((((P41+P34)-P48)-P49)+P51)-P52)</f>
        <v/>
      </c>
      <c r="Q53" s="14">
        <f>(((((Q41+Q34)-Q48)-Q49)+Q51)-Q52)</f>
        <v/>
      </c>
    </row>
    <row r="54">
      <c r="A54" t="inlineStr">
        <is>
          <t>Operating working capital</t>
        </is>
      </c>
      <c r="B54" t="inlineStr">
        <is>
          <t>nwc</t>
        </is>
      </c>
      <c r="D54" s="13" t="n">
        <v>85.686938</v>
      </c>
      <c r="E54" s="13" t="n">
        <v>109.523125</v>
      </c>
      <c r="F54" s="13" t="n">
        <v>137.5930519999999</v>
      </c>
      <c r="G54" s="13" t="n">
        <v>137.071526</v>
      </c>
      <c r="H54" s="14">
        <f>(H29*H16)</f>
        <v/>
      </c>
      <c r="I54" s="14">
        <f>(I29*I16)</f>
        <v/>
      </c>
      <c r="J54" s="14">
        <f>(J29*J16)</f>
        <v/>
      </c>
      <c r="K54" s="14">
        <f>(K29*K16)</f>
        <v/>
      </c>
      <c r="L54" s="14">
        <f>(L29*L16)</f>
        <v/>
      </c>
      <c r="M54" s="14">
        <f>(M29*M16)</f>
        <v/>
      </c>
      <c r="N54" s="14">
        <f>(N29*N16)</f>
        <v/>
      </c>
      <c r="O54" s="14">
        <f>(O29*O16)</f>
        <v/>
      </c>
      <c r="P54" s="14">
        <f>(P29*P16)</f>
        <v/>
      </c>
      <c r="Q54" s="14">
        <f>(Q29*Q16)</f>
        <v/>
      </c>
    </row>
    <row r="55">
      <c r="A55" t="inlineStr">
        <is>
          <t>Cash &amp; equivalents</t>
        </is>
      </c>
      <c r="B55" t="inlineStr">
        <is>
          <t>cash</t>
        </is>
      </c>
      <c r="D55" s="13" t="n">
        <v>221.631736</v>
      </c>
      <c r="E55" s="13" t="n">
        <v>188.643916</v>
      </c>
      <c r="F55" s="13" t="n">
        <v>170.318176</v>
      </c>
      <c r="G55" s="13" t="n">
        <v>202.368975</v>
      </c>
      <c r="H55" s="14">
        <f>(((((((G55+H41)+H34)-H48)-H49)+H51)-H47)-H52)</f>
        <v/>
      </c>
      <c r="I55" s="14">
        <f>(((((((H55+I41)+I34)-I48)-I49)+I51)-I47)-I52)</f>
        <v/>
      </c>
      <c r="J55" s="14">
        <f>(((((((I55+J41)+J34)-J48)-J49)+J51)-J47)-J52)</f>
        <v/>
      </c>
      <c r="K55" s="14">
        <f>(((((((J55+K41)+K34)-K48)-K49)+K51)-K47)-K52)</f>
        <v/>
      </c>
      <c r="L55" s="14">
        <f>(((((((K55+L41)+L34)-L48)-L49)+L51)-L47)-L52)</f>
        <v/>
      </c>
      <c r="M55" s="14">
        <f>(((((((L55+M41)+M34)-M48)-M49)+M51)-M47)-M52)</f>
        <v/>
      </c>
      <c r="N55" s="14">
        <f>(((((((M55+N41)+N34)-N48)-N49)+N51)-N47)-N52)</f>
        <v/>
      </c>
      <c r="O55" s="14">
        <f>(((((((N55+O41)+O34)-O48)-O49)+O51)-O47)-O52)</f>
        <v/>
      </c>
      <c r="P55" s="14">
        <f>(((((((O55+P41)+P34)-P48)-P49)+P51)-P47)-P52)</f>
        <v/>
      </c>
      <c r="Q55" s="14">
        <f>(((((((P55+Q41)+Q34)-Q48)-Q49)+Q51)-Q47)-Q52)</f>
        <v/>
      </c>
    </row>
    <row r="56">
      <c r="A56" t="inlineStr">
        <is>
          <t>Total debt</t>
        </is>
      </c>
      <c r="B56" t="inlineStr">
        <is>
          <t>debt</t>
        </is>
      </c>
      <c r="D56" s="13" t="n">
        <v>938.742045</v>
      </c>
      <c r="E56" s="13" t="n">
        <v>1040.176488</v>
      </c>
      <c r="F56" s="13" t="n">
        <v>976.329489</v>
      </c>
      <c r="G56" s="13" t="n">
        <v>969.108052</v>
      </c>
      <c r="H56" s="14">
        <f>(G56+H51)</f>
        <v/>
      </c>
      <c r="I56" s="14">
        <f>(H56+I51)</f>
        <v/>
      </c>
      <c r="J56" s="14">
        <f>(I56+J51)</f>
        <v/>
      </c>
      <c r="K56" s="14">
        <f>(J56+K51)</f>
        <v/>
      </c>
      <c r="L56" s="14">
        <f>(K56+L51)</f>
        <v/>
      </c>
      <c r="M56" s="14">
        <f>(L56+M51)</f>
        <v/>
      </c>
      <c r="N56" s="14">
        <f>(M56+N51)</f>
        <v/>
      </c>
      <c r="O56" s="14">
        <f>(N56+O51)</f>
        <v/>
      </c>
      <c r="P56" s="14">
        <f>(O56+P51)</f>
        <v/>
      </c>
      <c r="Q56" s="14">
        <f>(P56+Q51)</f>
        <v/>
      </c>
    </row>
    <row r="57">
      <c r="A57" t="inlineStr">
        <is>
          <t>Fixed assets (net)</t>
        </is>
      </c>
      <c r="B57" t="inlineStr">
        <is>
          <t>ppe</t>
        </is>
      </c>
      <c r="D57" s="13" t="n">
        <v>696.713289</v>
      </c>
      <c r="E57" s="13" t="n">
        <v>848.808046</v>
      </c>
      <c r="F57" s="13" t="n">
        <v>844.113095</v>
      </c>
      <c r="G57" s="13" t="n">
        <v>836.346124</v>
      </c>
      <c r="H57" s="14">
        <f>((G57+H48)-H34)</f>
        <v/>
      </c>
      <c r="I57" s="14">
        <f>((H57+I48)-I34)</f>
        <v/>
      </c>
      <c r="J57" s="14">
        <f>((I57+J48)-J34)</f>
        <v/>
      </c>
      <c r="K57" s="14">
        <f>((J57+K48)-K34)</f>
        <v/>
      </c>
      <c r="L57" s="14">
        <f>((K57+L48)-L34)</f>
        <v/>
      </c>
      <c r="M57" s="14">
        <f>((L57+M48)-M34)</f>
        <v/>
      </c>
      <c r="N57" s="14">
        <f>((M57+N48)-N34)</f>
        <v/>
      </c>
      <c r="O57" s="14">
        <f>((N57+O48)-O34)</f>
        <v/>
      </c>
      <c r="P57" s="14">
        <f>((O57+P48)-P34)</f>
        <v/>
      </c>
      <c r="Q57" s="14">
        <f>((P57+Q48)-Q34)</f>
        <v/>
      </c>
    </row>
    <row r="58">
      <c r="A58" t="inlineStr">
        <is>
          <t>Parent shareholders' equity</t>
        </is>
      </c>
      <c r="B58" t="inlineStr">
        <is>
          <t>equity</t>
        </is>
      </c>
      <c r="D58" s="13" t="n">
        <v>550.362756</v>
      </c>
      <c r="E58" s="13" t="n">
        <v>759.021033</v>
      </c>
      <c r="F58" s="13" t="n">
        <v>841.403728</v>
      </c>
      <c r="G58" s="13" t="n">
        <v>874.705974</v>
      </c>
      <c r="H58" s="14">
        <f>((G58+H43)-H47)</f>
        <v/>
      </c>
      <c r="I58" s="14">
        <f>((H58+I43)-I47)</f>
        <v/>
      </c>
      <c r="J58" s="14">
        <f>((I58+J43)-J47)</f>
        <v/>
      </c>
      <c r="K58" s="14">
        <f>((J58+K43)-K47)</f>
        <v/>
      </c>
      <c r="L58" s="14">
        <f>((K58+L43)-L47)</f>
        <v/>
      </c>
      <c r="M58" s="14">
        <f>((L58+M43)-M47)</f>
        <v/>
      </c>
      <c r="N58" s="14">
        <f>((M58+N43)-N47)</f>
        <v/>
      </c>
      <c r="O58" s="14">
        <f>((N58+O43)-O47)</f>
        <v/>
      </c>
      <c r="P58" s="14">
        <f>((O58+P43)-P47)</f>
        <v/>
      </c>
      <c r="Q58" s="14">
        <f>((P58+Q43)-Q47)</f>
        <v/>
      </c>
    </row>
    <row r="59">
      <c r="A59" t="inlineStr">
        <is>
          <t>Minority interest (balance sheet)</t>
        </is>
      </c>
      <c r="B59" t="inlineStr">
        <is>
          <t>minority_bs</t>
        </is>
      </c>
      <c r="D59" s="13" t="n">
        <v>67.158519</v>
      </c>
      <c r="E59" s="13" t="n">
        <v>-0.094066</v>
      </c>
      <c r="F59" s="13" t="n">
        <v>5.851168</v>
      </c>
      <c r="G59" s="13" t="n">
        <v>5.715422</v>
      </c>
      <c r="H59" s="14">
        <f>((G59+H42)-H52)</f>
        <v/>
      </c>
      <c r="I59" s="14">
        <f>((H59+I42)-I52)</f>
        <v/>
      </c>
      <c r="J59" s="14">
        <f>((I59+J42)-J52)</f>
        <v/>
      </c>
      <c r="K59" s="14">
        <f>((J59+K42)-K52)</f>
        <v/>
      </c>
      <c r="L59" s="14">
        <f>((K59+L42)-L52)</f>
        <v/>
      </c>
      <c r="M59" s="14">
        <f>((L59+M42)-M52)</f>
        <v/>
      </c>
      <c r="N59" s="14">
        <f>((M59+N42)-N52)</f>
        <v/>
      </c>
      <c r="O59" s="14">
        <f>((N59+O42)-O52)</f>
        <v/>
      </c>
      <c r="P59" s="14">
        <f>((O59+P42)-P52)</f>
        <v/>
      </c>
      <c r="Q59" s="14">
        <f>((P59+Q42)-Q52)</f>
        <v/>
      </c>
    </row>
    <row r="60">
      <c r="A60" t="inlineStr">
        <is>
          <t>Other assets less other liabilities</t>
        </is>
      </c>
      <c r="B60" t="inlineStr">
        <is>
          <t>other_net</t>
        </is>
      </c>
      <c r="D60" s="13" t="n">
        <v>552.2313569999999</v>
      </c>
      <c r="E60" s="13" t="n">
        <v>652.128368</v>
      </c>
      <c r="F60" s="13" t="n">
        <v>671.5600619999999</v>
      </c>
      <c r="G60" s="13" t="n">
        <v>673.7428229999999</v>
      </c>
      <c r="H60" s="14">
        <f>G60</f>
        <v/>
      </c>
      <c r="I60" s="14">
        <f>H60</f>
        <v/>
      </c>
      <c r="J60" s="14">
        <f>I60</f>
        <v/>
      </c>
      <c r="K60" s="14">
        <f>J60</f>
        <v/>
      </c>
      <c r="L60" s="14">
        <f>K60</f>
        <v/>
      </c>
      <c r="M60" s="14">
        <f>L60</f>
        <v/>
      </c>
      <c r="N60" s="14">
        <f>M60</f>
        <v/>
      </c>
      <c r="O60" s="14">
        <f>N60</f>
        <v/>
      </c>
      <c r="P60" s="14">
        <f>O60</f>
        <v/>
      </c>
      <c r="Q60" s="14">
        <f>P60</f>
        <v/>
      </c>
    </row>
    <row r="61">
      <c r="A61" t="inlineStr">
        <is>
          <t>Balance check (should be zero)</t>
        </is>
      </c>
      <c r="B61" t="inlineStr">
        <is>
          <t>bs_check</t>
        </is>
      </c>
      <c r="D61" s="13" t="n"/>
      <c r="E61" s="13" t="n"/>
      <c r="F61" s="13" t="n"/>
      <c r="G61" s="13" t="n"/>
      <c r="H61" s="14">
        <f>((((((H55+H54)+H57)+H60)-H56)-H58)-H59)</f>
        <v/>
      </c>
      <c r="I61" s="14">
        <f>((((((I55+I54)+I57)+I60)-I56)-I58)-I59)</f>
        <v/>
      </c>
      <c r="J61" s="14">
        <f>((((((J55+J54)+J57)+J60)-J56)-J58)-J59)</f>
        <v/>
      </c>
      <c r="K61" s="14">
        <f>((((((K55+K54)+K57)+K60)-K56)-K58)-K59)</f>
        <v/>
      </c>
      <c r="L61" s="14">
        <f>((((((L55+L54)+L57)+L60)-L56)-L58)-L59)</f>
        <v/>
      </c>
      <c r="M61" s="14">
        <f>((((((M55+M54)+M57)+M60)-M56)-M58)-M59)</f>
        <v/>
      </c>
      <c r="N61" s="14">
        <f>((((((N55+N54)+N57)+N60)-N56)-N58)-N59)</f>
        <v/>
      </c>
      <c r="O61" s="14">
        <f>((((((O55+O54)+O57)+O60)-O56)-O58)-O59)</f>
        <v/>
      </c>
      <c r="P61" s="14">
        <f>((((((P55+P54)+P57)+P60)-P56)-P58)-P59)</f>
        <v/>
      </c>
      <c r="Q61" s="14">
        <f>((((((Q55+Q54)+Q57)+Q60)-Q56)-Q58)-Q59)</f>
        <v/>
      </c>
    </row>
    <row r="62">
      <c r="A62" t="inlineStr">
        <is>
          <t>Net debt (cash)</t>
        </is>
      </c>
      <c r="B62" t="inlineStr">
        <is>
          <t>net_debt</t>
        </is>
      </c>
      <c r="D62" s="13" t="n">
        <v>717.1103089999999</v>
      </c>
      <c r="E62" s="13" t="n">
        <v>851.5325720000001</v>
      </c>
      <c r="F62" s="13" t="n">
        <v>806.011313</v>
      </c>
      <c r="G62" s="13" t="n">
        <v>766.7390770000001</v>
      </c>
      <c r="H62" s="14">
        <f>(H56-H55)</f>
        <v/>
      </c>
      <c r="I62" s="14">
        <f>(I56-I55)</f>
        <v/>
      </c>
      <c r="J62" s="14">
        <f>(J56-J55)</f>
        <v/>
      </c>
      <c r="K62" s="14">
        <f>(K56-K55)</f>
        <v/>
      </c>
      <c r="L62" s="14">
        <f>(L56-L55)</f>
        <v/>
      </c>
      <c r="M62" s="14">
        <f>(M56-M55)</f>
        <v/>
      </c>
      <c r="N62" s="14">
        <f>(N56-N55)</f>
        <v/>
      </c>
      <c r="O62" s="14">
        <f>(O56-O55)</f>
        <v/>
      </c>
      <c r="P62" s="14">
        <f>(P56-P55)</f>
        <v/>
      </c>
      <c r="Q62" s="14">
        <f>(Q56-Q55)</f>
        <v/>
      </c>
    </row>
    <row r="63">
      <c r="A63" t="inlineStr">
        <is>
          <t>Book value per share</t>
        </is>
      </c>
      <c r="B63" t="inlineStr">
        <is>
          <t>bvps</t>
        </is>
      </c>
      <c r="D63" s="15" t="n">
        <v>0.1999018424249909</v>
      </c>
      <c r="E63" s="15" t="n">
        <v>0.2756903538291385</v>
      </c>
      <c r="F63" s="15" t="n">
        <v>0.3056132589220043</v>
      </c>
      <c r="G63" s="15" t="n">
        <v>0.3177092451778226</v>
      </c>
      <c r="H63" s="16">
        <f>(IF(H44=0,0,H58/H44)*$C$7)</f>
        <v/>
      </c>
      <c r="I63" s="16">
        <f>(IF(I44=0,0,I58/I44)*$C$7)</f>
        <v/>
      </c>
      <c r="J63" s="16">
        <f>(IF(J44=0,0,J58/J44)*$C$7)</f>
        <v/>
      </c>
      <c r="K63" s="16">
        <f>(IF(K44=0,0,K58/K44)*$C$7)</f>
        <v/>
      </c>
      <c r="L63" s="16">
        <f>(IF(L44=0,0,L58/L44)*$C$7)</f>
        <v/>
      </c>
      <c r="M63" s="16">
        <f>(IF(M44=0,0,M58/M44)*$C$7)</f>
        <v/>
      </c>
      <c r="N63" s="16">
        <f>(IF(N44=0,0,N58/N44)*$C$7)</f>
        <v/>
      </c>
      <c r="O63" s="16">
        <f>(IF(O44=0,0,O58/O44)*$C$7)</f>
        <v/>
      </c>
      <c r="P63" s="16">
        <f>(IF(P44=0,0,P58/P44)*$C$7)</f>
        <v/>
      </c>
      <c r="Q63" s="16">
        <f>(IF(Q44=0,0,Q58/Q44)*$C$7)</f>
        <v/>
      </c>
    </row>
    <row r="64">
      <c r="A64" t="inlineStr">
        <is>
          <t>Revenue growth</t>
        </is>
      </c>
      <c r="B64" t="inlineStr">
        <is>
          <t>revenue_growth</t>
        </is>
      </c>
      <c r="D64" s="4" t="n"/>
      <c r="E64" s="4" t="n">
        <v>0.03284025328912299</v>
      </c>
      <c r="F64" s="4" t="n">
        <v>-0.1961598301452415</v>
      </c>
      <c r="G64" s="4" t="n">
        <v>-0.134953604046108</v>
      </c>
      <c r="H64" s="17">
        <f>(IF(G29=0,0,H29/G29)-1)</f>
        <v/>
      </c>
      <c r="I64" s="17">
        <f>(IF(H29=0,0,I29/H29)-1)</f>
        <v/>
      </c>
      <c r="J64" s="17">
        <f>(IF(I29=0,0,J29/I29)-1)</f>
        <v/>
      </c>
      <c r="K64" s="17">
        <f>(IF(J29=0,0,K29/J29)-1)</f>
        <v/>
      </c>
      <c r="L64" s="17">
        <f>(IF(K29=0,0,L29/K29)-1)</f>
        <v/>
      </c>
      <c r="M64" s="17">
        <f>(IF(L29=0,0,M29/L29)-1)</f>
        <v/>
      </c>
      <c r="N64" s="17">
        <f>(IF(M29=0,0,N29/M29)-1)</f>
        <v/>
      </c>
      <c r="O64" s="17">
        <f>(IF(N29=0,0,O29/N29)-1)</f>
        <v/>
      </c>
      <c r="P64" s="17">
        <f>(IF(O29=0,0,P29/O29)-1)</f>
        <v/>
      </c>
      <c r="Q64" s="17">
        <f>(IF(P29=0,0,Q29/P29)-1)</f>
        <v/>
      </c>
    </row>
    <row r="65">
      <c r="A65" t="inlineStr">
        <is>
          <t>Gross margin</t>
        </is>
      </c>
      <c r="B65" t="inlineStr">
        <is>
          <t>gross_margin</t>
        </is>
      </c>
      <c r="D65" s="4" t="n">
        <v>0.3610476573950671</v>
      </c>
      <c r="E65" s="4" t="n">
        <v>0.2625896379119529</v>
      </c>
      <c r="F65" s="4" t="n">
        <v>0.1093142824050319</v>
      </c>
      <c r="G65" s="4" t="n">
        <v>0.09986682011022056</v>
      </c>
      <c r="H65" s="17">
        <f>IF(H29=0,0,H31/H29)</f>
        <v/>
      </c>
      <c r="I65" s="17">
        <f>IF(I29=0,0,I31/I29)</f>
        <v/>
      </c>
      <c r="J65" s="17">
        <f>IF(J29=0,0,J31/J29)</f>
        <v/>
      </c>
      <c r="K65" s="17">
        <f>IF(K29=0,0,K31/K29)</f>
        <v/>
      </c>
      <c r="L65" s="17">
        <f>IF(L29=0,0,L31/L29)</f>
        <v/>
      </c>
      <c r="M65" s="17">
        <f>IF(M29=0,0,M31/M29)</f>
        <v/>
      </c>
      <c r="N65" s="17">
        <f>IF(N29=0,0,N31/N29)</f>
        <v/>
      </c>
      <c r="O65" s="17">
        <f>IF(O29=0,0,O31/O29)</f>
        <v/>
      </c>
      <c r="P65" s="17">
        <f>IF(P29=0,0,P31/P29)</f>
        <v/>
      </c>
      <c r="Q65" s="17">
        <f>IF(Q29=0,0,Q31/Q29)</f>
        <v/>
      </c>
    </row>
    <row r="66">
      <c r="A66" t="inlineStr">
        <is>
          <t>EBITDA margin</t>
        </is>
      </c>
      <c r="B66" t="inlineStr">
        <is>
          <t>ebitda_margin</t>
        </is>
      </c>
      <c r="D66" s="4" t="n">
        <v>0.2772126367436318</v>
      </c>
      <c r="E66" s="4" t="n">
        <v>0.1763923541814154</v>
      </c>
      <c r="F66" s="4" t="n">
        <v>0.2322786139737206</v>
      </c>
      <c r="G66" s="4" t="n">
        <v>0.2448729830396393</v>
      </c>
      <c r="H66" s="17">
        <f>IF(H29=0,0,H35/H29)</f>
        <v/>
      </c>
      <c r="I66" s="17">
        <f>IF(I29=0,0,I35/I29)</f>
        <v/>
      </c>
      <c r="J66" s="17">
        <f>IF(J29=0,0,J35/J29)</f>
        <v/>
      </c>
      <c r="K66" s="17">
        <f>IF(K29=0,0,K35/K29)</f>
        <v/>
      </c>
      <c r="L66" s="17">
        <f>IF(L29=0,0,L35/L29)</f>
        <v/>
      </c>
      <c r="M66" s="17">
        <f>IF(M29=0,0,M35/M29)</f>
        <v/>
      </c>
      <c r="N66" s="17">
        <f>IF(N29=0,0,N35/N29)</f>
        <v/>
      </c>
      <c r="O66" s="17">
        <f>IF(O29=0,0,O35/O29)</f>
        <v/>
      </c>
      <c r="P66" s="17">
        <f>IF(P29=0,0,P35/P29)</f>
        <v/>
      </c>
      <c r="Q66" s="17">
        <f>IF(Q29=0,0,Q35/Q29)</f>
        <v/>
      </c>
    </row>
    <row r="67">
      <c r="A67" t="inlineStr">
        <is>
          <t>EBIT margin</t>
        </is>
      </c>
      <c r="B67" t="inlineStr">
        <is>
          <t>ebit_margin</t>
        </is>
      </c>
      <c r="D67" s="4" t="n">
        <v>0.2737628196733745</v>
      </c>
      <c r="E67" s="4" t="n">
        <v>0.172721795441215</v>
      </c>
      <c r="F67" s="4" t="n">
        <v>0.06139844877488831</v>
      </c>
      <c r="G67" s="4" t="n">
        <v>0.04108632455577946</v>
      </c>
      <c r="H67" s="17">
        <f>IF(H29=0,0,H33/H29)</f>
        <v/>
      </c>
      <c r="I67" s="17">
        <f>IF(I29=0,0,I33/I29)</f>
        <v/>
      </c>
      <c r="J67" s="17">
        <f>IF(J29=0,0,J33/J29)</f>
        <v/>
      </c>
      <c r="K67" s="17">
        <f>IF(K29=0,0,K33/K29)</f>
        <v/>
      </c>
      <c r="L67" s="17">
        <f>IF(L29=0,0,L33/L29)</f>
        <v/>
      </c>
      <c r="M67" s="17">
        <f>IF(M29=0,0,M33/M29)</f>
        <v/>
      </c>
      <c r="N67" s="17">
        <f>IF(N29=0,0,N33/N29)</f>
        <v/>
      </c>
      <c r="O67" s="17">
        <f>IF(O29=0,0,O33/O29)</f>
        <v/>
      </c>
      <c r="P67" s="17">
        <f>IF(P29=0,0,P33/P29)</f>
        <v/>
      </c>
      <c r="Q67" s="17">
        <f>IF(Q29=0,0,Q33/Q29)</f>
        <v/>
      </c>
    </row>
    <row r="68">
      <c r="A68" t="inlineStr">
        <is>
          <t>Net margin</t>
        </is>
      </c>
      <c r="B68" t="inlineStr">
        <is>
          <t>np_margin</t>
        </is>
      </c>
      <c r="D68" s="4" t="n">
        <v>0.1867207300359033</v>
      </c>
      <c r="E68" s="4" t="n">
        <v>0.1935705146983716</v>
      </c>
      <c r="F68" s="4" t="n">
        <v>0.1161276095280063</v>
      </c>
      <c r="G68" s="4" t="n">
        <v>0.06801997719345172</v>
      </c>
      <c r="H68" s="17">
        <f>IF(H29=0,0,H43/H29)</f>
        <v/>
      </c>
      <c r="I68" s="17">
        <f>IF(I29=0,0,I43/I29)</f>
        <v/>
      </c>
      <c r="J68" s="17">
        <f>IF(J29=0,0,J43/J29)</f>
        <v/>
      </c>
      <c r="K68" s="17">
        <f>IF(K29=0,0,K43/K29)</f>
        <v/>
      </c>
      <c r="L68" s="17">
        <f>IF(L29=0,0,L43/L29)</f>
        <v/>
      </c>
      <c r="M68" s="17">
        <f>IF(M29=0,0,M43/M29)</f>
        <v/>
      </c>
      <c r="N68" s="17">
        <f>IF(N29=0,0,N43/N29)</f>
        <v/>
      </c>
      <c r="O68" s="17">
        <f>IF(O29=0,0,O43/O29)</f>
        <v/>
      </c>
      <c r="P68" s="17">
        <f>IF(P29=0,0,P43/P29)</f>
        <v/>
      </c>
      <c r="Q68" s="17">
        <f>IF(Q29=0,0,Q43/Q29)</f>
        <v/>
      </c>
    </row>
    <row r="69">
      <c r="A69" t="inlineStr">
        <is>
          <t>EPS growth</t>
        </is>
      </c>
      <c r="B69" t="inlineStr">
        <is>
          <t>eps_growth</t>
        </is>
      </c>
      <c r="D69" s="4" t="n"/>
      <c r="E69" s="4" t="n">
        <v>0.07072963667145782</v>
      </c>
      <c r="F69" s="4" t="n">
        <v>-0.5177569398248599</v>
      </c>
      <c r="G69" s="4" t="n">
        <v>-0.4933122591327355</v>
      </c>
      <c r="H69" s="17">
        <f>(IF(G45=0,0,H45/G45)-1)</f>
        <v/>
      </c>
      <c r="I69" s="17">
        <f>(IF(H45=0,0,I45/H45)-1)</f>
        <v/>
      </c>
      <c r="J69" s="17">
        <f>(IF(I45=0,0,J45/I45)-1)</f>
        <v/>
      </c>
      <c r="K69" s="17">
        <f>(IF(J45=0,0,K45/J45)-1)</f>
        <v/>
      </c>
      <c r="L69" s="17">
        <f>(IF(K45=0,0,L45/K45)-1)</f>
        <v/>
      </c>
      <c r="M69" s="17">
        <f>(IF(L45=0,0,M45/L45)-1)</f>
        <v/>
      </c>
      <c r="N69" s="17">
        <f>(IF(M45=0,0,N45/M45)-1)</f>
        <v/>
      </c>
      <c r="O69" s="17">
        <f>(IF(N45=0,0,O45/N45)-1)</f>
        <v/>
      </c>
      <c r="P69" s="17">
        <f>(IF(O45=0,0,P45/O45)-1)</f>
        <v/>
      </c>
      <c r="Q69" s="17">
        <f>(IF(P45=0,0,Q45/P45)-1)</f>
        <v/>
      </c>
    </row>
    <row r="70">
      <c r="A70" t="inlineStr">
        <is>
          <t>ROE</t>
        </is>
      </c>
      <c r="B70" t="inlineStr">
        <is>
          <t>roe</t>
        </is>
      </c>
      <c r="D70" s="4" t="n"/>
      <c r="E70" s="4" t="n">
        <v>0.4414298686570955</v>
      </c>
      <c r="F70" s="4" t="n">
        <v>0.1741644048457708</v>
      </c>
      <c r="G70" s="4" t="n">
        <v>0.08229813853706655</v>
      </c>
      <c r="H70" s="17">
        <f>IF(IF(2=0,0,(H58+G58)/2)=0,0,H43/IF(2=0,0,(H58+G58)/2))</f>
        <v/>
      </c>
      <c r="I70" s="17">
        <f>IF(IF(2=0,0,(I58+H58)/2)=0,0,I43/IF(2=0,0,(I58+H58)/2))</f>
        <v/>
      </c>
      <c r="J70" s="17">
        <f>IF(IF(2=0,0,(J58+I58)/2)=0,0,J43/IF(2=0,0,(J58+I58)/2))</f>
        <v/>
      </c>
      <c r="K70" s="17">
        <f>IF(IF(2=0,0,(K58+J58)/2)=0,0,K43/IF(2=0,0,(K58+J58)/2))</f>
        <v/>
      </c>
      <c r="L70" s="17">
        <f>IF(IF(2=0,0,(L58+K58)/2)=0,0,L43/IF(2=0,0,(L58+K58)/2))</f>
        <v/>
      </c>
      <c r="M70" s="17">
        <f>IF(IF(2=0,0,(M58+L58)/2)=0,0,M43/IF(2=0,0,(M58+L58)/2))</f>
        <v/>
      </c>
      <c r="N70" s="17">
        <f>IF(IF(2=0,0,(N58+M58)/2)=0,0,N43/IF(2=0,0,(N58+M58)/2))</f>
        <v/>
      </c>
      <c r="O70" s="17">
        <f>IF(IF(2=0,0,(O58+N58)/2)=0,0,O43/IF(2=0,0,(O58+N58)/2))</f>
        <v/>
      </c>
      <c r="P70" s="17">
        <f>IF(IF(2=0,0,(P58+O58)/2)=0,0,P43/IF(2=0,0,(P58+O58)/2))</f>
        <v/>
      </c>
      <c r="Q70" s="17">
        <f>IF(IF(2=0,0,(Q58+P58)/2)=0,0,Q43/IF(2=0,0,(Q58+P58)/2))</f>
        <v/>
      </c>
    </row>
    <row r="71">
      <c r="A71" t="inlineStr">
        <is>
          <t>Net debt / EBITDA</t>
        </is>
      </c>
      <c r="B71" t="inlineStr">
        <is>
          <t>net_debt_ebitda</t>
        </is>
      </c>
      <c r="D71" s="18" t="n">
        <v>1.789561478493825</v>
      </c>
      <c r="E71" s="18" t="n">
        <v>3.233419353174322</v>
      </c>
      <c r="F71" s="18" t="n">
        <v>2.891363747922207</v>
      </c>
      <c r="G71" s="18" t="n">
        <v>3.016047275805339</v>
      </c>
      <c r="H71" s="19">
        <f>IF(H35=0,0,H62/H35)</f>
        <v/>
      </c>
      <c r="I71" s="19">
        <f>IF(I35=0,0,I62/I35)</f>
        <v/>
      </c>
      <c r="J71" s="19">
        <f>IF(J35=0,0,J62/J35)</f>
        <v/>
      </c>
      <c r="K71" s="19">
        <f>IF(K35=0,0,K62/K35)</f>
        <v/>
      </c>
      <c r="L71" s="19">
        <f>IF(L35=0,0,L62/L35)</f>
        <v/>
      </c>
      <c r="M71" s="19">
        <f>IF(M35=0,0,M62/M35)</f>
        <v/>
      </c>
      <c r="N71" s="19">
        <f>IF(N35=0,0,N62/N35)</f>
        <v/>
      </c>
      <c r="O71" s="19">
        <f>IF(O35=0,0,O62/O35)</f>
        <v/>
      </c>
      <c r="P71" s="19">
        <f>IF(P35=0,0,P62/P35)</f>
        <v/>
      </c>
      <c r="Q71" s="19">
        <f>IF(Q35=0,0,Q62/Q35)</f>
        <v/>
      </c>
    </row>
    <row r="72">
      <c r="A72" t="inlineStr">
        <is>
          <t>Payout ratio</t>
        </is>
      </c>
      <c r="B72" t="inlineStr">
        <is>
          <t>payout_ratio</t>
        </is>
      </c>
      <c r="D72" s="4" t="n">
        <v>0.2723896203079914</v>
      </c>
      <c r="E72" s="4" t="n">
        <v>0.1731771455829844</v>
      </c>
      <c r="F72" s="4" t="n">
        <v>0.1847496667773064</v>
      </c>
      <c r="G72" s="4" t="n">
        <v>0.2122700425558633</v>
      </c>
      <c r="H72" s="17">
        <f>IF(H45=0,0,H46/H45)</f>
        <v/>
      </c>
      <c r="I72" s="17">
        <f>IF(I45=0,0,I46/I45)</f>
        <v/>
      </c>
      <c r="J72" s="17">
        <f>IF(J45=0,0,J46/J45)</f>
        <v/>
      </c>
      <c r="K72" s="17">
        <f>IF(K45=0,0,K46/K45)</f>
        <v/>
      </c>
      <c r="L72" s="17">
        <f>IF(L45=0,0,L46/L45)</f>
        <v/>
      </c>
      <c r="M72" s="17">
        <f>IF(M45=0,0,M46/M45)</f>
        <v/>
      </c>
      <c r="N72" s="17">
        <f>IF(N45=0,0,N46/N45)</f>
        <v/>
      </c>
      <c r="O72" s="17">
        <f>IF(O45=0,0,O46/O45)</f>
        <v/>
      </c>
      <c r="P72" s="17">
        <f>IF(P45=0,0,P46/P45)</f>
        <v/>
      </c>
      <c r="Q72" s="17">
        <f>IF(Q45=0,0,Q46/Q45)</f>
        <v/>
      </c>
    </row>
    <row r="73">
      <c r="A73" t="inlineStr">
        <is>
          <t>Capex / revenue</t>
        </is>
      </c>
      <c r="B73" t="inlineStr">
        <is>
          <t>capex_revenue</t>
        </is>
      </c>
      <c r="D73" s="4" t="n">
        <v>0.1954036019425882</v>
      </c>
      <c r="E73" s="4" t="n">
        <v>0.2912101889782024</v>
      </c>
      <c r="F73" s="4" t="n">
        <v>0.2350852616806244</v>
      </c>
      <c r="G73" s="4" t="n">
        <v>0.1315542652794982</v>
      </c>
      <c r="H73" s="17">
        <f>IF(H29=0,0,H48/H29)</f>
        <v/>
      </c>
      <c r="I73" s="17">
        <f>IF(I29=0,0,I48/I29)</f>
        <v/>
      </c>
      <c r="J73" s="17">
        <f>IF(J29=0,0,J48/J29)</f>
        <v/>
      </c>
      <c r="K73" s="17">
        <f>IF(K29=0,0,K48/K29)</f>
        <v/>
      </c>
      <c r="L73" s="17">
        <f>IF(L29=0,0,L48/L29)</f>
        <v/>
      </c>
      <c r="M73" s="17">
        <f>IF(M29=0,0,M48/M29)</f>
        <v/>
      </c>
      <c r="N73" s="17">
        <f>IF(N29=0,0,N48/N29)</f>
        <v/>
      </c>
      <c r="O73" s="17">
        <f>IF(O29=0,0,O48/O29)</f>
        <v/>
      </c>
      <c r="P73" s="17">
        <f>IF(P29=0,0,P48/P29)</f>
        <v/>
      </c>
      <c r="Q73" s="17">
        <f>IF(Q29=0,0,Q48/Q29)</f>
        <v/>
      </c>
    </row>
    <row r="75">
      <c r="A75" s="1" t="inlineStr">
        <is>
          <t>VALUATION</t>
        </is>
      </c>
    </row>
    <row r="76">
      <c r="A76" t="inlineStr">
        <is>
          <t>Last price (IDR)</t>
        </is>
      </c>
      <c r="C76" s="15" t="n">
        <v>2540</v>
      </c>
    </row>
    <row r="77">
      <c r="A77" t="inlineStr">
        <is>
          <t>Shares outstanding (m)</t>
        </is>
      </c>
      <c r="C77" s="13" t="n">
        <v>2753.165</v>
      </c>
    </row>
    <row r="78">
      <c r="A78" t="inlineStr">
        <is>
          <t>IDR per USD (spot)</t>
        </is>
      </c>
      <c r="C78" s="3" t="n">
        <v>18183</v>
      </c>
    </row>
    <row r="79">
      <c r="A79" t="inlineStr">
        <is>
          <t>Debt at balance-sheet date</t>
        </is>
      </c>
      <c r="C79" s="13" t="n">
        <v>922.343253</v>
      </c>
    </row>
    <row r="80">
      <c r="A80" t="inlineStr">
        <is>
          <t>Cash at balance-sheet date</t>
        </is>
      </c>
      <c r="C80" s="13" t="n">
        <v>217.019467</v>
      </c>
    </row>
    <row r="81">
      <c r="A81" t="inlineStr">
        <is>
          <t>Minority interest (book)</t>
        </is>
      </c>
      <c r="C81" s="13" t="n">
        <v>6.259814</v>
      </c>
    </row>
    <row r="82">
      <c r="A82" t="inlineStr">
        <is>
          <t>Associates &amp; investments (book)</t>
        </is>
      </c>
      <c r="C82" s="13" t="n">
        <v>598.521655</v>
      </c>
    </row>
    <row r="83">
      <c r="A83" t="inlineStr">
        <is>
          <t>Post-balance-sheet &amp; other items (sourced, probability-weighted)</t>
        </is>
      </c>
      <c r="C83" s="13" t="n">
        <v>-6.259814</v>
      </c>
    </row>
    <row r="84">
      <c r="A84" t="inlineStr">
        <is>
          <t>Parent equity at balance-sheet date</t>
        </is>
      </c>
      <c r="C84" s="13" t="n">
        <v>888.4189710000001</v>
      </c>
    </row>
    <row r="85">
      <c r="A85" t="inlineStr">
        <is>
          <t>Per-share factor</t>
        </is>
      </c>
      <c r="C85" s="20" t="n">
        <v>1</v>
      </c>
    </row>
    <row r="86">
      <c r="A86" t="inlineStr">
        <is>
          <t>Risk-free rate</t>
        </is>
      </c>
      <c r="C86" s="8">
        <f>Drivers!$C$8</f>
        <v/>
      </c>
    </row>
    <row r="87">
      <c r="A87" t="inlineStr">
        <is>
          <t>Less: default spread (IDR only)</t>
        </is>
      </c>
      <c r="C87" s="8" t="n">
        <v>0</v>
      </c>
    </row>
    <row r="88">
      <c r="A88" t="inlineStr">
        <is>
          <t>Mature ERP + Indonesia CRP</t>
        </is>
      </c>
      <c r="C88" s="8">
        <f>Drivers!$C$10+Drivers!$C$11</f>
        <v/>
      </c>
    </row>
    <row r="89">
      <c r="A89" t="inlineStr">
        <is>
          <t>Tax rate</t>
        </is>
      </c>
      <c r="C89" s="8">
        <f>Drivers!$C$13</f>
        <v/>
      </c>
    </row>
    <row r="90">
      <c r="A90" t="inlineStr">
        <is>
          <t>Unlevered beta (industry default (config))</t>
        </is>
      </c>
      <c r="C90" s="21" t="n">
        <v>0.9</v>
      </c>
    </row>
    <row r="91">
      <c r="A91" t="inlineStr">
        <is>
          <t>Debt / equity (market)</t>
        </is>
      </c>
      <c r="C91" s="21" t="n">
        <v>2</v>
      </c>
    </row>
    <row r="92">
      <c r="A92" t="inlineStr">
        <is>
          <t>Levered beta</t>
        </is>
      </c>
      <c r="C92" s="22">
        <f>$C$90*(1+(1-$C$89)*$C$91)</f>
        <v/>
      </c>
    </row>
    <row r="93">
      <c r="A93" t="inlineStr">
        <is>
          <t>Explicit company premium</t>
        </is>
      </c>
      <c r="C93" s="4" t="n">
        <v>0</v>
      </c>
    </row>
    <row r="94">
      <c r="A94" t="inlineStr">
        <is>
          <t>Cost of equity</t>
        </is>
      </c>
      <c r="C94" s="10">
        <f>$C$86-$C$87+$C$92*$C$88+$C$93</f>
        <v/>
      </c>
    </row>
    <row r="95">
      <c r="A95" t="inlineStr">
        <is>
          <t>Pre-tax cost of debt</t>
        </is>
      </c>
      <c r="C95" s="10">
        <f>$C$86+Drivers!$C$12</f>
        <v/>
      </c>
    </row>
    <row r="96">
      <c r="A96" t="inlineStr">
        <is>
          <t>WACC</t>
        </is>
      </c>
      <c r="C96" s="10">
        <f>1/(1+$C$91)*$C$94+$C$91/(1+$C$91)*$C$95*(1-$C$89)</f>
        <v/>
      </c>
    </row>
    <row r="97">
      <c r="A97" t="inlineStr">
        <is>
          <t>Terminal growth (capped)</t>
        </is>
      </c>
      <c r="C97" s="4" t="n">
        <v>0</v>
      </c>
    </row>
    <row r="99">
      <c r="A99" s="1" t="inlineStr">
        <is>
          <t>Sum of the parts</t>
        </is>
      </c>
    </row>
    <row r="100">
      <c r="A100" t="inlineStr">
        <is>
          <t>Value per share (IDR) — Sum of the parts (engine value)</t>
        </is>
      </c>
      <c r="C100" s="15" t="n">
        <v>2548.279558</v>
      </c>
    </row>
    <row r="102">
      <c r="A102" s="1" t="inlineStr">
        <is>
          <t>P/E</t>
        </is>
      </c>
    </row>
    <row r="103">
      <c r="A103" t="inlineStr">
        <is>
          <t>Target multiple (own five-year average)</t>
        </is>
      </c>
      <c r="C103" s="18" t="n">
        <v>3.77447</v>
      </c>
    </row>
    <row r="104">
      <c r="A104" t="inlineStr">
        <is>
          <t>Metric (LTM, or next-12m DPS for yield)</t>
        </is>
      </c>
      <c r="C104" s="13" t="n">
        <v>70.616317</v>
      </c>
    </row>
    <row r="105">
      <c r="A105" t="inlineStr">
        <is>
          <t>Value per share (IDR) — P/E</t>
        </is>
      </c>
      <c r="C105" s="23">
        <f>MAX(0,$C$103*$C$104/$C$77*$C$85*$C$78)</f>
        <v/>
      </c>
    </row>
    <row r="107">
      <c r="A107" s="1" t="inlineStr">
        <is>
          <t>P/BV</t>
        </is>
      </c>
    </row>
    <row r="108">
      <c r="A108" t="inlineStr">
        <is>
          <t>Target multiple (own five-year average)</t>
        </is>
      </c>
      <c r="C108" s="18" t="n">
        <v>0.775979</v>
      </c>
    </row>
    <row r="109">
      <c r="A109" t="inlineStr">
        <is>
          <t>Metric (LTM, or next-12m DPS for yield)</t>
        </is>
      </c>
      <c r="C109" s="13" t="n">
        <v>888.4189710000001</v>
      </c>
    </row>
    <row r="110">
      <c r="A110" t="inlineStr">
        <is>
          <t>Value per share (IDR) — P/BV</t>
        </is>
      </c>
      <c r="C110" s="23">
        <f>MAX(0,$C$108*$C$109/$C$77*$C$85*$C$78)</f>
        <v/>
      </c>
    </row>
    <row r="112">
      <c r="A112" s="1" t="inlineStr">
        <is>
          <t>TARGET</t>
        </is>
      </c>
    </row>
    <row r="113">
      <c r="A113" t="inlineStr">
        <is>
          <t>Weight: Sum of the parts</t>
        </is>
      </c>
      <c r="C113" s="4" t="n">
        <v>0.6</v>
      </c>
    </row>
    <row r="114">
      <c r="A114" t="inlineStr">
        <is>
          <t>Weight: P/E</t>
        </is>
      </c>
      <c r="C114" s="4" t="n">
        <v>0.25</v>
      </c>
    </row>
    <row r="115">
      <c r="A115" t="inlineStr">
        <is>
          <t>Weight: P/BV</t>
        </is>
      </c>
      <c r="C115" s="4" t="n">
        <v>0.15</v>
      </c>
    </row>
    <row r="116">
      <c r="A116" t="inlineStr">
        <is>
          <t>Value today (weighted)</t>
        </is>
      </c>
      <c r="C116" s="23">
        <f>$C$100*$C$113+$C$105*$C$114+$C$110*$C$115</f>
        <v/>
      </c>
    </row>
    <row r="117">
      <c r="A117" t="inlineStr">
        <is>
          <t>DPS expected in next 12 months (IDR)</t>
        </is>
      </c>
      <c r="C117" s="15" t="n">
        <v>104.7386379957271</v>
      </c>
    </row>
    <row r="118">
      <c r="A118" t="inlineStr">
        <is>
          <t>Base-case 12-month value</t>
        </is>
      </c>
      <c r="C118" s="23">
        <f>MAX(0,$C$116*(1+$C$94)-$C$117)</f>
        <v/>
      </c>
    </row>
    <row r="119">
      <c r="A119" t="inlineStr">
        <is>
          <t>Bear probability</t>
        </is>
      </c>
      <c r="C119" s="4" t="n">
        <v>0.25</v>
      </c>
    </row>
    <row r="120">
      <c r="A120" t="inlineStr">
        <is>
          <t>Bear 12-month value (engine)</t>
        </is>
      </c>
      <c r="C120" s="15" t="n">
        <v>2544.185151487221</v>
      </c>
    </row>
    <row r="121">
      <c r="A121" t="inlineStr">
        <is>
          <t>Base probability</t>
        </is>
      </c>
      <c r="C121" s="4" t="n">
        <v>0.5</v>
      </c>
    </row>
    <row r="122">
      <c r="A122" t="inlineStr">
        <is>
          <t>Bull probability</t>
        </is>
      </c>
      <c r="C122" s="4" t="n">
        <v>0.25</v>
      </c>
    </row>
    <row r="123">
      <c r="A123" t="inlineStr">
        <is>
          <t>Bull 12-month value (engine)</t>
        </is>
      </c>
      <c r="C123" s="15" t="n">
        <v>3635.484841641316</v>
      </c>
    </row>
    <row r="124">
      <c r="A124" t="inlineStr">
        <is>
          <t>Probability-weighted 12-month value</t>
        </is>
      </c>
      <c r="C124" s="23">
        <f>$C$119*$C$120+$C$121*$C$118+$C$122*$C$123</f>
        <v/>
      </c>
    </row>
    <row r="125">
      <c r="A125" t="inlineStr">
        <is>
          <t>Liquidity discount (limits.yaml)</t>
        </is>
      </c>
      <c r="C125" s="4" t="n">
        <v>0.1</v>
      </c>
    </row>
    <row r="126">
      <c r="A126" t="inlineStr">
        <is>
          <t>TARGET PRICE (IDR)</t>
        </is>
      </c>
      <c r="C126" s="24">
        <f>$C$124*(1-$C$125)</f>
        <v/>
      </c>
    </row>
    <row r="127">
      <c r="A127" t="inlineStr">
        <is>
          <t>Expected 12-month total return</t>
        </is>
      </c>
      <c r="C127" s="25">
        <f>($C$126+$C$117)/$C$76-1</f>
        <v/>
      </c>
    </row>
    <row r="128">
      <c r="A128" t="inlineStr">
        <is>
          <t>Rating</t>
        </is>
      </c>
      <c r="C128" s="26">
        <f>IF($C$127&gt;=0.25,"BUY",IF($C$127&gt;=0.1,"ADD",IF($C$127&lt;=-0.25,"SELL",IF($C$127&lt;=-0.1,"REDUCE","HOLD"))))</f>
        <v/>
      </c>
    </row>
    <row r="130">
      <c r="A130" s="1" t="inlineStr">
        <is>
          <t>12-month value vs holding-company discount and cost of equity (engine values)</t>
        </is>
      </c>
    </row>
    <row r="131">
      <c r="A131" s="5" t="inlineStr">
        <is>
          <t>rows: Cost of equity (+/- pp) · columns: Holdco discount (+/- pp)</t>
        </is>
      </c>
      <c r="D131" s="1" t="n">
        <v>-0.1</v>
      </c>
      <c r="E131" s="1" t="n">
        <v>-0.05</v>
      </c>
      <c r="F131" s="1" t="n">
        <v>0</v>
      </c>
      <c r="G131" s="1" t="n">
        <v>0.05</v>
      </c>
      <c r="H131" s="1" t="n">
        <v>0.1</v>
      </c>
    </row>
    <row r="132">
      <c r="C132" s="1" t="n">
        <v>-0.01</v>
      </c>
      <c r="D132" s="23" t="n">
        <v>3604.435016</v>
      </c>
      <c r="E132" s="23" t="n">
        <v>3333.874976</v>
      </c>
      <c r="F132" s="23" t="n">
        <v>3063.314936</v>
      </c>
      <c r="G132" s="23" t="n">
        <v>2792.754896</v>
      </c>
      <c r="H132" s="23" t="n">
        <v>2522.194855</v>
      </c>
    </row>
    <row r="133">
      <c r="C133" s="1" t="n">
        <v>-0.005</v>
      </c>
      <c r="D133" s="23" t="n">
        <v>3619.959929</v>
      </c>
      <c r="E133" s="23" t="n">
        <v>3348.267448</v>
      </c>
      <c r="F133" s="23" t="n">
        <v>3076.574966</v>
      </c>
      <c r="G133" s="23" t="n">
        <v>2804.882485</v>
      </c>
      <c r="H133" s="23" t="n">
        <v>2533.190003</v>
      </c>
    </row>
    <row r="134">
      <c r="C134" s="1" t="n">
        <v>0</v>
      </c>
      <c r="D134" s="23" t="n">
        <v>3635.484842</v>
      </c>
      <c r="E134" s="23" t="n">
        <v>3362.659919</v>
      </c>
      <c r="F134" s="23" t="n">
        <v>3089.834997</v>
      </c>
      <c r="G134" s="23" t="n">
        <v>2817.010074</v>
      </c>
      <c r="H134" s="23" t="n">
        <v>2544.185151</v>
      </c>
    </row>
    <row r="135">
      <c r="C135" s="1" t="n">
        <v>0.005</v>
      </c>
      <c r="D135" s="23" t="n">
        <v>3651.009754</v>
      </c>
      <c r="E135" s="23" t="n">
        <v>3377.052391</v>
      </c>
      <c r="F135" s="23" t="n">
        <v>3103.095027</v>
      </c>
      <c r="G135" s="23" t="n">
        <v>2829.137663</v>
      </c>
      <c r="H135" s="23" t="n">
        <v>2555.180299</v>
      </c>
    </row>
    <row r="136">
      <c r="C136" s="1" t="n">
        <v>0.01</v>
      </c>
      <c r="D136" s="23" t="n">
        <v>3666.534667</v>
      </c>
      <c r="E136" s="23" t="n">
        <v>3391.444862</v>
      </c>
      <c r="F136" s="23" t="n">
        <v>3116.355057</v>
      </c>
      <c r="G136" s="23" t="n">
        <v>2841.265252</v>
      </c>
      <c r="H136" s="23" t="n">
        <v>2566.175447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3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1" t="inlineStr">
        <is>
          <t>PT Alamtri Resources Indonesia Tbk (ADRO.JK) — Conglomerates &amp; multi-sector holdings</t>
        </is>
      </c>
    </row>
    <row r="2">
      <c r="A2" s="5" t="inlineStr">
        <is>
          <t>Units: USD m; per-share in USD unless marked IDR. Model asof 2026-10-29 · data 2026-10-26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  <c r="M4" s="1" t="inlineStr">
        <is>
          <t>FY2031E</t>
        </is>
      </c>
      <c r="N4" s="1" t="inlineStr">
        <is>
          <t>FY2032E</t>
        </is>
      </c>
      <c r="O4" s="1" t="inlineStr">
        <is>
          <t>FY2033E</t>
        </is>
      </c>
      <c r="P4" s="1" t="inlineStr">
        <is>
          <t>FY2034E</t>
        </is>
      </c>
      <c r="Q4" s="1" t="inlineStr">
        <is>
          <t>FY2035E</t>
        </is>
      </c>
    </row>
    <row r="6">
      <c r="A6" s="1" t="inlineStr">
        <is>
          <t>PARAMETERS</t>
        </is>
      </c>
    </row>
    <row r="7">
      <c r="A7" t="inlineStr">
        <is>
          <t>ps_factor</t>
        </is>
      </c>
      <c r="C7" s="12" t="n">
        <v>1</v>
      </c>
    </row>
    <row r="8">
      <c r="A8" t="inlineStr">
        <is>
          <t>vp_factor</t>
        </is>
      </c>
      <c r="C8" s="12" t="n">
        <v>1</v>
      </c>
    </row>
    <row r="10">
      <c r="A10" s="1" t="inlineStr">
        <is>
          <t>INPUTS (company assumptions)</t>
        </is>
      </c>
    </row>
    <row r="11">
      <c r="A11" t="inlineStr">
        <is>
          <t>Revenue growth</t>
        </is>
      </c>
      <c r="B11" t="inlineStr">
        <is>
          <t>a.revenue_growth</t>
        </is>
      </c>
      <c r="H11" s="4" t="n">
        <v>0.1</v>
      </c>
      <c r="I11" s="4" t="n">
        <v>-0.06</v>
      </c>
      <c r="J11" s="4" t="n">
        <v>-0.03</v>
      </c>
      <c r="K11" s="4" t="n">
        <v>-0.02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</row>
    <row r="12">
      <c r="A12" t="inlineStr">
        <is>
          <t>Gross margin at base input costs</t>
        </is>
      </c>
      <c r="B12" t="inlineStr">
        <is>
          <t>a.gross_margin</t>
        </is>
      </c>
      <c r="H12" s="4" t="n">
        <v>0.339852</v>
      </c>
      <c r="I12" s="4" t="n">
        <v>0.339852</v>
      </c>
      <c r="J12" s="4" t="n">
        <v>0.339852</v>
      </c>
      <c r="K12" s="4" t="n">
        <v>0.339852</v>
      </c>
      <c r="L12" s="4" t="n">
        <v>0.339852</v>
      </c>
      <c r="M12" s="4" t="n">
        <v>0.339852</v>
      </c>
      <c r="N12" s="4" t="n">
        <v>0.339852</v>
      </c>
      <c r="O12" s="4" t="n">
        <v>0.339852</v>
      </c>
      <c r="P12" s="4" t="n">
        <v>0.339852</v>
      </c>
      <c r="Q12" s="4" t="n">
        <v>0.339852</v>
      </c>
    </row>
    <row r="13">
      <c r="A13" t="inlineStr">
        <is>
          <t>SG&amp;A / revenue</t>
        </is>
      </c>
      <c r="B13" t="inlineStr">
        <is>
          <t>a.opex_pct</t>
        </is>
      </c>
      <c r="H13" s="4" t="n">
        <v>0.057192</v>
      </c>
      <c r="I13" s="4" t="n">
        <v>0.057192</v>
      </c>
      <c r="J13" s="4" t="n">
        <v>0.057192</v>
      </c>
      <c r="K13" s="4" t="n">
        <v>0.057192</v>
      </c>
      <c r="L13" s="4" t="n">
        <v>0.057192</v>
      </c>
      <c r="M13" s="4" t="n">
        <v>0.057192</v>
      </c>
      <c r="N13" s="4" t="n">
        <v>0.057192</v>
      </c>
      <c r="O13" s="4" t="n">
        <v>0.057192</v>
      </c>
      <c r="P13" s="4" t="n">
        <v>0.057192</v>
      </c>
      <c r="Q13" s="4" t="n">
        <v>0.057192</v>
      </c>
    </row>
    <row r="14">
      <c r="A14" t="inlineStr">
        <is>
          <t>D&amp;A / revenue</t>
        </is>
      </c>
      <c r="B14" t="inlineStr">
        <is>
          <t>a.da_pct</t>
        </is>
      </c>
      <c r="H14" s="4" t="n">
        <v>0.126756</v>
      </c>
      <c r="I14" s="4" t="n">
        <v>0.126756</v>
      </c>
      <c r="J14" s="4" t="n">
        <v>0.126756</v>
      </c>
      <c r="K14" s="4" t="n">
        <v>0.126756</v>
      </c>
      <c r="L14" s="4" t="n">
        <v>0.126756</v>
      </c>
      <c r="M14" s="4" t="n">
        <v>0.126756</v>
      </c>
      <c r="N14" s="4" t="n">
        <v>0.126756</v>
      </c>
      <c r="O14" s="4" t="n">
        <v>0.126756</v>
      </c>
      <c r="P14" s="4" t="n">
        <v>0.126756</v>
      </c>
      <c r="Q14" s="4" t="n">
        <v>0.126756</v>
      </c>
    </row>
    <row r="15">
      <c r="A15" t="inlineStr">
        <is>
          <t>Capex / revenue</t>
        </is>
      </c>
      <c r="B15" t="inlineStr">
        <is>
          <t>a.capex_pct</t>
        </is>
      </c>
      <c r="H15" s="4" t="n">
        <v>0.177</v>
      </c>
      <c r="I15" s="4" t="n">
        <v>0.16</v>
      </c>
      <c r="J15" s="4" t="n">
        <v>0.15</v>
      </c>
      <c r="K15" s="4" t="n">
        <v>0.14</v>
      </c>
      <c r="L15" s="4" t="n">
        <v>0.14</v>
      </c>
      <c r="M15" s="4" t="n">
        <v>0.14</v>
      </c>
      <c r="N15" s="4" t="n">
        <v>0.14</v>
      </c>
      <c r="O15" s="4" t="n">
        <v>0.14</v>
      </c>
      <c r="P15" s="4" t="n">
        <v>0.14</v>
      </c>
      <c r="Q15" s="4" t="n">
        <v>0.14</v>
      </c>
    </row>
    <row r="16">
      <c r="A16" t="inlineStr">
        <is>
          <t>Operating working capital / revenue</t>
        </is>
      </c>
      <c r="B16" t="inlineStr">
        <is>
          <t>a.nwc_pct</t>
        </is>
      </c>
      <c r="H16" s="4" t="n">
        <v>-0.0927</v>
      </c>
      <c r="I16" s="4" t="n">
        <v>-0.0927</v>
      </c>
      <c r="J16" s="4" t="n">
        <v>-0.0927</v>
      </c>
      <c r="K16" s="4" t="n">
        <v>-0.0927</v>
      </c>
      <c r="L16" s="4" t="n">
        <v>-0.0927</v>
      </c>
      <c r="M16" s="4" t="n">
        <v>-0.0927</v>
      </c>
      <c r="N16" s="4" t="n">
        <v>-0.0927</v>
      </c>
      <c r="O16" s="4" t="n">
        <v>-0.0927</v>
      </c>
      <c r="P16" s="4" t="n">
        <v>-0.0927</v>
      </c>
      <c r="Q16" s="4" t="n">
        <v>-0.0927</v>
      </c>
    </row>
    <row r="17">
      <c r="A17" t="inlineStr">
        <is>
          <t>Effective tax rate</t>
        </is>
      </c>
      <c r="B17" t="inlineStr">
        <is>
          <t>a.tax_rate</t>
        </is>
      </c>
      <c r="H17" s="4" t="n">
        <v>0.200202</v>
      </c>
      <c r="I17" s="4" t="n">
        <v>0.200202</v>
      </c>
      <c r="J17" s="4" t="n">
        <v>0.200202</v>
      </c>
      <c r="K17" s="4" t="n">
        <v>0.200202</v>
      </c>
      <c r="L17" s="4" t="n">
        <v>0.200202</v>
      </c>
      <c r="M17" s="4" t="n">
        <v>0.200202</v>
      </c>
      <c r="N17" s="4" t="n">
        <v>0.200202</v>
      </c>
      <c r="O17" s="4" t="n">
        <v>0.200202</v>
      </c>
      <c r="P17" s="4" t="n">
        <v>0.200202</v>
      </c>
      <c r="Q17" s="4" t="n">
        <v>0.200202</v>
      </c>
    </row>
    <row r="18">
      <c r="A18" t="inlineStr">
        <is>
          <t>Cost of debt (on opening debt)</t>
        </is>
      </c>
      <c r="B18" t="inlineStr">
        <is>
          <t>a.cost_of_debt</t>
        </is>
      </c>
      <c r="C18" s="4" t="n">
        <v>0.020375</v>
      </c>
    </row>
    <row r="19">
      <c r="A19" t="inlineStr">
        <is>
          <t>Yield on opening cash</t>
        </is>
      </c>
      <c r="B19" t="inlineStr">
        <is>
          <t>a.cash_yield</t>
        </is>
      </c>
      <c r="C19" s="4" t="n">
        <v>0.047925</v>
      </c>
    </row>
    <row r="20">
      <c r="A20" t="inlineStr">
        <is>
          <t>Net new borrowing</t>
        </is>
      </c>
      <c r="B20" t="inlineStr">
        <is>
          <t>a.net_borrowing</t>
        </is>
      </c>
      <c r="H20" s="13" t="n">
        <v>1118.124</v>
      </c>
      <c r="I20" s="13" t="n">
        <v>150</v>
      </c>
      <c r="J20" s="13" t="n">
        <v>150</v>
      </c>
      <c r="K20" s="13" t="n">
        <v>150</v>
      </c>
      <c r="L20" s="13" t="n">
        <v>150</v>
      </c>
      <c r="M20" s="13" t="n">
        <v>153</v>
      </c>
      <c r="N20" s="13" t="n">
        <v>156.06</v>
      </c>
      <c r="O20" s="13" t="n">
        <v>159.1812</v>
      </c>
      <c r="P20" s="13" t="n">
        <v>162.364824</v>
      </c>
      <c r="Q20" s="13" t="n">
        <v>165.61212048</v>
      </c>
    </row>
    <row r="21">
      <c r="A21" t="inlineStr">
        <is>
          <t>Other non-operating items</t>
        </is>
      </c>
      <c r="B21" t="inlineStr">
        <is>
          <t>a.other_nonop</t>
        </is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</row>
    <row r="22">
      <c r="A22" t="inlineStr">
        <is>
          <t>Minorities' share of net profit</t>
        </is>
      </c>
      <c r="B22" t="inlineStr">
        <is>
          <t>a.minority_pct</t>
        </is>
      </c>
      <c r="H22" s="4" t="n">
        <v>0.086048</v>
      </c>
      <c r="I22" s="4" t="n">
        <v>0.086048</v>
      </c>
      <c r="J22" s="4" t="n">
        <v>0.086048</v>
      </c>
      <c r="K22" s="4" t="n">
        <v>0.086048</v>
      </c>
      <c r="L22" s="4" t="n">
        <v>0.086048</v>
      </c>
      <c r="M22" s="4" t="n">
        <v>0.086048</v>
      </c>
      <c r="N22" s="4" t="n">
        <v>0.086048</v>
      </c>
      <c r="O22" s="4" t="n">
        <v>0.086048</v>
      </c>
      <c r="P22" s="4" t="n">
        <v>0.086048</v>
      </c>
      <c r="Q22" s="4" t="n">
        <v>0.086048</v>
      </c>
    </row>
    <row r="23">
      <c r="A23" t="inlineStr">
        <is>
          <t>Dividend payout</t>
        </is>
      </c>
      <c r="B23" t="inlineStr">
        <is>
          <t>a.payout</t>
        </is>
      </c>
      <c r="H23" s="4" t="n">
        <v>0.9996</v>
      </c>
      <c r="I23" s="4" t="n">
        <v>0.8</v>
      </c>
      <c r="J23" s="4" t="n">
        <v>0.7</v>
      </c>
      <c r="K23" s="4" t="n">
        <v>0.6</v>
      </c>
      <c r="L23" s="4" t="n">
        <v>0.6</v>
      </c>
      <c r="M23" s="4" t="n">
        <v>0.6</v>
      </c>
      <c r="N23" s="4" t="n">
        <v>0.6</v>
      </c>
      <c r="O23" s="4" t="n">
        <v>0.6</v>
      </c>
      <c r="P23" s="4" t="n">
        <v>0.6</v>
      </c>
      <c r="Q23" s="4" t="n">
        <v>0.6</v>
      </c>
    </row>
    <row r="24">
      <c r="A24" t="inlineStr">
        <is>
          <t>Change in share count</t>
        </is>
      </c>
      <c r="B24" t="inlineStr">
        <is>
          <t>a.share_change</t>
        </is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</row>
    <row r="25">
      <c r="A25" t="inlineStr">
        <is>
          <t>Terminal growth (DCF)</t>
        </is>
      </c>
      <c r="B25" t="inlineStr">
        <is>
          <t>a.terminal_growth</t>
        </is>
      </c>
      <c r="C25" s="4" t="n">
        <v>0.02</v>
      </c>
    </row>
    <row r="26">
      <c r="A26" t="inlineStr">
        <is>
          <t>Holding-company discount to SOTP</t>
        </is>
      </c>
      <c r="B26" t="inlineStr">
        <is>
          <t>a.holdco_discount</t>
        </is>
      </c>
      <c r="C26" s="4" t="n">
        <v>0.3</v>
      </c>
    </row>
    <row r="28">
      <c r="A28" s="1" t="inlineStr">
        <is>
          <t>MODEL</t>
        </is>
      </c>
    </row>
    <row r="29">
      <c r="A29" t="inlineStr">
        <is>
          <t>Revenue</t>
        </is>
      </c>
      <c r="B29" t="inlineStr">
        <is>
          <t>revenue</t>
        </is>
      </c>
      <c r="D29" s="13" t="n">
        <v>8102.399</v>
      </c>
      <c r="E29" s="13" t="n">
        <v>2135.412</v>
      </c>
      <c r="F29" s="13" t="n">
        <v>2078.689</v>
      </c>
      <c r="G29" s="13" t="n">
        <v>1874</v>
      </c>
      <c r="H29" s="14">
        <f>(G29*(1+H11))</f>
        <v/>
      </c>
      <c r="I29" s="14">
        <f>(H29*(1+I11))</f>
        <v/>
      </c>
      <c r="J29" s="14">
        <f>(I29*(1+J11))</f>
        <v/>
      </c>
      <c r="K29" s="14">
        <f>(J29*(1+K11))</f>
        <v/>
      </c>
      <c r="L29" s="14">
        <f>(K29*(1+L11))</f>
        <v/>
      </c>
      <c r="M29" s="14">
        <f>(L29*(1+M11))</f>
        <v/>
      </c>
      <c r="N29" s="14">
        <f>(M29*(1+N11))</f>
        <v/>
      </c>
      <c r="O29" s="14">
        <f>(N29*(1+O11))</f>
        <v/>
      </c>
      <c r="P29" s="14">
        <f>(O29*(1+P11))</f>
        <v/>
      </c>
      <c r="Q29" s="14">
        <f>(P29*(1+Q11))</f>
        <v/>
      </c>
    </row>
    <row r="30">
      <c r="A30" t="inlineStr">
        <is>
          <t>Cost of revenue</t>
        </is>
      </c>
      <c r="B30" t="inlineStr">
        <is>
          <t>cogs</t>
        </is>
      </c>
      <c r="D30" s="13" t="n">
        <v>3449.427</v>
      </c>
      <c r="E30" s="13" t="n">
        <v>1267.731</v>
      </c>
      <c r="F30" s="13" t="n">
        <v>1204.69</v>
      </c>
      <c r="G30" s="13" t="n">
        <v>1236.892</v>
      </c>
      <c r="H30" s="14">
        <f>(H29*(1-H12))</f>
        <v/>
      </c>
      <c r="I30" s="14">
        <f>(I29*(1-I12))</f>
        <v/>
      </c>
      <c r="J30" s="14">
        <f>(J29*(1-J12))</f>
        <v/>
      </c>
      <c r="K30" s="14">
        <f>(K29*(1-K12))</f>
        <v/>
      </c>
      <c r="L30" s="14">
        <f>(L29*(1-L12))</f>
        <v/>
      </c>
      <c r="M30" s="14">
        <f>(M29*(1-M12))</f>
        <v/>
      </c>
      <c r="N30" s="14">
        <f>(N29*(1-N12))</f>
        <v/>
      </c>
      <c r="O30" s="14">
        <f>(O29*(1-O12))</f>
        <v/>
      </c>
      <c r="P30" s="14">
        <f>(P29*(1-P12))</f>
        <v/>
      </c>
      <c r="Q30" s="14">
        <f>(Q29*(1-Q12))</f>
        <v/>
      </c>
    </row>
    <row r="31">
      <c r="A31" t="inlineStr">
        <is>
          <t>Gross profit</t>
        </is>
      </c>
      <c r="B31" t="inlineStr">
        <is>
          <t>gross_profit</t>
        </is>
      </c>
      <c r="D31" s="13" t="n">
        <v>4652.972</v>
      </c>
      <c r="E31" s="13" t="n">
        <v>867.681</v>
      </c>
      <c r="F31" s="13" t="n">
        <v>873.999</v>
      </c>
      <c r="G31" s="13" t="n">
        <v>636.636</v>
      </c>
      <c r="H31" s="14">
        <f>(H29-H30)</f>
        <v/>
      </c>
      <c r="I31" s="14">
        <f>(I29-I30)</f>
        <v/>
      </c>
      <c r="J31" s="14">
        <f>(J29-J30)</f>
        <v/>
      </c>
      <c r="K31" s="14">
        <f>(K29-K30)</f>
        <v/>
      </c>
      <c r="L31" s="14">
        <f>(L29-L30)</f>
        <v/>
      </c>
      <c r="M31" s="14">
        <f>(M29-M30)</f>
        <v/>
      </c>
      <c r="N31" s="14">
        <f>(N29-N30)</f>
        <v/>
      </c>
      <c r="O31" s="14">
        <f>(O29-O30)</f>
        <v/>
      </c>
      <c r="P31" s="14">
        <f>(P29-P30)</f>
        <v/>
      </c>
      <c r="Q31" s="14">
        <f>(Q29-Q30)</f>
        <v/>
      </c>
    </row>
    <row r="32">
      <c r="A32" t="inlineStr">
        <is>
          <t>SG&amp;A and other opex</t>
        </is>
      </c>
      <c r="B32" t="inlineStr">
        <is>
          <t>opex</t>
        </is>
      </c>
      <c r="D32" s="13" t="n">
        <v>375.9740000000002</v>
      </c>
      <c r="E32" s="13" t="n">
        <v>93.94500000000005</v>
      </c>
      <c r="F32" s="13" t="n">
        <v>140.357</v>
      </c>
      <c r="G32" s="13" t="n">
        <v>107.149</v>
      </c>
      <c r="H32" s="14">
        <f>(H29*H13)</f>
        <v/>
      </c>
      <c r="I32" s="14">
        <f>(I29*I13)</f>
        <v/>
      </c>
      <c r="J32" s="14">
        <f>(J29*J13)</f>
        <v/>
      </c>
      <c r="K32" s="14">
        <f>(K29*K13)</f>
        <v/>
      </c>
      <c r="L32" s="14">
        <f>(L29*L13)</f>
        <v/>
      </c>
      <c r="M32" s="14">
        <f>(M29*M13)</f>
        <v/>
      </c>
      <c r="N32" s="14">
        <f>(N29*N13)</f>
        <v/>
      </c>
      <c r="O32" s="14">
        <f>(O29*O13)</f>
        <v/>
      </c>
      <c r="P32" s="14">
        <f>(P29*P13)</f>
        <v/>
      </c>
      <c r="Q32" s="14">
        <f>(Q29*Q13)</f>
        <v/>
      </c>
    </row>
    <row r="33">
      <c r="A33" t="inlineStr">
        <is>
          <t>EBIT</t>
        </is>
      </c>
      <c r="B33" t="inlineStr">
        <is>
          <t>ebit</t>
        </is>
      </c>
      <c r="D33" s="13" t="n">
        <v>4276.998</v>
      </c>
      <c r="E33" s="13" t="n">
        <v>773.736</v>
      </c>
      <c r="F33" s="13" t="n">
        <v>733.6420000000001</v>
      </c>
      <c r="G33" s="13" t="n">
        <v>529.487</v>
      </c>
      <c r="H33" s="14">
        <f>(H31-H32)</f>
        <v/>
      </c>
      <c r="I33" s="14">
        <f>(I31-I32)</f>
        <v/>
      </c>
      <c r="J33" s="14">
        <f>(J31-J32)</f>
        <v/>
      </c>
      <c r="K33" s="14">
        <f>(K31-K32)</f>
        <v/>
      </c>
      <c r="L33" s="14">
        <f>(L31-L32)</f>
        <v/>
      </c>
      <c r="M33" s="14">
        <f>(M31-M32)</f>
        <v/>
      </c>
      <c r="N33" s="14">
        <f>(N31-N32)</f>
        <v/>
      </c>
      <c r="O33" s="14">
        <f>(O31-O32)</f>
        <v/>
      </c>
      <c r="P33" s="14">
        <f>(P31-P32)</f>
        <v/>
      </c>
      <c r="Q33" s="14">
        <f>(Q31-Q32)</f>
        <v/>
      </c>
    </row>
    <row r="34">
      <c r="A34" t="inlineStr">
        <is>
          <t>Depreciation &amp; amortisation</t>
        </is>
      </c>
      <c r="B34" t="inlineStr">
        <is>
          <t>da</t>
        </is>
      </c>
      <c r="D34" s="13" t="n">
        <v>6.847</v>
      </c>
      <c r="E34" s="13" t="n">
        <v>4.893</v>
      </c>
      <c r="F34" s="13" t="n">
        <v>210.763</v>
      </c>
      <c r="G34" s="13" t="n">
        <v>237.474</v>
      </c>
      <c r="H34" s="14">
        <f>(H29*H14)</f>
        <v/>
      </c>
      <c r="I34" s="14">
        <f>(I29*I14)</f>
        <v/>
      </c>
      <c r="J34" s="14">
        <f>(J29*J14)</f>
        <v/>
      </c>
      <c r="K34" s="14">
        <f>(K29*K14)</f>
        <v/>
      </c>
      <c r="L34" s="14">
        <f>(L29*L14)</f>
        <v/>
      </c>
      <c r="M34" s="14">
        <f>(M29*M14)</f>
        <v/>
      </c>
      <c r="N34" s="14">
        <f>(N29*N14)</f>
        <v/>
      </c>
      <c r="O34" s="14">
        <f>(O29*O14)</f>
        <v/>
      </c>
      <c r="P34" s="14">
        <f>(P29*P14)</f>
        <v/>
      </c>
      <c r="Q34" s="14">
        <f>(Q29*Q14)</f>
        <v/>
      </c>
    </row>
    <row r="35">
      <c r="A35" t="inlineStr">
        <is>
          <t>EBITDA</t>
        </is>
      </c>
      <c r="B35" t="inlineStr">
        <is>
          <t>ebitda</t>
        </is>
      </c>
      <c r="D35" s="13" t="n">
        <v>4283.844999999999</v>
      </c>
      <c r="E35" s="13" t="n">
        <v>778.629</v>
      </c>
      <c r="F35" s="13" t="n">
        <v>944.4050000000001</v>
      </c>
      <c r="G35" s="13" t="n">
        <v>766.961</v>
      </c>
      <c r="H35" s="14">
        <f>(H33+H34)</f>
        <v/>
      </c>
      <c r="I35" s="14">
        <f>(I33+I34)</f>
        <v/>
      </c>
      <c r="J35" s="14">
        <f>(J33+J34)</f>
        <v/>
      </c>
      <c r="K35" s="14">
        <f>(K33+K34)</f>
        <v/>
      </c>
      <c r="L35" s="14">
        <f>(L33+L34)</f>
        <v/>
      </c>
      <c r="M35" s="14">
        <f>(M33+M34)</f>
        <v/>
      </c>
      <c r="N35" s="14">
        <f>(N33+N34)</f>
        <v/>
      </c>
      <c r="O35" s="14">
        <f>(O33+O34)</f>
        <v/>
      </c>
      <c r="P35" s="14">
        <f>(P33+P34)</f>
        <v/>
      </c>
      <c r="Q35" s="14">
        <f>(Q33+Q34)</f>
        <v/>
      </c>
    </row>
    <row r="36">
      <c r="A36" t="inlineStr">
        <is>
          <t>Interest expense</t>
        </is>
      </c>
      <c r="B36" t="inlineStr">
        <is>
          <t>interest_expense</t>
        </is>
      </c>
      <c r="D36" s="13" t="n">
        <v>74.744</v>
      </c>
      <c r="E36" s="13" t="n">
        <v>60.059</v>
      </c>
      <c r="F36" s="13" t="n">
        <v>43.773</v>
      </c>
      <c r="G36" s="13" t="n">
        <v>11.814</v>
      </c>
      <c r="H36" s="14">
        <f>(G56*$C$18)</f>
        <v/>
      </c>
      <c r="I36" s="14">
        <f>(H56*$C$18)</f>
        <v/>
      </c>
      <c r="J36" s="14">
        <f>(I56*$C$18)</f>
        <v/>
      </c>
      <c r="K36" s="14">
        <f>(J56*$C$18)</f>
        <v/>
      </c>
      <c r="L36" s="14">
        <f>(K56*$C$18)</f>
        <v/>
      </c>
      <c r="M36" s="14">
        <f>(L56*$C$18)</f>
        <v/>
      </c>
      <c r="N36" s="14">
        <f>(M56*$C$18)</f>
        <v/>
      </c>
      <c r="O36" s="14">
        <f>(N56*$C$18)</f>
        <v/>
      </c>
      <c r="P36" s="14">
        <f>(O56*$C$18)</f>
        <v/>
      </c>
      <c r="Q36" s="14">
        <f>(P56*$C$18)</f>
        <v/>
      </c>
    </row>
    <row r="37">
      <c r="A37" t="inlineStr">
        <is>
          <t>Interest income</t>
        </is>
      </c>
      <c r="B37" t="inlineStr">
        <is>
          <t>interest_income</t>
        </is>
      </c>
      <c r="D37" s="13" t="n">
        <v>47.397</v>
      </c>
      <c r="E37" s="13" t="n">
        <v>65.965</v>
      </c>
      <c r="F37" s="13" t="n">
        <v>118.218</v>
      </c>
      <c r="G37" s="13" t="n">
        <v>97.461</v>
      </c>
      <c r="H37" s="14">
        <f>(G55*$C$19)</f>
        <v/>
      </c>
      <c r="I37" s="14">
        <f>(H55*$C$19)</f>
        <v/>
      </c>
      <c r="J37" s="14">
        <f>(I55*$C$19)</f>
        <v/>
      </c>
      <c r="K37" s="14">
        <f>(J55*$C$19)</f>
        <v/>
      </c>
      <c r="L37" s="14">
        <f>(K55*$C$19)</f>
        <v/>
      </c>
      <c r="M37" s="14">
        <f>(L55*$C$19)</f>
        <v/>
      </c>
      <c r="N37" s="14">
        <f>(M55*$C$19)</f>
        <v/>
      </c>
      <c r="O37" s="14">
        <f>(N55*$C$19)</f>
        <v/>
      </c>
      <c r="P37" s="14">
        <f>(O55*$C$19)</f>
        <v/>
      </c>
      <c r="Q37" s="14">
        <f>(P55*$C$19)</f>
        <v/>
      </c>
    </row>
    <row r="38">
      <c r="A38" t="inlineStr">
        <is>
          <t>Other non-operating</t>
        </is>
      </c>
      <c r="B38" t="inlineStr">
        <is>
          <t>other_nonop</t>
        </is>
      </c>
      <c r="D38" s="13" t="n">
        <v>226.5680000000005</v>
      </c>
      <c r="E38" s="13" t="n">
        <v>38.94599999999997</v>
      </c>
      <c r="F38" s="13" t="n">
        <v>1.73299999999999</v>
      </c>
      <c r="G38" s="13" t="n">
        <v>-2.672999999999959</v>
      </c>
      <c r="H38" s="14">
        <f>H21</f>
        <v/>
      </c>
      <c r="I38" s="14">
        <f>I21</f>
        <v/>
      </c>
      <c r="J38" s="14">
        <f>J21</f>
        <v/>
      </c>
      <c r="K38" s="14">
        <f>K21</f>
        <v/>
      </c>
      <c r="L38" s="14">
        <f>L21</f>
        <v/>
      </c>
      <c r="M38" s="14">
        <f>M21</f>
        <v/>
      </c>
      <c r="N38" s="14">
        <f>N21</f>
        <v/>
      </c>
      <c r="O38" s="14">
        <f>O21</f>
        <v/>
      </c>
      <c r="P38" s="14">
        <f>P21</f>
        <v/>
      </c>
      <c r="Q38" s="14">
        <f>Q21</f>
        <v/>
      </c>
    </row>
    <row r="39">
      <c r="A39" t="inlineStr">
        <is>
          <t>Profit before tax</t>
        </is>
      </c>
      <c r="B39" t="inlineStr">
        <is>
          <t>pbt</t>
        </is>
      </c>
      <c r="D39" s="13" t="n">
        <v>4476.219</v>
      </c>
      <c r="E39" s="13" t="n">
        <v>818.588</v>
      </c>
      <c r="F39" s="13" t="n">
        <v>809.8200000000001</v>
      </c>
      <c r="G39" s="13" t="n">
        <v>612.461</v>
      </c>
      <c r="H39" s="14">
        <f>(((H33-H36)+H37)+H38)</f>
        <v/>
      </c>
      <c r="I39" s="14">
        <f>(((I33-I36)+I37)+I38)</f>
        <v/>
      </c>
      <c r="J39" s="14">
        <f>(((J33-J36)+J37)+J38)</f>
        <v/>
      </c>
      <c r="K39" s="14">
        <f>(((K33-K36)+K37)+K38)</f>
        <v/>
      </c>
      <c r="L39" s="14">
        <f>(((L33-L36)+L37)+L38)</f>
        <v/>
      </c>
      <c r="M39" s="14">
        <f>(((M33-M36)+M37)+M38)</f>
        <v/>
      </c>
      <c r="N39" s="14">
        <f>(((N33-N36)+N37)+N38)</f>
        <v/>
      </c>
      <c r="O39" s="14">
        <f>(((O33-O36)+O37)+O38)</f>
        <v/>
      </c>
      <c r="P39" s="14">
        <f>(((P33-P36)+P37)+P38)</f>
        <v/>
      </c>
      <c r="Q39" s="14">
        <f>(((Q33-Q36)+Q37)+Q38)</f>
        <v/>
      </c>
    </row>
    <row r="40">
      <c r="A40" t="inlineStr">
        <is>
          <t>Tax</t>
        </is>
      </c>
      <c r="B40" t="inlineStr">
        <is>
          <t>tax</t>
        </is>
      </c>
      <c r="D40" s="13" t="n">
        <v>1645.096</v>
      </c>
      <c r="E40" s="13" t="n">
        <v>165.282</v>
      </c>
      <c r="F40" s="13" t="n">
        <v>172.336</v>
      </c>
      <c r="G40" s="13" t="n">
        <v>122.616</v>
      </c>
      <c r="H40" s="14">
        <f>(MAX(H39,0)*H17)</f>
        <v/>
      </c>
      <c r="I40" s="14">
        <f>(MAX(I39,0)*I17)</f>
        <v/>
      </c>
      <c r="J40" s="14">
        <f>(MAX(J39,0)*J17)</f>
        <v/>
      </c>
      <c r="K40" s="14">
        <f>(MAX(K39,0)*K17)</f>
        <v/>
      </c>
      <c r="L40" s="14">
        <f>(MAX(L39,0)*L17)</f>
        <v/>
      </c>
      <c r="M40" s="14">
        <f>(MAX(M39,0)*M17)</f>
        <v/>
      </c>
      <c r="N40" s="14">
        <f>(MAX(N39,0)*N17)</f>
        <v/>
      </c>
      <c r="O40" s="14">
        <f>(MAX(O39,0)*O17)</f>
        <v/>
      </c>
      <c r="P40" s="14">
        <f>(MAX(P39,0)*P17)</f>
        <v/>
      </c>
      <c r="Q40" s="14">
        <f>(MAX(Q39,0)*Q17)</f>
        <v/>
      </c>
    </row>
    <row r="41">
      <c r="A41" t="inlineStr">
        <is>
          <t>Net profit (incl. minorities)</t>
        </is>
      </c>
      <c r="B41" t="inlineStr">
        <is>
          <t>np</t>
        </is>
      </c>
      <c r="D41" s="13" t="n">
        <v>2831.123</v>
      </c>
      <c r="E41" s="13" t="n">
        <v>1854.878</v>
      </c>
      <c r="F41" s="13" t="n">
        <v>1556.132</v>
      </c>
      <c r="G41" s="13" t="n">
        <v>489.845</v>
      </c>
      <c r="H41" s="14">
        <f>(H39-H40)</f>
        <v/>
      </c>
      <c r="I41" s="14">
        <f>(I39-I40)</f>
        <v/>
      </c>
      <c r="J41" s="14">
        <f>(J39-J40)</f>
        <v/>
      </c>
      <c r="K41" s="14">
        <f>(K39-K40)</f>
        <v/>
      </c>
      <c r="L41" s="14">
        <f>(L39-L40)</f>
        <v/>
      </c>
      <c r="M41" s="14">
        <f>(M39-M40)</f>
        <v/>
      </c>
      <c r="N41" s="14">
        <f>(N39-N40)</f>
        <v/>
      </c>
      <c r="O41" s="14">
        <f>(O39-O40)</f>
        <v/>
      </c>
      <c r="P41" s="14">
        <f>(P39-P40)</f>
        <v/>
      </c>
      <c r="Q41" s="14">
        <f>(Q39-Q40)</f>
        <v/>
      </c>
    </row>
    <row r="42">
      <c r="A42" t="inlineStr">
        <is>
          <t>Minority interests</t>
        </is>
      </c>
      <c r="B42" t="inlineStr">
        <is>
          <t>minority</t>
        </is>
      </c>
      <c r="D42" s="13" t="n">
        <v>338.0430000000001</v>
      </c>
      <c r="E42" s="13" t="n">
        <v>213.441</v>
      </c>
      <c r="F42" s="13" t="n">
        <v>176.1190000000001</v>
      </c>
      <c r="G42" s="13" t="n">
        <v>42.15100000000001</v>
      </c>
      <c r="H42" s="14">
        <f>(H41*H22)</f>
        <v/>
      </c>
      <c r="I42" s="14">
        <f>(I41*I22)</f>
        <v/>
      </c>
      <c r="J42" s="14">
        <f>(J41*J22)</f>
        <v/>
      </c>
      <c r="K42" s="14">
        <f>(K41*K22)</f>
        <v/>
      </c>
      <c r="L42" s="14">
        <f>(L41*L22)</f>
        <v/>
      </c>
      <c r="M42" s="14">
        <f>(M41*M22)</f>
        <v/>
      </c>
      <c r="N42" s="14">
        <f>(N41*N22)</f>
        <v/>
      </c>
      <c r="O42" s="14">
        <f>(O41*O22)</f>
        <v/>
      </c>
      <c r="P42" s="14">
        <f>(P41*P22)</f>
        <v/>
      </c>
      <c r="Q42" s="14">
        <f>(Q41*Q22)</f>
        <v/>
      </c>
    </row>
    <row r="43">
      <c r="A43" t="inlineStr">
        <is>
          <t>Net profit to parent</t>
        </is>
      </c>
      <c r="B43" t="inlineStr">
        <is>
          <t>np_parent</t>
        </is>
      </c>
      <c r="D43" s="13" t="n">
        <v>2493.08</v>
      </c>
      <c r="E43" s="13" t="n">
        <v>1641.437</v>
      </c>
      <c r="F43" s="13" t="n">
        <v>1380.013</v>
      </c>
      <c r="G43" s="13" t="n">
        <v>447.69422</v>
      </c>
      <c r="H43" s="14">
        <f>(H41-H42)</f>
        <v/>
      </c>
      <c r="I43" s="14">
        <f>(I41-I42)</f>
        <v/>
      </c>
      <c r="J43" s="14">
        <f>(J41-J42)</f>
        <v/>
      </c>
      <c r="K43" s="14">
        <f>(K41-K42)</f>
        <v/>
      </c>
      <c r="L43" s="14">
        <f>(L41-L42)</f>
        <v/>
      </c>
      <c r="M43" s="14">
        <f>(M41-M42)</f>
        <v/>
      </c>
      <c r="N43" s="14">
        <f>(N41-N42)</f>
        <v/>
      </c>
      <c r="O43" s="14">
        <f>(O41-O42)</f>
        <v/>
      </c>
      <c r="P43" s="14">
        <f>(P41-P42)</f>
        <v/>
      </c>
      <c r="Q43" s="14">
        <f>(Q41-Q42)</f>
        <v/>
      </c>
    </row>
    <row r="44">
      <c r="A44" t="inlineStr">
        <is>
          <t>Shares outstanding (m)</t>
        </is>
      </c>
      <c r="B44" t="inlineStr">
        <is>
          <t>shares</t>
        </is>
      </c>
      <c r="D44" s="13" t="n">
        <v>30985.962</v>
      </c>
      <c r="E44" s="13" t="n">
        <v>30881.2059</v>
      </c>
      <c r="F44" s="13" t="n">
        <v>30244.9184</v>
      </c>
      <c r="G44" s="13" t="n">
        <v>28800.4942</v>
      </c>
      <c r="H44" s="14">
        <f>(G44*(1+H24))</f>
        <v/>
      </c>
      <c r="I44" s="14">
        <f>(H44*(1+I24))</f>
        <v/>
      </c>
      <c r="J44" s="14">
        <f>(I44*(1+J24))</f>
        <v/>
      </c>
      <c r="K44" s="14">
        <f>(J44*(1+K24))</f>
        <v/>
      </c>
      <c r="L44" s="14">
        <f>(K44*(1+L24))</f>
        <v/>
      </c>
      <c r="M44" s="14">
        <f>(L44*(1+M24))</f>
        <v/>
      </c>
      <c r="N44" s="14">
        <f>(M44*(1+N24))</f>
        <v/>
      </c>
      <c r="O44" s="14">
        <f>(N44*(1+O24))</f>
        <v/>
      </c>
      <c r="P44" s="14">
        <f>(O44*(1+P24))</f>
        <v/>
      </c>
      <c r="Q44" s="14">
        <f>(P44*(1+Q24))</f>
        <v/>
      </c>
    </row>
    <row r="45">
      <c r="A45" t="inlineStr">
        <is>
          <t>EPS</t>
        </is>
      </c>
      <c r="B45" t="inlineStr">
        <is>
          <t>eps</t>
        </is>
      </c>
      <c r="D45" s="15" t="n">
        <v>0.08045837014839172</v>
      </c>
      <c r="E45" s="15" t="n">
        <v>0.05315326756718396</v>
      </c>
      <c r="F45" s="15" t="n">
        <v>0.04562792935159646</v>
      </c>
      <c r="G45" s="15" t="n">
        <v>0.01554467145220029</v>
      </c>
      <c r="H45" s="16">
        <f>(IF(H44=0,0,H43/H44)*$C$7)</f>
        <v/>
      </c>
      <c r="I45" s="16">
        <f>(IF(I44=0,0,I43/I44)*$C$7)</f>
        <v/>
      </c>
      <c r="J45" s="16">
        <f>(IF(J44=0,0,J43/J44)*$C$7)</f>
        <v/>
      </c>
      <c r="K45" s="16">
        <f>(IF(K44=0,0,K43/K44)*$C$7)</f>
        <v/>
      </c>
      <c r="L45" s="16">
        <f>(IF(L44=0,0,L43/L44)*$C$7)</f>
        <v/>
      </c>
      <c r="M45" s="16">
        <f>(IF(M44=0,0,M43/M44)*$C$7)</f>
        <v/>
      </c>
      <c r="N45" s="16">
        <f>(IF(N44=0,0,N43/N44)*$C$7)</f>
        <v/>
      </c>
      <c r="O45" s="16">
        <f>(IF(O44=0,0,O43/O44)*$C$7)</f>
        <v/>
      </c>
      <c r="P45" s="16">
        <f>(IF(P44=0,0,P43/P44)*$C$7)</f>
        <v/>
      </c>
      <c r="Q45" s="16">
        <f>(IF(Q44=0,0,Q43/Q44)*$C$7)</f>
        <v/>
      </c>
    </row>
    <row r="46">
      <c r="A46" t="inlineStr">
        <is>
          <t>DPS (declared on the year)</t>
        </is>
      </c>
      <c r="B46" t="inlineStr">
        <is>
          <t>dps</t>
        </is>
      </c>
      <c r="D46" s="15" t="n">
        <v>0.04583207099617164</v>
      </c>
      <c r="E46" s="15" t="n">
        <v>0.1053209352514923</v>
      </c>
      <c r="F46" s="15" t="n">
        <v>0.01684</v>
      </c>
      <c r="G46" s="15" t="n">
        <v>0.01553</v>
      </c>
      <c r="H46" s="16">
        <f>(MAX(H45,0)*H23)</f>
        <v/>
      </c>
      <c r="I46" s="16">
        <f>(MAX(I45,0)*I23)</f>
        <v/>
      </c>
      <c r="J46" s="16">
        <f>(MAX(J45,0)*J23)</f>
        <v/>
      </c>
      <c r="K46" s="16">
        <f>(MAX(K45,0)*K23)</f>
        <v/>
      </c>
      <c r="L46" s="16">
        <f>(MAX(L45,0)*L23)</f>
        <v/>
      </c>
      <c r="M46" s="16">
        <f>(MAX(M45,0)*M23)</f>
        <v/>
      </c>
      <c r="N46" s="16">
        <f>(MAX(N45,0)*N23)</f>
        <v/>
      </c>
      <c r="O46" s="16">
        <f>(MAX(O45,0)*O23)</f>
        <v/>
      </c>
      <c r="P46" s="16">
        <f>(MAX(P45,0)*P23)</f>
        <v/>
      </c>
      <c r="Q46" s="16">
        <f>(MAX(Q45,0)*Q23)</f>
        <v/>
      </c>
    </row>
    <row r="47">
      <c r="A47" t="inlineStr">
        <is>
          <t>Dividends paid</t>
        </is>
      </c>
      <c r="B47" t="inlineStr">
        <is>
          <t>dividends_paid</t>
        </is>
      </c>
      <c r="D47" s="13" t="n">
        <v>650</v>
      </c>
      <c r="E47" s="13" t="n">
        <v>1000</v>
      </c>
      <c r="F47" s="13" t="n">
        <v>3429.396</v>
      </c>
      <c r="G47" s="13" t="n">
        <v>447.5</v>
      </c>
      <c r="H47" s="14">
        <f>IF($C$7=0,0,(G46*G44)/$C$7)</f>
        <v/>
      </c>
      <c r="I47" s="14">
        <f>IF($C$7=0,0,(H46*H44)/$C$7)</f>
        <v/>
      </c>
      <c r="J47" s="14">
        <f>IF($C$7=0,0,(I46*I44)/$C$7)</f>
        <v/>
      </c>
      <c r="K47" s="14">
        <f>IF($C$7=0,0,(J46*J44)/$C$7)</f>
        <v/>
      </c>
      <c r="L47" s="14">
        <f>IF($C$7=0,0,(K46*K44)/$C$7)</f>
        <v/>
      </c>
      <c r="M47" s="14">
        <f>IF($C$7=0,0,(L46*L44)/$C$7)</f>
        <v/>
      </c>
      <c r="N47" s="14">
        <f>IF($C$7=0,0,(M46*M44)/$C$7)</f>
        <v/>
      </c>
      <c r="O47" s="14">
        <f>IF($C$7=0,0,(N46*N44)/$C$7)</f>
        <v/>
      </c>
      <c r="P47" s="14">
        <f>IF($C$7=0,0,(O46*O44)/$C$7)</f>
        <v/>
      </c>
      <c r="Q47" s="14">
        <f>IF($C$7=0,0,(P46*P44)/$C$7)</f>
        <v/>
      </c>
    </row>
    <row r="48">
      <c r="A48" t="inlineStr">
        <is>
          <t>Capital expenditure</t>
        </is>
      </c>
      <c r="B48" t="inlineStr">
        <is>
          <t>capex</t>
        </is>
      </c>
      <c r="D48" s="13" t="n">
        <v>403.609</v>
      </c>
      <c r="E48" s="13" t="n">
        <v>587.773</v>
      </c>
      <c r="F48" s="13" t="n">
        <v>837.466</v>
      </c>
      <c r="G48" s="13" t="n">
        <v>797</v>
      </c>
      <c r="H48" s="14">
        <f>(H29*H15)</f>
        <v/>
      </c>
      <c r="I48" s="14">
        <f>(I29*I15)</f>
        <v/>
      </c>
      <c r="J48" s="14">
        <f>(J29*J15)</f>
        <v/>
      </c>
      <c r="K48" s="14">
        <f>(K29*K15)</f>
        <v/>
      </c>
      <c r="L48" s="14">
        <f>(L29*L15)</f>
        <v/>
      </c>
      <c r="M48" s="14">
        <f>(M29*M15)</f>
        <v/>
      </c>
      <c r="N48" s="14">
        <f>(N29*N15)</f>
        <v/>
      </c>
      <c r="O48" s="14">
        <f>(O29*O15)</f>
        <v/>
      </c>
      <c r="P48" s="14">
        <f>(P29*P15)</f>
        <v/>
      </c>
      <c r="Q48" s="14">
        <f>(Q29*Q15)</f>
        <v/>
      </c>
    </row>
    <row r="49">
      <c r="A49" t="inlineStr">
        <is>
          <t>Change in working capital</t>
        </is>
      </c>
      <c r="B49" t="inlineStr">
        <is>
          <t>delta_nwc</t>
        </is>
      </c>
      <c r="D49" s="13" t="n"/>
      <c r="E49" s="13" t="n">
        <v>880.8450000000003</v>
      </c>
      <c r="F49" s="13" t="n">
        <v>227.434</v>
      </c>
      <c r="G49" s="13" t="n">
        <v>-157.1700000000003</v>
      </c>
      <c r="H49" s="14">
        <f>(H54-G54)</f>
        <v/>
      </c>
      <c r="I49" s="14">
        <f>(I54-H54)</f>
        <v/>
      </c>
      <c r="J49" s="14">
        <f>(J54-I54)</f>
        <v/>
      </c>
      <c r="K49" s="14">
        <f>(K54-J54)</f>
        <v/>
      </c>
      <c r="L49" s="14">
        <f>(L54-K54)</f>
        <v/>
      </c>
      <c r="M49" s="14">
        <f>(M54-L54)</f>
        <v/>
      </c>
      <c r="N49" s="14">
        <f>(N54-M54)</f>
        <v/>
      </c>
      <c r="O49" s="14">
        <f>(O54-N54)</f>
        <v/>
      </c>
      <c r="P49" s="14">
        <f>(P54-O54)</f>
        <v/>
      </c>
      <c r="Q49" s="14">
        <f>(Q54-P54)</f>
        <v/>
      </c>
    </row>
    <row r="50">
      <c r="A50" t="inlineStr">
        <is>
          <t>Free cash flow to firm</t>
        </is>
      </c>
      <c r="B50" t="inlineStr">
        <is>
          <t>fcff</t>
        </is>
      </c>
      <c r="D50" s="13" t="n"/>
      <c r="E50" s="13" t="n">
        <v>-846.2148835360404</v>
      </c>
      <c r="F50" s="13" t="n">
        <v>-276.6197285964781</v>
      </c>
      <c r="G50" s="13" t="n">
        <v>21.12657197601175</v>
      </c>
      <c r="H50" s="14">
        <f>((((H33*(1-H17))+H34)-H48)-H49)</f>
        <v/>
      </c>
      <c r="I50" s="14">
        <f>((((I33*(1-I17))+I34)-I48)-I49)</f>
        <v/>
      </c>
      <c r="J50" s="14">
        <f>((((J33*(1-J17))+J34)-J48)-J49)</f>
        <v/>
      </c>
      <c r="K50" s="14">
        <f>((((K33*(1-K17))+K34)-K48)-K49)</f>
        <v/>
      </c>
      <c r="L50" s="14">
        <f>((((L33*(1-L17))+L34)-L48)-L49)</f>
        <v/>
      </c>
      <c r="M50" s="14">
        <f>((((M33*(1-M17))+M34)-M48)-M49)</f>
        <v/>
      </c>
      <c r="N50" s="14">
        <f>((((N33*(1-N17))+N34)-N48)-N49)</f>
        <v/>
      </c>
      <c r="O50" s="14">
        <f>((((O33*(1-O17))+O34)-O48)-O49)</f>
        <v/>
      </c>
      <c r="P50" s="14">
        <f>((((P33*(1-P17))+P34)-P48)-P49)</f>
        <v/>
      </c>
      <c r="Q50" s="14">
        <f>((((Q33*(1-Q17))+Q34)-Q48)-Q49)</f>
        <v/>
      </c>
    </row>
    <row r="51">
      <c r="A51" t="inlineStr">
        <is>
          <t>Net borrowing</t>
        </is>
      </c>
      <c r="B51" t="inlineStr">
        <is>
          <t>net_borrowing</t>
        </is>
      </c>
      <c r="D51" s="13" t="n"/>
      <c r="E51" s="13" t="n">
        <v>-143.3889999999999</v>
      </c>
      <c r="F51" s="13" t="n">
        <v>-859.4110000000001</v>
      </c>
      <c r="G51" s="13" t="n">
        <v>241.419</v>
      </c>
      <c r="H51" s="14">
        <f>H20</f>
        <v/>
      </c>
      <c r="I51" s="14">
        <f>I20</f>
        <v/>
      </c>
      <c r="J51" s="14">
        <f>J20</f>
        <v/>
      </c>
      <c r="K51" s="14">
        <f>K20</f>
        <v/>
      </c>
      <c r="L51" s="14">
        <f>L20</f>
        <v/>
      </c>
      <c r="M51" s="14">
        <f>M20</f>
        <v/>
      </c>
      <c r="N51" s="14">
        <f>N20</f>
        <v/>
      </c>
      <c r="O51" s="14">
        <f>O20</f>
        <v/>
      </c>
      <c r="P51" s="14">
        <f>P20</f>
        <v/>
      </c>
      <c r="Q51" s="14">
        <f>Q20</f>
        <v/>
      </c>
    </row>
    <row r="52">
      <c r="A52" t="inlineStr">
        <is>
          <t>Dividends to minorities</t>
        </is>
      </c>
      <c r="B52" t="inlineStr">
        <is>
          <t>minority_div</t>
        </is>
      </c>
      <c r="D52" s="13" t="n"/>
      <c r="E52" s="13" t="n"/>
      <c r="F52" s="13" t="n"/>
      <c r="G52" s="13" t="n"/>
      <c r="H52" s="14">
        <f>(MAX(G42,0)*H23)</f>
        <v/>
      </c>
      <c r="I52" s="14">
        <f>(MAX(H42,0)*I23)</f>
        <v/>
      </c>
      <c r="J52" s="14">
        <f>(MAX(I42,0)*J23)</f>
        <v/>
      </c>
      <c r="K52" s="14">
        <f>(MAX(J42,0)*K23)</f>
        <v/>
      </c>
      <c r="L52" s="14">
        <f>(MAX(K42,0)*L23)</f>
        <v/>
      </c>
      <c r="M52" s="14">
        <f>(MAX(L42,0)*M23)</f>
        <v/>
      </c>
      <c r="N52" s="14">
        <f>(MAX(M42,0)*N23)</f>
        <v/>
      </c>
      <c r="O52" s="14">
        <f>(MAX(N42,0)*O23)</f>
        <v/>
      </c>
      <c r="P52" s="14">
        <f>(MAX(O42,0)*P23)</f>
        <v/>
      </c>
      <c r="Q52" s="14">
        <f>(MAX(P42,0)*Q23)</f>
        <v/>
      </c>
    </row>
    <row r="53">
      <c r="A53" t="inlineStr">
        <is>
          <t>Free cash flow to equity</t>
        </is>
      </c>
      <c r="B53" t="inlineStr">
        <is>
          <t>fcfe</t>
        </is>
      </c>
      <c r="D53" s="13" t="n"/>
      <c r="E53" s="13" t="n"/>
      <c r="F53" s="13" t="n"/>
      <c r="G53" s="13" t="n"/>
      <c r="H53" s="14">
        <f>(((((H41+H34)-H48)-H49)+H51)-H52)</f>
        <v/>
      </c>
      <c r="I53" s="14">
        <f>(((((I41+I34)-I48)-I49)+I51)-I52)</f>
        <v/>
      </c>
      <c r="J53" s="14">
        <f>(((((J41+J34)-J48)-J49)+J51)-J52)</f>
        <v/>
      </c>
      <c r="K53" s="14">
        <f>(((((K41+K34)-K48)-K49)+K51)-K52)</f>
        <v/>
      </c>
      <c r="L53" s="14">
        <f>(((((L41+L34)-L48)-L49)+L51)-L52)</f>
        <v/>
      </c>
      <c r="M53" s="14">
        <f>(((((M41+M34)-M48)-M49)+M51)-M52)</f>
        <v/>
      </c>
      <c r="N53" s="14">
        <f>(((((N41+N34)-N48)-N49)+N51)-N52)</f>
        <v/>
      </c>
      <c r="O53" s="14">
        <f>(((((O41+O34)-O48)-O49)+O51)-O52)</f>
        <v/>
      </c>
      <c r="P53" s="14">
        <f>(((((P41+P34)-P48)-P49)+P51)-P52)</f>
        <v/>
      </c>
      <c r="Q53" s="14">
        <f>(((((Q41+Q34)-Q48)-Q49)+Q51)-Q52)</f>
        <v/>
      </c>
    </row>
    <row r="54">
      <c r="A54" t="inlineStr">
        <is>
          <t>Operating working capital</t>
        </is>
      </c>
      <c r="B54" t="inlineStr">
        <is>
          <t>nwc</t>
        </is>
      </c>
      <c r="D54" s="13" t="n">
        <v>-1124.784</v>
      </c>
      <c r="E54" s="13" t="n">
        <v>-243.9389999999999</v>
      </c>
      <c r="F54" s="13" t="n">
        <v>-16.50499999999988</v>
      </c>
      <c r="G54" s="13" t="n">
        <v>-173.6750000000002</v>
      </c>
      <c r="H54" s="14">
        <f>(H29*H16)</f>
        <v/>
      </c>
      <c r="I54" s="14">
        <f>(I29*I16)</f>
        <v/>
      </c>
      <c r="J54" s="14">
        <f>(J29*J16)</f>
        <v/>
      </c>
      <c r="K54" s="14">
        <f>(K29*K16)</f>
        <v/>
      </c>
      <c r="L54" s="14">
        <f>(L29*L16)</f>
        <v/>
      </c>
      <c r="M54" s="14">
        <f>(M29*M16)</f>
        <v/>
      </c>
      <c r="N54" s="14">
        <f>(N29*N16)</f>
        <v/>
      </c>
      <c r="O54" s="14">
        <f>(O29*O16)</f>
        <v/>
      </c>
      <c r="P54" s="14">
        <f>(P29*P16)</f>
        <v/>
      </c>
      <c r="Q54" s="14">
        <f>(Q29*Q16)</f>
        <v/>
      </c>
    </row>
    <row r="55">
      <c r="A55" t="inlineStr">
        <is>
          <t>Cash &amp; equivalents</t>
        </is>
      </c>
      <c r="B55" t="inlineStr">
        <is>
          <t>cash</t>
        </is>
      </c>
      <c r="D55" s="13" t="n">
        <v>4172.281</v>
      </c>
      <c r="E55" s="13" t="n">
        <v>3359.503</v>
      </c>
      <c r="F55" s="13" t="n">
        <v>2033.611</v>
      </c>
      <c r="G55" s="13" t="n">
        <v>1580.309</v>
      </c>
      <c r="H55" s="14">
        <f>(((((((G55+H41)+H34)-H48)-H49)+H51)-H47)-H52)</f>
        <v/>
      </c>
      <c r="I55" s="14">
        <f>(((((((H55+I41)+I34)-I48)-I49)+I51)-I47)-I52)</f>
        <v/>
      </c>
      <c r="J55" s="14">
        <f>(((((((I55+J41)+J34)-J48)-J49)+J51)-J47)-J52)</f>
        <v/>
      </c>
      <c r="K55" s="14">
        <f>(((((((J55+K41)+K34)-K48)-K49)+K51)-K47)-K52)</f>
        <v/>
      </c>
      <c r="L55" s="14">
        <f>(((((((K55+L41)+L34)-L48)-L49)+L51)-L47)-L52)</f>
        <v/>
      </c>
      <c r="M55" s="14">
        <f>(((((((L55+M41)+M34)-M48)-M49)+M51)-M47)-M52)</f>
        <v/>
      </c>
      <c r="N55" s="14">
        <f>(((((((M55+N41)+N34)-N48)-N49)+N51)-N47)-N52)</f>
        <v/>
      </c>
      <c r="O55" s="14">
        <f>(((((((N55+O41)+O34)-O48)-O49)+O51)-O47)-O52)</f>
        <v/>
      </c>
      <c r="P55" s="14">
        <f>(((((((O55+P41)+P34)-P48)-P49)+P51)-P47)-P52)</f>
        <v/>
      </c>
      <c r="Q55" s="14">
        <f>(((((((P55+Q41)+Q34)-Q48)-Q49)+Q51)-Q47)-Q52)</f>
        <v/>
      </c>
    </row>
    <row r="56">
      <c r="A56" t="inlineStr">
        <is>
          <t>Total debt</t>
        </is>
      </c>
      <c r="B56" t="inlineStr">
        <is>
          <t>debt</t>
        </is>
      </c>
      <c r="D56" s="13" t="n">
        <v>1582.645</v>
      </c>
      <c r="E56" s="13" t="n">
        <v>1439.256</v>
      </c>
      <c r="F56" s="13" t="n">
        <v>579.845</v>
      </c>
      <c r="G56" s="13" t="n">
        <v>821.264</v>
      </c>
      <c r="H56" s="14">
        <f>(G56+H51)</f>
        <v/>
      </c>
      <c r="I56" s="14">
        <f>(H56+I51)</f>
        <v/>
      </c>
      <c r="J56" s="14">
        <f>(I56+J51)</f>
        <v/>
      </c>
      <c r="K56" s="14">
        <f>(J56+K51)</f>
        <v/>
      </c>
      <c r="L56" s="14">
        <f>(K56+L51)</f>
        <v/>
      </c>
      <c r="M56" s="14">
        <f>(L56+M51)</f>
        <v/>
      </c>
      <c r="N56" s="14">
        <f>(M56+N51)</f>
        <v/>
      </c>
      <c r="O56" s="14">
        <f>(N56+O51)</f>
        <v/>
      </c>
      <c r="P56" s="14">
        <f>(O56+P51)</f>
        <v/>
      </c>
      <c r="Q56" s="14">
        <f>(P56+Q51)</f>
        <v/>
      </c>
    </row>
    <row r="57">
      <c r="A57" t="inlineStr">
        <is>
          <t>Fixed assets (net)</t>
        </is>
      </c>
      <c r="B57" t="inlineStr">
        <is>
          <t>ppe</t>
        </is>
      </c>
      <c r="D57" s="13" t="n">
        <v>2485.251</v>
      </c>
      <c r="E57" s="13" t="n">
        <v>2748.958</v>
      </c>
      <c r="F57" s="13" t="n">
        <v>2076.5</v>
      </c>
      <c r="G57" s="13" t="n">
        <v>2901.523</v>
      </c>
      <c r="H57" s="14">
        <f>((G57+H48)-H34)</f>
        <v/>
      </c>
      <c r="I57" s="14">
        <f>((H57+I48)-I34)</f>
        <v/>
      </c>
      <c r="J57" s="14">
        <f>((I57+J48)-J34)</f>
        <v/>
      </c>
      <c r="K57" s="14">
        <f>((J57+K48)-K34)</f>
        <v/>
      </c>
      <c r="L57" s="14">
        <f>((K57+L48)-L34)</f>
        <v/>
      </c>
      <c r="M57" s="14">
        <f>((L57+M48)-M34)</f>
        <v/>
      </c>
      <c r="N57" s="14">
        <f>((M57+N48)-N34)</f>
        <v/>
      </c>
      <c r="O57" s="14">
        <f>((N57+O48)-O34)</f>
        <v/>
      </c>
      <c r="P57" s="14">
        <f>((O57+P48)-P34)</f>
        <v/>
      </c>
      <c r="Q57" s="14">
        <f>((P57+Q48)-Q34)</f>
        <v/>
      </c>
    </row>
    <row r="58">
      <c r="A58" t="inlineStr">
        <is>
          <t>Parent shareholders' equity</t>
        </is>
      </c>
      <c r="B58" t="inlineStr">
        <is>
          <t>equity</t>
        </is>
      </c>
      <c r="D58" s="13" t="n">
        <v>6024.6</v>
      </c>
      <c r="E58" s="13" t="n">
        <v>6772.664</v>
      </c>
      <c r="F58" s="13" t="n">
        <v>4926.856</v>
      </c>
      <c r="G58" s="13" t="n">
        <v>4485.423</v>
      </c>
      <c r="H58" s="14">
        <f>((G58+H43)-H47)</f>
        <v/>
      </c>
      <c r="I58" s="14">
        <f>((H58+I43)-I47)</f>
        <v/>
      </c>
      <c r="J58" s="14">
        <f>((I58+J43)-J47)</f>
        <v/>
      </c>
      <c r="K58" s="14">
        <f>((J58+K43)-K47)</f>
        <v/>
      </c>
      <c r="L58" s="14">
        <f>((K58+L43)-L47)</f>
        <v/>
      </c>
      <c r="M58" s="14">
        <f>((L58+M43)-M47)</f>
        <v/>
      </c>
      <c r="N58" s="14">
        <f>((M58+N43)-N47)</f>
        <v/>
      </c>
      <c r="O58" s="14">
        <f>((N58+O43)-O47)</f>
        <v/>
      </c>
      <c r="P58" s="14">
        <f>((O58+P43)-P47)</f>
        <v/>
      </c>
      <c r="Q58" s="14">
        <f>((P58+Q43)-Q47)</f>
        <v/>
      </c>
    </row>
    <row r="59">
      <c r="A59" t="inlineStr">
        <is>
          <t>Minority interest (balance sheet)</t>
        </is>
      </c>
      <c r="B59" t="inlineStr">
        <is>
          <t>minority_bs</t>
        </is>
      </c>
      <c r="D59" s="13" t="n">
        <v>502.738</v>
      </c>
      <c r="E59" s="13" t="n">
        <v>636.086</v>
      </c>
      <c r="F59" s="13" t="n">
        <v>443.976</v>
      </c>
      <c r="G59" s="13" t="n">
        <v>518.53</v>
      </c>
      <c r="H59" s="14">
        <f>((G59+H42)-H52)</f>
        <v/>
      </c>
      <c r="I59" s="14">
        <f>((H59+I42)-I52)</f>
        <v/>
      </c>
      <c r="J59" s="14">
        <f>((I59+J42)-J52)</f>
        <v/>
      </c>
      <c r="K59" s="14">
        <f>((J59+K42)-K52)</f>
        <v/>
      </c>
      <c r="L59" s="14">
        <f>((K59+L42)-L52)</f>
        <v/>
      </c>
      <c r="M59" s="14">
        <f>((L59+M42)-M52)</f>
        <v/>
      </c>
      <c r="N59" s="14">
        <f>((M59+N42)-N52)</f>
        <v/>
      </c>
      <c r="O59" s="14">
        <f>((N59+O42)-O52)</f>
        <v/>
      </c>
      <c r="P59" s="14">
        <f>((O59+P42)-P52)</f>
        <v/>
      </c>
      <c r="Q59" s="14">
        <f>((P59+Q42)-Q52)</f>
        <v/>
      </c>
    </row>
    <row r="60">
      <c r="A60" t="inlineStr">
        <is>
          <t>Other assets less other liabilities</t>
        </is>
      </c>
      <c r="B60" t="inlineStr">
        <is>
          <t>other_net</t>
        </is>
      </c>
      <c r="D60" s="13" t="n">
        <v>2577.235000000001</v>
      </c>
      <c r="E60" s="13" t="n">
        <v>2983.483999999999</v>
      </c>
      <c r="F60" s="13" t="n">
        <v>1857.071</v>
      </c>
      <c r="G60" s="13" t="n">
        <v>1517.059999999999</v>
      </c>
      <c r="H60" s="14">
        <f>G60</f>
        <v/>
      </c>
      <c r="I60" s="14">
        <f>H60</f>
        <v/>
      </c>
      <c r="J60" s="14">
        <f>I60</f>
        <v/>
      </c>
      <c r="K60" s="14">
        <f>J60</f>
        <v/>
      </c>
      <c r="L60" s="14">
        <f>K60</f>
        <v/>
      </c>
      <c r="M60" s="14">
        <f>L60</f>
        <v/>
      </c>
      <c r="N60" s="14">
        <f>M60</f>
        <v/>
      </c>
      <c r="O60" s="14">
        <f>N60</f>
        <v/>
      </c>
      <c r="P60" s="14">
        <f>O60</f>
        <v/>
      </c>
      <c r="Q60" s="14">
        <f>P60</f>
        <v/>
      </c>
    </row>
    <row r="61">
      <c r="A61" t="inlineStr">
        <is>
          <t>Balance check (should be zero)</t>
        </is>
      </c>
      <c r="B61" t="inlineStr">
        <is>
          <t>bs_check</t>
        </is>
      </c>
      <c r="D61" s="13" t="n"/>
      <c r="E61" s="13" t="n"/>
      <c r="F61" s="13" t="n"/>
      <c r="G61" s="13" t="n"/>
      <c r="H61" s="14">
        <f>((((((H55+H54)+H57)+H60)-H56)-H58)-H59)</f>
        <v/>
      </c>
      <c r="I61" s="14">
        <f>((((((I55+I54)+I57)+I60)-I56)-I58)-I59)</f>
        <v/>
      </c>
      <c r="J61" s="14">
        <f>((((((J55+J54)+J57)+J60)-J56)-J58)-J59)</f>
        <v/>
      </c>
      <c r="K61" s="14">
        <f>((((((K55+K54)+K57)+K60)-K56)-K58)-K59)</f>
        <v/>
      </c>
      <c r="L61" s="14">
        <f>((((((L55+L54)+L57)+L60)-L56)-L58)-L59)</f>
        <v/>
      </c>
      <c r="M61" s="14">
        <f>((((((M55+M54)+M57)+M60)-M56)-M58)-M59)</f>
        <v/>
      </c>
      <c r="N61" s="14">
        <f>((((((N55+N54)+N57)+N60)-N56)-N58)-N59)</f>
        <v/>
      </c>
      <c r="O61" s="14">
        <f>((((((O55+O54)+O57)+O60)-O56)-O58)-O59)</f>
        <v/>
      </c>
      <c r="P61" s="14">
        <f>((((((P55+P54)+P57)+P60)-P56)-P58)-P59)</f>
        <v/>
      </c>
      <c r="Q61" s="14">
        <f>((((((Q55+Q54)+Q57)+Q60)-Q56)-Q58)-Q59)</f>
        <v/>
      </c>
    </row>
    <row r="62">
      <c r="A62" t="inlineStr">
        <is>
          <t>Net debt (cash)</t>
        </is>
      </c>
      <c r="B62" t="inlineStr">
        <is>
          <t>net_debt</t>
        </is>
      </c>
      <c r="D62" s="13" t="n">
        <v>-2589.636</v>
      </c>
      <c r="E62" s="13" t="n">
        <v>-1920.247</v>
      </c>
      <c r="F62" s="13" t="n">
        <v>-1453.766</v>
      </c>
      <c r="G62" s="13" t="n">
        <v>-759.045</v>
      </c>
      <c r="H62" s="14">
        <f>(H56-H55)</f>
        <v/>
      </c>
      <c r="I62" s="14">
        <f>(I56-I55)</f>
        <v/>
      </c>
      <c r="J62" s="14">
        <f>(J56-J55)</f>
        <v/>
      </c>
      <c r="K62" s="14">
        <f>(K56-K55)</f>
        <v/>
      </c>
      <c r="L62" s="14">
        <f>(L56-L55)</f>
        <v/>
      </c>
      <c r="M62" s="14">
        <f>(M56-M55)</f>
        <v/>
      </c>
      <c r="N62" s="14">
        <f>(N56-N55)</f>
        <v/>
      </c>
      <c r="O62" s="14">
        <f>(O56-O55)</f>
        <v/>
      </c>
      <c r="P62" s="14">
        <f>(P56-P55)</f>
        <v/>
      </c>
      <c r="Q62" s="14">
        <f>(Q56-Q55)</f>
        <v/>
      </c>
    </row>
    <row r="63">
      <c r="A63" t="inlineStr">
        <is>
          <t>Book value per share</t>
        </is>
      </c>
      <c r="B63" t="inlineStr">
        <is>
          <t>bvps</t>
        </is>
      </c>
      <c r="D63" s="15" t="n">
        <v>0.1944299809055469</v>
      </c>
      <c r="E63" s="15" t="n">
        <v>0.2193134562792446</v>
      </c>
      <c r="F63" s="15" t="n">
        <v>0.1628986375443486</v>
      </c>
      <c r="G63" s="15" t="n">
        <v>0.1557411816912503</v>
      </c>
      <c r="H63" s="16">
        <f>(IF(H44=0,0,H58/H44)*$C$7)</f>
        <v/>
      </c>
      <c r="I63" s="16">
        <f>(IF(I44=0,0,I58/I44)*$C$7)</f>
        <v/>
      </c>
      <c r="J63" s="16">
        <f>(IF(J44=0,0,J58/J44)*$C$7)</f>
        <v/>
      </c>
      <c r="K63" s="16">
        <f>(IF(K44=0,0,K58/K44)*$C$7)</f>
        <v/>
      </c>
      <c r="L63" s="16">
        <f>(IF(L44=0,0,L58/L44)*$C$7)</f>
        <v/>
      </c>
      <c r="M63" s="16">
        <f>(IF(M44=0,0,M58/M44)*$C$7)</f>
        <v/>
      </c>
      <c r="N63" s="16">
        <f>(IF(N44=0,0,N58/N44)*$C$7)</f>
        <v/>
      </c>
      <c r="O63" s="16">
        <f>(IF(O44=0,0,O58/O44)*$C$7)</f>
        <v/>
      </c>
      <c r="P63" s="16">
        <f>(IF(P44=0,0,P58/P44)*$C$7)</f>
        <v/>
      </c>
      <c r="Q63" s="16">
        <f>(IF(Q44=0,0,Q58/Q44)*$C$7)</f>
        <v/>
      </c>
    </row>
    <row r="64">
      <c r="A64" t="inlineStr">
        <is>
          <t>Revenue growth</t>
        </is>
      </c>
      <c r="B64" t="inlineStr">
        <is>
          <t>revenue_growth</t>
        </is>
      </c>
      <c r="D64" s="4" t="n"/>
      <c r="E64" s="4" t="n">
        <v>-0.7364469461452097</v>
      </c>
      <c r="F64" s="4" t="n">
        <v>-0.02656302390358389</v>
      </c>
      <c r="G64" s="4" t="n">
        <v>-0.09847023773157015</v>
      </c>
      <c r="H64" s="17">
        <f>(IF(G29=0,0,H29/G29)-1)</f>
        <v/>
      </c>
      <c r="I64" s="17">
        <f>(IF(H29=0,0,I29/H29)-1)</f>
        <v/>
      </c>
      <c r="J64" s="17">
        <f>(IF(I29=0,0,J29/I29)-1)</f>
        <v/>
      </c>
      <c r="K64" s="17">
        <f>(IF(J29=0,0,K29/J29)-1)</f>
        <v/>
      </c>
      <c r="L64" s="17">
        <f>(IF(K29=0,0,L29/K29)-1)</f>
        <v/>
      </c>
      <c r="M64" s="17">
        <f>(IF(L29=0,0,M29/L29)-1)</f>
        <v/>
      </c>
      <c r="N64" s="17">
        <f>(IF(M29=0,0,N29/M29)-1)</f>
        <v/>
      </c>
      <c r="O64" s="17">
        <f>(IF(N29=0,0,O29/N29)-1)</f>
        <v/>
      </c>
      <c r="P64" s="17">
        <f>(IF(O29=0,0,P29/O29)-1)</f>
        <v/>
      </c>
      <c r="Q64" s="17">
        <f>(IF(P29=0,0,Q29/P29)-1)</f>
        <v/>
      </c>
    </row>
    <row r="65">
      <c r="A65" t="inlineStr">
        <is>
          <t>Gross margin</t>
        </is>
      </c>
      <c r="B65" t="inlineStr">
        <is>
          <t>gross_margin</t>
        </is>
      </c>
      <c r="D65" s="4" t="n">
        <v>0.5742709042099753</v>
      </c>
      <c r="E65" s="4" t="n">
        <v>0.4063295513933611</v>
      </c>
      <c r="F65" s="4" t="n">
        <v>0.4204568360153924</v>
      </c>
      <c r="G65" s="4" t="n">
        <v>0.3397203842049092</v>
      </c>
      <c r="H65" s="17">
        <f>IF(H29=0,0,H31/H29)</f>
        <v/>
      </c>
      <c r="I65" s="17">
        <f>IF(I29=0,0,I31/I29)</f>
        <v/>
      </c>
      <c r="J65" s="17">
        <f>IF(J29=0,0,J31/J29)</f>
        <v/>
      </c>
      <c r="K65" s="17">
        <f>IF(K29=0,0,K31/K29)</f>
        <v/>
      </c>
      <c r="L65" s="17">
        <f>IF(L29=0,0,L31/L29)</f>
        <v/>
      </c>
      <c r="M65" s="17">
        <f>IF(M29=0,0,M31/M29)</f>
        <v/>
      </c>
      <c r="N65" s="17">
        <f>IF(N29=0,0,N31/N29)</f>
        <v/>
      </c>
      <c r="O65" s="17">
        <f>IF(O29=0,0,O31/O29)</f>
        <v/>
      </c>
      <c r="P65" s="17">
        <f>IF(P29=0,0,P31/P29)</f>
        <v/>
      </c>
      <c r="Q65" s="17">
        <f>IF(Q29=0,0,Q31/Q29)</f>
        <v/>
      </c>
    </row>
    <row r="66">
      <c r="A66" t="inlineStr">
        <is>
          <t>EBITDA margin</t>
        </is>
      </c>
      <c r="B66" t="inlineStr">
        <is>
          <t>ebitda_margin</t>
        </is>
      </c>
      <c r="D66" s="4" t="n">
        <v>0.5287131626077658</v>
      </c>
      <c r="E66" s="4" t="n">
        <v>0.364627060258161</v>
      </c>
      <c r="F66" s="4" t="n">
        <v>0.4543272225907772</v>
      </c>
      <c r="G66" s="4" t="n">
        <v>0.4092641408751334</v>
      </c>
      <c r="H66" s="17">
        <f>IF(H29=0,0,H35/H29)</f>
        <v/>
      </c>
      <c r="I66" s="17">
        <f>IF(I29=0,0,I35/I29)</f>
        <v/>
      </c>
      <c r="J66" s="17">
        <f>IF(J29=0,0,J35/J29)</f>
        <v/>
      </c>
      <c r="K66" s="17">
        <f>IF(K29=0,0,K35/K29)</f>
        <v/>
      </c>
      <c r="L66" s="17">
        <f>IF(L29=0,0,L35/L29)</f>
        <v/>
      </c>
      <c r="M66" s="17">
        <f>IF(M29=0,0,M35/M29)</f>
        <v/>
      </c>
      <c r="N66" s="17">
        <f>IF(N29=0,0,N35/N29)</f>
        <v/>
      </c>
      <c r="O66" s="17">
        <f>IF(O29=0,0,O35/O29)</f>
        <v/>
      </c>
      <c r="P66" s="17">
        <f>IF(P29=0,0,P35/P29)</f>
        <v/>
      </c>
      <c r="Q66" s="17">
        <f>IF(Q29=0,0,Q35/Q29)</f>
        <v/>
      </c>
    </row>
    <row r="67">
      <c r="A67" t="inlineStr">
        <is>
          <t>EBIT margin</t>
        </is>
      </c>
      <c r="B67" t="inlineStr">
        <is>
          <t>ebit_margin</t>
        </is>
      </c>
      <c r="D67" s="4" t="n">
        <v>0.5278681042491241</v>
      </c>
      <c r="E67" s="4" t="n">
        <v>0.3623356991531377</v>
      </c>
      <c r="F67" s="4" t="n">
        <v>0.3529349508271801</v>
      </c>
      <c r="G67" s="4" t="n">
        <v>0.2825437566702241</v>
      </c>
      <c r="H67" s="17">
        <f>IF(H29=0,0,H33/H29)</f>
        <v/>
      </c>
      <c r="I67" s="17">
        <f>IF(I29=0,0,I33/I29)</f>
        <v/>
      </c>
      <c r="J67" s="17">
        <f>IF(J29=0,0,J33/J29)</f>
        <v/>
      </c>
      <c r="K67" s="17">
        <f>IF(K29=0,0,K33/K29)</f>
        <v/>
      </c>
      <c r="L67" s="17">
        <f>IF(L29=0,0,L33/L29)</f>
        <v/>
      </c>
      <c r="M67" s="17">
        <f>IF(M29=0,0,M33/M29)</f>
        <v/>
      </c>
      <c r="N67" s="17">
        <f>IF(N29=0,0,N33/N29)</f>
        <v/>
      </c>
      <c r="O67" s="17">
        <f>IF(O29=0,0,O33/O29)</f>
        <v/>
      </c>
      <c r="P67" s="17">
        <f>IF(P29=0,0,P33/P29)</f>
        <v/>
      </c>
      <c r="Q67" s="17">
        <f>IF(Q29=0,0,Q33/Q29)</f>
        <v/>
      </c>
    </row>
    <row r="68">
      <c r="A68" t="inlineStr">
        <is>
          <t>Net margin</t>
        </is>
      </c>
      <c r="B68" t="inlineStr">
        <is>
          <t>np_margin</t>
        </is>
      </c>
      <c r="D68" s="4" t="n">
        <v>0.307696522968074</v>
      </c>
      <c r="E68" s="4" t="n">
        <v>0.7686746164206252</v>
      </c>
      <c r="F68" s="4" t="n">
        <v>0.6638862282910046</v>
      </c>
      <c r="G68" s="4" t="n">
        <v>0.2388976627534685</v>
      </c>
      <c r="H68" s="17">
        <f>IF(H29=0,0,H43/H29)</f>
        <v/>
      </c>
      <c r="I68" s="17">
        <f>IF(I29=0,0,I43/I29)</f>
        <v/>
      </c>
      <c r="J68" s="17">
        <f>IF(J29=0,0,J43/J29)</f>
        <v/>
      </c>
      <c r="K68" s="17">
        <f>IF(K29=0,0,K43/K29)</f>
        <v/>
      </c>
      <c r="L68" s="17">
        <f>IF(L29=0,0,L43/L29)</f>
        <v/>
      </c>
      <c r="M68" s="17">
        <f>IF(M29=0,0,M43/M29)</f>
        <v/>
      </c>
      <c r="N68" s="17">
        <f>IF(N29=0,0,N43/N29)</f>
        <v/>
      </c>
      <c r="O68" s="17">
        <f>IF(O29=0,0,O43/O29)</f>
        <v/>
      </c>
      <c r="P68" s="17">
        <f>IF(P29=0,0,P43/P29)</f>
        <v/>
      </c>
      <c r="Q68" s="17">
        <f>IF(Q29=0,0,Q43/Q29)</f>
        <v/>
      </c>
    </row>
    <row r="69">
      <c r="A69" t="inlineStr">
        <is>
          <t>EPS growth</t>
        </is>
      </c>
      <c r="B69" t="inlineStr">
        <is>
          <t>eps_growth</t>
        </is>
      </c>
      <c r="D69" s="4" t="n"/>
      <c r="E69" s="4" t="n">
        <v>-0.3393693226801409</v>
      </c>
      <c r="F69" s="4" t="n">
        <v>-0.1415780921855033</v>
      </c>
      <c r="G69" s="4" t="n">
        <v>-0.6593167458374616</v>
      </c>
      <c r="H69" s="17">
        <f>(IF(G45=0,0,H45/G45)-1)</f>
        <v/>
      </c>
      <c r="I69" s="17">
        <f>(IF(H45=0,0,I45/H45)-1)</f>
        <v/>
      </c>
      <c r="J69" s="17">
        <f>(IF(I45=0,0,J45/I45)-1)</f>
        <v/>
      </c>
      <c r="K69" s="17">
        <f>(IF(J45=0,0,K45/J45)-1)</f>
        <v/>
      </c>
      <c r="L69" s="17">
        <f>(IF(K45=0,0,L45/K45)-1)</f>
        <v/>
      </c>
      <c r="M69" s="17">
        <f>(IF(L45=0,0,M45/L45)-1)</f>
        <v/>
      </c>
      <c r="N69" s="17">
        <f>(IF(M45=0,0,N45/M45)-1)</f>
        <v/>
      </c>
      <c r="O69" s="17">
        <f>(IF(N45=0,0,O45/N45)-1)</f>
        <v/>
      </c>
      <c r="P69" s="17">
        <f>(IF(O45=0,0,P45/O45)-1)</f>
        <v/>
      </c>
      <c r="Q69" s="17">
        <f>(IF(P45=0,0,Q45/P45)-1)</f>
        <v/>
      </c>
    </row>
    <row r="70">
      <c r="A70" t="inlineStr">
        <is>
          <t>ROE</t>
        </is>
      </c>
      <c r="B70" t="inlineStr">
        <is>
          <t>roe</t>
        </is>
      </c>
      <c r="D70" s="4" t="n"/>
      <c r="E70" s="4" t="n">
        <v>0.2565293644016409</v>
      </c>
      <c r="F70" s="4" t="n">
        <v>0.23590933645141</v>
      </c>
      <c r="G70" s="4" t="n">
        <v>0.09512982349970714</v>
      </c>
      <c r="H70" s="17">
        <f>IF(IF(2=0,0,(H58+G58)/2)=0,0,H43/IF(2=0,0,(H58+G58)/2))</f>
        <v/>
      </c>
      <c r="I70" s="17">
        <f>IF(IF(2=0,0,(I58+H58)/2)=0,0,I43/IF(2=0,0,(I58+H58)/2))</f>
        <v/>
      </c>
      <c r="J70" s="17">
        <f>IF(IF(2=0,0,(J58+I58)/2)=0,0,J43/IF(2=0,0,(J58+I58)/2))</f>
        <v/>
      </c>
      <c r="K70" s="17">
        <f>IF(IF(2=0,0,(K58+J58)/2)=0,0,K43/IF(2=0,0,(K58+J58)/2))</f>
        <v/>
      </c>
      <c r="L70" s="17">
        <f>IF(IF(2=0,0,(L58+K58)/2)=0,0,L43/IF(2=0,0,(L58+K58)/2))</f>
        <v/>
      </c>
      <c r="M70" s="17">
        <f>IF(IF(2=0,0,(M58+L58)/2)=0,0,M43/IF(2=0,0,(M58+L58)/2))</f>
        <v/>
      </c>
      <c r="N70" s="17">
        <f>IF(IF(2=0,0,(N58+M58)/2)=0,0,N43/IF(2=0,0,(N58+M58)/2))</f>
        <v/>
      </c>
      <c r="O70" s="17">
        <f>IF(IF(2=0,0,(O58+N58)/2)=0,0,O43/IF(2=0,0,(O58+N58)/2))</f>
        <v/>
      </c>
      <c r="P70" s="17">
        <f>IF(IF(2=0,0,(P58+O58)/2)=0,0,P43/IF(2=0,0,(P58+O58)/2))</f>
        <v/>
      </c>
      <c r="Q70" s="17">
        <f>IF(IF(2=0,0,(Q58+P58)/2)=0,0,Q43/IF(2=0,0,(Q58+P58)/2))</f>
        <v/>
      </c>
    </row>
    <row r="71">
      <c r="A71" t="inlineStr">
        <is>
          <t>Net debt / EBITDA</t>
        </is>
      </c>
      <c r="B71" t="inlineStr">
        <is>
          <t>net_debt_ebitda</t>
        </is>
      </c>
      <c r="D71" s="18" t="n">
        <v>-0.6045120680136654</v>
      </c>
      <c r="E71" s="18" t="n">
        <v>-2.466189931276642</v>
      </c>
      <c r="F71" s="18" t="n">
        <v>-1.53934593738915</v>
      </c>
      <c r="G71" s="18" t="n">
        <v>-0.9896787450730871</v>
      </c>
      <c r="H71" s="19">
        <f>IF(H35=0,0,H62/H35)</f>
        <v/>
      </c>
      <c r="I71" s="19">
        <f>IF(I35=0,0,I62/I35)</f>
        <v/>
      </c>
      <c r="J71" s="19">
        <f>IF(J35=0,0,J62/J35)</f>
        <v/>
      </c>
      <c r="K71" s="19">
        <f>IF(K35=0,0,K62/K35)</f>
        <v/>
      </c>
      <c r="L71" s="19">
        <f>IF(L35=0,0,L62/L35)</f>
        <v/>
      </c>
      <c r="M71" s="19">
        <f>IF(M35=0,0,M62/M35)</f>
        <v/>
      </c>
      <c r="N71" s="19">
        <f>IF(N35=0,0,N62/N35)</f>
        <v/>
      </c>
      <c r="O71" s="19">
        <f>IF(O35=0,0,O62/O35)</f>
        <v/>
      </c>
      <c r="P71" s="19">
        <f>IF(P35=0,0,P62/P35)</f>
        <v/>
      </c>
      <c r="Q71" s="19">
        <f>IF(Q35=0,0,Q62/Q35)</f>
        <v/>
      </c>
    </row>
    <row r="72">
      <c r="A72" t="inlineStr">
        <is>
          <t>Payout ratio</t>
        </is>
      </c>
      <c r="B72" t="inlineStr">
        <is>
          <t>payout_ratio</t>
        </is>
      </c>
      <c r="D72" s="4" t="n">
        <v>0.5696370795436474</v>
      </c>
      <c r="E72" s="4" t="n">
        <v>1.981457398049333</v>
      </c>
      <c r="F72" s="4" t="n">
        <v>0.3690721941430987</v>
      </c>
      <c r="G72" s="4" t="n">
        <v>0.9990561748284355</v>
      </c>
      <c r="H72" s="17">
        <f>IF(H45=0,0,H46/H45)</f>
        <v/>
      </c>
      <c r="I72" s="17">
        <f>IF(I45=0,0,I46/I45)</f>
        <v/>
      </c>
      <c r="J72" s="17">
        <f>IF(J45=0,0,J46/J45)</f>
        <v/>
      </c>
      <c r="K72" s="17">
        <f>IF(K45=0,0,K46/K45)</f>
        <v/>
      </c>
      <c r="L72" s="17">
        <f>IF(L45=0,0,L46/L45)</f>
        <v/>
      </c>
      <c r="M72" s="17">
        <f>IF(M45=0,0,M46/M45)</f>
        <v/>
      </c>
      <c r="N72" s="17">
        <f>IF(N45=0,0,N46/N45)</f>
        <v/>
      </c>
      <c r="O72" s="17">
        <f>IF(O45=0,0,O46/O45)</f>
        <v/>
      </c>
      <c r="P72" s="17">
        <f>IF(P45=0,0,P46/P45)</f>
        <v/>
      </c>
      <c r="Q72" s="17">
        <f>IF(Q45=0,0,Q46/Q45)</f>
        <v/>
      </c>
    </row>
    <row r="73">
      <c r="A73" t="inlineStr">
        <is>
          <t>Capex / revenue</t>
        </is>
      </c>
      <c r="B73" t="inlineStr">
        <is>
          <t>capex_revenue</t>
        </is>
      </c>
      <c r="D73" s="4" t="n">
        <v>0.04981351819380901</v>
      </c>
      <c r="E73" s="4" t="n">
        <v>0.2752503966447693</v>
      </c>
      <c r="F73" s="4" t="n">
        <v>0.4028818163756098</v>
      </c>
      <c r="G73" s="4" t="n">
        <v>0.4252934898612593</v>
      </c>
      <c r="H73" s="17">
        <f>IF(H29=0,0,H48/H29)</f>
        <v/>
      </c>
      <c r="I73" s="17">
        <f>IF(I29=0,0,I48/I29)</f>
        <v/>
      </c>
      <c r="J73" s="17">
        <f>IF(J29=0,0,J48/J29)</f>
        <v/>
      </c>
      <c r="K73" s="17">
        <f>IF(K29=0,0,K48/K29)</f>
        <v/>
      </c>
      <c r="L73" s="17">
        <f>IF(L29=0,0,L48/L29)</f>
        <v/>
      </c>
      <c r="M73" s="17">
        <f>IF(M29=0,0,M48/M29)</f>
        <v/>
      </c>
      <c r="N73" s="17">
        <f>IF(N29=0,0,N48/N29)</f>
        <v/>
      </c>
      <c r="O73" s="17">
        <f>IF(O29=0,0,O48/O29)</f>
        <v/>
      </c>
      <c r="P73" s="17">
        <f>IF(P29=0,0,P48/P29)</f>
        <v/>
      </c>
      <c r="Q73" s="17">
        <f>IF(Q29=0,0,Q48/Q29)</f>
        <v/>
      </c>
    </row>
    <row r="75">
      <c r="A75" s="1" t="inlineStr">
        <is>
          <t>VALUATION</t>
        </is>
      </c>
    </row>
    <row r="76">
      <c r="A76" t="inlineStr">
        <is>
          <t>Last price (IDR)</t>
        </is>
      </c>
      <c r="C76" s="15" t="n">
        <v>2460</v>
      </c>
    </row>
    <row r="77">
      <c r="A77" t="inlineStr">
        <is>
          <t>Shares outstanding (m)</t>
        </is>
      </c>
      <c r="C77" s="13" t="n">
        <v>28800.4942</v>
      </c>
    </row>
    <row r="78">
      <c r="A78" t="inlineStr">
        <is>
          <t>IDR per USD (spot)</t>
        </is>
      </c>
      <c r="C78" s="3" t="n">
        <v>18183</v>
      </c>
    </row>
    <row r="79">
      <c r="A79" t="inlineStr">
        <is>
          <t>Debt at balance-sheet date</t>
        </is>
      </c>
      <c r="C79" s="13" t="n">
        <v>1939.388</v>
      </c>
    </row>
    <row r="80">
      <c r="A80" t="inlineStr">
        <is>
          <t>Cash at balance-sheet date</t>
        </is>
      </c>
      <c r="C80" s="13" t="n">
        <v>1587.927</v>
      </c>
    </row>
    <row r="81">
      <c r="A81" t="inlineStr">
        <is>
          <t>Minority interest (book)</t>
        </is>
      </c>
      <c r="C81" s="13" t="n">
        <v>518.405</v>
      </c>
    </row>
    <row r="82">
      <c r="A82" t="inlineStr">
        <is>
          <t>Associates &amp; investments (book)</t>
        </is>
      </c>
      <c r="C82" s="13" t="n">
        <v>696.758</v>
      </c>
    </row>
    <row r="83">
      <c r="A83" t="inlineStr">
        <is>
          <t>Post-balance-sheet &amp; other items (sourced, probability-weighted)</t>
        </is>
      </c>
      <c r="C83" s="13" t="n">
        <v>0</v>
      </c>
    </row>
    <row r="84">
      <c r="A84" t="inlineStr">
        <is>
          <t>Parent equity at balance-sheet date</t>
        </is>
      </c>
      <c r="C84" s="13" t="n">
        <v>4609.002</v>
      </c>
    </row>
    <row r="85">
      <c r="A85" t="inlineStr">
        <is>
          <t>Per-share factor</t>
        </is>
      </c>
      <c r="C85" s="20" t="n">
        <v>1</v>
      </c>
    </row>
    <row r="86">
      <c r="A86" t="inlineStr">
        <is>
          <t>Risk-free rate</t>
        </is>
      </c>
      <c r="C86" s="8">
        <f>Drivers!$C$8</f>
        <v/>
      </c>
    </row>
    <row r="87">
      <c r="A87" t="inlineStr">
        <is>
          <t>Less: default spread (IDR only)</t>
        </is>
      </c>
      <c r="C87" s="8" t="n">
        <v>0</v>
      </c>
    </row>
    <row r="88">
      <c r="A88" t="inlineStr">
        <is>
          <t>Mature ERP + Indonesia CRP</t>
        </is>
      </c>
      <c r="C88" s="8">
        <f>Drivers!$C$10+Drivers!$C$11</f>
        <v/>
      </c>
    </row>
    <row r="89">
      <c r="A89" t="inlineStr">
        <is>
          <t>Tax rate</t>
        </is>
      </c>
      <c r="C89" s="8">
        <f>Drivers!$C$13</f>
        <v/>
      </c>
    </row>
    <row r="90">
      <c r="A90" t="inlineStr">
        <is>
          <t>Unlevered beta (industry default (config))</t>
        </is>
      </c>
      <c r="C90" s="21" t="n">
        <v>0.9</v>
      </c>
    </row>
    <row r="91">
      <c r="A91" t="inlineStr">
        <is>
          <t>Debt / equity (market)</t>
        </is>
      </c>
      <c r="C91" s="21" t="n">
        <v>0.4977315788136887</v>
      </c>
    </row>
    <row r="92">
      <c r="A92" t="inlineStr">
        <is>
          <t>Levered beta</t>
        </is>
      </c>
      <c r="C92" s="22">
        <f>$C$90*(1+(1-$C$89)*$C$91)</f>
        <v/>
      </c>
    </row>
    <row r="93">
      <c r="A93" t="inlineStr">
        <is>
          <t>Explicit company premium</t>
        </is>
      </c>
      <c r="C93" s="4" t="n">
        <v>0</v>
      </c>
    </row>
    <row r="94">
      <c r="A94" t="inlineStr">
        <is>
          <t>Cost of equity</t>
        </is>
      </c>
      <c r="C94" s="10">
        <f>$C$86-$C$87+$C$92*$C$88+$C$93</f>
        <v/>
      </c>
    </row>
    <row r="95">
      <c r="A95" t="inlineStr">
        <is>
          <t>Pre-tax cost of debt</t>
        </is>
      </c>
      <c r="C95" s="10">
        <f>$C$86+Drivers!$C$12</f>
        <v/>
      </c>
    </row>
    <row r="96">
      <c r="A96" t="inlineStr">
        <is>
          <t>WACC</t>
        </is>
      </c>
      <c r="C96" s="10">
        <f>1/(1+$C$91)*$C$94+$C$91/(1+$C$91)*$C$95*(1-$C$89)</f>
        <v/>
      </c>
    </row>
    <row r="97">
      <c r="A97" t="inlineStr">
        <is>
          <t>Terminal growth (capped)</t>
        </is>
      </c>
      <c r="C97" s="4" t="n">
        <v>0.02</v>
      </c>
    </row>
    <row r="99">
      <c r="A99" s="1" t="inlineStr">
        <is>
          <t>Sum of the parts</t>
        </is>
      </c>
    </row>
    <row r="100">
      <c r="A100" t="inlineStr">
        <is>
          <t>Value per share (IDR) — Sum of the parts (engine value)</t>
        </is>
      </c>
      <c r="C100" s="15" t="n">
        <v>2390.53783</v>
      </c>
    </row>
    <row r="102">
      <c r="A102" s="1" t="inlineStr">
        <is>
          <t>P/E</t>
        </is>
      </c>
    </row>
    <row r="103">
      <c r="A103" t="inlineStr">
        <is>
          <t>Target multiple (own five-year average)</t>
        </is>
      </c>
      <c r="C103" s="18" t="n">
        <v>4.069228</v>
      </c>
    </row>
    <row r="104">
      <c r="A104" t="inlineStr">
        <is>
          <t>Metric (LTM, or next-12m DPS for yield)</t>
        </is>
      </c>
      <c r="C104" s="13" t="n">
        <v>447.69422</v>
      </c>
    </row>
    <row r="105">
      <c r="A105" t="inlineStr">
        <is>
          <t>Value per share (IDR) — P/E</t>
        </is>
      </c>
      <c r="C105" s="23">
        <f>MAX(0,$C$103*$C$104/$C$77*$C$85*$C$78)</f>
        <v/>
      </c>
    </row>
    <row r="107">
      <c r="A107" s="1" t="inlineStr">
        <is>
          <t>P/BV</t>
        </is>
      </c>
    </row>
    <row r="108">
      <c r="A108" t="inlineStr">
        <is>
          <t>Target multiple (own five-year average)</t>
        </is>
      </c>
      <c r="C108" s="18" t="n">
        <v>0.901424</v>
      </c>
    </row>
    <row r="109">
      <c r="A109" t="inlineStr">
        <is>
          <t>Metric (LTM, or next-12m DPS for yield)</t>
        </is>
      </c>
      <c r="C109" s="13" t="n">
        <v>4609.002</v>
      </c>
    </row>
    <row r="110">
      <c r="A110" t="inlineStr">
        <is>
          <t>Value per share (IDR) — P/BV</t>
        </is>
      </c>
      <c r="C110" s="23">
        <f>MAX(0,$C$108*$C$109/$C$77*$C$85*$C$78)</f>
        <v/>
      </c>
    </row>
    <row r="112">
      <c r="A112" s="1" t="inlineStr">
        <is>
          <t>TARGET</t>
        </is>
      </c>
    </row>
    <row r="113">
      <c r="A113" t="inlineStr">
        <is>
          <t>Weight: Sum of the parts</t>
        </is>
      </c>
      <c r="C113" s="4" t="n">
        <v>0.6</v>
      </c>
    </row>
    <row r="114">
      <c r="A114" t="inlineStr">
        <is>
          <t>Weight: P/E</t>
        </is>
      </c>
      <c r="C114" s="4" t="n">
        <v>0.25</v>
      </c>
    </row>
    <row r="115">
      <c r="A115" t="inlineStr">
        <is>
          <t>Weight: P/BV</t>
        </is>
      </c>
      <c r="C115" s="4" t="n">
        <v>0.15</v>
      </c>
    </row>
    <row r="116">
      <c r="A116" t="inlineStr">
        <is>
          <t>Value today (weighted)</t>
        </is>
      </c>
      <c r="C116" s="23">
        <f>$C$100*$C$113+$C$105*$C$114+$C$110*$C$115</f>
        <v/>
      </c>
    </row>
    <row r="117">
      <c r="A117" t="inlineStr">
        <is>
          <t>DPS expected in next 12 months (IDR)</t>
        </is>
      </c>
      <c r="C117" s="15" t="n">
        <v>296.014478501549</v>
      </c>
    </row>
    <row r="118">
      <c r="A118" t="inlineStr">
        <is>
          <t>Base-case 12-month value</t>
        </is>
      </c>
      <c r="C118" s="23">
        <f>MAX(0,$C$116*(1+$C$94)-$C$117)</f>
        <v/>
      </c>
    </row>
    <row r="119">
      <c r="A119" t="inlineStr">
        <is>
          <t>Bear probability</t>
        </is>
      </c>
      <c r="C119" s="4" t="n">
        <v>0.25</v>
      </c>
    </row>
    <row r="120">
      <c r="A120" t="inlineStr">
        <is>
          <t>Bear 12-month value (engine)</t>
        </is>
      </c>
      <c r="C120" s="15" t="n">
        <v>1877.792297071875</v>
      </c>
    </row>
    <row r="121">
      <c r="A121" t="inlineStr">
        <is>
          <t>Base probability</t>
        </is>
      </c>
      <c r="C121" s="4" t="n">
        <v>0.5</v>
      </c>
    </row>
    <row r="122">
      <c r="A122" t="inlineStr">
        <is>
          <t>Bull probability</t>
        </is>
      </c>
      <c r="C122" s="4" t="n">
        <v>0.25</v>
      </c>
    </row>
    <row r="123">
      <c r="A123" t="inlineStr">
        <is>
          <t>Bull 12-month value (engine)</t>
        </is>
      </c>
      <c r="C123" s="15" t="n">
        <v>2327.865765716856</v>
      </c>
    </row>
    <row r="124">
      <c r="A124" t="inlineStr">
        <is>
          <t>Probability-weighted 12-month value</t>
        </is>
      </c>
      <c r="C124" s="23">
        <f>$C$119*$C$120+$C$121*$C$118+$C$122*$C$123</f>
        <v/>
      </c>
    </row>
    <row r="125">
      <c r="A125" t="inlineStr">
        <is>
          <t>Liquidity discount (limits.yaml)</t>
        </is>
      </c>
      <c r="C125" s="4" t="n">
        <v>0</v>
      </c>
    </row>
    <row r="126">
      <c r="A126" t="inlineStr">
        <is>
          <t>TARGET PRICE (IDR)</t>
        </is>
      </c>
      <c r="C126" s="24">
        <f>$C$124*(1-$C$125)</f>
        <v/>
      </c>
    </row>
    <row r="127">
      <c r="A127" t="inlineStr">
        <is>
          <t>Expected 12-month total return</t>
        </is>
      </c>
      <c r="C127" s="25">
        <f>($C$126+$C$117)/$C$76-1</f>
        <v/>
      </c>
    </row>
    <row r="128">
      <c r="A128" t="inlineStr">
        <is>
          <t>Rating</t>
        </is>
      </c>
      <c r="C128" s="26">
        <f>IF($C$127&gt;=0.25,"BUY",IF($C$127&gt;=0.1,"ADD",IF($C$127&lt;=-0.25,"SELL",IF($C$127&lt;=-0.1,"REDUCE","HOLD"))))</f>
        <v/>
      </c>
    </row>
    <row r="130">
      <c r="A130" s="1" t="inlineStr">
        <is>
          <t>12-month value vs holding-company discount and cost of equity (engine values)</t>
        </is>
      </c>
    </row>
    <row r="131">
      <c r="A131" s="5" t="inlineStr">
        <is>
          <t>rows: Cost of equity (+/- pp) · columns: Holdco discount (+/- pp)</t>
        </is>
      </c>
      <c r="D131" s="1" t="n">
        <v>-0.1</v>
      </c>
      <c r="E131" s="1" t="n">
        <v>-0.05</v>
      </c>
      <c r="F131" s="1" t="n">
        <v>0</v>
      </c>
      <c r="G131" s="1" t="n">
        <v>0.05</v>
      </c>
      <c r="H131" s="1" t="n">
        <v>0.1</v>
      </c>
    </row>
    <row r="132">
      <c r="C132" s="1" t="n">
        <v>-0.01</v>
      </c>
      <c r="D132" s="23" t="n">
        <v>2311.99436</v>
      </c>
      <c r="E132" s="23" t="n">
        <v>2196.835114</v>
      </c>
      <c r="F132" s="23" t="n">
        <v>2081.675868</v>
      </c>
      <c r="G132" s="23" t="n">
        <v>1966.516623</v>
      </c>
      <c r="H132" s="23" t="n">
        <v>1851.357377</v>
      </c>
    </row>
    <row r="133">
      <c r="C133" s="1" t="n">
        <v>-0.005</v>
      </c>
      <c r="D133" s="23" t="n">
        <v>2323.595457</v>
      </c>
      <c r="E133" s="23" t="n">
        <v>2207.923954</v>
      </c>
      <c r="F133" s="23" t="n">
        <v>2092.25245</v>
      </c>
      <c r="G133" s="23" t="n">
        <v>1976.580946</v>
      </c>
      <c r="H133" s="23" t="n">
        <v>1860.909442</v>
      </c>
    </row>
    <row r="134">
      <c r="C134" s="1" t="n">
        <v>0</v>
      </c>
      <c r="D134" s="23" t="n">
        <v>2335.196555</v>
      </c>
      <c r="E134" s="23" t="n">
        <v>2219.012793</v>
      </c>
      <c r="F134" s="23" t="n">
        <v>2102.829031</v>
      </c>
      <c r="G134" s="23" t="n">
        <v>1986.64527</v>
      </c>
      <c r="H134" s="23" t="n">
        <v>1870.461508</v>
      </c>
    </row>
    <row r="135">
      <c r="C135" s="1" t="n">
        <v>0.005</v>
      </c>
      <c r="D135" s="23" t="n">
        <v>2346.797653</v>
      </c>
      <c r="E135" s="23" t="n">
        <v>2230.101633</v>
      </c>
      <c r="F135" s="23" t="n">
        <v>2113.405613</v>
      </c>
      <c r="G135" s="23" t="n">
        <v>1996.709593</v>
      </c>
      <c r="H135" s="23" t="n">
        <v>1880.013573</v>
      </c>
    </row>
    <row r="136">
      <c r="C136" s="1" t="n">
        <v>0.01</v>
      </c>
      <c r="D136" s="23" t="n">
        <v>2358.398751</v>
      </c>
      <c r="E136" s="23" t="n">
        <v>2241.190473</v>
      </c>
      <c r="F136" s="23" t="n">
        <v>2123.982195</v>
      </c>
      <c r="G136" s="23" t="n">
        <v>2006.773916</v>
      </c>
      <c r="H136" s="23" t="n">
        <v>1889.565638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3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1" t="inlineStr">
        <is>
          <t>PT Astra International Tbk (ASII.JK) — Conglomerates &amp; multi-sector holdings</t>
        </is>
      </c>
    </row>
    <row r="2">
      <c r="A2" s="5" t="inlineStr">
        <is>
          <t>Units: IDR bn; per-share in IDR unless marked IDR. Model asof 2026-10-29 · data 2026-10-26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  <c r="M4" s="1" t="inlineStr">
        <is>
          <t>FY2031E</t>
        </is>
      </c>
      <c r="N4" s="1" t="inlineStr">
        <is>
          <t>FY2032E</t>
        </is>
      </c>
      <c r="O4" s="1" t="inlineStr">
        <is>
          <t>FY2033E</t>
        </is>
      </c>
      <c r="P4" s="1" t="inlineStr">
        <is>
          <t>FY2034E</t>
        </is>
      </c>
      <c r="Q4" s="1" t="inlineStr">
        <is>
          <t>FY2035E</t>
        </is>
      </c>
    </row>
    <row r="6">
      <c r="A6" s="1" t="inlineStr">
        <is>
          <t>PARAMETERS</t>
        </is>
      </c>
    </row>
    <row r="7">
      <c r="A7" t="inlineStr">
        <is>
          <t>ps_factor</t>
        </is>
      </c>
      <c r="C7" s="12" t="n">
        <v>1000</v>
      </c>
    </row>
    <row r="8">
      <c r="A8" t="inlineStr">
        <is>
          <t>vp_factor</t>
        </is>
      </c>
      <c r="C8" s="12" t="n">
        <v>1</v>
      </c>
    </row>
    <row r="10">
      <c r="A10" s="1" t="inlineStr">
        <is>
          <t>INPUTS (company assumptions)</t>
        </is>
      </c>
    </row>
    <row r="11">
      <c r="A11" t="inlineStr">
        <is>
          <t>Revenue growth</t>
        </is>
      </c>
      <c r="B11" t="inlineStr">
        <is>
          <t>a.revenue_growth</t>
        </is>
      </c>
      <c r="H11" s="4" t="n">
        <v>0.01</v>
      </c>
      <c r="I11" s="4" t="n">
        <v>0.05</v>
      </c>
      <c r="J11" s="4" t="n">
        <v>0.05</v>
      </c>
      <c r="K11" s="4" t="n">
        <v>0.05</v>
      </c>
      <c r="L11" s="4" t="n">
        <v>0.05</v>
      </c>
      <c r="M11" s="4" t="n">
        <v>0.05</v>
      </c>
      <c r="N11" s="4" t="n">
        <v>0.05</v>
      </c>
      <c r="O11" s="4" t="n">
        <v>0.05</v>
      </c>
      <c r="P11" s="4" t="n">
        <v>0.05</v>
      </c>
      <c r="Q11" s="4" t="n">
        <v>0.05</v>
      </c>
    </row>
    <row r="12">
      <c r="A12" t="inlineStr">
        <is>
          <t>Gross margin at base input costs</t>
        </is>
      </c>
      <c r="B12" t="inlineStr">
        <is>
          <t>a.gross_margin</t>
        </is>
      </c>
      <c r="H12" s="4" t="n">
        <v>0.2169</v>
      </c>
      <c r="I12" s="4" t="n">
        <v>0.220925</v>
      </c>
      <c r="J12" s="4" t="n">
        <v>0.220925</v>
      </c>
      <c r="K12" s="4" t="n">
        <v>0.220925</v>
      </c>
      <c r="L12" s="4" t="n">
        <v>0.220925</v>
      </c>
      <c r="M12" s="4" t="n">
        <v>0.220925</v>
      </c>
      <c r="N12" s="4" t="n">
        <v>0.220925</v>
      </c>
      <c r="O12" s="4" t="n">
        <v>0.220925</v>
      </c>
      <c r="P12" s="4" t="n">
        <v>0.220925</v>
      </c>
      <c r="Q12" s="4" t="n">
        <v>0.220925</v>
      </c>
    </row>
    <row r="13">
      <c r="A13" t="inlineStr">
        <is>
          <t>SG&amp;A / revenue</t>
        </is>
      </c>
      <c r="B13" t="inlineStr">
        <is>
          <t>a.opex_pct</t>
        </is>
      </c>
      <c r="H13" s="4" t="n">
        <v>0.1112</v>
      </c>
      <c r="I13" s="4" t="n">
        <v>0.1084</v>
      </c>
      <c r="J13" s="4" t="n">
        <v>0.1084</v>
      </c>
      <c r="K13" s="4" t="n">
        <v>0.1084</v>
      </c>
      <c r="L13" s="4" t="n">
        <v>0.1084</v>
      </c>
      <c r="M13" s="4" t="n">
        <v>0.1084</v>
      </c>
      <c r="N13" s="4" t="n">
        <v>0.1084</v>
      </c>
      <c r="O13" s="4" t="n">
        <v>0.1084</v>
      </c>
      <c r="P13" s="4" t="n">
        <v>0.1084</v>
      </c>
      <c r="Q13" s="4" t="n">
        <v>0.1084</v>
      </c>
    </row>
    <row r="14">
      <c r="A14" t="inlineStr">
        <is>
          <t>D&amp;A / revenue</t>
        </is>
      </c>
      <c r="B14" t="inlineStr">
        <is>
          <t>a.da_pct</t>
        </is>
      </c>
      <c r="H14" s="4" t="n">
        <v>0.055261</v>
      </c>
      <c r="I14" s="4" t="n">
        <v>0.055261</v>
      </c>
      <c r="J14" s="4" t="n">
        <v>0.055261</v>
      </c>
      <c r="K14" s="4" t="n">
        <v>0.055261</v>
      </c>
      <c r="L14" s="4" t="n">
        <v>0.055261</v>
      </c>
      <c r="M14" s="4" t="n">
        <v>0.055261</v>
      </c>
      <c r="N14" s="4" t="n">
        <v>0.055261</v>
      </c>
      <c r="O14" s="4" t="n">
        <v>0.055261</v>
      </c>
      <c r="P14" s="4" t="n">
        <v>0.055261</v>
      </c>
      <c r="Q14" s="4" t="n">
        <v>0.055261</v>
      </c>
    </row>
    <row r="15">
      <c r="A15" t="inlineStr">
        <is>
          <t>Capex / revenue</t>
        </is>
      </c>
      <c r="B15" t="inlineStr">
        <is>
          <t>a.capex_pct</t>
        </is>
      </c>
      <c r="H15" s="4" t="n">
        <v>0.053928</v>
      </c>
      <c r="I15" s="4" t="n">
        <v>0.053928</v>
      </c>
      <c r="J15" s="4" t="n">
        <v>0.053928</v>
      </c>
      <c r="K15" s="4" t="n">
        <v>0.053928</v>
      </c>
      <c r="L15" s="4" t="n">
        <v>0.053928</v>
      </c>
      <c r="M15" s="4" t="n">
        <v>0.053928</v>
      </c>
      <c r="N15" s="4" t="n">
        <v>0.053928</v>
      </c>
      <c r="O15" s="4" t="n">
        <v>0.053928</v>
      </c>
      <c r="P15" s="4" t="n">
        <v>0.053928</v>
      </c>
      <c r="Q15" s="4" t="n">
        <v>0.053928</v>
      </c>
    </row>
    <row r="16">
      <c r="A16" t="inlineStr">
        <is>
          <t>Operating working capital / revenue</t>
        </is>
      </c>
      <c r="B16" t="inlineStr">
        <is>
          <t>a.nwc_pct</t>
        </is>
      </c>
      <c r="H16" s="4" t="n">
        <v>0.140455</v>
      </c>
      <c r="I16" s="4" t="n">
        <v>0.140455</v>
      </c>
      <c r="J16" s="4" t="n">
        <v>0.140455</v>
      </c>
      <c r="K16" s="4" t="n">
        <v>0.140455</v>
      </c>
      <c r="L16" s="4" t="n">
        <v>0.140455</v>
      </c>
      <c r="M16" s="4" t="n">
        <v>0.140455</v>
      </c>
      <c r="N16" s="4" t="n">
        <v>0.140455</v>
      </c>
      <c r="O16" s="4" t="n">
        <v>0.140455</v>
      </c>
      <c r="P16" s="4" t="n">
        <v>0.140455</v>
      </c>
      <c r="Q16" s="4" t="n">
        <v>0.140455</v>
      </c>
    </row>
    <row r="17">
      <c r="A17" t="inlineStr">
        <is>
          <t>Effective tax rate</t>
        </is>
      </c>
      <c r="B17" t="inlineStr">
        <is>
          <t>a.tax_rate</t>
        </is>
      </c>
      <c r="H17" s="4" t="n">
        <v>0.184904</v>
      </c>
      <c r="I17" s="4" t="n">
        <v>0.184904</v>
      </c>
      <c r="J17" s="4" t="n">
        <v>0.184904</v>
      </c>
      <c r="K17" s="4" t="n">
        <v>0.184904</v>
      </c>
      <c r="L17" s="4" t="n">
        <v>0.184904</v>
      </c>
      <c r="M17" s="4" t="n">
        <v>0.184904</v>
      </c>
      <c r="N17" s="4" t="n">
        <v>0.184904</v>
      </c>
      <c r="O17" s="4" t="n">
        <v>0.184904</v>
      </c>
      <c r="P17" s="4" t="n">
        <v>0.184904</v>
      </c>
      <c r="Q17" s="4" t="n">
        <v>0.184904</v>
      </c>
    </row>
    <row r="18">
      <c r="A18" t="inlineStr">
        <is>
          <t>Cost of debt (on opening debt)</t>
        </is>
      </c>
      <c r="B18" t="inlineStr">
        <is>
          <t>a.cost_of_debt</t>
        </is>
      </c>
      <c r="C18" s="4" t="n">
        <v>0.040635</v>
      </c>
    </row>
    <row r="19">
      <c r="A19" t="inlineStr">
        <is>
          <t>Yield on opening cash</t>
        </is>
      </c>
      <c r="B19" t="inlineStr">
        <is>
          <t>a.cash_yield</t>
        </is>
      </c>
      <c r="C19" s="4" t="n">
        <v>0.06737799999999999</v>
      </c>
    </row>
    <row r="20">
      <c r="A20" t="inlineStr">
        <is>
          <t>Net new borrowing</t>
        </is>
      </c>
      <c r="B20" t="inlineStr">
        <is>
          <t>a.net_borrowing</t>
        </is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</row>
    <row r="21">
      <c r="A21" t="inlineStr">
        <is>
          <t>Other non-operating items</t>
        </is>
      </c>
      <c r="B21" t="inlineStr">
        <is>
          <t>a.other_nonop</t>
        </is>
      </c>
      <c r="H21" s="13" t="n">
        <v>11548</v>
      </c>
      <c r="I21" s="13" t="n">
        <v>10702</v>
      </c>
      <c r="J21" s="13" t="n">
        <v>10702</v>
      </c>
      <c r="K21" s="13" t="n">
        <v>10702</v>
      </c>
      <c r="L21" s="13" t="n">
        <v>10702</v>
      </c>
      <c r="M21" s="13" t="n">
        <v>10969.55</v>
      </c>
      <c r="N21" s="13" t="n">
        <v>11243.78875</v>
      </c>
      <c r="O21" s="13" t="n">
        <v>11524.88346875</v>
      </c>
      <c r="P21" s="13" t="n">
        <v>11813.00555546874</v>
      </c>
      <c r="Q21" s="13" t="n">
        <v>12108.33069435546</v>
      </c>
    </row>
    <row r="22">
      <c r="A22" t="inlineStr">
        <is>
          <t>Minorities' share of net profit</t>
        </is>
      </c>
      <c r="B22" t="inlineStr">
        <is>
          <t>a.minority_pct</t>
        </is>
      </c>
      <c r="H22" s="4" t="n">
        <v>0.095</v>
      </c>
      <c r="I22" s="4" t="n">
        <v>0.115</v>
      </c>
      <c r="J22" s="4" t="n">
        <v>0.12</v>
      </c>
      <c r="K22" s="4" t="n">
        <v>0.12</v>
      </c>
      <c r="L22" s="4" t="n">
        <v>0.12</v>
      </c>
      <c r="M22" s="4" t="n">
        <v>0.12</v>
      </c>
      <c r="N22" s="4" t="n">
        <v>0.12</v>
      </c>
      <c r="O22" s="4" t="n">
        <v>0.12</v>
      </c>
      <c r="P22" s="4" t="n">
        <v>0.12</v>
      </c>
      <c r="Q22" s="4" t="n">
        <v>0.12</v>
      </c>
    </row>
    <row r="23">
      <c r="A23" t="inlineStr">
        <is>
          <t>Dividend payout</t>
        </is>
      </c>
      <c r="B23" t="inlineStr">
        <is>
          <t>a.payout</t>
        </is>
      </c>
      <c r="H23" s="4" t="n">
        <v>0.5</v>
      </c>
      <c r="I23" s="4" t="n">
        <v>0.5</v>
      </c>
      <c r="J23" s="4" t="n">
        <v>0.5</v>
      </c>
      <c r="K23" s="4" t="n">
        <v>0.5</v>
      </c>
      <c r="L23" s="4" t="n">
        <v>0.5</v>
      </c>
      <c r="M23" s="4" t="n">
        <v>0.5</v>
      </c>
      <c r="N23" s="4" t="n">
        <v>0.5</v>
      </c>
      <c r="O23" s="4" t="n">
        <v>0.5</v>
      </c>
      <c r="P23" s="4" t="n">
        <v>0.5</v>
      </c>
      <c r="Q23" s="4" t="n">
        <v>0.5</v>
      </c>
    </row>
    <row r="24">
      <c r="A24" t="inlineStr">
        <is>
          <t>Change in share count</t>
        </is>
      </c>
      <c r="B24" t="inlineStr">
        <is>
          <t>a.share_change</t>
        </is>
      </c>
      <c r="H24" s="4" t="n">
        <v>-0.013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</row>
    <row r="25">
      <c r="A25" t="inlineStr">
        <is>
          <t>Terminal growth (DCF)</t>
        </is>
      </c>
      <c r="B25" t="inlineStr">
        <is>
          <t>a.terminal_growth</t>
        </is>
      </c>
      <c r="C25" s="4" t="n">
        <v>0.04</v>
      </c>
    </row>
    <row r="26">
      <c r="A26" t="inlineStr">
        <is>
          <t>Holding-company discount to SOTP</t>
        </is>
      </c>
      <c r="B26" t="inlineStr">
        <is>
          <t>a.holdco_discount</t>
        </is>
      </c>
      <c r="C26" s="4" t="n">
        <v>0.25</v>
      </c>
    </row>
    <row r="28">
      <c r="A28" s="1" t="inlineStr">
        <is>
          <t>MODEL</t>
        </is>
      </c>
    </row>
    <row r="29">
      <c r="A29" t="inlineStr">
        <is>
          <t>Revenue</t>
        </is>
      </c>
      <c r="B29" t="inlineStr">
        <is>
          <t>revenue</t>
        </is>
      </c>
      <c r="D29" s="13" t="n">
        <v>301379</v>
      </c>
      <c r="E29" s="13" t="n">
        <v>316565</v>
      </c>
      <c r="F29" s="13" t="n">
        <v>328480</v>
      </c>
      <c r="G29" s="13" t="n">
        <v>323392</v>
      </c>
      <c r="H29" s="14">
        <f>(G29*(1+H11))</f>
        <v/>
      </c>
      <c r="I29" s="14">
        <f>(H29*(1+I11))</f>
        <v/>
      </c>
      <c r="J29" s="14">
        <f>(I29*(1+J11))</f>
        <v/>
      </c>
      <c r="K29" s="14">
        <f>(J29*(1+K11))</f>
        <v/>
      </c>
      <c r="L29" s="14">
        <f>(K29*(1+L11))</f>
        <v/>
      </c>
      <c r="M29" s="14">
        <f>(L29*(1+M11))</f>
        <v/>
      </c>
      <c r="N29" s="14">
        <f>(M29*(1+N11))</f>
        <v/>
      </c>
      <c r="O29" s="14">
        <f>(N29*(1+O11))</f>
        <v/>
      </c>
      <c r="P29" s="14">
        <f>(O29*(1+P11))</f>
        <v/>
      </c>
      <c r="Q29" s="14">
        <f>(P29*(1+Q11))</f>
        <v/>
      </c>
    </row>
    <row r="30">
      <c r="A30" t="inlineStr">
        <is>
          <t>Cost of revenue</t>
        </is>
      </c>
      <c r="B30" t="inlineStr">
        <is>
          <t>cogs</t>
        </is>
      </c>
      <c r="D30" s="13" t="n">
        <v>231291</v>
      </c>
      <c r="E30" s="13" t="n">
        <v>243255</v>
      </c>
      <c r="F30" s="13" t="n">
        <v>255421</v>
      </c>
      <c r="G30" s="13" t="n">
        <v>251948</v>
      </c>
      <c r="H30" s="14">
        <f>(H29*(1-H12))</f>
        <v/>
      </c>
      <c r="I30" s="14">
        <f>(I29*(1-I12))</f>
        <v/>
      </c>
      <c r="J30" s="14">
        <f>(J29*(1-J12))</f>
        <v/>
      </c>
      <c r="K30" s="14">
        <f>(K29*(1-K12))</f>
        <v/>
      </c>
      <c r="L30" s="14">
        <f>(L29*(1-L12))</f>
        <v/>
      </c>
      <c r="M30" s="14">
        <f>(M29*(1-M12))</f>
        <v/>
      </c>
      <c r="N30" s="14">
        <f>(N29*(1-N12))</f>
        <v/>
      </c>
      <c r="O30" s="14">
        <f>(O29*(1-O12))</f>
        <v/>
      </c>
      <c r="P30" s="14">
        <f>(P29*(1-P12))</f>
        <v/>
      </c>
      <c r="Q30" s="14">
        <f>(Q29*(1-Q12))</f>
        <v/>
      </c>
    </row>
    <row r="31">
      <c r="A31" t="inlineStr">
        <is>
          <t>Gross profit</t>
        </is>
      </c>
      <c r="B31" t="inlineStr">
        <is>
          <t>gross_profit</t>
        </is>
      </c>
      <c r="D31" s="13" t="n">
        <v>70088</v>
      </c>
      <c r="E31" s="13" t="n">
        <v>73310</v>
      </c>
      <c r="F31" s="13" t="n">
        <v>73059</v>
      </c>
      <c r="G31" s="13" t="n">
        <v>71444</v>
      </c>
      <c r="H31" s="14">
        <f>(H29-H30)</f>
        <v/>
      </c>
      <c r="I31" s="14">
        <f>(I29-I30)</f>
        <v/>
      </c>
      <c r="J31" s="14">
        <f>(J29-J30)</f>
        <v/>
      </c>
      <c r="K31" s="14">
        <f>(K29-K30)</f>
        <v/>
      </c>
      <c r="L31" s="14">
        <f>(L29-L30)</f>
        <v/>
      </c>
      <c r="M31" s="14">
        <f>(M29-M30)</f>
        <v/>
      </c>
      <c r="N31" s="14">
        <f>(N29-N30)</f>
        <v/>
      </c>
      <c r="O31" s="14">
        <f>(O29-O30)</f>
        <v/>
      </c>
      <c r="P31" s="14">
        <f>(P29-P30)</f>
        <v/>
      </c>
      <c r="Q31" s="14">
        <f>(Q29-Q30)</f>
        <v/>
      </c>
    </row>
    <row r="32">
      <c r="A32" t="inlineStr">
        <is>
          <t>SG&amp;A and other opex</t>
        </is>
      </c>
      <c r="B32" t="inlineStr">
        <is>
          <t>opex</t>
        </is>
      </c>
      <c r="D32" s="13" t="n">
        <v>27887</v>
      </c>
      <c r="E32" s="13" t="n">
        <v>29042</v>
      </c>
      <c r="F32" s="13" t="n">
        <v>30659</v>
      </c>
      <c r="G32" s="13" t="n">
        <v>32779</v>
      </c>
      <c r="H32" s="14">
        <f>(H29*H13)</f>
        <v/>
      </c>
      <c r="I32" s="14">
        <f>(I29*I13)</f>
        <v/>
      </c>
      <c r="J32" s="14">
        <f>(J29*J13)</f>
        <v/>
      </c>
      <c r="K32" s="14">
        <f>(K29*K13)</f>
        <v/>
      </c>
      <c r="L32" s="14">
        <f>(L29*L13)</f>
        <v/>
      </c>
      <c r="M32" s="14">
        <f>(M29*M13)</f>
        <v/>
      </c>
      <c r="N32" s="14">
        <f>(N29*N13)</f>
        <v/>
      </c>
      <c r="O32" s="14">
        <f>(O29*O13)</f>
        <v/>
      </c>
      <c r="P32" s="14">
        <f>(P29*P13)</f>
        <v/>
      </c>
      <c r="Q32" s="14">
        <f>(Q29*Q13)</f>
        <v/>
      </c>
    </row>
    <row r="33">
      <c r="A33" t="inlineStr">
        <is>
          <t>EBIT</t>
        </is>
      </c>
      <c r="B33" t="inlineStr">
        <is>
          <t>ebit</t>
        </is>
      </c>
      <c r="D33" s="13" t="n">
        <v>42201</v>
      </c>
      <c r="E33" s="13" t="n">
        <v>44268</v>
      </c>
      <c r="F33" s="13" t="n">
        <v>42400</v>
      </c>
      <c r="G33" s="13" t="n">
        <v>38665</v>
      </c>
      <c r="H33" s="14">
        <f>(H31-H32)</f>
        <v/>
      </c>
      <c r="I33" s="14">
        <f>(I31-I32)</f>
        <v/>
      </c>
      <c r="J33" s="14">
        <f>(J31-J32)</f>
        <v/>
      </c>
      <c r="K33" s="14">
        <f>(K31-K32)</f>
        <v/>
      </c>
      <c r="L33" s="14">
        <f>(L31-L32)</f>
        <v/>
      </c>
      <c r="M33" s="14">
        <f>(M31-M32)</f>
        <v/>
      </c>
      <c r="N33" s="14">
        <f>(N31-N32)</f>
        <v/>
      </c>
      <c r="O33" s="14">
        <f>(O31-O32)</f>
        <v/>
      </c>
      <c r="P33" s="14">
        <f>(P31-P32)</f>
        <v/>
      </c>
      <c r="Q33" s="14">
        <f>(Q31-Q32)</f>
        <v/>
      </c>
    </row>
    <row r="34">
      <c r="A34" t="inlineStr">
        <is>
          <t>Depreciation &amp; amortisation</t>
        </is>
      </c>
      <c r="B34" t="inlineStr">
        <is>
          <t>da</t>
        </is>
      </c>
      <c r="D34" s="13" t="n"/>
      <c r="E34" s="13" t="n"/>
      <c r="F34" s="13" t="n">
        <v>16696</v>
      </c>
      <c r="G34" s="13" t="n">
        <v>17871</v>
      </c>
      <c r="H34" s="14">
        <f>(H29*H14)</f>
        <v/>
      </c>
      <c r="I34" s="14">
        <f>(I29*I14)</f>
        <v/>
      </c>
      <c r="J34" s="14">
        <f>(J29*J14)</f>
        <v/>
      </c>
      <c r="K34" s="14">
        <f>(K29*K14)</f>
        <v/>
      </c>
      <c r="L34" s="14">
        <f>(L29*L14)</f>
        <v/>
      </c>
      <c r="M34" s="14">
        <f>(M29*M14)</f>
        <v/>
      </c>
      <c r="N34" s="14">
        <f>(N29*N14)</f>
        <v/>
      </c>
      <c r="O34" s="14">
        <f>(O29*O14)</f>
        <v/>
      </c>
      <c r="P34" s="14">
        <f>(P29*P14)</f>
        <v/>
      </c>
      <c r="Q34" s="14">
        <f>(Q29*Q14)</f>
        <v/>
      </c>
    </row>
    <row r="35">
      <c r="A35" t="inlineStr">
        <is>
          <t>EBITDA</t>
        </is>
      </c>
      <c r="B35" t="inlineStr">
        <is>
          <t>ebitda</t>
        </is>
      </c>
      <c r="D35" s="13" t="n"/>
      <c r="E35" s="13" t="n"/>
      <c r="F35" s="13" t="n">
        <v>59096</v>
      </c>
      <c r="G35" s="13" t="n">
        <v>56536</v>
      </c>
      <c r="H35" s="14">
        <f>(H33+H34)</f>
        <v/>
      </c>
      <c r="I35" s="14">
        <f>(I33+I34)</f>
        <v/>
      </c>
      <c r="J35" s="14">
        <f>(J33+J34)</f>
        <v/>
      </c>
      <c r="K35" s="14">
        <f>(K33+K34)</f>
        <v/>
      </c>
      <c r="L35" s="14">
        <f>(L33+L34)</f>
        <v/>
      </c>
      <c r="M35" s="14">
        <f>(M33+M34)</f>
        <v/>
      </c>
      <c r="N35" s="14">
        <f>(N33+N34)</f>
        <v/>
      </c>
      <c r="O35" s="14">
        <f>(O33+O34)</f>
        <v/>
      </c>
      <c r="P35" s="14">
        <f>(P33+P34)</f>
        <v/>
      </c>
      <c r="Q35" s="14">
        <f>(Q33+Q34)</f>
        <v/>
      </c>
    </row>
    <row r="36">
      <c r="A36" t="inlineStr">
        <is>
          <t>Interest expense</t>
        </is>
      </c>
      <c r="B36" t="inlineStr">
        <is>
          <t>interest_expense</t>
        </is>
      </c>
      <c r="D36" s="13" t="n">
        <v>2107</v>
      </c>
      <c r="E36" s="13" t="n">
        <v>3112</v>
      </c>
      <c r="F36" s="13" t="n">
        <v>3808</v>
      </c>
      <c r="G36" s="13" t="n">
        <v>3734</v>
      </c>
      <c r="H36" s="14">
        <f>(G56*$C$18)</f>
        <v/>
      </c>
      <c r="I36" s="14">
        <f>(H56*$C$18)</f>
        <v/>
      </c>
      <c r="J36" s="14">
        <f>(I56*$C$18)</f>
        <v/>
      </c>
      <c r="K36" s="14">
        <f>(J56*$C$18)</f>
        <v/>
      </c>
      <c r="L36" s="14">
        <f>(K56*$C$18)</f>
        <v/>
      </c>
      <c r="M36" s="14">
        <f>(L56*$C$18)</f>
        <v/>
      </c>
      <c r="N36" s="14">
        <f>(M56*$C$18)</f>
        <v/>
      </c>
      <c r="O36" s="14">
        <f>(N56*$C$18)</f>
        <v/>
      </c>
      <c r="P36" s="14">
        <f>(O56*$C$18)</f>
        <v/>
      </c>
      <c r="Q36" s="14">
        <f>(P56*$C$18)</f>
        <v/>
      </c>
    </row>
    <row r="37">
      <c r="A37" t="inlineStr">
        <is>
          <t>Interest income</t>
        </is>
      </c>
      <c r="B37" t="inlineStr">
        <is>
          <t>interest_income</t>
        </is>
      </c>
      <c r="D37" s="13" t="n">
        <v>2535</v>
      </c>
      <c r="E37" s="13" t="n">
        <v>3053</v>
      </c>
      <c r="F37" s="13" t="n">
        <v>3289</v>
      </c>
      <c r="G37" s="13" t="n">
        <v>3655</v>
      </c>
      <c r="H37" s="14">
        <f>(G55*$C$19)</f>
        <v/>
      </c>
      <c r="I37" s="14">
        <f>(H55*$C$19)</f>
        <v/>
      </c>
      <c r="J37" s="14">
        <f>(I55*$C$19)</f>
        <v/>
      </c>
      <c r="K37" s="14">
        <f>(J55*$C$19)</f>
        <v/>
      </c>
      <c r="L37" s="14">
        <f>(K55*$C$19)</f>
        <v/>
      </c>
      <c r="M37" s="14">
        <f>(L55*$C$19)</f>
        <v/>
      </c>
      <c r="N37" s="14">
        <f>(M55*$C$19)</f>
        <v/>
      </c>
      <c r="O37" s="14">
        <f>(N55*$C$19)</f>
        <v/>
      </c>
      <c r="P37" s="14">
        <f>(O55*$C$19)</f>
        <v/>
      </c>
      <c r="Q37" s="14">
        <f>(P55*$C$19)</f>
        <v/>
      </c>
    </row>
    <row r="38">
      <c r="A38" t="inlineStr">
        <is>
          <t>Other non-operating</t>
        </is>
      </c>
      <c r="B38" t="inlineStr">
        <is>
          <t>other_nonop</t>
        </is>
      </c>
      <c r="D38" s="13" t="n">
        <v>7761</v>
      </c>
      <c r="E38" s="13" t="n">
        <v>10520</v>
      </c>
      <c r="F38" s="13" t="n">
        <v>11120</v>
      </c>
      <c r="G38" s="13" t="n">
        <v>10702</v>
      </c>
      <c r="H38" s="14">
        <f>H21</f>
        <v/>
      </c>
      <c r="I38" s="14">
        <f>I21</f>
        <v/>
      </c>
      <c r="J38" s="14">
        <f>J21</f>
        <v/>
      </c>
      <c r="K38" s="14">
        <f>K21</f>
        <v/>
      </c>
      <c r="L38" s="14">
        <f>L21</f>
        <v/>
      </c>
      <c r="M38" s="14">
        <f>M21</f>
        <v/>
      </c>
      <c r="N38" s="14">
        <f>N21</f>
        <v/>
      </c>
      <c r="O38" s="14">
        <f>O21</f>
        <v/>
      </c>
      <c r="P38" s="14">
        <f>P21</f>
        <v/>
      </c>
      <c r="Q38" s="14">
        <f>Q21</f>
        <v/>
      </c>
    </row>
    <row r="39">
      <c r="A39" t="inlineStr">
        <is>
          <t>Profit before tax</t>
        </is>
      </c>
      <c r="B39" t="inlineStr">
        <is>
          <t>pbt</t>
        </is>
      </c>
      <c r="D39" s="13" t="n">
        <v>50390</v>
      </c>
      <c r="E39" s="13" t="n">
        <v>54729</v>
      </c>
      <c r="F39" s="13" t="n">
        <v>53001</v>
      </c>
      <c r="G39" s="13" t="n">
        <v>49288</v>
      </c>
      <c r="H39" s="14">
        <f>(((H33-H36)+H37)+H38)</f>
        <v/>
      </c>
      <c r="I39" s="14">
        <f>(((I33-I36)+I37)+I38)</f>
        <v/>
      </c>
      <c r="J39" s="14">
        <f>(((J33-J36)+J37)+J38)</f>
        <v/>
      </c>
      <c r="K39" s="14">
        <f>(((K33-K36)+K37)+K38)</f>
        <v/>
      </c>
      <c r="L39" s="14">
        <f>(((L33-L36)+L37)+L38)</f>
        <v/>
      </c>
      <c r="M39" s="14">
        <f>(((M33-M36)+M37)+M38)</f>
        <v/>
      </c>
      <c r="N39" s="14">
        <f>(((N33-N36)+N37)+N38)</f>
        <v/>
      </c>
      <c r="O39" s="14">
        <f>(((O33-O36)+O37)+O38)</f>
        <v/>
      </c>
      <c r="P39" s="14">
        <f>(((P33-P36)+P37)+P38)</f>
        <v/>
      </c>
      <c r="Q39" s="14">
        <f>(((Q33-Q36)+Q37)+Q38)</f>
        <v/>
      </c>
    </row>
    <row r="40">
      <c r="A40" t="inlineStr">
        <is>
          <t>Tax</t>
        </is>
      </c>
      <c r="B40" t="inlineStr">
        <is>
          <t>tax</t>
        </is>
      </c>
      <c r="D40" s="13" t="n">
        <v>9970</v>
      </c>
      <c r="E40" s="13" t="n">
        <v>10228</v>
      </c>
      <c r="F40" s="13" t="n">
        <v>9728</v>
      </c>
      <c r="G40" s="13" t="n">
        <v>9083</v>
      </c>
      <c r="H40" s="14">
        <f>(MAX(H39,0)*H17)</f>
        <v/>
      </c>
      <c r="I40" s="14">
        <f>(MAX(I39,0)*I17)</f>
        <v/>
      </c>
      <c r="J40" s="14">
        <f>(MAX(J39,0)*J17)</f>
        <v/>
      </c>
      <c r="K40" s="14">
        <f>(MAX(K39,0)*K17)</f>
        <v/>
      </c>
      <c r="L40" s="14">
        <f>(MAX(L39,0)*L17)</f>
        <v/>
      </c>
      <c r="M40" s="14">
        <f>(MAX(M39,0)*M17)</f>
        <v/>
      </c>
      <c r="N40" s="14">
        <f>(MAX(N39,0)*N17)</f>
        <v/>
      </c>
      <c r="O40" s="14">
        <f>(MAX(O39,0)*O17)</f>
        <v/>
      </c>
      <c r="P40" s="14">
        <f>(MAX(P39,0)*P17)</f>
        <v/>
      </c>
      <c r="Q40" s="14">
        <f>(MAX(Q39,0)*Q17)</f>
        <v/>
      </c>
    </row>
    <row r="41">
      <c r="A41" t="inlineStr">
        <is>
          <t>Net profit (incl. minorities)</t>
        </is>
      </c>
      <c r="B41" t="inlineStr">
        <is>
          <t>np</t>
        </is>
      </c>
      <c r="D41" s="13" t="n">
        <v>40420</v>
      </c>
      <c r="E41" s="13" t="n">
        <v>44501</v>
      </c>
      <c r="F41" s="13" t="n">
        <v>43273</v>
      </c>
      <c r="G41" s="13" t="n">
        <v>40205</v>
      </c>
      <c r="H41" s="14">
        <f>(H39-H40)</f>
        <v/>
      </c>
      <c r="I41" s="14">
        <f>(I39-I40)</f>
        <v/>
      </c>
      <c r="J41" s="14">
        <f>(J39-J40)</f>
        <v/>
      </c>
      <c r="K41" s="14">
        <f>(K39-K40)</f>
        <v/>
      </c>
      <c r="L41" s="14">
        <f>(L39-L40)</f>
        <v/>
      </c>
      <c r="M41" s="14">
        <f>(M39-M40)</f>
        <v/>
      </c>
      <c r="N41" s="14">
        <f>(N39-N40)</f>
        <v/>
      </c>
      <c r="O41" s="14">
        <f>(O39-O40)</f>
        <v/>
      </c>
      <c r="P41" s="14">
        <f>(P39-P40)</f>
        <v/>
      </c>
      <c r="Q41" s="14">
        <f>(Q39-Q40)</f>
        <v/>
      </c>
    </row>
    <row r="42">
      <c r="A42" t="inlineStr">
        <is>
          <t>Minority interests</t>
        </is>
      </c>
      <c r="B42" t="inlineStr">
        <is>
          <t>minority</t>
        </is>
      </c>
      <c r="D42" s="13" t="n">
        <v>11476</v>
      </c>
      <c r="E42" s="13" t="n">
        <v>10662</v>
      </c>
      <c r="F42" s="13" t="n">
        <v>9372</v>
      </c>
      <c r="G42" s="13" t="n">
        <v>7436</v>
      </c>
      <c r="H42" s="14">
        <f>(H41*H22)</f>
        <v/>
      </c>
      <c r="I42" s="14">
        <f>(I41*I22)</f>
        <v/>
      </c>
      <c r="J42" s="14">
        <f>(J41*J22)</f>
        <v/>
      </c>
      <c r="K42" s="14">
        <f>(K41*K22)</f>
        <v/>
      </c>
      <c r="L42" s="14">
        <f>(L41*L22)</f>
        <v/>
      </c>
      <c r="M42" s="14">
        <f>(M41*M22)</f>
        <v/>
      </c>
      <c r="N42" s="14">
        <f>(N41*N22)</f>
        <v/>
      </c>
      <c r="O42" s="14">
        <f>(O41*O22)</f>
        <v/>
      </c>
      <c r="P42" s="14">
        <f>(P41*P22)</f>
        <v/>
      </c>
      <c r="Q42" s="14">
        <f>(Q41*Q22)</f>
        <v/>
      </c>
    </row>
    <row r="43">
      <c r="A43" t="inlineStr">
        <is>
          <t>Net profit to parent</t>
        </is>
      </c>
      <c r="B43" t="inlineStr">
        <is>
          <t>np_parent</t>
        </is>
      </c>
      <c r="D43" s="13" t="n">
        <v>28944</v>
      </c>
      <c r="E43" s="13" t="n">
        <v>33839</v>
      </c>
      <c r="F43" s="13" t="n">
        <v>33901</v>
      </c>
      <c r="G43" s="13" t="n">
        <v>32769</v>
      </c>
      <c r="H43" s="14">
        <f>(H41-H42)</f>
        <v/>
      </c>
      <c r="I43" s="14">
        <f>(I41-I42)</f>
        <v/>
      </c>
      <c r="J43" s="14">
        <f>(J41-J42)</f>
        <v/>
      </c>
      <c r="K43" s="14">
        <f>(K41-K42)</f>
        <v/>
      </c>
      <c r="L43" s="14">
        <f>(L41-L42)</f>
        <v/>
      </c>
      <c r="M43" s="14">
        <f>(M41-M42)</f>
        <v/>
      </c>
      <c r="N43" s="14">
        <f>(N41-N42)</f>
        <v/>
      </c>
      <c r="O43" s="14">
        <f>(O41-O42)</f>
        <v/>
      </c>
      <c r="P43" s="14">
        <f>(P41-P42)</f>
        <v/>
      </c>
      <c r="Q43" s="14">
        <f>(Q41-Q42)</f>
        <v/>
      </c>
    </row>
    <row r="44">
      <c r="A44" t="inlineStr">
        <is>
          <t>Shares outstanding (m)</t>
        </is>
      </c>
      <c r="B44" t="inlineStr">
        <is>
          <t>shares</t>
        </is>
      </c>
      <c r="D44" s="13" t="n">
        <v>40483.55314</v>
      </c>
      <c r="E44" s="13" t="n">
        <v>40483.55314</v>
      </c>
      <c r="F44" s="13" t="n">
        <v>40483.55314</v>
      </c>
      <c r="G44" s="13" t="n">
        <v>40213.71534</v>
      </c>
      <c r="H44" s="14">
        <f>(G44*(1+H24))</f>
        <v/>
      </c>
      <c r="I44" s="14">
        <f>(H44*(1+I24))</f>
        <v/>
      </c>
      <c r="J44" s="14">
        <f>(I44*(1+J24))</f>
        <v/>
      </c>
      <c r="K44" s="14">
        <f>(J44*(1+K24))</f>
        <v/>
      </c>
      <c r="L44" s="14">
        <f>(K44*(1+L24))</f>
        <v/>
      </c>
      <c r="M44" s="14">
        <f>(L44*(1+M24))</f>
        <v/>
      </c>
      <c r="N44" s="14">
        <f>(M44*(1+N24))</f>
        <v/>
      </c>
      <c r="O44" s="14">
        <f>(N44*(1+O24))</f>
        <v/>
      </c>
      <c r="P44" s="14">
        <f>(O44*(1+P24))</f>
        <v/>
      </c>
      <c r="Q44" s="14">
        <f>(P44*(1+Q24))</f>
        <v/>
      </c>
    </row>
    <row r="45">
      <c r="A45" t="inlineStr">
        <is>
          <t>EPS</t>
        </is>
      </c>
      <c r="B45" t="inlineStr">
        <is>
          <t>eps</t>
        </is>
      </c>
      <c r="D45" s="15" t="n">
        <v>714.9570073532334</v>
      </c>
      <c r="E45" s="15" t="n">
        <v>835.8703072079211</v>
      </c>
      <c r="F45" s="15" t="n">
        <v>837.4017933347833</v>
      </c>
      <c r="G45" s="15" t="n">
        <v>814.8712379083548</v>
      </c>
      <c r="H45" s="16">
        <f>(IF(H44=0,0,H43/H44)*$C$7)</f>
        <v/>
      </c>
      <c r="I45" s="16">
        <f>(IF(I44=0,0,I43/I44)*$C$7)</f>
        <v/>
      </c>
      <c r="J45" s="16">
        <f>(IF(J44=0,0,J43/J44)*$C$7)</f>
        <v/>
      </c>
      <c r="K45" s="16">
        <f>(IF(K44=0,0,K43/K44)*$C$7)</f>
        <v/>
      </c>
      <c r="L45" s="16">
        <f>(IF(L44=0,0,L43/L44)*$C$7)</f>
        <v/>
      </c>
      <c r="M45" s="16">
        <f>(IF(M44=0,0,M43/M44)*$C$7)</f>
        <v/>
      </c>
      <c r="N45" s="16">
        <f>(IF(N44=0,0,N43/N44)*$C$7)</f>
        <v/>
      </c>
      <c r="O45" s="16">
        <f>(IF(O44=0,0,O43/O44)*$C$7)</f>
        <v/>
      </c>
      <c r="P45" s="16">
        <f>(IF(P44=0,0,P43/P44)*$C$7)</f>
        <v/>
      </c>
      <c r="Q45" s="16">
        <f>(IF(Q44=0,0,Q43/Q44)*$C$7)</f>
        <v/>
      </c>
    </row>
    <row r="46">
      <c r="A46" t="inlineStr">
        <is>
          <t>DPS (declared on the year)</t>
        </is>
      </c>
      <c r="B46" t="inlineStr">
        <is>
          <t>dps</t>
        </is>
      </c>
      <c r="D46" s="15" t="n">
        <v>650</v>
      </c>
      <c r="E46" s="15" t="n">
        <v>519</v>
      </c>
      <c r="F46" s="15" t="n">
        <v>406</v>
      </c>
      <c r="G46" s="15" t="n">
        <v>390</v>
      </c>
      <c r="H46" s="16">
        <f>(MAX(H45,0)*H23)</f>
        <v/>
      </c>
      <c r="I46" s="16">
        <f>(MAX(I45,0)*I23)</f>
        <v/>
      </c>
      <c r="J46" s="16">
        <f>(MAX(J45,0)*J23)</f>
        <v/>
      </c>
      <c r="K46" s="16">
        <f>(MAX(K45,0)*K23)</f>
        <v/>
      </c>
      <c r="L46" s="16">
        <f>(MAX(L45,0)*L23)</f>
        <v/>
      </c>
      <c r="M46" s="16">
        <f>(MAX(M45,0)*M23)</f>
        <v/>
      </c>
      <c r="N46" s="16">
        <f>(MAX(N45,0)*N23)</f>
        <v/>
      </c>
      <c r="O46" s="16">
        <f>(MAX(O45,0)*O23)</f>
        <v/>
      </c>
      <c r="P46" s="16">
        <f>(MAX(P45,0)*P23)</f>
        <v/>
      </c>
      <c r="Q46" s="16">
        <f>(MAX(Q45,0)*Q23)</f>
        <v/>
      </c>
    </row>
    <row r="47">
      <c r="A47" t="inlineStr">
        <is>
          <t>Dividends paid</t>
        </is>
      </c>
      <c r="B47" t="inlineStr">
        <is>
          <t>dividends_paid</t>
        </is>
      </c>
      <c r="D47" s="13" t="n">
        <v>11409</v>
      </c>
      <c r="E47" s="13" t="n">
        <v>26297</v>
      </c>
      <c r="F47" s="13" t="n">
        <v>20998</v>
      </c>
      <c r="G47" s="13" t="n">
        <v>16426</v>
      </c>
      <c r="H47" s="14">
        <f>IF($C$7=0,0,(G46*G44)/$C$7)</f>
        <v/>
      </c>
      <c r="I47" s="14">
        <f>IF($C$7=0,0,(H46*H44)/$C$7)</f>
        <v/>
      </c>
      <c r="J47" s="14">
        <f>IF($C$7=0,0,(I46*I44)/$C$7)</f>
        <v/>
      </c>
      <c r="K47" s="14">
        <f>IF($C$7=0,0,(J46*J44)/$C$7)</f>
        <v/>
      </c>
      <c r="L47" s="14">
        <f>IF($C$7=0,0,(K46*K44)/$C$7)</f>
        <v/>
      </c>
      <c r="M47" s="14">
        <f>IF($C$7=0,0,(L46*L44)/$C$7)</f>
        <v/>
      </c>
      <c r="N47" s="14">
        <f>IF($C$7=0,0,(M46*M44)/$C$7)</f>
        <v/>
      </c>
      <c r="O47" s="14">
        <f>IF($C$7=0,0,(N46*N44)/$C$7)</f>
        <v/>
      </c>
      <c r="P47" s="14">
        <f>IF($C$7=0,0,(O46*O44)/$C$7)</f>
        <v/>
      </c>
      <c r="Q47" s="14">
        <f>IF($C$7=0,0,(P46*P44)/$C$7)</f>
        <v/>
      </c>
    </row>
    <row r="48">
      <c r="A48" t="inlineStr">
        <is>
          <t>Capital expenditure</t>
        </is>
      </c>
      <c r="B48" t="inlineStr">
        <is>
          <t>capex</t>
        </is>
      </c>
      <c r="D48" s="13" t="n">
        <v>11855</v>
      </c>
      <c r="E48" s="13" t="n">
        <v>22098</v>
      </c>
      <c r="F48" s="13" t="n">
        <v>17508</v>
      </c>
      <c r="G48" s="13" t="n">
        <v>17440</v>
      </c>
      <c r="H48" s="14">
        <f>(H29*H15)</f>
        <v/>
      </c>
      <c r="I48" s="14">
        <f>(I29*I15)</f>
        <v/>
      </c>
      <c r="J48" s="14">
        <f>(J29*J15)</f>
        <v/>
      </c>
      <c r="K48" s="14">
        <f>(K29*K15)</f>
        <v/>
      </c>
      <c r="L48" s="14">
        <f>(L29*L15)</f>
        <v/>
      </c>
      <c r="M48" s="14">
        <f>(M29*M15)</f>
        <v/>
      </c>
      <c r="N48" s="14">
        <f>(N29*N15)</f>
        <v/>
      </c>
      <c r="O48" s="14">
        <f>(O29*O15)</f>
        <v/>
      </c>
      <c r="P48" s="14">
        <f>(P29*P15)</f>
        <v/>
      </c>
      <c r="Q48" s="14">
        <f>(Q29*Q15)</f>
        <v/>
      </c>
    </row>
    <row r="49">
      <c r="A49" t="inlineStr">
        <is>
          <t>Change in working capital</t>
        </is>
      </c>
      <c r="B49" t="inlineStr">
        <is>
          <t>delta_nwc</t>
        </is>
      </c>
      <c r="D49" s="13" t="n"/>
      <c r="E49" s="13" t="n">
        <v>4533</v>
      </c>
      <c r="F49" s="13" t="n">
        <v>7857</v>
      </c>
      <c r="G49" s="13" t="n">
        <v>5718</v>
      </c>
      <c r="H49" s="14">
        <f>(H54-G54)</f>
        <v/>
      </c>
      <c r="I49" s="14">
        <f>(I54-H54)</f>
        <v/>
      </c>
      <c r="J49" s="14">
        <f>(J54-I54)</f>
        <v/>
      </c>
      <c r="K49" s="14">
        <f>(K54-J54)</f>
        <v/>
      </c>
      <c r="L49" s="14">
        <f>(L54-K54)</f>
        <v/>
      </c>
      <c r="M49" s="14">
        <f>(M54-L54)</f>
        <v/>
      </c>
      <c r="N49" s="14">
        <f>(N54-M54)</f>
        <v/>
      </c>
      <c r="O49" s="14">
        <f>(O54-N54)</f>
        <v/>
      </c>
      <c r="P49" s="14">
        <f>(P54-O54)</f>
        <v/>
      </c>
      <c r="Q49" s="14">
        <f>(Q54-P54)</f>
        <v/>
      </c>
    </row>
    <row r="50">
      <c r="A50" t="inlineStr">
        <is>
          <t>Free cash flow to firm</t>
        </is>
      </c>
      <c r="B50" t="inlineStr">
        <is>
          <t>fcff</t>
        </is>
      </c>
      <c r="D50" s="13" t="n"/>
      <c r="E50" s="13" t="n"/>
      <c r="F50" s="13" t="n">
        <v>25948.74683496538</v>
      </c>
      <c r="G50" s="13" t="n">
        <v>26252.65113212141</v>
      </c>
      <c r="H50" s="14">
        <f>((((H33*(1-H17))+H34)-H48)-H49)</f>
        <v/>
      </c>
      <c r="I50" s="14">
        <f>((((I33*(1-I17))+I34)-I48)-I49)</f>
        <v/>
      </c>
      <c r="J50" s="14">
        <f>((((J33*(1-J17))+J34)-J48)-J49)</f>
        <v/>
      </c>
      <c r="K50" s="14">
        <f>((((K33*(1-K17))+K34)-K48)-K49)</f>
        <v/>
      </c>
      <c r="L50" s="14">
        <f>((((L33*(1-L17))+L34)-L48)-L49)</f>
        <v/>
      </c>
      <c r="M50" s="14">
        <f>((((M33*(1-M17))+M34)-M48)-M49)</f>
        <v/>
      </c>
      <c r="N50" s="14">
        <f>((((N33*(1-N17))+N34)-N48)-N49)</f>
        <v/>
      </c>
      <c r="O50" s="14">
        <f>((((O33*(1-O17))+O34)-O48)-O49)</f>
        <v/>
      </c>
      <c r="P50" s="14">
        <f>((((P33*(1-P17))+P34)-P48)-P49)</f>
        <v/>
      </c>
      <c r="Q50" s="14">
        <f>((((Q33*(1-Q17))+Q34)-Q48)-Q49)</f>
        <v/>
      </c>
    </row>
    <row r="51">
      <c r="A51" t="inlineStr">
        <is>
          <t>Net borrowing</t>
        </is>
      </c>
      <c r="B51" t="inlineStr">
        <is>
          <t>net_borrowing</t>
        </is>
      </c>
      <c r="D51" s="13" t="n"/>
      <c r="E51" s="13" t="n">
        <v>22589</v>
      </c>
      <c r="F51" s="13" t="n">
        <v>7363</v>
      </c>
      <c r="G51" s="13" t="n">
        <v>9628</v>
      </c>
      <c r="H51" s="14">
        <f>H20</f>
        <v/>
      </c>
      <c r="I51" s="14">
        <f>I20</f>
        <v/>
      </c>
      <c r="J51" s="14">
        <f>J20</f>
        <v/>
      </c>
      <c r="K51" s="14">
        <f>K20</f>
        <v/>
      </c>
      <c r="L51" s="14">
        <f>L20</f>
        <v/>
      </c>
      <c r="M51" s="14">
        <f>M20</f>
        <v/>
      </c>
      <c r="N51" s="14">
        <f>N20</f>
        <v/>
      </c>
      <c r="O51" s="14">
        <f>O20</f>
        <v/>
      </c>
      <c r="P51" s="14">
        <f>P20</f>
        <v/>
      </c>
      <c r="Q51" s="14">
        <f>Q20</f>
        <v/>
      </c>
    </row>
    <row r="52">
      <c r="A52" t="inlineStr">
        <is>
          <t>Dividends to minorities</t>
        </is>
      </c>
      <c r="B52" t="inlineStr">
        <is>
          <t>minority_div</t>
        </is>
      </c>
      <c r="D52" s="13" t="n"/>
      <c r="E52" s="13" t="n"/>
      <c r="F52" s="13" t="n"/>
      <c r="G52" s="13" t="n"/>
      <c r="H52" s="14">
        <f>(MAX(G42,0)*H23)</f>
        <v/>
      </c>
      <c r="I52" s="14">
        <f>(MAX(H42,0)*I23)</f>
        <v/>
      </c>
      <c r="J52" s="14">
        <f>(MAX(I42,0)*J23)</f>
        <v/>
      </c>
      <c r="K52" s="14">
        <f>(MAX(J42,0)*K23)</f>
        <v/>
      </c>
      <c r="L52" s="14">
        <f>(MAX(K42,0)*L23)</f>
        <v/>
      </c>
      <c r="M52" s="14">
        <f>(MAX(L42,0)*M23)</f>
        <v/>
      </c>
      <c r="N52" s="14">
        <f>(MAX(M42,0)*N23)</f>
        <v/>
      </c>
      <c r="O52" s="14">
        <f>(MAX(N42,0)*O23)</f>
        <v/>
      </c>
      <c r="P52" s="14">
        <f>(MAX(O42,0)*P23)</f>
        <v/>
      </c>
      <c r="Q52" s="14">
        <f>(MAX(P42,0)*Q23)</f>
        <v/>
      </c>
    </row>
    <row r="53">
      <c r="A53" t="inlineStr">
        <is>
          <t>Free cash flow to equity</t>
        </is>
      </c>
      <c r="B53" t="inlineStr">
        <is>
          <t>fcfe</t>
        </is>
      </c>
      <c r="D53" s="13" t="n"/>
      <c r="E53" s="13" t="n"/>
      <c r="F53" s="13" t="n"/>
      <c r="G53" s="13" t="n"/>
      <c r="H53" s="14">
        <f>(((((H41+H34)-H48)-H49)+H51)-H52)</f>
        <v/>
      </c>
      <c r="I53" s="14">
        <f>(((((I41+I34)-I48)-I49)+I51)-I52)</f>
        <v/>
      </c>
      <c r="J53" s="14">
        <f>(((((J41+J34)-J48)-J49)+J51)-J52)</f>
        <v/>
      </c>
      <c r="K53" s="14">
        <f>(((((K41+K34)-K48)-K49)+K51)-K52)</f>
        <v/>
      </c>
      <c r="L53" s="14">
        <f>(((((L41+L34)-L48)-L49)+L51)-L52)</f>
        <v/>
      </c>
      <c r="M53" s="14">
        <f>(((((M41+M34)-M48)-M49)+M51)-M52)</f>
        <v/>
      </c>
      <c r="N53" s="14">
        <f>(((((N41+N34)-N48)-N49)+N51)-N52)</f>
        <v/>
      </c>
      <c r="O53" s="14">
        <f>(((((O41+O34)-O48)-O49)+O51)-O52)</f>
        <v/>
      </c>
      <c r="P53" s="14">
        <f>(((((P41+P34)-P48)-P49)+P51)-P52)</f>
        <v/>
      </c>
      <c r="Q53" s="14">
        <f>(((((Q41+Q34)-Q48)-Q49)+Q51)-Q52)</f>
        <v/>
      </c>
    </row>
    <row r="54">
      <c r="A54" t="inlineStr">
        <is>
          <t>Operating working capital</t>
        </is>
      </c>
      <c r="B54" t="inlineStr">
        <is>
          <t>nwc</t>
        </is>
      </c>
      <c r="D54" s="13" t="n">
        <v>33708</v>
      </c>
      <c r="E54" s="13" t="n">
        <v>38241</v>
      </c>
      <c r="F54" s="13" t="n">
        <v>46098</v>
      </c>
      <c r="G54" s="13" t="n">
        <v>51816</v>
      </c>
      <c r="H54" s="14">
        <f>(H29*H16)</f>
        <v/>
      </c>
      <c r="I54" s="14">
        <f>(I29*I16)</f>
        <v/>
      </c>
      <c r="J54" s="14">
        <f>(J29*J16)</f>
        <v/>
      </c>
      <c r="K54" s="14">
        <f>(K29*K16)</f>
        <v/>
      </c>
      <c r="L54" s="14">
        <f>(L29*L16)</f>
        <v/>
      </c>
      <c r="M54" s="14">
        <f>(M29*M16)</f>
        <v/>
      </c>
      <c r="N54" s="14">
        <f>(N29*N16)</f>
        <v/>
      </c>
      <c r="O54" s="14">
        <f>(O29*O16)</f>
        <v/>
      </c>
      <c r="P54" s="14">
        <f>(P29*P16)</f>
        <v/>
      </c>
      <c r="Q54" s="14">
        <f>(Q29*Q16)</f>
        <v/>
      </c>
    </row>
    <row r="55">
      <c r="A55" t="inlineStr">
        <is>
          <t>Cash &amp; equivalents</t>
        </is>
      </c>
      <c r="B55" t="inlineStr">
        <is>
          <t>cash</t>
        </is>
      </c>
      <c r="D55" s="13" t="n">
        <v>61581</v>
      </c>
      <c r="E55" s="13" t="n">
        <v>41984</v>
      </c>
      <c r="F55" s="13" t="n">
        <v>49247</v>
      </c>
      <c r="G55" s="13" t="n">
        <v>53986</v>
      </c>
      <c r="H55" s="14">
        <f>(((((((G55+H41)+H34)-H48)-H49)+H51)-H47)-H52)</f>
        <v/>
      </c>
      <c r="I55" s="14">
        <f>(((((((H55+I41)+I34)-I48)-I49)+I51)-I47)-I52)</f>
        <v/>
      </c>
      <c r="J55" s="14">
        <f>(((((((I55+J41)+J34)-J48)-J49)+J51)-J47)-J52)</f>
        <v/>
      </c>
      <c r="K55" s="14">
        <f>(((((((J55+K41)+K34)-K48)-K49)+K51)-K47)-K52)</f>
        <v/>
      </c>
      <c r="L55" s="14">
        <f>(((((((K55+L41)+L34)-L48)-L49)+L51)-L47)-L52)</f>
        <v/>
      </c>
      <c r="M55" s="14">
        <f>(((((((L55+M41)+M34)-M48)-M49)+M51)-M47)-M52)</f>
        <v/>
      </c>
      <c r="N55" s="14">
        <f>(((((((M55+N41)+N34)-N48)-N49)+N51)-N47)-N52)</f>
        <v/>
      </c>
      <c r="O55" s="14">
        <f>(((((((N55+O41)+O34)-O48)-O49)+O51)-O47)-O52)</f>
        <v/>
      </c>
      <c r="P55" s="14">
        <f>(((((((O55+P41)+P34)-P48)-P49)+P51)-P47)-P52)</f>
        <v/>
      </c>
      <c r="Q55" s="14">
        <f>(((((((P55+Q41)+Q34)-Q48)-Q49)+Q51)-Q47)-Q52)</f>
        <v/>
      </c>
    </row>
    <row r="56">
      <c r="A56" t="inlineStr">
        <is>
          <t>Total debt</t>
        </is>
      </c>
      <c r="B56" t="inlineStr">
        <is>
          <t>debt</t>
        </is>
      </c>
      <c r="D56" s="13" t="n">
        <v>70721</v>
      </c>
      <c r="E56" s="13" t="n">
        <v>93310</v>
      </c>
      <c r="F56" s="13" t="n">
        <v>100673</v>
      </c>
      <c r="G56" s="13" t="n">
        <v>110301</v>
      </c>
      <c r="H56" s="14">
        <f>(G56+H51)</f>
        <v/>
      </c>
      <c r="I56" s="14">
        <f>(H56+I51)</f>
        <v/>
      </c>
      <c r="J56" s="14">
        <f>(I56+J51)</f>
        <v/>
      </c>
      <c r="K56" s="14">
        <f>(J56+K51)</f>
        <v/>
      </c>
      <c r="L56" s="14">
        <f>(K56+L51)</f>
        <v/>
      </c>
      <c r="M56" s="14">
        <f>(L56+M51)</f>
        <v/>
      </c>
      <c r="N56" s="14">
        <f>(M56+N51)</f>
        <v/>
      </c>
      <c r="O56" s="14">
        <f>(N56+O51)</f>
        <v/>
      </c>
      <c r="P56" s="14">
        <f>(O56+P51)</f>
        <v/>
      </c>
      <c r="Q56" s="14">
        <f>(P56+Q51)</f>
        <v/>
      </c>
    </row>
    <row r="57">
      <c r="A57" t="inlineStr">
        <is>
          <t>Fixed assets (net)</t>
        </is>
      </c>
      <c r="B57" t="inlineStr">
        <is>
          <t>ppe</t>
        </is>
      </c>
      <c r="D57" s="13" t="n">
        <v>78751</v>
      </c>
      <c r="E57" s="13" t="n">
        <v>96846</v>
      </c>
      <c r="F57" s="13" t="n">
        <v>101911</v>
      </c>
      <c r="G57" s="13" t="n">
        <v>105960</v>
      </c>
      <c r="H57" s="14">
        <f>((G57+H48)-H34)</f>
        <v/>
      </c>
      <c r="I57" s="14">
        <f>((H57+I48)-I34)</f>
        <v/>
      </c>
      <c r="J57" s="14">
        <f>((I57+J48)-J34)</f>
        <v/>
      </c>
      <c r="K57" s="14">
        <f>((J57+K48)-K34)</f>
        <v/>
      </c>
      <c r="L57" s="14">
        <f>((K57+L48)-L34)</f>
        <v/>
      </c>
      <c r="M57" s="14">
        <f>((L57+M48)-M34)</f>
        <v/>
      </c>
      <c r="N57" s="14">
        <f>((M57+N48)-N34)</f>
        <v/>
      </c>
      <c r="O57" s="14">
        <f>((N57+O48)-O34)</f>
        <v/>
      </c>
      <c r="P57" s="14">
        <f>((O57+P48)-P34)</f>
        <v/>
      </c>
      <c r="Q57" s="14">
        <f>((P57+Q48)-Q34)</f>
        <v/>
      </c>
    </row>
    <row r="58">
      <c r="A58" t="inlineStr">
        <is>
          <t>Parent shareholders' equity</t>
        </is>
      </c>
      <c r="B58" t="inlineStr">
        <is>
          <t>equity</t>
        </is>
      </c>
      <c r="D58" s="13" t="n">
        <v>192142</v>
      </c>
      <c r="E58" s="13" t="n">
        <v>198640</v>
      </c>
      <c r="F58" s="13" t="n">
        <v>213676</v>
      </c>
      <c r="G58" s="13" t="n">
        <v>228906</v>
      </c>
      <c r="H58" s="14">
        <f>((G58+H43)-H47)</f>
        <v/>
      </c>
      <c r="I58" s="14">
        <f>((H58+I43)-I47)</f>
        <v/>
      </c>
      <c r="J58" s="14">
        <f>((I58+J43)-J47)</f>
        <v/>
      </c>
      <c r="K58" s="14">
        <f>((J58+K43)-K47)</f>
        <v/>
      </c>
      <c r="L58" s="14">
        <f>((K58+L43)-L47)</f>
        <v/>
      </c>
      <c r="M58" s="14">
        <f>((L58+M43)-M47)</f>
        <v/>
      </c>
      <c r="N58" s="14">
        <f>((M58+N43)-N47)</f>
        <v/>
      </c>
      <c r="O58" s="14">
        <f>((N58+O43)-O47)</f>
        <v/>
      </c>
      <c r="P58" s="14">
        <f>((O58+P43)-P47)</f>
        <v/>
      </c>
      <c r="Q58" s="14">
        <f>((P58+Q43)-Q47)</f>
        <v/>
      </c>
    </row>
    <row r="59">
      <c r="A59" t="inlineStr">
        <is>
          <t>Minority interest (balance sheet)</t>
        </is>
      </c>
      <c r="B59" t="inlineStr">
        <is>
          <t>minority_bs</t>
        </is>
      </c>
      <c r="D59" s="13" t="n">
        <v>51578</v>
      </c>
      <c r="E59" s="13" t="n">
        <v>51784</v>
      </c>
      <c r="F59" s="13" t="n">
        <v>58328</v>
      </c>
      <c r="G59" s="13" t="n">
        <v>61906</v>
      </c>
      <c r="H59" s="14">
        <f>((G59+H42)-H52)</f>
        <v/>
      </c>
      <c r="I59" s="14">
        <f>((H59+I42)-I52)</f>
        <v/>
      </c>
      <c r="J59" s="14">
        <f>((I59+J42)-J52)</f>
        <v/>
      </c>
      <c r="K59" s="14">
        <f>((J59+K42)-K52)</f>
        <v/>
      </c>
      <c r="L59" s="14">
        <f>((K59+L42)-L52)</f>
        <v/>
      </c>
      <c r="M59" s="14">
        <f>((L59+M42)-M52)</f>
        <v/>
      </c>
      <c r="N59" s="14">
        <f>((M59+N42)-N52)</f>
        <v/>
      </c>
      <c r="O59" s="14">
        <f>((N59+O42)-O52)</f>
        <v/>
      </c>
      <c r="P59" s="14">
        <f>((O59+P42)-P52)</f>
        <v/>
      </c>
      <c r="Q59" s="14">
        <f>((P59+Q42)-Q52)</f>
        <v/>
      </c>
    </row>
    <row r="60">
      <c r="A60" t="inlineStr">
        <is>
          <t>Other assets less other liabilities</t>
        </is>
      </c>
      <c r="B60" t="inlineStr">
        <is>
          <t>other_net</t>
        </is>
      </c>
      <c r="D60" s="13" t="n">
        <v>140401</v>
      </c>
      <c r="E60" s="13" t="n">
        <v>166663</v>
      </c>
      <c r="F60" s="13" t="n">
        <v>175421</v>
      </c>
      <c r="G60" s="13" t="n">
        <v>189351</v>
      </c>
      <c r="H60" s="14">
        <f>G60</f>
        <v/>
      </c>
      <c r="I60" s="14">
        <f>H60</f>
        <v/>
      </c>
      <c r="J60" s="14">
        <f>I60</f>
        <v/>
      </c>
      <c r="K60" s="14">
        <f>J60</f>
        <v/>
      </c>
      <c r="L60" s="14">
        <f>K60</f>
        <v/>
      </c>
      <c r="M60" s="14">
        <f>L60</f>
        <v/>
      </c>
      <c r="N60" s="14">
        <f>M60</f>
        <v/>
      </c>
      <c r="O60" s="14">
        <f>N60</f>
        <v/>
      </c>
      <c r="P60" s="14">
        <f>O60</f>
        <v/>
      </c>
      <c r="Q60" s="14">
        <f>P60</f>
        <v/>
      </c>
    </row>
    <row r="61">
      <c r="A61" t="inlineStr">
        <is>
          <t>Balance check (should be zero)</t>
        </is>
      </c>
      <c r="B61" t="inlineStr">
        <is>
          <t>bs_check</t>
        </is>
      </c>
      <c r="D61" s="13" t="n"/>
      <c r="E61" s="13" t="n"/>
      <c r="F61" s="13" t="n"/>
      <c r="G61" s="13" t="n"/>
      <c r="H61" s="14">
        <f>((((((H55+H54)+H57)+H60)-H56)-H58)-H59)</f>
        <v/>
      </c>
      <c r="I61" s="14">
        <f>((((((I55+I54)+I57)+I60)-I56)-I58)-I59)</f>
        <v/>
      </c>
      <c r="J61" s="14">
        <f>((((((J55+J54)+J57)+J60)-J56)-J58)-J59)</f>
        <v/>
      </c>
      <c r="K61" s="14">
        <f>((((((K55+K54)+K57)+K60)-K56)-K58)-K59)</f>
        <v/>
      </c>
      <c r="L61" s="14">
        <f>((((((L55+L54)+L57)+L60)-L56)-L58)-L59)</f>
        <v/>
      </c>
      <c r="M61" s="14">
        <f>((((((M55+M54)+M57)+M60)-M56)-M58)-M59)</f>
        <v/>
      </c>
      <c r="N61" s="14">
        <f>((((((N55+N54)+N57)+N60)-N56)-N58)-N59)</f>
        <v/>
      </c>
      <c r="O61" s="14">
        <f>((((((O55+O54)+O57)+O60)-O56)-O58)-O59)</f>
        <v/>
      </c>
      <c r="P61" s="14">
        <f>((((((P55+P54)+P57)+P60)-P56)-P58)-P59)</f>
        <v/>
      </c>
      <c r="Q61" s="14">
        <f>((((((Q55+Q54)+Q57)+Q60)-Q56)-Q58)-Q59)</f>
        <v/>
      </c>
    </row>
    <row r="62">
      <c r="A62" t="inlineStr">
        <is>
          <t>Net debt (cash)</t>
        </is>
      </c>
      <c r="B62" t="inlineStr">
        <is>
          <t>net_debt</t>
        </is>
      </c>
      <c r="D62" s="13" t="n">
        <v>9140</v>
      </c>
      <c r="E62" s="13" t="n">
        <v>51326</v>
      </c>
      <c r="F62" s="13" t="n">
        <v>51426</v>
      </c>
      <c r="G62" s="13" t="n">
        <v>56315</v>
      </c>
      <c r="H62" s="14">
        <f>(H56-H55)</f>
        <v/>
      </c>
      <c r="I62" s="14">
        <f>(I56-I55)</f>
        <v/>
      </c>
      <c r="J62" s="14">
        <f>(J56-J55)</f>
        <v/>
      </c>
      <c r="K62" s="14">
        <f>(K56-K55)</f>
        <v/>
      </c>
      <c r="L62" s="14">
        <f>(L56-L55)</f>
        <v/>
      </c>
      <c r="M62" s="14">
        <f>(M56-M55)</f>
        <v/>
      </c>
      <c r="N62" s="14">
        <f>(N56-N55)</f>
        <v/>
      </c>
      <c r="O62" s="14">
        <f>(O56-O55)</f>
        <v/>
      </c>
      <c r="P62" s="14">
        <f>(P56-P55)</f>
        <v/>
      </c>
      <c r="Q62" s="14">
        <f>(Q56-Q55)</f>
        <v/>
      </c>
    </row>
    <row r="63">
      <c r="A63" t="inlineStr">
        <is>
          <t>Book value per share</t>
        </is>
      </c>
      <c r="B63" t="inlineStr">
        <is>
          <t>bvps</t>
        </is>
      </c>
      <c r="D63" s="15" t="n">
        <v>4746.174312702632</v>
      </c>
      <c r="E63" s="15" t="n">
        <v>4906.683939353451</v>
      </c>
      <c r="F63" s="15" t="n">
        <v>5278.094026506686</v>
      </c>
      <c r="G63" s="15" t="n">
        <v>5692.237040637488</v>
      </c>
      <c r="H63" s="16">
        <f>(IF(H44=0,0,H58/H44)*$C$7)</f>
        <v/>
      </c>
      <c r="I63" s="16">
        <f>(IF(I44=0,0,I58/I44)*$C$7)</f>
        <v/>
      </c>
      <c r="J63" s="16">
        <f>(IF(J44=0,0,J58/J44)*$C$7)</f>
        <v/>
      </c>
      <c r="K63" s="16">
        <f>(IF(K44=0,0,K58/K44)*$C$7)</f>
        <v/>
      </c>
      <c r="L63" s="16">
        <f>(IF(L44=0,0,L58/L44)*$C$7)</f>
        <v/>
      </c>
      <c r="M63" s="16">
        <f>(IF(M44=0,0,M58/M44)*$C$7)</f>
        <v/>
      </c>
      <c r="N63" s="16">
        <f>(IF(N44=0,0,N58/N44)*$C$7)</f>
        <v/>
      </c>
      <c r="O63" s="16">
        <f>(IF(O44=0,0,O58/O44)*$C$7)</f>
        <v/>
      </c>
      <c r="P63" s="16">
        <f>(IF(P44=0,0,P58/P44)*$C$7)</f>
        <v/>
      </c>
      <c r="Q63" s="16">
        <f>(IF(Q44=0,0,Q58/Q44)*$C$7)</f>
        <v/>
      </c>
    </row>
    <row r="64">
      <c r="A64" t="inlineStr">
        <is>
          <t>Revenue growth</t>
        </is>
      </c>
      <c r="B64" t="inlineStr">
        <is>
          <t>revenue_growth</t>
        </is>
      </c>
      <c r="D64" s="4" t="n"/>
      <c r="E64" s="4" t="n">
        <v>0.05038838140680002</v>
      </c>
      <c r="F64" s="4" t="n">
        <v>0.03763839969674465</v>
      </c>
      <c r="G64" s="4" t="n">
        <v>-0.01548952752070143</v>
      </c>
      <c r="H64" s="17">
        <f>(IF(G29=0,0,H29/G29)-1)</f>
        <v/>
      </c>
      <c r="I64" s="17">
        <f>(IF(H29=0,0,I29/H29)-1)</f>
        <v/>
      </c>
      <c r="J64" s="17">
        <f>(IF(I29=0,0,J29/I29)-1)</f>
        <v/>
      </c>
      <c r="K64" s="17">
        <f>(IF(J29=0,0,K29/J29)-1)</f>
        <v/>
      </c>
      <c r="L64" s="17">
        <f>(IF(K29=0,0,L29/K29)-1)</f>
        <v/>
      </c>
      <c r="M64" s="17">
        <f>(IF(L29=0,0,M29/L29)-1)</f>
        <v/>
      </c>
      <c r="N64" s="17">
        <f>(IF(M29=0,0,N29/M29)-1)</f>
        <v/>
      </c>
      <c r="O64" s="17">
        <f>(IF(N29=0,0,O29/N29)-1)</f>
        <v/>
      </c>
      <c r="P64" s="17">
        <f>(IF(O29=0,0,P29/O29)-1)</f>
        <v/>
      </c>
      <c r="Q64" s="17">
        <f>(IF(P29=0,0,Q29/P29)-1)</f>
        <v/>
      </c>
    </row>
    <row r="65">
      <c r="A65" t="inlineStr">
        <is>
          <t>Gross margin</t>
        </is>
      </c>
      <c r="B65" t="inlineStr">
        <is>
          <t>gross_margin</t>
        </is>
      </c>
      <c r="D65" s="4" t="n">
        <v>0.2325576765468065</v>
      </c>
      <c r="E65" s="4" t="n">
        <v>0.2315796124018764</v>
      </c>
      <c r="F65" s="4" t="n">
        <v>0.2224153677545056</v>
      </c>
      <c r="G65" s="4" t="n">
        <v>0.2209207401543637</v>
      </c>
      <c r="H65" s="17">
        <f>IF(H29=0,0,H31/H29)</f>
        <v/>
      </c>
      <c r="I65" s="17">
        <f>IF(I29=0,0,I31/I29)</f>
        <v/>
      </c>
      <c r="J65" s="17">
        <f>IF(J29=0,0,J31/J29)</f>
        <v/>
      </c>
      <c r="K65" s="17">
        <f>IF(K29=0,0,K31/K29)</f>
        <v/>
      </c>
      <c r="L65" s="17">
        <f>IF(L29=0,0,L31/L29)</f>
        <v/>
      </c>
      <c r="M65" s="17">
        <f>IF(M29=0,0,M31/M29)</f>
        <v/>
      </c>
      <c r="N65" s="17">
        <f>IF(N29=0,0,N31/N29)</f>
        <v/>
      </c>
      <c r="O65" s="17">
        <f>IF(O29=0,0,O31/O29)</f>
        <v/>
      </c>
      <c r="P65" s="17">
        <f>IF(P29=0,0,P31/P29)</f>
        <v/>
      </c>
      <c r="Q65" s="17">
        <f>IF(Q29=0,0,Q31/Q29)</f>
        <v/>
      </c>
    </row>
    <row r="66">
      <c r="A66" t="inlineStr">
        <is>
          <t>EBITDA margin</t>
        </is>
      </c>
      <c r="B66" t="inlineStr">
        <is>
          <t>ebitda_margin</t>
        </is>
      </c>
      <c r="D66" s="4" t="n"/>
      <c r="E66" s="4" t="n"/>
      <c r="F66" s="4" t="n">
        <v>0.1799074525085241</v>
      </c>
      <c r="G66" s="4" t="n">
        <v>0.1748218879873343</v>
      </c>
      <c r="H66" s="17">
        <f>IF(H29=0,0,H35/H29)</f>
        <v/>
      </c>
      <c r="I66" s="17">
        <f>IF(I29=0,0,I35/I29)</f>
        <v/>
      </c>
      <c r="J66" s="17">
        <f>IF(J29=0,0,J35/J29)</f>
        <v/>
      </c>
      <c r="K66" s="17">
        <f>IF(K29=0,0,K35/K29)</f>
        <v/>
      </c>
      <c r="L66" s="17">
        <f>IF(L29=0,0,L35/L29)</f>
        <v/>
      </c>
      <c r="M66" s="17">
        <f>IF(M29=0,0,M35/M29)</f>
        <v/>
      </c>
      <c r="N66" s="17">
        <f>IF(N29=0,0,N35/N29)</f>
        <v/>
      </c>
      <c r="O66" s="17">
        <f>IF(O29=0,0,O35/O29)</f>
        <v/>
      </c>
      <c r="P66" s="17">
        <f>IF(P29=0,0,P35/P29)</f>
        <v/>
      </c>
      <c r="Q66" s="17">
        <f>IF(Q29=0,0,Q35/Q29)</f>
        <v/>
      </c>
    </row>
    <row r="67">
      <c r="A67" t="inlineStr">
        <is>
          <t>EBIT margin</t>
        </is>
      </c>
      <c r="B67" t="inlineStr">
        <is>
          <t>ebit_margin</t>
        </is>
      </c>
      <c r="D67" s="4" t="n">
        <v>0.1400263455648867</v>
      </c>
      <c r="E67" s="4" t="n">
        <v>0.1398385797545528</v>
      </c>
      <c r="F67" s="4" t="n">
        <v>0.1290793960058451</v>
      </c>
      <c r="G67" s="4" t="n">
        <v>0.1195607807243222</v>
      </c>
      <c r="H67" s="17">
        <f>IF(H29=0,0,H33/H29)</f>
        <v/>
      </c>
      <c r="I67" s="17">
        <f>IF(I29=0,0,I33/I29)</f>
        <v/>
      </c>
      <c r="J67" s="17">
        <f>IF(J29=0,0,J33/J29)</f>
        <v/>
      </c>
      <c r="K67" s="17">
        <f>IF(K29=0,0,K33/K29)</f>
        <v/>
      </c>
      <c r="L67" s="17">
        <f>IF(L29=0,0,L33/L29)</f>
        <v/>
      </c>
      <c r="M67" s="17">
        <f>IF(M29=0,0,M33/M29)</f>
        <v/>
      </c>
      <c r="N67" s="17">
        <f>IF(N29=0,0,N33/N29)</f>
        <v/>
      </c>
      <c r="O67" s="17">
        <f>IF(O29=0,0,O33/O29)</f>
        <v/>
      </c>
      <c r="P67" s="17">
        <f>IF(P29=0,0,P33/P29)</f>
        <v/>
      </c>
      <c r="Q67" s="17">
        <f>IF(Q29=0,0,Q33/Q29)</f>
        <v/>
      </c>
    </row>
    <row r="68">
      <c r="A68" t="inlineStr">
        <is>
          <t>Net margin</t>
        </is>
      </c>
      <c r="B68" t="inlineStr">
        <is>
          <t>np_margin</t>
        </is>
      </c>
      <c r="D68" s="4" t="n">
        <v>0.09603854283145143</v>
      </c>
      <c r="E68" s="4" t="n">
        <v>0.1068943187023202</v>
      </c>
      <c r="F68" s="4" t="n">
        <v>0.1032056746225037</v>
      </c>
      <c r="G68" s="4" t="n">
        <v>0.1013290372056204</v>
      </c>
      <c r="H68" s="17">
        <f>IF(H29=0,0,H43/H29)</f>
        <v/>
      </c>
      <c r="I68" s="17">
        <f>IF(I29=0,0,I43/I29)</f>
        <v/>
      </c>
      <c r="J68" s="17">
        <f>IF(J29=0,0,J43/J29)</f>
        <v/>
      </c>
      <c r="K68" s="17">
        <f>IF(K29=0,0,K43/K29)</f>
        <v/>
      </c>
      <c r="L68" s="17">
        <f>IF(L29=0,0,L43/L29)</f>
        <v/>
      </c>
      <c r="M68" s="17">
        <f>IF(M29=0,0,M43/M29)</f>
        <v/>
      </c>
      <c r="N68" s="17">
        <f>IF(N29=0,0,N43/N29)</f>
        <v/>
      </c>
      <c r="O68" s="17">
        <f>IF(O29=0,0,O43/O29)</f>
        <v/>
      </c>
      <c r="P68" s="17">
        <f>IF(P29=0,0,P43/P29)</f>
        <v/>
      </c>
      <c r="Q68" s="17">
        <f>IF(Q29=0,0,Q43/Q29)</f>
        <v/>
      </c>
    </row>
    <row r="69">
      <c r="A69" t="inlineStr">
        <is>
          <t>EPS growth</t>
        </is>
      </c>
      <c r="B69" t="inlineStr">
        <is>
          <t>eps_growth</t>
        </is>
      </c>
      <c r="D69" s="4" t="n"/>
      <c r="E69" s="4" t="n">
        <v>0.1691196793808736</v>
      </c>
      <c r="F69" s="4" t="n">
        <v>0.001832205443423218</v>
      </c>
      <c r="G69" s="4" t="n">
        <v>-0.02690531069524593</v>
      </c>
      <c r="H69" s="17">
        <f>(IF(G45=0,0,H45/G45)-1)</f>
        <v/>
      </c>
      <c r="I69" s="17">
        <f>(IF(H45=0,0,I45/H45)-1)</f>
        <v/>
      </c>
      <c r="J69" s="17">
        <f>(IF(I45=0,0,J45/I45)-1)</f>
        <v/>
      </c>
      <c r="K69" s="17">
        <f>(IF(J45=0,0,K45/J45)-1)</f>
        <v/>
      </c>
      <c r="L69" s="17">
        <f>(IF(K45=0,0,L45/K45)-1)</f>
        <v/>
      </c>
      <c r="M69" s="17">
        <f>(IF(L45=0,0,M45/L45)-1)</f>
        <v/>
      </c>
      <c r="N69" s="17">
        <f>(IF(M45=0,0,N45/M45)-1)</f>
        <v/>
      </c>
      <c r="O69" s="17">
        <f>(IF(N45=0,0,O45/N45)-1)</f>
        <v/>
      </c>
      <c r="P69" s="17">
        <f>(IF(O45=0,0,P45/O45)-1)</f>
        <v/>
      </c>
      <c r="Q69" s="17">
        <f>(IF(P45=0,0,Q45/P45)-1)</f>
        <v/>
      </c>
    </row>
    <row r="70">
      <c r="A70" t="inlineStr">
        <is>
          <t>ROE</t>
        </is>
      </c>
      <c r="B70" t="inlineStr">
        <is>
          <t>roe</t>
        </is>
      </c>
      <c r="D70" s="4" t="n"/>
      <c r="E70" s="4" t="n">
        <v>0.1731860730535183</v>
      </c>
      <c r="F70" s="4" t="n">
        <v>0.1644418358734563</v>
      </c>
      <c r="G70" s="4" t="n">
        <v>0.14808103357118</v>
      </c>
      <c r="H70" s="17">
        <f>IF(IF(2=0,0,(H58+G58)/2)=0,0,H43/IF(2=0,0,(H58+G58)/2))</f>
        <v/>
      </c>
      <c r="I70" s="17">
        <f>IF(IF(2=0,0,(I58+H58)/2)=0,0,I43/IF(2=0,0,(I58+H58)/2))</f>
        <v/>
      </c>
      <c r="J70" s="17">
        <f>IF(IF(2=0,0,(J58+I58)/2)=0,0,J43/IF(2=0,0,(J58+I58)/2))</f>
        <v/>
      </c>
      <c r="K70" s="17">
        <f>IF(IF(2=0,0,(K58+J58)/2)=0,0,K43/IF(2=0,0,(K58+J58)/2))</f>
        <v/>
      </c>
      <c r="L70" s="17">
        <f>IF(IF(2=0,0,(L58+K58)/2)=0,0,L43/IF(2=0,0,(L58+K58)/2))</f>
        <v/>
      </c>
      <c r="M70" s="17">
        <f>IF(IF(2=0,0,(M58+L58)/2)=0,0,M43/IF(2=0,0,(M58+L58)/2))</f>
        <v/>
      </c>
      <c r="N70" s="17">
        <f>IF(IF(2=0,0,(N58+M58)/2)=0,0,N43/IF(2=0,0,(N58+M58)/2))</f>
        <v/>
      </c>
      <c r="O70" s="17">
        <f>IF(IF(2=0,0,(O58+N58)/2)=0,0,O43/IF(2=0,0,(O58+N58)/2))</f>
        <v/>
      </c>
      <c r="P70" s="17">
        <f>IF(IF(2=0,0,(P58+O58)/2)=0,0,P43/IF(2=0,0,(P58+O58)/2))</f>
        <v/>
      </c>
      <c r="Q70" s="17">
        <f>IF(IF(2=0,0,(Q58+P58)/2)=0,0,Q43/IF(2=0,0,(Q58+P58)/2))</f>
        <v/>
      </c>
    </row>
    <row r="71">
      <c r="A71" t="inlineStr">
        <is>
          <t>Net debt / EBITDA</t>
        </is>
      </c>
      <c r="B71" t="inlineStr">
        <is>
          <t>net_debt_ebitda</t>
        </is>
      </c>
      <c r="D71" s="18" t="n"/>
      <c r="E71" s="18" t="n"/>
      <c r="F71" s="18" t="n">
        <v>0.8702111818058752</v>
      </c>
      <c r="G71" s="18" t="n">
        <v>0.9960909862742323</v>
      </c>
      <c r="H71" s="19">
        <f>IF(H35=0,0,H62/H35)</f>
        <v/>
      </c>
      <c r="I71" s="19">
        <f>IF(I35=0,0,I62/I35)</f>
        <v/>
      </c>
      <c r="J71" s="19">
        <f>IF(J35=0,0,J62/J35)</f>
        <v/>
      </c>
      <c r="K71" s="19">
        <f>IF(K35=0,0,K62/K35)</f>
        <v/>
      </c>
      <c r="L71" s="19">
        <f>IF(L35=0,0,L62/L35)</f>
        <v/>
      </c>
      <c r="M71" s="19">
        <f>IF(M35=0,0,M62/M35)</f>
        <v/>
      </c>
      <c r="N71" s="19">
        <f>IF(N35=0,0,N62/N35)</f>
        <v/>
      </c>
      <c r="O71" s="19">
        <f>IF(O35=0,0,O62/O35)</f>
        <v/>
      </c>
      <c r="P71" s="19">
        <f>IF(P35=0,0,P62/P35)</f>
        <v/>
      </c>
      <c r="Q71" s="19">
        <f>IF(Q35=0,0,Q62/Q35)</f>
        <v/>
      </c>
    </row>
    <row r="72">
      <c r="A72" t="inlineStr">
        <is>
          <t>Payout ratio</t>
        </is>
      </c>
      <c r="B72" t="inlineStr">
        <is>
          <t>payout_ratio</t>
        </is>
      </c>
      <c r="D72" s="4" t="n">
        <v>0.9091455756288006</v>
      </c>
      <c r="E72" s="4" t="n">
        <v>0.6209097219084488</v>
      </c>
      <c r="F72" s="4" t="n">
        <v>0.484832971736527</v>
      </c>
      <c r="G72" s="4" t="n">
        <v>0.4786032220269157</v>
      </c>
      <c r="H72" s="17">
        <f>IF(H45=0,0,H46/H45)</f>
        <v/>
      </c>
      <c r="I72" s="17">
        <f>IF(I45=0,0,I46/I45)</f>
        <v/>
      </c>
      <c r="J72" s="17">
        <f>IF(J45=0,0,J46/J45)</f>
        <v/>
      </c>
      <c r="K72" s="17">
        <f>IF(K45=0,0,K46/K45)</f>
        <v/>
      </c>
      <c r="L72" s="17">
        <f>IF(L45=0,0,L46/L45)</f>
        <v/>
      </c>
      <c r="M72" s="17">
        <f>IF(M45=0,0,M46/M45)</f>
        <v/>
      </c>
      <c r="N72" s="17">
        <f>IF(N45=0,0,N46/N45)</f>
        <v/>
      </c>
      <c r="O72" s="17">
        <f>IF(O45=0,0,O46/O45)</f>
        <v/>
      </c>
      <c r="P72" s="17">
        <f>IF(P45=0,0,P46/P45)</f>
        <v/>
      </c>
      <c r="Q72" s="17">
        <f>IF(Q45=0,0,Q46/Q45)</f>
        <v/>
      </c>
    </row>
    <row r="73">
      <c r="A73" t="inlineStr">
        <is>
          <t>Capex / revenue</t>
        </is>
      </c>
      <c r="B73" t="inlineStr">
        <is>
          <t>capex_revenue</t>
        </is>
      </c>
      <c r="D73" s="4" t="n">
        <v>0.03933585286300638</v>
      </c>
      <c r="E73" s="4" t="n">
        <v>0.06980556915641338</v>
      </c>
      <c r="F73" s="4" t="n">
        <v>0.05330004870920604</v>
      </c>
      <c r="G73" s="4" t="n">
        <v>0.05392835939046111</v>
      </c>
      <c r="H73" s="17">
        <f>IF(H29=0,0,H48/H29)</f>
        <v/>
      </c>
      <c r="I73" s="17">
        <f>IF(I29=0,0,I48/I29)</f>
        <v/>
      </c>
      <c r="J73" s="17">
        <f>IF(J29=0,0,J48/J29)</f>
        <v/>
      </c>
      <c r="K73" s="17">
        <f>IF(K29=0,0,K48/K29)</f>
        <v/>
      </c>
      <c r="L73" s="17">
        <f>IF(L29=0,0,L48/L29)</f>
        <v/>
      </c>
      <c r="M73" s="17">
        <f>IF(M29=0,0,M48/M29)</f>
        <v/>
      </c>
      <c r="N73" s="17">
        <f>IF(N29=0,0,N48/N29)</f>
        <v/>
      </c>
      <c r="O73" s="17">
        <f>IF(O29=0,0,O48/O29)</f>
        <v/>
      </c>
      <c r="P73" s="17">
        <f>IF(P29=0,0,P48/P29)</f>
        <v/>
      </c>
      <c r="Q73" s="17">
        <f>IF(Q29=0,0,Q48/Q29)</f>
        <v/>
      </c>
    </row>
    <row r="75">
      <c r="A75" s="1" t="inlineStr">
        <is>
          <t>VALUATION</t>
        </is>
      </c>
    </row>
    <row r="76">
      <c r="A76" t="inlineStr">
        <is>
          <t>Last price (IDR)</t>
        </is>
      </c>
      <c r="C76" s="15" t="n">
        <v>4540</v>
      </c>
    </row>
    <row r="77">
      <c r="A77" t="inlineStr">
        <is>
          <t>Shares outstanding (m)</t>
        </is>
      </c>
      <c r="C77" s="13" t="n">
        <v>39920.06104</v>
      </c>
    </row>
    <row r="78">
      <c r="A78" t="inlineStr">
        <is>
          <t>IDR per USD (spot)</t>
        </is>
      </c>
      <c r="C78" s="3" t="n">
        <v>18183</v>
      </c>
    </row>
    <row r="79">
      <c r="A79" t="inlineStr">
        <is>
          <t>Debt at balance-sheet date</t>
        </is>
      </c>
      <c r="C79" s="13" t="n">
        <v>119198</v>
      </c>
    </row>
    <row r="80">
      <c r="A80" t="inlineStr">
        <is>
          <t>Cash at balance-sheet date</t>
        </is>
      </c>
      <c r="C80" s="13" t="n">
        <v>47648</v>
      </c>
    </row>
    <row r="81">
      <c r="A81" t="inlineStr">
        <is>
          <t>Minority interest (book)</t>
        </is>
      </c>
      <c r="C81" s="13" t="n">
        <v>59776</v>
      </c>
    </row>
    <row r="82">
      <c r="A82" t="inlineStr">
        <is>
          <t>Associates &amp; investments (book)</t>
        </is>
      </c>
      <c r="C82" s="13" t="n">
        <v>71856</v>
      </c>
    </row>
    <row r="83">
      <c r="A83" t="inlineStr">
        <is>
          <t>Post-balance-sheet &amp; other items (sourced, probability-weighted)</t>
        </is>
      </c>
      <c r="C83" s="13" t="n">
        <v>0</v>
      </c>
    </row>
    <row r="84">
      <c r="A84" t="inlineStr">
        <is>
          <t>Parent equity at balance-sheet date</t>
        </is>
      </c>
      <c r="C84" s="13" t="n">
        <v>238103</v>
      </c>
    </row>
    <row r="85">
      <c r="A85" t="inlineStr">
        <is>
          <t>Per-share factor</t>
        </is>
      </c>
      <c r="C85" s="20" t="n">
        <v>1000</v>
      </c>
    </row>
    <row r="86">
      <c r="A86" t="inlineStr">
        <is>
          <t>Risk-free rate</t>
        </is>
      </c>
      <c r="C86" s="8">
        <f>Drivers!$C$7</f>
        <v/>
      </c>
    </row>
    <row r="87">
      <c r="A87" t="inlineStr">
        <is>
          <t>Less: default spread (IDR only)</t>
        </is>
      </c>
      <c r="C87" s="8">
        <f>Drivers!$C$9</f>
        <v/>
      </c>
    </row>
    <row r="88">
      <c r="A88" t="inlineStr">
        <is>
          <t>Mature ERP + Indonesia CRP</t>
        </is>
      </c>
      <c r="C88" s="8">
        <f>Drivers!$C$10+Drivers!$C$11</f>
        <v/>
      </c>
    </row>
    <row r="89">
      <c r="A89" t="inlineStr">
        <is>
          <t>Tax rate</t>
        </is>
      </c>
      <c r="C89" s="8">
        <f>Drivers!$C$13</f>
        <v/>
      </c>
    </row>
    <row r="90">
      <c r="A90" t="inlineStr">
        <is>
          <t>Unlevered beta (industry default (config))</t>
        </is>
      </c>
      <c r="C90" s="21" t="n">
        <v>0.9</v>
      </c>
    </row>
    <row r="91">
      <c r="A91" t="inlineStr">
        <is>
          <t>Debt / equity (market)</t>
        </is>
      </c>
      <c r="C91" s="21" t="n">
        <v>0.6576910304066798</v>
      </c>
    </row>
    <row r="92">
      <c r="A92" t="inlineStr">
        <is>
          <t>Levered beta</t>
        </is>
      </c>
      <c r="C92" s="22">
        <f>$C$90*(1+(1-$C$89)*$C$91)</f>
        <v/>
      </c>
    </row>
    <row r="93">
      <c r="A93" t="inlineStr">
        <is>
          <t>Explicit company premium</t>
        </is>
      </c>
      <c r="C93" s="4" t="n">
        <v>0</v>
      </c>
    </row>
    <row r="94">
      <c r="A94" t="inlineStr">
        <is>
          <t>Cost of equity</t>
        </is>
      </c>
      <c r="C94" s="10">
        <f>$C$86-$C$87+$C$92*$C$88+$C$93</f>
        <v/>
      </c>
    </row>
    <row r="95">
      <c r="A95" t="inlineStr">
        <is>
          <t>Pre-tax cost of debt</t>
        </is>
      </c>
      <c r="C95" s="10">
        <f>$C$86+Drivers!$C$12</f>
        <v/>
      </c>
    </row>
    <row r="96">
      <c r="A96" t="inlineStr">
        <is>
          <t>WACC</t>
        </is>
      </c>
      <c r="C96" s="10">
        <f>1/(1+$C$91)*$C$94+$C$91/(1+$C$91)*$C$95*(1-$C$89)</f>
        <v/>
      </c>
    </row>
    <row r="97">
      <c r="A97" t="inlineStr">
        <is>
          <t>Terminal growth (capped)</t>
        </is>
      </c>
      <c r="C97" s="4" t="n">
        <v>0.04</v>
      </c>
    </row>
    <row r="99">
      <c r="A99" s="1" t="inlineStr">
        <is>
          <t>Sum of the parts</t>
        </is>
      </c>
    </row>
    <row r="100">
      <c r="A100" t="inlineStr">
        <is>
          <t>Value per share (IDR) — Sum of the parts (engine value)</t>
        </is>
      </c>
      <c r="C100" s="15" t="n">
        <v>4656.957819</v>
      </c>
    </row>
    <row r="102">
      <c r="A102" s="1" t="inlineStr">
        <is>
          <t>P/E</t>
        </is>
      </c>
    </row>
    <row r="103">
      <c r="A103" t="inlineStr">
        <is>
          <t>Target multiple (own five-year average)</t>
        </is>
      </c>
      <c r="C103" s="18" t="n">
        <v>7.20138</v>
      </c>
    </row>
    <row r="104">
      <c r="A104" t="inlineStr">
        <is>
          <t>Metric (LTM, or next-12m DPS for yield)</t>
        </is>
      </c>
      <c r="C104" s="13" t="n">
        <v>32769</v>
      </c>
    </row>
    <row r="105">
      <c r="A105" t="inlineStr">
        <is>
          <t>Value per share (IDR) — P/E</t>
        </is>
      </c>
      <c r="C105" s="23">
        <f>MAX(0,$C$103*$C$104/$C$77*$C$85*1)</f>
        <v/>
      </c>
    </row>
    <row r="107">
      <c r="A107" s="1" t="inlineStr">
        <is>
          <t>P/BV</t>
        </is>
      </c>
    </row>
    <row r="108">
      <c r="A108" t="inlineStr">
        <is>
          <t>Target multiple (own five-year average)</t>
        </is>
      </c>
      <c r="C108" s="18" t="n">
        <v>1.114466</v>
      </c>
    </row>
    <row r="109">
      <c r="A109" t="inlineStr">
        <is>
          <t>Metric (LTM, or next-12m DPS for yield)</t>
        </is>
      </c>
      <c r="C109" s="13" t="n">
        <v>238103</v>
      </c>
    </row>
    <row r="110">
      <c r="A110" t="inlineStr">
        <is>
          <t>Value per share (IDR) — P/BV</t>
        </is>
      </c>
      <c r="C110" s="23">
        <f>MAX(0,$C$108*$C$109/$C$77*$C$85*1)</f>
        <v/>
      </c>
    </row>
    <row r="112">
      <c r="A112" s="1" t="inlineStr">
        <is>
          <t>TARGET</t>
        </is>
      </c>
    </row>
    <row r="113">
      <c r="A113" t="inlineStr">
        <is>
          <t>Weight: Sum of the parts</t>
        </is>
      </c>
      <c r="C113" s="4" t="n">
        <v>0.96</v>
      </c>
    </row>
    <row r="114">
      <c r="A114" t="inlineStr">
        <is>
          <t>Weight: P/E</t>
        </is>
      </c>
      <c r="C114" s="4" t="n">
        <v>0.02</v>
      </c>
    </row>
    <row r="115">
      <c r="A115" t="inlineStr">
        <is>
          <t>Weight: P/BV</t>
        </is>
      </c>
      <c r="C115" s="4" t="n">
        <v>0.02</v>
      </c>
    </row>
    <row r="116">
      <c r="A116" t="inlineStr">
        <is>
          <t>Value today (weighted)</t>
        </is>
      </c>
      <c r="C116" s="23">
        <f>$C$100*$C$113+$C$105*$C$114+$C$110*$C$115</f>
        <v/>
      </c>
    </row>
    <row r="117">
      <c r="A117" t="inlineStr">
        <is>
          <t>DPS expected in next 12 months (IDR)</t>
        </is>
      </c>
      <c r="C117" s="15" t="n">
        <v>420.2821550913887</v>
      </c>
    </row>
    <row r="118">
      <c r="A118" t="inlineStr">
        <is>
          <t>Base-case 12-month value</t>
        </is>
      </c>
      <c r="C118" s="23">
        <f>MAX(0,$C$116*(1+$C$94)-$C$117)</f>
        <v/>
      </c>
    </row>
    <row r="119">
      <c r="A119" t="inlineStr">
        <is>
          <t>Bear probability</t>
        </is>
      </c>
      <c r="C119" s="4" t="n">
        <v>0.25</v>
      </c>
    </row>
    <row r="120">
      <c r="A120" t="inlineStr">
        <is>
          <t>Bear 12-month value (engine)</t>
        </is>
      </c>
      <c r="C120" s="15" t="n">
        <v>4042.740011534145</v>
      </c>
    </row>
    <row r="121">
      <c r="A121" t="inlineStr">
        <is>
          <t>Base probability</t>
        </is>
      </c>
      <c r="C121" s="4" t="n">
        <v>0.5</v>
      </c>
    </row>
    <row r="122">
      <c r="A122" t="inlineStr">
        <is>
          <t>Bull probability</t>
        </is>
      </c>
      <c r="C122" s="4" t="n">
        <v>0.25</v>
      </c>
    </row>
    <row r="123">
      <c r="A123" t="inlineStr">
        <is>
          <t>Bull 12-month value (engine)</t>
        </is>
      </c>
      <c r="C123" s="15" t="n">
        <v>5969.101852352195</v>
      </c>
    </row>
    <row r="124">
      <c r="A124" t="inlineStr">
        <is>
          <t>Probability-weighted 12-month value</t>
        </is>
      </c>
      <c r="C124" s="23">
        <f>$C$119*$C$120+$C$121*$C$118+$C$122*$C$123</f>
        <v/>
      </c>
    </row>
    <row r="125">
      <c r="A125" t="inlineStr">
        <is>
          <t>Liquidity discount (limits.yaml)</t>
        </is>
      </c>
      <c r="C125" s="4" t="n">
        <v>0</v>
      </c>
    </row>
    <row r="126">
      <c r="A126" t="inlineStr">
        <is>
          <t>TARGET PRICE (IDR)</t>
        </is>
      </c>
      <c r="C126" s="24">
        <f>$C$124*(1-$C$125)</f>
        <v/>
      </c>
    </row>
    <row r="127">
      <c r="A127" t="inlineStr">
        <is>
          <t>Expected 12-month total return</t>
        </is>
      </c>
      <c r="C127" s="25">
        <f>($C$126+$C$117)/$C$76-1</f>
        <v/>
      </c>
    </row>
    <row r="128">
      <c r="A128" t="inlineStr">
        <is>
          <t>Rating</t>
        </is>
      </c>
      <c r="C128" s="26">
        <f>IF($C$127&gt;=0.25,"BUY",IF($C$127&gt;=0.1,"ADD",IF($C$127&lt;=-0.25,"SELL",IF($C$127&lt;=-0.1,"REDUCE","HOLD"))))</f>
        <v/>
      </c>
    </row>
    <row r="130">
      <c r="A130" s="1" t="inlineStr">
        <is>
          <t>12-month value vs holding-company discount and cost of equity (engine values)</t>
        </is>
      </c>
    </row>
    <row r="131">
      <c r="A131" s="5" t="inlineStr">
        <is>
          <t>rows: Cost of equity (+/- pp) · columns: Holdco discount (+/- pp)</t>
        </is>
      </c>
      <c r="D131" s="1" t="n">
        <v>-0.1</v>
      </c>
      <c r="E131" s="1" t="n">
        <v>-0.05</v>
      </c>
      <c r="F131" s="1" t="n">
        <v>0</v>
      </c>
      <c r="G131" s="1" t="n">
        <v>0.05</v>
      </c>
      <c r="H131" s="1" t="n">
        <v>0.1</v>
      </c>
    </row>
    <row r="132">
      <c r="C132" s="1" t="n">
        <v>-0.01</v>
      </c>
      <c r="D132" s="23" t="n">
        <v>5638.968512</v>
      </c>
      <c r="E132" s="23" t="n">
        <v>5299.376391</v>
      </c>
      <c r="F132" s="23" t="n">
        <v>4959.78427</v>
      </c>
      <c r="G132" s="23" t="n">
        <v>4620.192149</v>
      </c>
      <c r="H132" s="23" t="n">
        <v>4280.600029</v>
      </c>
    </row>
    <row r="133">
      <c r="C133" s="1" t="n">
        <v>-0.005</v>
      </c>
      <c r="D133" s="23" t="n">
        <v>5665.558222</v>
      </c>
      <c r="E133" s="23" t="n">
        <v>5324.475874</v>
      </c>
      <c r="F133" s="23" t="n">
        <v>4983.393527</v>
      </c>
      <c r="G133" s="23" t="n">
        <v>4642.31118</v>
      </c>
      <c r="H133" s="23" t="n">
        <v>4301.228832</v>
      </c>
    </row>
    <row r="134">
      <c r="C134" s="1" t="n">
        <v>0</v>
      </c>
      <c r="D134" s="23" t="n">
        <v>5692.147931</v>
      </c>
      <c r="E134" s="23" t="n">
        <v>5349.575358</v>
      </c>
      <c r="F134" s="23" t="n">
        <v>5007.002784</v>
      </c>
      <c r="G134" s="23" t="n">
        <v>4664.43021</v>
      </c>
      <c r="H134" s="23" t="n">
        <v>4321.857636</v>
      </c>
    </row>
    <row r="135">
      <c r="C135" s="1" t="n">
        <v>0.005</v>
      </c>
      <c r="D135" s="23" t="n">
        <v>5718.737641</v>
      </c>
      <c r="E135" s="23" t="n">
        <v>5374.674841</v>
      </c>
      <c r="F135" s="23" t="n">
        <v>5030.61204</v>
      </c>
      <c r="G135" s="23" t="n">
        <v>4686.54924</v>
      </c>
      <c r="H135" s="23" t="n">
        <v>4342.48644</v>
      </c>
    </row>
    <row r="136">
      <c r="C136" s="1" t="n">
        <v>0.01</v>
      </c>
      <c r="D136" s="23" t="n">
        <v>5745.327351</v>
      </c>
      <c r="E136" s="23" t="n">
        <v>5399.774324</v>
      </c>
      <c r="F136" s="23" t="n">
        <v>5054.221297</v>
      </c>
      <c r="G136" s="23" t="n">
        <v>4708.66827</v>
      </c>
      <c r="H136" s="23" t="n">
        <v>4363.115244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3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1" t="inlineStr">
        <is>
          <t>PT MNC Asia Holding Tbk (BHIT.JK) — Conglomerates &amp; multi-sector holdings</t>
        </is>
      </c>
    </row>
    <row r="2">
      <c r="A2" s="5" t="inlineStr">
        <is>
          <t>Units: IDR bn; per-share in IDR unless marked IDR. Model asof 2026-10-29 · data 2026-10-27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  <c r="M4" s="1" t="inlineStr">
        <is>
          <t>FY2031E</t>
        </is>
      </c>
      <c r="N4" s="1" t="inlineStr">
        <is>
          <t>FY2032E</t>
        </is>
      </c>
      <c r="O4" s="1" t="inlineStr">
        <is>
          <t>FY2033E</t>
        </is>
      </c>
      <c r="P4" s="1" t="inlineStr">
        <is>
          <t>FY2034E</t>
        </is>
      </c>
      <c r="Q4" s="1" t="inlineStr">
        <is>
          <t>FY2035E</t>
        </is>
      </c>
    </row>
    <row r="6">
      <c r="A6" s="1" t="inlineStr">
        <is>
          <t>PARAMETERS</t>
        </is>
      </c>
    </row>
    <row r="7">
      <c r="A7" t="inlineStr">
        <is>
          <t>ps_factor</t>
        </is>
      </c>
      <c r="C7" s="12" t="n">
        <v>1000</v>
      </c>
    </row>
    <row r="8">
      <c r="A8" t="inlineStr">
        <is>
          <t>vp_factor</t>
        </is>
      </c>
      <c r="C8" s="12" t="n">
        <v>1</v>
      </c>
    </row>
    <row r="10">
      <c r="A10" s="1" t="inlineStr">
        <is>
          <t>INPUTS (company assumptions)</t>
        </is>
      </c>
    </row>
    <row r="11">
      <c r="A11" t="inlineStr">
        <is>
          <t>Revenue growth</t>
        </is>
      </c>
      <c r="B11" t="inlineStr">
        <is>
          <t>a.revenue_growth</t>
        </is>
      </c>
      <c r="H11" s="4" t="n">
        <v>-0.042023</v>
      </c>
      <c r="I11" s="4" t="n">
        <v>0</v>
      </c>
      <c r="J11" s="4" t="n">
        <v>0.0328</v>
      </c>
      <c r="K11" s="4" t="n">
        <v>0.0328</v>
      </c>
      <c r="L11" s="4" t="n">
        <v>0.0328</v>
      </c>
      <c r="M11" s="4" t="n">
        <v>0.0328</v>
      </c>
      <c r="N11" s="4" t="n">
        <v>0.0328</v>
      </c>
      <c r="O11" s="4" t="n">
        <v>0.0328</v>
      </c>
      <c r="P11" s="4" t="n">
        <v>0.0328</v>
      </c>
      <c r="Q11" s="4" t="n">
        <v>0.0328</v>
      </c>
    </row>
    <row r="12">
      <c r="A12" t="inlineStr">
        <is>
          <t>Gross margin at base input costs</t>
        </is>
      </c>
      <c r="B12" t="inlineStr">
        <is>
          <t>a.gross_margin</t>
        </is>
      </c>
      <c r="H12" s="4" t="n">
        <v>0.37572</v>
      </c>
      <c r="I12" s="4" t="n">
        <v>0.37572</v>
      </c>
      <c r="J12" s="4" t="n">
        <v>0.37572</v>
      </c>
      <c r="K12" s="4" t="n">
        <v>0.37572</v>
      </c>
      <c r="L12" s="4" t="n">
        <v>0.37572</v>
      </c>
      <c r="M12" s="4" t="n">
        <v>0.37572</v>
      </c>
      <c r="N12" s="4" t="n">
        <v>0.37572</v>
      </c>
      <c r="O12" s="4" t="n">
        <v>0.37572</v>
      </c>
      <c r="P12" s="4" t="n">
        <v>0.37572</v>
      </c>
      <c r="Q12" s="4" t="n">
        <v>0.37572</v>
      </c>
    </row>
    <row r="13">
      <c r="A13" t="inlineStr">
        <is>
          <t>SG&amp;A / revenue</t>
        </is>
      </c>
      <c r="B13" t="inlineStr">
        <is>
          <t>a.opex_pct</t>
        </is>
      </c>
      <c r="H13" s="4" t="n">
        <v>0.2178</v>
      </c>
      <c r="I13" s="4" t="n">
        <v>0.2178</v>
      </c>
      <c r="J13" s="4" t="n">
        <v>0.2178</v>
      </c>
      <c r="K13" s="4" t="n">
        <v>0.2178</v>
      </c>
      <c r="L13" s="4" t="n">
        <v>0.2178</v>
      </c>
      <c r="M13" s="4" t="n">
        <v>0.2178</v>
      </c>
      <c r="N13" s="4" t="n">
        <v>0.2178</v>
      </c>
      <c r="O13" s="4" t="n">
        <v>0.2178</v>
      </c>
      <c r="P13" s="4" t="n">
        <v>0.2178</v>
      </c>
      <c r="Q13" s="4" t="n">
        <v>0.2178</v>
      </c>
    </row>
    <row r="14">
      <c r="A14" t="inlineStr">
        <is>
          <t>D&amp;A / revenue</t>
        </is>
      </c>
      <c r="B14" t="inlineStr">
        <is>
          <t>a.da_pct</t>
        </is>
      </c>
      <c r="H14" s="4" t="n">
        <v>0.08946</v>
      </c>
      <c r="I14" s="4" t="n">
        <v>0.08946</v>
      </c>
      <c r="J14" s="4" t="n">
        <v>0.08946</v>
      </c>
      <c r="K14" s="4" t="n">
        <v>0.08946</v>
      </c>
      <c r="L14" s="4" t="n">
        <v>0.08946</v>
      </c>
      <c r="M14" s="4" t="n">
        <v>0.08946</v>
      </c>
      <c r="N14" s="4" t="n">
        <v>0.08946</v>
      </c>
      <c r="O14" s="4" t="n">
        <v>0.08946</v>
      </c>
      <c r="P14" s="4" t="n">
        <v>0.08946</v>
      </c>
      <c r="Q14" s="4" t="n">
        <v>0.08946</v>
      </c>
    </row>
    <row r="15">
      <c r="A15" t="inlineStr">
        <is>
          <t>Capex / revenue</t>
        </is>
      </c>
      <c r="B15" t="inlineStr">
        <is>
          <t>a.capex_pct</t>
        </is>
      </c>
      <c r="H15" s="4" t="n">
        <v>0.06242</v>
      </c>
      <c r="I15" s="4" t="n">
        <v>0.06242</v>
      </c>
      <c r="J15" s="4" t="n">
        <v>0.06242</v>
      </c>
      <c r="K15" s="4" t="n">
        <v>0.06242</v>
      </c>
      <c r="L15" s="4" t="n">
        <v>0.06242</v>
      </c>
      <c r="M15" s="4" t="n">
        <v>0.06242</v>
      </c>
      <c r="N15" s="4" t="n">
        <v>0.06242</v>
      </c>
      <c r="O15" s="4" t="n">
        <v>0.06242</v>
      </c>
      <c r="P15" s="4" t="n">
        <v>0.06242</v>
      </c>
      <c r="Q15" s="4" t="n">
        <v>0.06242</v>
      </c>
    </row>
    <row r="16">
      <c r="A16" t="inlineStr">
        <is>
          <t>Operating working capital / revenue</t>
        </is>
      </c>
      <c r="B16" t="inlineStr">
        <is>
          <t>a.nwc_pct</t>
        </is>
      </c>
      <c r="H16" s="4" t="n">
        <v>-0.06751600000000001</v>
      </c>
      <c r="I16" s="4" t="n">
        <v>-0.06751600000000001</v>
      </c>
      <c r="J16" s="4" t="n">
        <v>-0.06751600000000001</v>
      </c>
      <c r="K16" s="4" t="n">
        <v>-0.06751600000000001</v>
      </c>
      <c r="L16" s="4" t="n">
        <v>-0.06751600000000001</v>
      </c>
      <c r="M16" s="4" t="n">
        <v>-0.06751600000000001</v>
      </c>
      <c r="N16" s="4" t="n">
        <v>-0.06751600000000001</v>
      </c>
      <c r="O16" s="4" t="n">
        <v>-0.06751600000000001</v>
      </c>
      <c r="P16" s="4" t="n">
        <v>-0.06751600000000001</v>
      </c>
      <c r="Q16" s="4" t="n">
        <v>-0.06751600000000001</v>
      </c>
    </row>
    <row r="17">
      <c r="A17" t="inlineStr">
        <is>
          <t>Effective tax rate</t>
        </is>
      </c>
      <c r="B17" t="inlineStr">
        <is>
          <t>a.tax_rate</t>
        </is>
      </c>
      <c r="H17" s="4" t="n">
        <v>0.15229</v>
      </c>
      <c r="I17" s="4" t="n">
        <v>0.15229</v>
      </c>
      <c r="J17" s="4" t="n">
        <v>0.15229</v>
      </c>
      <c r="K17" s="4" t="n">
        <v>0.15229</v>
      </c>
      <c r="L17" s="4" t="n">
        <v>0.15229</v>
      </c>
      <c r="M17" s="4" t="n">
        <v>0.15229</v>
      </c>
      <c r="N17" s="4" t="n">
        <v>0.15229</v>
      </c>
      <c r="O17" s="4" t="n">
        <v>0.15229</v>
      </c>
      <c r="P17" s="4" t="n">
        <v>0.15229</v>
      </c>
      <c r="Q17" s="4" t="n">
        <v>0.15229</v>
      </c>
    </row>
    <row r="18">
      <c r="A18" t="inlineStr">
        <is>
          <t>Cost of debt (on opening debt)</t>
        </is>
      </c>
      <c r="B18" t="inlineStr">
        <is>
          <t>a.cost_of_debt</t>
        </is>
      </c>
      <c r="C18" s="4" t="n">
        <v>0.092545</v>
      </c>
    </row>
    <row r="19">
      <c r="A19" t="inlineStr">
        <is>
          <t>Yield on opening cash</t>
        </is>
      </c>
      <c r="B19" t="inlineStr">
        <is>
          <t>a.cash_yield</t>
        </is>
      </c>
      <c r="C19" s="4" t="n">
        <v>0.004067</v>
      </c>
    </row>
    <row r="20">
      <c r="A20" t="inlineStr">
        <is>
          <t>Net new borrowing</t>
        </is>
      </c>
      <c r="B20" t="inlineStr">
        <is>
          <t>a.net_borrowing</t>
        </is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</row>
    <row r="21">
      <c r="A21" t="inlineStr">
        <is>
          <t>Other non-operating items</t>
        </is>
      </c>
      <c r="B21" t="inlineStr">
        <is>
          <t>a.other_nonop</t>
        </is>
      </c>
      <c r="H21" s="13" t="n">
        <v>-292.851</v>
      </c>
      <c r="I21" s="13" t="n">
        <v>-292.851</v>
      </c>
      <c r="J21" s="13" t="n">
        <v>-292.851</v>
      </c>
      <c r="K21" s="13" t="n">
        <v>-292.851</v>
      </c>
      <c r="L21" s="13" t="n">
        <v>-292.851</v>
      </c>
      <c r="M21" s="13" t="n">
        <v>-300.172275</v>
      </c>
      <c r="N21" s="13" t="n">
        <v>-307.676581875</v>
      </c>
      <c r="O21" s="13" t="n">
        <v>-315.3684964218749</v>
      </c>
      <c r="P21" s="13" t="n">
        <v>-323.2527088324217</v>
      </c>
      <c r="Q21" s="13" t="n">
        <v>-331.3340265532323</v>
      </c>
    </row>
    <row r="22">
      <c r="A22" t="inlineStr">
        <is>
          <t>Minorities' share of net profit</t>
        </is>
      </c>
      <c r="B22" t="inlineStr">
        <is>
          <t>a.minority_pct</t>
        </is>
      </c>
      <c r="H22" s="4" t="n">
        <v>0.78118</v>
      </c>
      <c r="I22" s="4" t="n">
        <v>0.78118</v>
      </c>
      <c r="J22" s="4" t="n">
        <v>0.78118</v>
      </c>
      <c r="K22" s="4" t="n">
        <v>0.78118</v>
      </c>
      <c r="L22" s="4" t="n">
        <v>0.78118</v>
      </c>
      <c r="M22" s="4" t="n">
        <v>0.78118</v>
      </c>
      <c r="N22" s="4" t="n">
        <v>0.78118</v>
      </c>
      <c r="O22" s="4" t="n">
        <v>0.78118</v>
      </c>
      <c r="P22" s="4" t="n">
        <v>0.78118</v>
      </c>
      <c r="Q22" s="4" t="n">
        <v>0.78118</v>
      </c>
    </row>
    <row r="23">
      <c r="A23" t="inlineStr">
        <is>
          <t>Dividend payout</t>
        </is>
      </c>
      <c r="B23" t="inlineStr">
        <is>
          <t>a.payout</t>
        </is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</row>
    <row r="24">
      <c r="A24" t="inlineStr">
        <is>
          <t>Change in share count</t>
        </is>
      </c>
      <c r="B24" t="inlineStr">
        <is>
          <t>a.share_change</t>
        </is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</row>
    <row r="25">
      <c r="A25" t="inlineStr">
        <is>
          <t>Terminal growth (DCF)</t>
        </is>
      </c>
      <c r="B25" t="inlineStr">
        <is>
          <t>a.terminal_growth</t>
        </is>
      </c>
      <c r="C25" s="4" t="n">
        <v>0.0328</v>
      </c>
    </row>
    <row r="26">
      <c r="A26" t="inlineStr">
        <is>
          <t>Holding-company discount to SOTP</t>
        </is>
      </c>
      <c r="B26" t="inlineStr">
        <is>
          <t>a.holdco_discount</t>
        </is>
      </c>
      <c r="C26" s="4" t="n">
        <v>0.4</v>
      </c>
    </row>
    <row r="28">
      <c r="A28" s="1" t="inlineStr">
        <is>
          <t>MODEL</t>
        </is>
      </c>
    </row>
    <row r="29">
      <c r="A29" t="inlineStr">
        <is>
          <t>Revenue</t>
        </is>
      </c>
      <c r="B29" t="inlineStr">
        <is>
          <t>revenue</t>
        </is>
      </c>
      <c r="D29" s="13" t="n">
        <v>18083.695</v>
      </c>
      <c r="E29" s="13" t="n">
        <v>15660.503</v>
      </c>
      <c r="F29" s="13" t="n">
        <v>15139.665</v>
      </c>
      <c r="G29" s="13" t="n">
        <v>14490.421</v>
      </c>
      <c r="H29" s="14">
        <f>(G29*(1+H11))</f>
        <v/>
      </c>
      <c r="I29" s="14">
        <f>(H29*(1+I11))</f>
        <v/>
      </c>
      <c r="J29" s="14">
        <f>(I29*(1+J11))</f>
        <v/>
      </c>
      <c r="K29" s="14">
        <f>(J29*(1+K11))</f>
        <v/>
      </c>
      <c r="L29" s="14">
        <f>(K29*(1+L11))</f>
        <v/>
      </c>
      <c r="M29" s="14">
        <f>(L29*(1+M11))</f>
        <v/>
      </c>
      <c r="N29" s="14">
        <f>(M29*(1+N11))</f>
        <v/>
      </c>
      <c r="O29" s="14">
        <f>(N29*(1+O11))</f>
        <v/>
      </c>
      <c r="P29" s="14">
        <f>(O29*(1+P11))</f>
        <v/>
      </c>
      <c r="Q29" s="14">
        <f>(P29*(1+Q11))</f>
        <v/>
      </c>
    </row>
    <row r="30">
      <c r="A30" t="inlineStr">
        <is>
          <t>Cost of revenue</t>
        </is>
      </c>
      <c r="B30" t="inlineStr">
        <is>
          <t>cogs</t>
        </is>
      </c>
      <c r="D30" s="13" t="n">
        <v>9275.282999999999</v>
      </c>
      <c r="E30" s="13" t="n">
        <v>9357.258</v>
      </c>
      <c r="F30" s="13" t="n">
        <v>9166.35</v>
      </c>
      <c r="G30" s="13" t="n">
        <v>8732.33</v>
      </c>
      <c r="H30" s="14">
        <f>(H29*(1-H12))</f>
        <v/>
      </c>
      <c r="I30" s="14">
        <f>(I29*(1-I12))</f>
        <v/>
      </c>
      <c r="J30" s="14">
        <f>(J29*(1-J12))</f>
        <v/>
      </c>
      <c r="K30" s="14">
        <f>(K29*(1-K12))</f>
        <v/>
      </c>
      <c r="L30" s="14">
        <f>(L29*(1-L12))</f>
        <v/>
      </c>
      <c r="M30" s="14">
        <f>(M29*(1-M12))</f>
        <v/>
      </c>
      <c r="N30" s="14">
        <f>(N29*(1-N12))</f>
        <v/>
      </c>
      <c r="O30" s="14">
        <f>(O29*(1-O12))</f>
        <v/>
      </c>
      <c r="P30" s="14">
        <f>(P29*(1-P12))</f>
        <v/>
      </c>
      <c r="Q30" s="14">
        <f>(Q29*(1-Q12))</f>
        <v/>
      </c>
    </row>
    <row r="31">
      <c r="A31" t="inlineStr">
        <is>
          <t>Gross profit</t>
        </is>
      </c>
      <c r="B31" t="inlineStr">
        <is>
          <t>gross_profit</t>
        </is>
      </c>
      <c r="D31" s="13" t="n">
        <v>8808.412</v>
      </c>
      <c r="E31" s="13" t="n">
        <v>6303.245</v>
      </c>
      <c r="F31" s="13" t="n">
        <v>5973.315</v>
      </c>
      <c r="G31" s="13" t="n">
        <v>5758.091</v>
      </c>
      <c r="H31" s="14">
        <f>(H29-H30)</f>
        <v/>
      </c>
      <c r="I31" s="14">
        <f>(I29-I30)</f>
        <v/>
      </c>
      <c r="J31" s="14">
        <f>(J29-J30)</f>
        <v/>
      </c>
      <c r="K31" s="14">
        <f>(K29-K30)</f>
        <v/>
      </c>
      <c r="L31" s="14">
        <f>(L29-L30)</f>
        <v/>
      </c>
      <c r="M31" s="14">
        <f>(M29-M30)</f>
        <v/>
      </c>
      <c r="N31" s="14">
        <f>(N29-N30)</f>
        <v/>
      </c>
      <c r="O31" s="14">
        <f>(O29-O30)</f>
        <v/>
      </c>
      <c r="P31" s="14">
        <f>(P29-P30)</f>
        <v/>
      </c>
      <c r="Q31" s="14">
        <f>(Q29-Q30)</f>
        <v/>
      </c>
    </row>
    <row r="32">
      <c r="A32" t="inlineStr">
        <is>
          <t>SG&amp;A and other opex</t>
        </is>
      </c>
      <c r="B32" t="inlineStr">
        <is>
          <t>opex</t>
        </is>
      </c>
      <c r="D32" s="13" t="n">
        <v>3849.835</v>
      </c>
      <c r="E32" s="13" t="n">
        <v>3757.646</v>
      </c>
      <c r="F32" s="13" t="n">
        <v>3264.232</v>
      </c>
      <c r="G32" s="13" t="n">
        <v>3221.662</v>
      </c>
      <c r="H32" s="14">
        <f>(H29*H13)</f>
        <v/>
      </c>
      <c r="I32" s="14">
        <f>(I29*I13)</f>
        <v/>
      </c>
      <c r="J32" s="14">
        <f>(J29*J13)</f>
        <v/>
      </c>
      <c r="K32" s="14">
        <f>(K29*K13)</f>
        <v/>
      </c>
      <c r="L32" s="14">
        <f>(L29*L13)</f>
        <v/>
      </c>
      <c r="M32" s="14">
        <f>(M29*M13)</f>
        <v/>
      </c>
      <c r="N32" s="14">
        <f>(N29*N13)</f>
        <v/>
      </c>
      <c r="O32" s="14">
        <f>(O29*O13)</f>
        <v/>
      </c>
      <c r="P32" s="14">
        <f>(P29*P13)</f>
        <v/>
      </c>
      <c r="Q32" s="14">
        <f>(Q29*Q13)</f>
        <v/>
      </c>
    </row>
    <row r="33">
      <c r="A33" t="inlineStr">
        <is>
          <t>EBIT</t>
        </is>
      </c>
      <c r="B33" t="inlineStr">
        <is>
          <t>ebit</t>
        </is>
      </c>
      <c r="D33" s="13" t="n">
        <v>4958.577</v>
      </c>
      <c r="E33" s="13" t="n">
        <v>2545.599</v>
      </c>
      <c r="F33" s="13" t="n">
        <v>2709.083</v>
      </c>
      <c r="G33" s="13" t="n">
        <v>2536.429</v>
      </c>
      <c r="H33" s="14">
        <f>(H31-H32)</f>
        <v/>
      </c>
      <c r="I33" s="14">
        <f>(I31-I32)</f>
        <v/>
      </c>
      <c r="J33" s="14">
        <f>(J31-J32)</f>
        <v/>
      </c>
      <c r="K33" s="14">
        <f>(K31-K32)</f>
        <v/>
      </c>
      <c r="L33" s="14">
        <f>(L31-L32)</f>
        <v/>
      </c>
      <c r="M33" s="14">
        <f>(M31-M32)</f>
        <v/>
      </c>
      <c r="N33" s="14">
        <f>(N31-N32)</f>
        <v/>
      </c>
      <c r="O33" s="14">
        <f>(O31-O32)</f>
        <v/>
      </c>
      <c r="P33" s="14">
        <f>(P31-P32)</f>
        <v/>
      </c>
      <c r="Q33" s="14">
        <f>(Q31-Q32)</f>
        <v/>
      </c>
    </row>
    <row r="34">
      <c r="A34" t="inlineStr">
        <is>
          <t>Depreciation &amp; amortisation</t>
        </is>
      </c>
      <c r="B34" t="inlineStr">
        <is>
          <t>da</t>
        </is>
      </c>
      <c r="D34" s="13" t="n">
        <v>524.3150000000001</v>
      </c>
      <c r="E34" s="13" t="n">
        <v>527.977</v>
      </c>
      <c r="F34" s="13" t="n">
        <v>1340.84</v>
      </c>
      <c r="G34" s="13" t="n">
        <v>1360.403</v>
      </c>
      <c r="H34" s="14">
        <f>(H29*H14)</f>
        <v/>
      </c>
      <c r="I34" s="14">
        <f>(I29*I14)</f>
        <v/>
      </c>
      <c r="J34" s="14">
        <f>(J29*J14)</f>
        <v/>
      </c>
      <c r="K34" s="14">
        <f>(K29*K14)</f>
        <v/>
      </c>
      <c r="L34" s="14">
        <f>(L29*L14)</f>
        <v/>
      </c>
      <c r="M34" s="14">
        <f>(M29*M14)</f>
        <v/>
      </c>
      <c r="N34" s="14">
        <f>(N29*N14)</f>
        <v/>
      </c>
      <c r="O34" s="14">
        <f>(O29*O14)</f>
        <v/>
      </c>
      <c r="P34" s="14">
        <f>(P29*P14)</f>
        <v/>
      </c>
      <c r="Q34" s="14">
        <f>(Q29*Q14)</f>
        <v/>
      </c>
    </row>
    <row r="35">
      <c r="A35" t="inlineStr">
        <is>
          <t>EBITDA</t>
        </is>
      </c>
      <c r="B35" t="inlineStr">
        <is>
          <t>ebitda</t>
        </is>
      </c>
      <c r="D35" s="13" t="n">
        <v>5482.892</v>
      </c>
      <c r="E35" s="13" t="n">
        <v>3073.576</v>
      </c>
      <c r="F35" s="13" t="n">
        <v>4049.923</v>
      </c>
      <c r="G35" s="13" t="n">
        <v>3896.832</v>
      </c>
      <c r="H35" s="14">
        <f>(H33+H34)</f>
        <v/>
      </c>
      <c r="I35" s="14">
        <f>(I33+I34)</f>
        <v/>
      </c>
      <c r="J35" s="14">
        <f>(J33+J34)</f>
        <v/>
      </c>
      <c r="K35" s="14">
        <f>(K33+K34)</f>
        <v/>
      </c>
      <c r="L35" s="14">
        <f>(L33+L34)</f>
        <v/>
      </c>
      <c r="M35" s="14">
        <f>(M33+M34)</f>
        <v/>
      </c>
      <c r="N35" s="14">
        <f>(N33+N34)</f>
        <v/>
      </c>
      <c r="O35" s="14">
        <f>(O33+O34)</f>
        <v/>
      </c>
      <c r="P35" s="14">
        <f>(P33+P34)</f>
        <v/>
      </c>
      <c r="Q35" s="14">
        <f>(Q33+Q34)</f>
        <v/>
      </c>
    </row>
    <row r="36">
      <c r="A36" t="inlineStr">
        <is>
          <t>Interest expense</t>
        </is>
      </c>
      <c r="B36" t="inlineStr">
        <is>
          <t>interest_expense</t>
        </is>
      </c>
      <c r="D36" s="13" t="n">
        <v>830.9299999999999</v>
      </c>
      <c r="E36" s="13" t="n">
        <v>985.193</v>
      </c>
      <c r="F36" s="13" t="n">
        <v>1189.784</v>
      </c>
      <c r="G36" s="13" t="n">
        <v>1115.351</v>
      </c>
      <c r="H36" s="14">
        <f>(G56*$C$18)</f>
        <v/>
      </c>
      <c r="I36" s="14">
        <f>(H56*$C$18)</f>
        <v/>
      </c>
      <c r="J36" s="14">
        <f>(I56*$C$18)</f>
        <v/>
      </c>
      <c r="K36" s="14">
        <f>(J56*$C$18)</f>
        <v/>
      </c>
      <c r="L36" s="14">
        <f>(K56*$C$18)</f>
        <v/>
      </c>
      <c r="M36" s="14">
        <f>(L56*$C$18)</f>
        <v/>
      </c>
      <c r="N36" s="14">
        <f>(M56*$C$18)</f>
        <v/>
      </c>
      <c r="O36" s="14">
        <f>(N56*$C$18)</f>
        <v/>
      </c>
      <c r="P36" s="14">
        <f>(O56*$C$18)</f>
        <v/>
      </c>
      <c r="Q36" s="14">
        <f>(P56*$C$18)</f>
        <v/>
      </c>
    </row>
    <row r="37">
      <c r="A37" t="inlineStr">
        <is>
          <t>Interest income</t>
        </is>
      </c>
      <c r="B37" t="inlineStr">
        <is>
          <t>interest_income</t>
        </is>
      </c>
      <c r="D37" s="13" t="n">
        <v>40.071</v>
      </c>
      <c r="E37" s="13" t="n">
        <v>52.074</v>
      </c>
      <c r="F37" s="13" t="n">
        <v>39.978</v>
      </c>
      <c r="G37" s="13" t="n">
        <v>32.14</v>
      </c>
      <c r="H37" s="14">
        <f>(G55*$C$19)</f>
        <v/>
      </c>
      <c r="I37" s="14">
        <f>(H55*$C$19)</f>
        <v/>
      </c>
      <c r="J37" s="14">
        <f>(I55*$C$19)</f>
        <v/>
      </c>
      <c r="K37" s="14">
        <f>(J55*$C$19)</f>
        <v/>
      </c>
      <c r="L37" s="14">
        <f>(K55*$C$19)</f>
        <v/>
      </c>
      <c r="M37" s="14">
        <f>(L55*$C$19)</f>
        <v/>
      </c>
      <c r="N37" s="14">
        <f>(M55*$C$19)</f>
        <v/>
      </c>
      <c r="O37" s="14">
        <f>(N55*$C$19)</f>
        <v/>
      </c>
      <c r="P37" s="14">
        <f>(O55*$C$19)</f>
        <v/>
      </c>
      <c r="Q37" s="14">
        <f>(P55*$C$19)</f>
        <v/>
      </c>
    </row>
    <row r="38">
      <c r="A38" t="inlineStr">
        <is>
          <t>Other non-operating</t>
        </is>
      </c>
      <c r="B38" t="inlineStr">
        <is>
          <t>other_nonop</t>
        </is>
      </c>
      <c r="D38" s="13" t="n">
        <v>-653.7380000000003</v>
      </c>
      <c r="E38" s="13" t="n">
        <v>-213.3870000000001</v>
      </c>
      <c r="F38" s="13" t="n">
        <v>-320.1179999999999</v>
      </c>
      <c r="G38" s="13" t="n">
        <v>206.0939999999999</v>
      </c>
      <c r="H38" s="14">
        <f>H21</f>
        <v/>
      </c>
      <c r="I38" s="14">
        <f>I21</f>
        <v/>
      </c>
      <c r="J38" s="14">
        <f>J21</f>
        <v/>
      </c>
      <c r="K38" s="14">
        <f>K21</f>
        <v/>
      </c>
      <c r="L38" s="14">
        <f>L21</f>
        <v/>
      </c>
      <c r="M38" s="14">
        <f>M21</f>
        <v/>
      </c>
      <c r="N38" s="14">
        <f>N21</f>
        <v/>
      </c>
      <c r="O38" s="14">
        <f>O21</f>
        <v/>
      </c>
      <c r="P38" s="14">
        <f>P21</f>
        <v/>
      </c>
      <c r="Q38" s="14">
        <f>Q21</f>
        <v/>
      </c>
    </row>
    <row r="39">
      <c r="A39" t="inlineStr">
        <is>
          <t>Profit before tax</t>
        </is>
      </c>
      <c r="B39" t="inlineStr">
        <is>
          <t>pbt</t>
        </is>
      </c>
      <c r="D39" s="13" t="n">
        <v>3513.98</v>
      </c>
      <c r="E39" s="13" t="n">
        <v>1399.093</v>
      </c>
      <c r="F39" s="13" t="n">
        <v>1239.159</v>
      </c>
      <c r="G39" s="13" t="n">
        <v>1659.312</v>
      </c>
      <c r="H39" s="14">
        <f>(((H33-H36)+H37)+H38)</f>
        <v/>
      </c>
      <c r="I39" s="14">
        <f>(((I33-I36)+I37)+I38)</f>
        <v/>
      </c>
      <c r="J39" s="14">
        <f>(((J33-J36)+J37)+J38)</f>
        <v/>
      </c>
      <c r="K39" s="14">
        <f>(((K33-K36)+K37)+K38)</f>
        <v/>
      </c>
      <c r="L39" s="14">
        <f>(((L33-L36)+L37)+L38)</f>
        <v/>
      </c>
      <c r="M39" s="14">
        <f>(((M33-M36)+M37)+M38)</f>
        <v/>
      </c>
      <c r="N39" s="14">
        <f>(((N33-N36)+N37)+N38)</f>
        <v/>
      </c>
      <c r="O39" s="14">
        <f>(((O33-O36)+O37)+O38)</f>
        <v/>
      </c>
      <c r="P39" s="14">
        <f>(((P33-P36)+P37)+P38)</f>
        <v/>
      </c>
      <c r="Q39" s="14">
        <f>(((Q33-Q36)+Q37)+Q38)</f>
        <v/>
      </c>
    </row>
    <row r="40">
      <c r="A40" t="inlineStr">
        <is>
          <t>Tax</t>
        </is>
      </c>
      <c r="B40" t="inlineStr">
        <is>
          <t>tax</t>
        </is>
      </c>
      <c r="D40" s="13" t="n">
        <v>831.76</v>
      </c>
      <c r="E40" s="13" t="n">
        <v>165.62</v>
      </c>
      <c r="F40" s="13" t="n">
        <v>295.4</v>
      </c>
      <c r="G40" s="13" t="n">
        <v>252.687</v>
      </c>
      <c r="H40" s="14">
        <f>(MAX(H39,0)*H17)</f>
        <v/>
      </c>
      <c r="I40" s="14">
        <f>(MAX(I39,0)*I17)</f>
        <v/>
      </c>
      <c r="J40" s="14">
        <f>(MAX(J39,0)*J17)</f>
        <v/>
      </c>
      <c r="K40" s="14">
        <f>(MAX(K39,0)*K17)</f>
        <v/>
      </c>
      <c r="L40" s="14">
        <f>(MAX(L39,0)*L17)</f>
        <v/>
      </c>
      <c r="M40" s="14">
        <f>(MAX(M39,0)*M17)</f>
        <v/>
      </c>
      <c r="N40" s="14">
        <f>(MAX(N39,0)*N17)</f>
        <v/>
      </c>
      <c r="O40" s="14">
        <f>(MAX(O39,0)*O17)</f>
        <v/>
      </c>
      <c r="P40" s="14">
        <f>(MAX(P39,0)*P17)</f>
        <v/>
      </c>
      <c r="Q40" s="14">
        <f>(MAX(Q39,0)*Q17)</f>
        <v/>
      </c>
    </row>
    <row r="41">
      <c r="A41" t="inlineStr">
        <is>
          <t>Net profit (incl. minorities)</t>
        </is>
      </c>
      <c r="B41" t="inlineStr">
        <is>
          <t>np</t>
        </is>
      </c>
      <c r="D41" s="13" t="n">
        <v>2682.22</v>
      </c>
      <c r="E41" s="13" t="n">
        <v>1233.473</v>
      </c>
      <c r="F41" s="13" t="n">
        <v>943.759</v>
      </c>
      <c r="G41" s="13" t="n">
        <v>1406.625</v>
      </c>
      <c r="H41" s="14">
        <f>(H39-H40)</f>
        <v/>
      </c>
      <c r="I41" s="14">
        <f>(I39-I40)</f>
        <v/>
      </c>
      <c r="J41" s="14">
        <f>(J39-J40)</f>
        <v/>
      </c>
      <c r="K41" s="14">
        <f>(K39-K40)</f>
        <v/>
      </c>
      <c r="L41" s="14">
        <f>(L39-L40)</f>
        <v/>
      </c>
      <c r="M41" s="14">
        <f>(M39-M40)</f>
        <v/>
      </c>
      <c r="N41" s="14">
        <f>(N39-N40)</f>
        <v/>
      </c>
      <c r="O41" s="14">
        <f>(O39-O40)</f>
        <v/>
      </c>
      <c r="P41" s="14">
        <f>(P39-P40)</f>
        <v/>
      </c>
      <c r="Q41" s="14">
        <f>(Q39-Q40)</f>
        <v/>
      </c>
    </row>
    <row r="42">
      <c r="A42" t="inlineStr">
        <is>
          <t>Minority interests</t>
        </is>
      </c>
      <c r="B42" t="inlineStr">
        <is>
          <t>minority</t>
        </is>
      </c>
      <c r="D42" s="13" t="n">
        <v>1951.941</v>
      </c>
      <c r="E42" s="13" t="n">
        <v>926.881</v>
      </c>
      <c r="F42" s="13" t="n">
        <v>753.739</v>
      </c>
      <c r="G42" s="13" t="n">
        <v>928.085</v>
      </c>
      <c r="H42" s="14">
        <f>(H41*H22)</f>
        <v/>
      </c>
      <c r="I42" s="14">
        <f>(I41*I22)</f>
        <v/>
      </c>
      <c r="J42" s="14">
        <f>(J41*J22)</f>
        <v/>
      </c>
      <c r="K42" s="14">
        <f>(K41*K22)</f>
        <v/>
      </c>
      <c r="L42" s="14">
        <f>(L41*L22)</f>
        <v/>
      </c>
      <c r="M42" s="14">
        <f>(M41*M22)</f>
        <v/>
      </c>
      <c r="N42" s="14">
        <f>(N41*N22)</f>
        <v/>
      </c>
      <c r="O42" s="14">
        <f>(O41*O22)</f>
        <v/>
      </c>
      <c r="P42" s="14">
        <f>(P41*P22)</f>
        <v/>
      </c>
      <c r="Q42" s="14">
        <f>(Q41*Q22)</f>
        <v/>
      </c>
    </row>
    <row r="43">
      <c r="A43" t="inlineStr">
        <is>
          <t>Net profit to parent</t>
        </is>
      </c>
      <c r="B43" t="inlineStr">
        <is>
          <t>np_parent</t>
        </is>
      </c>
      <c r="D43" s="13" t="n">
        <v>730.279</v>
      </c>
      <c r="E43" s="13" t="n">
        <v>306.592</v>
      </c>
      <c r="F43" s="13" t="n">
        <v>190.02</v>
      </c>
      <c r="G43" s="13" t="n">
        <v>478.54</v>
      </c>
      <c r="H43" s="14">
        <f>(H41-H42)</f>
        <v/>
      </c>
      <c r="I43" s="14">
        <f>(I41-I42)</f>
        <v/>
      </c>
      <c r="J43" s="14">
        <f>(J41-J42)</f>
        <v/>
      </c>
      <c r="K43" s="14">
        <f>(K41-K42)</f>
        <v/>
      </c>
      <c r="L43" s="14">
        <f>(L41-L42)</f>
        <v/>
      </c>
      <c r="M43" s="14">
        <f>(M41-M42)</f>
        <v/>
      </c>
      <c r="N43" s="14">
        <f>(N41-N42)</f>
        <v/>
      </c>
      <c r="O43" s="14">
        <f>(O41-O42)</f>
        <v/>
      </c>
      <c r="P43" s="14">
        <f>(P41-P42)</f>
        <v/>
      </c>
      <c r="Q43" s="14">
        <f>(Q41-Q42)</f>
        <v/>
      </c>
    </row>
    <row r="44">
      <c r="A44" t="inlineStr">
        <is>
          <t>Shares outstanding (m)</t>
        </is>
      </c>
      <c r="B44" t="inlineStr">
        <is>
          <t>shares</t>
        </is>
      </c>
      <c r="D44" s="13" t="n">
        <v>83542.741759</v>
      </c>
      <c r="E44" s="13" t="n">
        <v>83542.741759</v>
      </c>
      <c r="F44" s="13" t="n">
        <v>83542.741759</v>
      </c>
      <c r="G44" s="13" t="n">
        <v>83542.741759</v>
      </c>
      <c r="H44" s="14">
        <f>(G44*(1+H24))</f>
        <v/>
      </c>
      <c r="I44" s="14">
        <f>(H44*(1+I24))</f>
        <v/>
      </c>
      <c r="J44" s="14">
        <f>(I44*(1+J24))</f>
        <v/>
      </c>
      <c r="K44" s="14">
        <f>(J44*(1+K24))</f>
        <v/>
      </c>
      <c r="L44" s="14">
        <f>(K44*(1+L24))</f>
        <v/>
      </c>
      <c r="M44" s="14">
        <f>(L44*(1+M24))</f>
        <v/>
      </c>
      <c r="N44" s="14">
        <f>(M44*(1+N24))</f>
        <v/>
      </c>
      <c r="O44" s="14">
        <f>(N44*(1+O24))</f>
        <v/>
      </c>
      <c r="P44" s="14">
        <f>(O44*(1+P24))</f>
        <v/>
      </c>
      <c r="Q44" s="14">
        <f>(P44*(1+Q24))</f>
        <v/>
      </c>
    </row>
    <row r="45">
      <c r="A45" t="inlineStr">
        <is>
          <t>EPS</t>
        </is>
      </c>
      <c r="B45" t="inlineStr">
        <is>
          <t>eps</t>
        </is>
      </c>
      <c r="D45" s="15" t="n">
        <v>8.74138177205954</v>
      </c>
      <c r="E45" s="15" t="n">
        <v>3.669881949582665</v>
      </c>
      <c r="F45" s="15" t="n">
        <v>2.274524345252642</v>
      </c>
      <c r="G45" s="15" t="n">
        <v>5.728085886628772</v>
      </c>
      <c r="H45" s="16">
        <f>(IF(H44=0,0,H43/H44)*$C$7)</f>
        <v/>
      </c>
      <c r="I45" s="16">
        <f>(IF(I44=0,0,I43/I44)*$C$7)</f>
        <v/>
      </c>
      <c r="J45" s="16">
        <f>(IF(J44=0,0,J43/J44)*$C$7)</f>
        <v/>
      </c>
      <c r="K45" s="16">
        <f>(IF(K44=0,0,K43/K44)*$C$7)</f>
        <v/>
      </c>
      <c r="L45" s="16">
        <f>(IF(L44=0,0,L43/L44)*$C$7)</f>
        <v/>
      </c>
      <c r="M45" s="16">
        <f>(IF(M44=0,0,M43/M44)*$C$7)</f>
        <v/>
      </c>
      <c r="N45" s="16">
        <f>(IF(N44=0,0,N43/N44)*$C$7)</f>
        <v/>
      </c>
      <c r="O45" s="16">
        <f>(IF(O44=0,0,O43/O44)*$C$7)</f>
        <v/>
      </c>
      <c r="P45" s="16">
        <f>(IF(P44=0,0,P43/P44)*$C$7)</f>
        <v/>
      </c>
      <c r="Q45" s="16">
        <f>(IF(Q44=0,0,Q43/Q44)*$C$7)</f>
        <v/>
      </c>
    </row>
    <row r="46">
      <c r="A46" t="inlineStr">
        <is>
          <t>DPS (declared on the year)</t>
        </is>
      </c>
      <c r="B46" t="inlineStr">
        <is>
          <t>dps</t>
        </is>
      </c>
      <c r="D46" s="15" t="n">
        <v>0</v>
      </c>
      <c r="E46" s="15" t="n">
        <v>0</v>
      </c>
      <c r="F46" s="15" t="n">
        <v>0</v>
      </c>
      <c r="G46" s="15" t="n">
        <v>0</v>
      </c>
      <c r="H46" s="16">
        <f>(MAX(H45,0)*H23)</f>
        <v/>
      </c>
      <c r="I46" s="16">
        <f>(MAX(I45,0)*I23)</f>
        <v/>
      </c>
      <c r="J46" s="16">
        <f>(MAX(J45,0)*J23)</f>
        <v/>
      </c>
      <c r="K46" s="16">
        <f>(MAX(K45,0)*K23)</f>
        <v/>
      </c>
      <c r="L46" s="16">
        <f>(MAX(L45,0)*L23)</f>
        <v/>
      </c>
      <c r="M46" s="16">
        <f>(MAX(M45,0)*M23)</f>
        <v/>
      </c>
      <c r="N46" s="16">
        <f>(MAX(N45,0)*N23)</f>
        <v/>
      </c>
      <c r="O46" s="16">
        <f>(MAX(O45,0)*O23)</f>
        <v/>
      </c>
      <c r="P46" s="16">
        <f>(MAX(P45,0)*P23)</f>
        <v/>
      </c>
      <c r="Q46" s="16">
        <f>(MAX(Q45,0)*Q23)</f>
        <v/>
      </c>
    </row>
    <row r="47">
      <c r="A47" t="inlineStr">
        <is>
          <t>Dividends paid</t>
        </is>
      </c>
      <c r="B47" t="inlineStr">
        <is>
          <t>dividends_paid</t>
        </is>
      </c>
      <c r="D47" s="13" t="n"/>
      <c r="E47" s="13" t="n"/>
      <c r="F47" s="13" t="n"/>
      <c r="G47" s="13" t="n"/>
      <c r="H47" s="14">
        <f>IF($C$7=0,0,(G46*G44)/$C$7)</f>
        <v/>
      </c>
      <c r="I47" s="14">
        <f>IF($C$7=0,0,(H46*H44)/$C$7)</f>
        <v/>
      </c>
      <c r="J47" s="14">
        <f>IF($C$7=0,0,(I46*I44)/$C$7)</f>
        <v/>
      </c>
      <c r="K47" s="14">
        <f>IF($C$7=0,0,(J46*J44)/$C$7)</f>
        <v/>
      </c>
      <c r="L47" s="14">
        <f>IF($C$7=0,0,(K46*K44)/$C$7)</f>
        <v/>
      </c>
      <c r="M47" s="14">
        <f>IF($C$7=0,0,(L46*L44)/$C$7)</f>
        <v/>
      </c>
      <c r="N47" s="14">
        <f>IF($C$7=0,0,(M46*M44)/$C$7)</f>
        <v/>
      </c>
      <c r="O47" s="14">
        <f>IF($C$7=0,0,(N46*N44)/$C$7)</f>
        <v/>
      </c>
      <c r="P47" s="14">
        <f>IF($C$7=0,0,(O46*O44)/$C$7)</f>
        <v/>
      </c>
      <c r="Q47" s="14">
        <f>IF($C$7=0,0,(P46*P44)/$C$7)</f>
        <v/>
      </c>
    </row>
    <row r="48">
      <c r="A48" t="inlineStr">
        <is>
          <t>Capital expenditure</t>
        </is>
      </c>
      <c r="B48" t="inlineStr">
        <is>
          <t>capex</t>
        </is>
      </c>
      <c r="D48" s="13" t="n">
        <v>1866.364</v>
      </c>
      <c r="E48" s="13" t="n">
        <v>2467.768</v>
      </c>
      <c r="F48" s="13" t="n">
        <v>1229.277</v>
      </c>
      <c r="G48" s="13" t="n">
        <v>904.524</v>
      </c>
      <c r="H48" s="14">
        <f>(H29*H15)</f>
        <v/>
      </c>
      <c r="I48" s="14">
        <f>(I29*I15)</f>
        <v/>
      </c>
      <c r="J48" s="14">
        <f>(J29*J15)</f>
        <v/>
      </c>
      <c r="K48" s="14">
        <f>(K29*K15)</f>
        <v/>
      </c>
      <c r="L48" s="14">
        <f>(L29*L15)</f>
        <v/>
      </c>
      <c r="M48" s="14">
        <f>(M29*M15)</f>
        <v/>
      </c>
      <c r="N48" s="14">
        <f>(N29*N15)</f>
        <v/>
      </c>
      <c r="O48" s="14">
        <f>(O29*O15)</f>
        <v/>
      </c>
      <c r="P48" s="14">
        <f>(P29*P15)</f>
        <v/>
      </c>
      <c r="Q48" s="14">
        <f>(Q29*Q15)</f>
        <v/>
      </c>
    </row>
    <row r="49">
      <c r="A49" t="inlineStr">
        <is>
          <t>Change in working capital</t>
        </is>
      </c>
      <c r="B49" t="inlineStr">
        <is>
          <t>delta_nwc</t>
        </is>
      </c>
      <c r="D49" s="13" t="n"/>
      <c r="E49" s="13" t="n">
        <v>1718.319999999998</v>
      </c>
      <c r="F49" s="13" t="n">
        <v>-3489.663000000002</v>
      </c>
      <c r="G49" s="13" t="n">
        <v>-821.0139999999956</v>
      </c>
      <c r="H49" s="14">
        <f>(H54-G54)</f>
        <v/>
      </c>
      <c r="I49" s="14">
        <f>(I54-H54)</f>
        <v/>
      </c>
      <c r="J49" s="14">
        <f>(J54-I54)</f>
        <v/>
      </c>
      <c r="K49" s="14">
        <f>(K54-J54)</f>
        <v/>
      </c>
      <c r="L49" s="14">
        <f>(L54-K54)</f>
        <v/>
      </c>
      <c r="M49" s="14">
        <f>(M54-L54)</f>
        <v/>
      </c>
      <c r="N49" s="14">
        <f>(N54-M54)</f>
        <v/>
      </c>
      <c r="O49" s="14">
        <f>(O54-N54)</f>
        <v/>
      </c>
      <c r="P49" s="14">
        <f>(P54-O54)</f>
        <v/>
      </c>
      <c r="Q49" s="14">
        <f>(Q54-P54)</f>
        <v/>
      </c>
    </row>
    <row r="50">
      <c r="A50" t="inlineStr">
        <is>
          <t>Free cash flow to firm</t>
        </is>
      </c>
      <c r="B50" t="inlineStr">
        <is>
          <t>fcff</t>
        </is>
      </c>
      <c r="D50" s="13" t="n"/>
      <c r="E50" s="13" t="n">
        <v>-1413.851586703669</v>
      </c>
      <c r="F50" s="13" t="n">
        <v>5664.497511563087</v>
      </c>
      <c r="G50" s="13" t="n">
        <v>3427.063939597251</v>
      </c>
      <c r="H50" s="14">
        <f>((((H33*(1-H17))+H34)-H48)-H49)</f>
        <v/>
      </c>
      <c r="I50" s="14">
        <f>((((I33*(1-I17))+I34)-I48)-I49)</f>
        <v/>
      </c>
      <c r="J50" s="14">
        <f>((((J33*(1-J17))+J34)-J48)-J49)</f>
        <v/>
      </c>
      <c r="K50" s="14">
        <f>((((K33*(1-K17))+K34)-K48)-K49)</f>
        <v/>
      </c>
      <c r="L50" s="14">
        <f>((((L33*(1-L17))+L34)-L48)-L49)</f>
        <v/>
      </c>
      <c r="M50" s="14">
        <f>((((M33*(1-M17))+M34)-M48)-M49)</f>
        <v/>
      </c>
      <c r="N50" s="14">
        <f>((((N33*(1-N17))+N34)-N48)-N49)</f>
        <v/>
      </c>
      <c r="O50" s="14">
        <f>((((O33*(1-O17))+O34)-O48)-O49)</f>
        <v/>
      </c>
      <c r="P50" s="14">
        <f>((((P33*(1-P17))+P34)-P48)-P49)</f>
        <v/>
      </c>
      <c r="Q50" s="14">
        <f>((((Q33*(1-Q17))+Q34)-Q48)-Q49)</f>
        <v/>
      </c>
    </row>
    <row r="51">
      <c r="A51" t="inlineStr">
        <is>
          <t>Net borrowing</t>
        </is>
      </c>
      <c r="B51" t="inlineStr">
        <is>
          <t>net_borrowing</t>
        </is>
      </c>
      <c r="D51" s="13" t="n"/>
      <c r="E51" s="13" t="n">
        <v>-42.59900000000016</v>
      </c>
      <c r="F51" s="13" t="n">
        <v>-1150.654</v>
      </c>
      <c r="G51" s="13" t="n">
        <v>43.32600000000093</v>
      </c>
      <c r="H51" s="14">
        <f>H20</f>
        <v/>
      </c>
      <c r="I51" s="14">
        <f>I20</f>
        <v/>
      </c>
      <c r="J51" s="14">
        <f>J20</f>
        <v/>
      </c>
      <c r="K51" s="14">
        <f>K20</f>
        <v/>
      </c>
      <c r="L51" s="14">
        <f>L20</f>
        <v/>
      </c>
      <c r="M51" s="14">
        <f>M20</f>
        <v/>
      </c>
      <c r="N51" s="14">
        <f>N20</f>
        <v/>
      </c>
      <c r="O51" s="14">
        <f>O20</f>
        <v/>
      </c>
      <c r="P51" s="14">
        <f>P20</f>
        <v/>
      </c>
      <c r="Q51" s="14">
        <f>Q20</f>
        <v/>
      </c>
    </row>
    <row r="52">
      <c r="A52" t="inlineStr">
        <is>
          <t>Dividends to minorities</t>
        </is>
      </c>
      <c r="B52" t="inlineStr">
        <is>
          <t>minority_div</t>
        </is>
      </c>
      <c r="D52" s="13" t="n"/>
      <c r="E52" s="13" t="n"/>
      <c r="F52" s="13" t="n"/>
      <c r="G52" s="13" t="n"/>
      <c r="H52" s="14">
        <f>(MAX(G42,0)*H23)</f>
        <v/>
      </c>
      <c r="I52" s="14">
        <f>(MAX(H42,0)*I23)</f>
        <v/>
      </c>
      <c r="J52" s="14">
        <f>(MAX(I42,0)*J23)</f>
        <v/>
      </c>
      <c r="K52" s="14">
        <f>(MAX(J42,0)*K23)</f>
        <v/>
      </c>
      <c r="L52" s="14">
        <f>(MAX(K42,0)*L23)</f>
        <v/>
      </c>
      <c r="M52" s="14">
        <f>(MAX(L42,0)*M23)</f>
        <v/>
      </c>
      <c r="N52" s="14">
        <f>(MAX(M42,0)*N23)</f>
        <v/>
      </c>
      <c r="O52" s="14">
        <f>(MAX(N42,0)*O23)</f>
        <v/>
      </c>
      <c r="P52" s="14">
        <f>(MAX(O42,0)*P23)</f>
        <v/>
      </c>
      <c r="Q52" s="14">
        <f>(MAX(P42,0)*Q23)</f>
        <v/>
      </c>
    </row>
    <row r="53">
      <c r="A53" t="inlineStr">
        <is>
          <t>Free cash flow to equity</t>
        </is>
      </c>
      <c r="B53" t="inlineStr">
        <is>
          <t>fcfe</t>
        </is>
      </c>
      <c r="D53" s="13" t="n"/>
      <c r="E53" s="13" t="n"/>
      <c r="F53" s="13" t="n"/>
      <c r="G53" s="13" t="n"/>
      <c r="H53" s="14">
        <f>(((((H41+H34)-H48)-H49)+H51)-H52)</f>
        <v/>
      </c>
      <c r="I53" s="14">
        <f>(((((I41+I34)-I48)-I49)+I51)-I52)</f>
        <v/>
      </c>
      <c r="J53" s="14">
        <f>(((((J41+J34)-J48)-J49)+J51)-J52)</f>
        <v/>
      </c>
      <c r="K53" s="14">
        <f>(((((K41+K34)-K48)-K49)+K51)-K52)</f>
        <v/>
      </c>
      <c r="L53" s="14">
        <f>(((((L41+L34)-L48)-L49)+L51)-L52)</f>
        <v/>
      </c>
      <c r="M53" s="14">
        <f>(((((M41+M34)-M48)-M49)+M51)-M52)</f>
        <v/>
      </c>
      <c r="N53" s="14">
        <f>(((((N41+N34)-N48)-N49)+N51)-N52)</f>
        <v/>
      </c>
      <c r="O53" s="14">
        <f>(((((O41+O34)-O48)-O49)+O51)-O52)</f>
        <v/>
      </c>
      <c r="P53" s="14">
        <f>(((((P41+P34)-P48)-P49)+P51)-P52)</f>
        <v/>
      </c>
      <c r="Q53" s="14">
        <f>(((((Q41+Q34)-Q48)-Q49)+Q51)-Q52)</f>
        <v/>
      </c>
    </row>
    <row r="54">
      <c r="A54" t="inlineStr">
        <is>
          <t>Operating working capital</t>
        </is>
      </c>
      <c r="B54" t="inlineStr">
        <is>
          <t>nwc</t>
        </is>
      </c>
      <c r="D54" s="13" t="n">
        <v>-82.28899999999703</v>
      </c>
      <c r="E54" s="13" t="n">
        <v>1636.031000000001</v>
      </c>
      <c r="F54" s="13" t="n">
        <v>-1853.632000000001</v>
      </c>
      <c r="G54" s="13" t="n">
        <v>-2674.645999999997</v>
      </c>
      <c r="H54" s="14">
        <f>(H29*H16)</f>
        <v/>
      </c>
      <c r="I54" s="14">
        <f>(I29*I16)</f>
        <v/>
      </c>
      <c r="J54" s="14">
        <f>(J29*J16)</f>
        <v/>
      </c>
      <c r="K54" s="14">
        <f>(K29*K16)</f>
        <v/>
      </c>
      <c r="L54" s="14">
        <f>(L29*L16)</f>
        <v/>
      </c>
      <c r="M54" s="14">
        <f>(M29*M16)</f>
        <v/>
      </c>
      <c r="N54" s="14">
        <f>(N29*N16)</f>
        <v/>
      </c>
      <c r="O54" s="14">
        <f>(O29*O16)</f>
        <v/>
      </c>
      <c r="P54" s="14">
        <f>(P29*P16)</f>
        <v/>
      </c>
      <c r="Q54" s="14">
        <f>(Q29*Q16)</f>
        <v/>
      </c>
    </row>
    <row r="55">
      <c r="A55" t="inlineStr">
        <is>
          <t>Cash &amp; equivalents</t>
        </is>
      </c>
      <c r="B55" t="inlineStr">
        <is>
          <t>cash</t>
        </is>
      </c>
      <c r="D55" s="13" t="n">
        <v>9343.790999999999</v>
      </c>
      <c r="E55" s="13" t="n">
        <v>10020.75</v>
      </c>
      <c r="F55" s="13" t="n">
        <v>12188.175</v>
      </c>
      <c r="G55" s="13" t="n">
        <v>10579.309</v>
      </c>
      <c r="H55" s="14">
        <f>(((((((G55+H41)+H34)-H48)-H49)+H51)-H47)-H52)</f>
        <v/>
      </c>
      <c r="I55" s="14">
        <f>(((((((H55+I41)+I34)-I48)-I49)+I51)-I47)-I52)</f>
        <v/>
      </c>
      <c r="J55" s="14">
        <f>(((((((I55+J41)+J34)-J48)-J49)+J51)-J47)-J52)</f>
        <v/>
      </c>
      <c r="K55" s="14">
        <f>(((((((J55+K41)+K34)-K48)-K49)+K51)-K47)-K52)</f>
        <v/>
      </c>
      <c r="L55" s="14">
        <f>(((((((K55+L41)+L34)-L48)-L49)+L51)-L47)-L52)</f>
        <v/>
      </c>
      <c r="M55" s="14">
        <f>(((((((L55+M41)+M34)-M48)-M49)+M51)-M47)-M52)</f>
        <v/>
      </c>
      <c r="N55" s="14">
        <f>(((((((M55+N41)+N34)-N48)-N49)+N51)-N47)-N52)</f>
        <v/>
      </c>
      <c r="O55" s="14">
        <f>(((((((N55+O41)+O34)-O48)-O49)+O51)-O47)-O52)</f>
        <v/>
      </c>
      <c r="P55" s="14">
        <f>(((((((O55+P41)+P34)-P48)-P49)+P51)-P47)-P52)</f>
        <v/>
      </c>
      <c r="Q55" s="14">
        <f>(((((((P55+Q41)+Q34)-Q48)-Q49)+Q51)-Q47)-Q52)</f>
        <v/>
      </c>
    </row>
    <row r="56">
      <c r="A56" t="inlineStr">
        <is>
          <t>Total debt</t>
        </is>
      </c>
      <c r="B56" t="inlineStr">
        <is>
          <t>debt</t>
        </is>
      </c>
      <c r="D56" s="13" t="n">
        <v>12297.883</v>
      </c>
      <c r="E56" s="13" t="n">
        <v>12255.284</v>
      </c>
      <c r="F56" s="13" t="n">
        <v>11104.63</v>
      </c>
      <c r="G56" s="13" t="n">
        <v>11147.956</v>
      </c>
      <c r="H56" s="14">
        <f>(G56+H51)</f>
        <v/>
      </c>
      <c r="I56" s="14">
        <f>(H56+I51)</f>
        <v/>
      </c>
      <c r="J56" s="14">
        <f>(I56+J51)</f>
        <v/>
      </c>
      <c r="K56" s="14">
        <f>(J56+K51)</f>
        <v/>
      </c>
      <c r="L56" s="14">
        <f>(K56+L51)</f>
        <v/>
      </c>
      <c r="M56" s="14">
        <f>(L56+M51)</f>
        <v/>
      </c>
      <c r="N56" s="14">
        <f>(M56+N51)</f>
        <v/>
      </c>
      <c r="O56" s="14">
        <f>(N56+O51)</f>
        <v/>
      </c>
      <c r="P56" s="14">
        <f>(O56+P51)</f>
        <v/>
      </c>
      <c r="Q56" s="14">
        <f>(P56+Q51)</f>
        <v/>
      </c>
    </row>
    <row r="57">
      <c r="A57" t="inlineStr">
        <is>
          <t>Fixed assets (net)</t>
        </is>
      </c>
      <c r="B57" t="inlineStr">
        <is>
          <t>ppe</t>
        </is>
      </c>
      <c r="D57" s="13" t="n">
        <v>18326.849</v>
      </c>
      <c r="E57" s="13" t="n">
        <v>14422.679</v>
      </c>
      <c r="F57" s="13" t="n">
        <v>15416.471</v>
      </c>
      <c r="G57" s="13" t="n">
        <v>13940.152</v>
      </c>
      <c r="H57" s="14">
        <f>((G57+H48)-H34)</f>
        <v/>
      </c>
      <c r="I57" s="14">
        <f>((H57+I48)-I34)</f>
        <v/>
      </c>
      <c r="J57" s="14">
        <f>((I57+J48)-J34)</f>
        <v/>
      </c>
      <c r="K57" s="14">
        <f>((J57+K48)-K34)</f>
        <v/>
      </c>
      <c r="L57" s="14">
        <f>((K57+L48)-L34)</f>
        <v/>
      </c>
      <c r="M57" s="14">
        <f>((L57+M48)-M34)</f>
        <v/>
      </c>
      <c r="N57" s="14">
        <f>((M57+N48)-N34)</f>
        <v/>
      </c>
      <c r="O57" s="14">
        <f>((N57+O48)-O34)</f>
        <v/>
      </c>
      <c r="P57" s="14">
        <f>((O57+P48)-P34)</f>
        <v/>
      </c>
      <c r="Q57" s="14">
        <f>((P57+Q48)-Q34)</f>
        <v/>
      </c>
    </row>
    <row r="58">
      <c r="A58" t="inlineStr">
        <is>
          <t>Parent shareholders' equity</t>
        </is>
      </c>
      <c r="B58" t="inlineStr">
        <is>
          <t>equity</t>
        </is>
      </c>
      <c r="D58" s="13" t="n">
        <v>17038.624</v>
      </c>
      <c r="E58" s="13" t="n">
        <v>17839.694</v>
      </c>
      <c r="F58" s="13" t="n">
        <v>17518.553</v>
      </c>
      <c r="G58" s="13" t="n">
        <v>16686.254</v>
      </c>
      <c r="H58" s="14">
        <f>((G58+H43)-H47)</f>
        <v/>
      </c>
      <c r="I58" s="14">
        <f>((H58+I43)-I47)</f>
        <v/>
      </c>
      <c r="J58" s="14">
        <f>((I58+J43)-J47)</f>
        <v/>
      </c>
      <c r="K58" s="14">
        <f>((J58+K43)-K47)</f>
        <v/>
      </c>
      <c r="L58" s="14">
        <f>((K58+L43)-L47)</f>
        <v/>
      </c>
      <c r="M58" s="14">
        <f>((L58+M43)-M47)</f>
        <v/>
      </c>
      <c r="N58" s="14">
        <f>((M58+N43)-N47)</f>
        <v/>
      </c>
      <c r="O58" s="14">
        <f>((N58+O43)-O47)</f>
        <v/>
      </c>
      <c r="P58" s="14">
        <f>((O58+P43)-P47)</f>
        <v/>
      </c>
      <c r="Q58" s="14">
        <f>((P58+Q43)-Q47)</f>
        <v/>
      </c>
    </row>
    <row r="59">
      <c r="A59" t="inlineStr">
        <is>
          <t>Minority interest (balance sheet)</t>
        </is>
      </c>
      <c r="B59" t="inlineStr">
        <is>
          <t>minority_bs</t>
        </is>
      </c>
      <c r="D59" s="13" t="n">
        <v>22393.624</v>
      </c>
      <c r="E59" s="13" t="n">
        <v>23458.275</v>
      </c>
      <c r="F59" s="13" t="n">
        <v>25285.267</v>
      </c>
      <c r="G59" s="13" t="n">
        <v>23728.674</v>
      </c>
      <c r="H59" s="14">
        <f>((G59+H42)-H52)</f>
        <v/>
      </c>
      <c r="I59" s="14">
        <f>((H59+I42)-I52)</f>
        <v/>
      </c>
      <c r="J59" s="14">
        <f>((I59+J42)-J52)</f>
        <v/>
      </c>
      <c r="K59" s="14">
        <f>((J59+K42)-K52)</f>
        <v/>
      </c>
      <c r="L59" s="14">
        <f>((K59+L42)-L52)</f>
        <v/>
      </c>
      <c r="M59" s="14">
        <f>((L59+M42)-M52)</f>
        <v/>
      </c>
      <c r="N59" s="14">
        <f>((M59+N42)-N52)</f>
        <v/>
      </c>
      <c r="O59" s="14">
        <f>((N59+O42)-O52)</f>
        <v/>
      </c>
      <c r="P59" s="14">
        <f>((O59+P42)-P52)</f>
        <v/>
      </c>
      <c r="Q59" s="14">
        <f>((P59+Q42)-Q52)</f>
        <v/>
      </c>
    </row>
    <row r="60">
      <c r="A60" t="inlineStr">
        <is>
          <t>Other assets less other liabilities</t>
        </is>
      </c>
      <c r="B60" t="inlineStr">
        <is>
          <t>other_net</t>
        </is>
      </c>
      <c r="D60" s="13" t="n">
        <v>24141.78</v>
      </c>
      <c r="E60" s="13" t="n">
        <v>27473.79299999999</v>
      </c>
      <c r="F60" s="13" t="n">
        <v>28157.43599999999</v>
      </c>
      <c r="G60" s="13" t="n">
        <v>29718.06899999999</v>
      </c>
      <c r="H60" s="14">
        <f>G60</f>
        <v/>
      </c>
      <c r="I60" s="14">
        <f>H60</f>
        <v/>
      </c>
      <c r="J60" s="14">
        <f>I60</f>
        <v/>
      </c>
      <c r="K60" s="14">
        <f>J60</f>
        <v/>
      </c>
      <c r="L60" s="14">
        <f>K60</f>
        <v/>
      </c>
      <c r="M60" s="14">
        <f>L60</f>
        <v/>
      </c>
      <c r="N60" s="14">
        <f>M60</f>
        <v/>
      </c>
      <c r="O60" s="14">
        <f>N60</f>
        <v/>
      </c>
      <c r="P60" s="14">
        <f>O60</f>
        <v/>
      </c>
      <c r="Q60" s="14">
        <f>P60</f>
        <v/>
      </c>
    </row>
    <row r="61">
      <c r="A61" t="inlineStr">
        <is>
          <t>Balance check (should be zero)</t>
        </is>
      </c>
      <c r="B61" t="inlineStr">
        <is>
          <t>bs_check</t>
        </is>
      </c>
      <c r="D61" s="13" t="n"/>
      <c r="E61" s="13" t="n"/>
      <c r="F61" s="13" t="n"/>
      <c r="G61" s="13" t="n"/>
      <c r="H61" s="14">
        <f>((((((H55+H54)+H57)+H60)-H56)-H58)-H59)</f>
        <v/>
      </c>
      <c r="I61" s="14">
        <f>((((((I55+I54)+I57)+I60)-I56)-I58)-I59)</f>
        <v/>
      </c>
      <c r="J61" s="14">
        <f>((((((J55+J54)+J57)+J60)-J56)-J58)-J59)</f>
        <v/>
      </c>
      <c r="K61" s="14">
        <f>((((((K55+K54)+K57)+K60)-K56)-K58)-K59)</f>
        <v/>
      </c>
      <c r="L61" s="14">
        <f>((((((L55+L54)+L57)+L60)-L56)-L58)-L59)</f>
        <v/>
      </c>
      <c r="M61" s="14">
        <f>((((((M55+M54)+M57)+M60)-M56)-M58)-M59)</f>
        <v/>
      </c>
      <c r="N61" s="14">
        <f>((((((N55+N54)+N57)+N60)-N56)-N58)-N59)</f>
        <v/>
      </c>
      <c r="O61" s="14">
        <f>((((((O55+O54)+O57)+O60)-O56)-O58)-O59)</f>
        <v/>
      </c>
      <c r="P61" s="14">
        <f>((((((P55+P54)+P57)+P60)-P56)-P58)-P59)</f>
        <v/>
      </c>
      <c r="Q61" s="14">
        <f>((((((Q55+Q54)+Q57)+Q60)-Q56)-Q58)-Q59)</f>
        <v/>
      </c>
    </row>
    <row r="62">
      <c r="A62" t="inlineStr">
        <is>
          <t>Net debt (cash)</t>
        </is>
      </c>
      <c r="B62" t="inlineStr">
        <is>
          <t>net_debt</t>
        </is>
      </c>
      <c r="D62" s="13" t="n">
        <v>2954.092000000001</v>
      </c>
      <c r="E62" s="13" t="n">
        <v>2234.534</v>
      </c>
      <c r="F62" s="13" t="n">
        <v>-1083.545</v>
      </c>
      <c r="G62" s="13" t="n">
        <v>568.6470000000008</v>
      </c>
      <c r="H62" s="14">
        <f>(H56-H55)</f>
        <v/>
      </c>
      <c r="I62" s="14">
        <f>(I56-I55)</f>
        <v/>
      </c>
      <c r="J62" s="14">
        <f>(J56-J55)</f>
        <v/>
      </c>
      <c r="K62" s="14">
        <f>(K56-K55)</f>
        <v/>
      </c>
      <c r="L62" s="14">
        <f>(L56-L55)</f>
        <v/>
      </c>
      <c r="M62" s="14">
        <f>(M56-M55)</f>
        <v/>
      </c>
      <c r="N62" s="14">
        <f>(N56-N55)</f>
        <v/>
      </c>
      <c r="O62" s="14">
        <f>(O56-O55)</f>
        <v/>
      </c>
      <c r="P62" s="14">
        <f>(P56-P55)</f>
        <v/>
      </c>
      <c r="Q62" s="14">
        <f>(Q56-Q55)</f>
        <v/>
      </c>
    </row>
    <row r="63">
      <c r="A63" t="inlineStr">
        <is>
          <t>Book value per share</t>
        </is>
      </c>
      <c r="B63" t="inlineStr">
        <is>
          <t>bvps</t>
        </is>
      </c>
      <c r="D63" s="15" t="n">
        <v>203.9509793579936</v>
      </c>
      <c r="E63" s="15" t="n">
        <v>213.5397237914824</v>
      </c>
      <c r="F63" s="15" t="n">
        <v>209.6956914645758</v>
      </c>
      <c r="G63" s="15" t="n">
        <v>199.7331383752725</v>
      </c>
      <c r="H63" s="16">
        <f>(IF(H44=0,0,H58/H44)*$C$7)</f>
        <v/>
      </c>
      <c r="I63" s="16">
        <f>(IF(I44=0,0,I58/I44)*$C$7)</f>
        <v/>
      </c>
      <c r="J63" s="16">
        <f>(IF(J44=0,0,J58/J44)*$C$7)</f>
        <v/>
      </c>
      <c r="K63" s="16">
        <f>(IF(K44=0,0,K58/K44)*$C$7)</f>
        <v/>
      </c>
      <c r="L63" s="16">
        <f>(IF(L44=0,0,L58/L44)*$C$7)</f>
        <v/>
      </c>
      <c r="M63" s="16">
        <f>(IF(M44=0,0,M58/M44)*$C$7)</f>
        <v/>
      </c>
      <c r="N63" s="16">
        <f>(IF(N44=0,0,N58/N44)*$C$7)</f>
        <v/>
      </c>
      <c r="O63" s="16">
        <f>(IF(O44=0,0,O58/O44)*$C$7)</f>
        <v/>
      </c>
      <c r="P63" s="16">
        <f>(IF(P44=0,0,P58/P44)*$C$7)</f>
        <v/>
      </c>
      <c r="Q63" s="16">
        <f>(IF(Q44=0,0,Q58/Q44)*$C$7)</f>
        <v/>
      </c>
    </row>
    <row r="64">
      <c r="A64" t="inlineStr">
        <is>
          <t>Revenue growth</t>
        </is>
      </c>
      <c r="B64" t="inlineStr">
        <is>
          <t>revenue_growth</t>
        </is>
      </c>
      <c r="D64" s="4" t="n"/>
      <c r="E64" s="4" t="n">
        <v>-0.13399872094724</v>
      </c>
      <c r="F64" s="4" t="n">
        <v>-0.03325806329464642</v>
      </c>
      <c r="G64" s="4" t="n">
        <v>-0.04288364372659503</v>
      </c>
      <c r="H64" s="17">
        <f>(IF(G29=0,0,H29/G29)-1)</f>
        <v/>
      </c>
      <c r="I64" s="17">
        <f>(IF(H29=0,0,I29/H29)-1)</f>
        <v/>
      </c>
      <c r="J64" s="17">
        <f>(IF(I29=0,0,J29/I29)-1)</f>
        <v/>
      </c>
      <c r="K64" s="17">
        <f>(IF(J29=0,0,K29/J29)-1)</f>
        <v/>
      </c>
      <c r="L64" s="17">
        <f>(IF(K29=0,0,L29/K29)-1)</f>
        <v/>
      </c>
      <c r="M64" s="17">
        <f>(IF(L29=0,0,M29/L29)-1)</f>
        <v/>
      </c>
      <c r="N64" s="17">
        <f>(IF(M29=0,0,N29/M29)-1)</f>
        <v/>
      </c>
      <c r="O64" s="17">
        <f>(IF(N29=0,0,O29/N29)-1)</f>
        <v/>
      </c>
      <c r="P64" s="17">
        <f>(IF(O29=0,0,P29/O29)-1)</f>
        <v/>
      </c>
      <c r="Q64" s="17">
        <f>(IF(P29=0,0,Q29/P29)-1)</f>
        <v/>
      </c>
    </row>
    <row r="65">
      <c r="A65" t="inlineStr">
        <is>
          <t>Gross margin</t>
        </is>
      </c>
      <c r="B65" t="inlineStr">
        <is>
          <t>gross_margin</t>
        </is>
      </c>
      <c r="D65" s="4" t="n">
        <v>0.4870913825963112</v>
      </c>
      <c r="E65" s="4" t="n">
        <v>0.4024931383110746</v>
      </c>
      <c r="F65" s="4" t="n">
        <v>0.3945473694431151</v>
      </c>
      <c r="G65" s="4" t="n">
        <v>0.3973722364588303</v>
      </c>
      <c r="H65" s="17">
        <f>IF(H29=0,0,H31/H29)</f>
        <v/>
      </c>
      <c r="I65" s="17">
        <f>IF(I29=0,0,I31/I29)</f>
        <v/>
      </c>
      <c r="J65" s="17">
        <f>IF(J29=0,0,J31/J29)</f>
        <v/>
      </c>
      <c r="K65" s="17">
        <f>IF(K29=0,0,K31/K29)</f>
        <v/>
      </c>
      <c r="L65" s="17">
        <f>IF(L29=0,0,L31/L29)</f>
        <v/>
      </c>
      <c r="M65" s="17">
        <f>IF(M29=0,0,M31/M29)</f>
        <v/>
      </c>
      <c r="N65" s="17">
        <f>IF(N29=0,0,N31/N29)</f>
        <v/>
      </c>
      <c r="O65" s="17">
        <f>IF(O29=0,0,O31/O29)</f>
        <v/>
      </c>
      <c r="P65" s="17">
        <f>IF(P29=0,0,P31/P29)</f>
        <v/>
      </c>
      <c r="Q65" s="17">
        <f>IF(Q29=0,0,Q31/Q29)</f>
        <v/>
      </c>
    </row>
    <row r="66">
      <c r="A66" t="inlineStr">
        <is>
          <t>EBITDA margin</t>
        </is>
      </c>
      <c r="B66" t="inlineStr">
        <is>
          <t>ebitda_margin</t>
        </is>
      </c>
      <c r="D66" s="4" t="n">
        <v>0.3031953370149187</v>
      </c>
      <c r="E66" s="4" t="n">
        <v>0.1962629169701637</v>
      </c>
      <c r="F66" s="4" t="n">
        <v>0.2675041356595407</v>
      </c>
      <c r="G66" s="4" t="n">
        <v>0.2689246916980535</v>
      </c>
      <c r="H66" s="17">
        <f>IF(H29=0,0,H35/H29)</f>
        <v/>
      </c>
      <c r="I66" s="17">
        <f>IF(I29=0,0,I35/I29)</f>
        <v/>
      </c>
      <c r="J66" s="17">
        <f>IF(J29=0,0,J35/J29)</f>
        <v/>
      </c>
      <c r="K66" s="17">
        <f>IF(K29=0,0,K35/K29)</f>
        <v/>
      </c>
      <c r="L66" s="17">
        <f>IF(L29=0,0,L35/L29)</f>
        <v/>
      </c>
      <c r="M66" s="17">
        <f>IF(M29=0,0,M35/M29)</f>
        <v/>
      </c>
      <c r="N66" s="17">
        <f>IF(N29=0,0,N35/N29)</f>
        <v/>
      </c>
      <c r="O66" s="17">
        <f>IF(O29=0,0,O35/O29)</f>
        <v/>
      </c>
      <c r="P66" s="17">
        <f>IF(P29=0,0,P35/P29)</f>
        <v/>
      </c>
      <c r="Q66" s="17">
        <f>IF(Q29=0,0,Q35/Q29)</f>
        <v/>
      </c>
    </row>
    <row r="67">
      <c r="A67" t="inlineStr">
        <is>
          <t>EBIT margin</t>
        </is>
      </c>
      <c r="B67" t="inlineStr">
        <is>
          <t>ebit_margin</t>
        </is>
      </c>
      <c r="D67" s="4" t="n">
        <v>0.2742015390106944</v>
      </c>
      <c r="E67" s="4" t="n">
        <v>0.1625489934774126</v>
      </c>
      <c r="F67" s="4" t="n">
        <v>0.1789394283162804</v>
      </c>
      <c r="G67" s="4" t="n">
        <v>0.175041774148591</v>
      </c>
      <c r="H67" s="17">
        <f>IF(H29=0,0,H33/H29)</f>
        <v/>
      </c>
      <c r="I67" s="17">
        <f>IF(I29=0,0,I33/I29)</f>
        <v/>
      </c>
      <c r="J67" s="17">
        <f>IF(J29=0,0,J33/J29)</f>
        <v/>
      </c>
      <c r="K67" s="17">
        <f>IF(K29=0,0,K33/K29)</f>
        <v/>
      </c>
      <c r="L67" s="17">
        <f>IF(L29=0,0,L33/L29)</f>
        <v/>
      </c>
      <c r="M67" s="17">
        <f>IF(M29=0,0,M33/M29)</f>
        <v/>
      </c>
      <c r="N67" s="17">
        <f>IF(N29=0,0,N33/N29)</f>
        <v/>
      </c>
      <c r="O67" s="17">
        <f>IF(O29=0,0,O33/O29)</f>
        <v/>
      </c>
      <c r="P67" s="17">
        <f>IF(P29=0,0,P33/P29)</f>
        <v/>
      </c>
      <c r="Q67" s="17">
        <f>IF(Q29=0,0,Q33/Q29)</f>
        <v/>
      </c>
    </row>
    <row r="68">
      <c r="A68" t="inlineStr">
        <is>
          <t>Net margin</t>
        </is>
      </c>
      <c r="B68" t="inlineStr">
        <is>
          <t>np_margin</t>
        </is>
      </c>
      <c r="D68" s="4" t="n">
        <v>0.04038328450020862</v>
      </c>
      <c r="E68" s="4" t="n">
        <v>0.01957740437839066</v>
      </c>
      <c r="F68" s="4" t="n">
        <v>0.01255113636926577</v>
      </c>
      <c r="G68" s="4" t="n">
        <v>0.0330245753384253</v>
      </c>
      <c r="H68" s="17">
        <f>IF(H29=0,0,H43/H29)</f>
        <v/>
      </c>
      <c r="I68" s="17">
        <f>IF(I29=0,0,I43/I29)</f>
        <v/>
      </c>
      <c r="J68" s="17">
        <f>IF(J29=0,0,J43/J29)</f>
        <v/>
      </c>
      <c r="K68" s="17">
        <f>IF(K29=0,0,K43/K29)</f>
        <v/>
      </c>
      <c r="L68" s="17">
        <f>IF(L29=0,0,L43/L29)</f>
        <v/>
      </c>
      <c r="M68" s="17">
        <f>IF(M29=0,0,M43/M29)</f>
        <v/>
      </c>
      <c r="N68" s="17">
        <f>IF(N29=0,0,N43/N29)</f>
        <v/>
      </c>
      <c r="O68" s="17">
        <f>IF(O29=0,0,O43/O29)</f>
        <v/>
      </c>
      <c r="P68" s="17">
        <f>IF(P29=0,0,P43/P29)</f>
        <v/>
      </c>
      <c r="Q68" s="17">
        <f>IF(Q29=0,0,Q43/Q29)</f>
        <v/>
      </c>
    </row>
    <row r="69">
      <c r="A69" t="inlineStr">
        <is>
          <t>EPS growth</t>
        </is>
      </c>
      <c r="B69" t="inlineStr">
        <is>
          <t>eps_growth</t>
        </is>
      </c>
      <c r="D69" s="4" t="n"/>
      <c r="E69" s="4" t="n">
        <v>-0.5801714139390561</v>
      </c>
      <c r="F69" s="4" t="n">
        <v>-0.3802186619350798</v>
      </c>
      <c r="G69" s="4" t="n">
        <v>1.518366487738133</v>
      </c>
      <c r="H69" s="17">
        <f>(IF(G45=0,0,H45/G45)-1)</f>
        <v/>
      </c>
      <c r="I69" s="17">
        <f>(IF(H45=0,0,I45/H45)-1)</f>
        <v/>
      </c>
      <c r="J69" s="17">
        <f>(IF(I45=0,0,J45/I45)-1)</f>
        <v/>
      </c>
      <c r="K69" s="17">
        <f>(IF(J45=0,0,K45/J45)-1)</f>
        <v/>
      </c>
      <c r="L69" s="17">
        <f>(IF(K45=0,0,L45/K45)-1)</f>
        <v/>
      </c>
      <c r="M69" s="17">
        <f>(IF(L45=0,0,M45/L45)-1)</f>
        <v/>
      </c>
      <c r="N69" s="17">
        <f>(IF(M45=0,0,N45/M45)-1)</f>
        <v/>
      </c>
      <c r="O69" s="17">
        <f>(IF(N45=0,0,O45/N45)-1)</f>
        <v/>
      </c>
      <c r="P69" s="17">
        <f>(IF(O45=0,0,P45/O45)-1)</f>
        <v/>
      </c>
      <c r="Q69" s="17">
        <f>(IF(P45=0,0,Q45/P45)-1)</f>
        <v/>
      </c>
    </row>
    <row r="70">
      <c r="A70" t="inlineStr">
        <is>
          <t>ROE</t>
        </is>
      </c>
      <c r="B70" t="inlineStr">
        <is>
          <t>roe</t>
        </is>
      </c>
      <c r="D70" s="4" t="n"/>
      <c r="E70" s="4" t="n">
        <v>0.0175806642969423</v>
      </c>
      <c r="F70" s="4" t="n">
        <v>0.01074827041057776</v>
      </c>
      <c r="G70" s="4" t="n">
        <v>0.02798086245597</v>
      </c>
      <c r="H70" s="17">
        <f>IF(IF(2=0,0,(H58+G58)/2)=0,0,H43/IF(2=0,0,(H58+G58)/2))</f>
        <v/>
      </c>
      <c r="I70" s="17">
        <f>IF(IF(2=0,0,(I58+H58)/2)=0,0,I43/IF(2=0,0,(I58+H58)/2))</f>
        <v/>
      </c>
      <c r="J70" s="17">
        <f>IF(IF(2=0,0,(J58+I58)/2)=0,0,J43/IF(2=0,0,(J58+I58)/2))</f>
        <v/>
      </c>
      <c r="K70" s="17">
        <f>IF(IF(2=0,0,(K58+J58)/2)=0,0,K43/IF(2=0,0,(K58+J58)/2))</f>
        <v/>
      </c>
      <c r="L70" s="17">
        <f>IF(IF(2=0,0,(L58+K58)/2)=0,0,L43/IF(2=0,0,(L58+K58)/2))</f>
        <v/>
      </c>
      <c r="M70" s="17">
        <f>IF(IF(2=0,0,(M58+L58)/2)=0,0,M43/IF(2=0,0,(M58+L58)/2))</f>
        <v/>
      </c>
      <c r="N70" s="17">
        <f>IF(IF(2=0,0,(N58+M58)/2)=0,0,N43/IF(2=0,0,(N58+M58)/2))</f>
        <v/>
      </c>
      <c r="O70" s="17">
        <f>IF(IF(2=0,0,(O58+N58)/2)=0,0,O43/IF(2=0,0,(O58+N58)/2))</f>
        <v/>
      </c>
      <c r="P70" s="17">
        <f>IF(IF(2=0,0,(P58+O58)/2)=0,0,P43/IF(2=0,0,(P58+O58)/2))</f>
        <v/>
      </c>
      <c r="Q70" s="17">
        <f>IF(IF(2=0,0,(Q58+P58)/2)=0,0,Q43/IF(2=0,0,(Q58+P58)/2))</f>
        <v/>
      </c>
    </row>
    <row r="71">
      <c r="A71" t="inlineStr">
        <is>
          <t>Net debt / EBITDA</t>
        </is>
      </c>
      <c r="B71" t="inlineStr">
        <is>
          <t>net_debt_ebitda</t>
        </is>
      </c>
      <c r="D71" s="18" t="n">
        <v>0.5387835470769806</v>
      </c>
      <c r="E71" s="18" t="n">
        <v>0.7270143962602518</v>
      </c>
      <c r="F71" s="18" t="n">
        <v>-0.2675470620058703</v>
      </c>
      <c r="G71" s="18" t="n">
        <v>0.1459254594501382</v>
      </c>
      <c r="H71" s="19">
        <f>IF(H35=0,0,H62/H35)</f>
        <v/>
      </c>
      <c r="I71" s="19">
        <f>IF(I35=0,0,I62/I35)</f>
        <v/>
      </c>
      <c r="J71" s="19">
        <f>IF(J35=0,0,J62/J35)</f>
        <v/>
      </c>
      <c r="K71" s="19">
        <f>IF(K35=0,0,K62/K35)</f>
        <v/>
      </c>
      <c r="L71" s="19">
        <f>IF(L35=0,0,L62/L35)</f>
        <v/>
      </c>
      <c r="M71" s="19">
        <f>IF(M35=0,0,M62/M35)</f>
        <v/>
      </c>
      <c r="N71" s="19">
        <f>IF(N35=0,0,N62/N35)</f>
        <v/>
      </c>
      <c r="O71" s="19">
        <f>IF(O35=0,0,O62/O35)</f>
        <v/>
      </c>
      <c r="P71" s="19">
        <f>IF(P35=0,0,P62/P35)</f>
        <v/>
      </c>
      <c r="Q71" s="19">
        <f>IF(Q35=0,0,Q62/Q35)</f>
        <v/>
      </c>
    </row>
    <row r="72">
      <c r="A72" t="inlineStr">
        <is>
          <t>Payout ratio</t>
        </is>
      </c>
      <c r="B72" t="inlineStr">
        <is>
          <t>payout_ratio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17">
        <f>IF(H45=0,0,H46/H45)</f>
        <v/>
      </c>
      <c r="I72" s="17">
        <f>IF(I45=0,0,I46/I45)</f>
        <v/>
      </c>
      <c r="J72" s="17">
        <f>IF(J45=0,0,J46/J45)</f>
        <v/>
      </c>
      <c r="K72" s="17">
        <f>IF(K45=0,0,K46/K45)</f>
        <v/>
      </c>
      <c r="L72" s="17">
        <f>IF(L45=0,0,L46/L45)</f>
        <v/>
      </c>
      <c r="M72" s="17">
        <f>IF(M45=0,0,M46/M45)</f>
        <v/>
      </c>
      <c r="N72" s="17">
        <f>IF(N45=0,0,N46/N45)</f>
        <v/>
      </c>
      <c r="O72" s="17">
        <f>IF(O45=0,0,O46/O45)</f>
        <v/>
      </c>
      <c r="P72" s="17">
        <f>IF(P45=0,0,P46/P45)</f>
        <v/>
      </c>
      <c r="Q72" s="17">
        <f>IF(Q45=0,0,Q46/Q45)</f>
        <v/>
      </c>
    </row>
    <row r="73">
      <c r="A73" t="inlineStr">
        <is>
          <t>Capex / revenue</t>
        </is>
      </c>
      <c r="B73" t="inlineStr">
        <is>
          <t>capex_revenue</t>
        </is>
      </c>
      <c r="D73" s="4" t="n">
        <v>0.1032070049843243</v>
      </c>
      <c r="E73" s="4" t="n">
        <v>0.1575791020250116</v>
      </c>
      <c r="F73" s="4" t="n">
        <v>0.08119578603621679</v>
      </c>
      <c r="G73" s="4" t="n">
        <v>0.06242220291598153</v>
      </c>
      <c r="H73" s="17">
        <f>IF(H29=0,0,H48/H29)</f>
        <v/>
      </c>
      <c r="I73" s="17">
        <f>IF(I29=0,0,I48/I29)</f>
        <v/>
      </c>
      <c r="J73" s="17">
        <f>IF(J29=0,0,J48/J29)</f>
        <v/>
      </c>
      <c r="K73" s="17">
        <f>IF(K29=0,0,K48/K29)</f>
        <v/>
      </c>
      <c r="L73" s="17">
        <f>IF(L29=0,0,L48/L29)</f>
        <v/>
      </c>
      <c r="M73" s="17">
        <f>IF(M29=0,0,M48/M29)</f>
        <v/>
      </c>
      <c r="N73" s="17">
        <f>IF(N29=0,0,N48/N29)</f>
        <v/>
      </c>
      <c r="O73" s="17">
        <f>IF(O29=0,0,O48/O29)</f>
        <v/>
      </c>
      <c r="P73" s="17">
        <f>IF(P29=0,0,P48/P29)</f>
        <v/>
      </c>
      <c r="Q73" s="17">
        <f>IF(Q29=0,0,Q48/Q29)</f>
        <v/>
      </c>
    </row>
    <row r="75">
      <c r="A75" s="1" t="inlineStr">
        <is>
          <t>VALUATION</t>
        </is>
      </c>
    </row>
    <row r="76">
      <c r="A76" t="inlineStr">
        <is>
          <t>Last price (IDR)</t>
        </is>
      </c>
      <c r="C76" s="15" t="n">
        <v>18</v>
      </c>
    </row>
    <row r="77">
      <c r="A77" t="inlineStr">
        <is>
          <t>Shares outstanding (m)</t>
        </is>
      </c>
      <c r="C77" s="13" t="n">
        <v>83542.741759</v>
      </c>
    </row>
    <row r="78">
      <c r="A78" t="inlineStr">
        <is>
          <t>IDR per USD (spot)</t>
        </is>
      </c>
      <c r="C78" s="3" t="n">
        <v>18183</v>
      </c>
    </row>
    <row r="79">
      <c r="A79" t="inlineStr">
        <is>
          <t>Debt at balance-sheet date</t>
        </is>
      </c>
      <c r="C79" s="13" t="n">
        <v>9654.584999999999</v>
      </c>
    </row>
    <row r="80">
      <c r="A80" t="inlineStr">
        <is>
          <t>Cash at balance-sheet date</t>
        </is>
      </c>
      <c r="C80" s="13" t="n">
        <v>10315.724</v>
      </c>
    </row>
    <row r="81">
      <c r="A81" t="inlineStr">
        <is>
          <t>Minority interest (book)</t>
        </is>
      </c>
      <c r="C81" s="13" t="n">
        <v>22465.512</v>
      </c>
    </row>
    <row r="82">
      <c r="A82" t="inlineStr">
        <is>
          <t>Associates &amp; investments (book)</t>
        </is>
      </c>
      <c r="C82" s="13" t="n">
        <v>6662.262</v>
      </c>
    </row>
    <row r="83">
      <c r="A83" t="inlineStr">
        <is>
          <t>Post-balance-sheet &amp; other items (sourced, probability-weighted)</t>
        </is>
      </c>
      <c r="C83" s="13" t="n">
        <v>0</v>
      </c>
    </row>
    <row r="84">
      <c r="A84" t="inlineStr">
        <is>
          <t>Parent equity at balance-sheet date</t>
        </is>
      </c>
      <c r="C84" s="13" t="n">
        <v>16464.537</v>
      </c>
    </row>
    <row r="85">
      <c r="A85" t="inlineStr">
        <is>
          <t>Per-share factor</t>
        </is>
      </c>
      <c r="C85" s="20" t="n">
        <v>1000</v>
      </c>
    </row>
    <row r="86">
      <c r="A86" t="inlineStr">
        <is>
          <t>Risk-free rate</t>
        </is>
      </c>
      <c r="C86" s="8">
        <f>Drivers!$C$7</f>
        <v/>
      </c>
    </row>
    <row r="87">
      <c r="A87" t="inlineStr">
        <is>
          <t>Less: default spread (IDR only)</t>
        </is>
      </c>
      <c r="C87" s="8">
        <f>Drivers!$C$9</f>
        <v/>
      </c>
    </row>
    <row r="88">
      <c r="A88" t="inlineStr">
        <is>
          <t>Mature ERP + Indonesia CRP</t>
        </is>
      </c>
      <c r="C88" s="8">
        <f>Drivers!$C$10+Drivers!$C$11</f>
        <v/>
      </c>
    </row>
    <row r="89">
      <c r="A89" t="inlineStr">
        <is>
          <t>Tax rate</t>
        </is>
      </c>
      <c r="C89" s="8">
        <f>Drivers!$C$13</f>
        <v/>
      </c>
    </row>
    <row r="90">
      <c r="A90" t="inlineStr">
        <is>
          <t>Unlevered beta (industry default (config))</t>
        </is>
      </c>
      <c r="C90" s="21" t="n">
        <v>0.9</v>
      </c>
    </row>
    <row r="91">
      <c r="A91" t="inlineStr">
        <is>
          <t>Debt / equity (market)</t>
        </is>
      </c>
      <c r="C91" s="21" t="n">
        <v>2</v>
      </c>
    </row>
    <row r="92">
      <c r="A92" t="inlineStr">
        <is>
          <t>Levered beta</t>
        </is>
      </c>
      <c r="C92" s="22">
        <f>$C$90*(1+(1-$C$89)*$C$91)</f>
        <v/>
      </c>
    </row>
    <row r="93">
      <c r="A93" t="inlineStr">
        <is>
          <t>Explicit company premium</t>
        </is>
      </c>
      <c r="C93" s="4" t="n">
        <v>0</v>
      </c>
    </row>
    <row r="94">
      <c r="A94" t="inlineStr">
        <is>
          <t>Cost of equity</t>
        </is>
      </c>
      <c r="C94" s="10">
        <f>$C$86-$C$87+$C$92*$C$88+$C$93</f>
        <v/>
      </c>
    </row>
    <row r="95">
      <c r="A95" t="inlineStr">
        <is>
          <t>Pre-tax cost of debt</t>
        </is>
      </c>
      <c r="C95" s="10">
        <f>$C$86+Drivers!$C$12</f>
        <v/>
      </c>
    </row>
    <row r="96">
      <c r="A96" t="inlineStr">
        <is>
          <t>WACC</t>
        </is>
      </c>
      <c r="C96" s="10">
        <f>1/(1+$C$91)*$C$94+$C$91/(1+$C$91)*$C$95*(1-$C$89)</f>
        <v/>
      </c>
    </row>
    <row r="97">
      <c r="A97" t="inlineStr">
        <is>
          <t>Terminal growth (capped)</t>
        </is>
      </c>
      <c r="C97" s="4" t="n">
        <v>0.0328</v>
      </c>
    </row>
    <row r="99">
      <c r="A99" s="1" t="inlineStr">
        <is>
          <t>Sum of the parts</t>
        </is>
      </c>
    </row>
    <row r="100">
      <c r="A100" t="inlineStr">
        <is>
          <t>Value per share (IDR) — Sum of the parts (engine value)</t>
        </is>
      </c>
      <c r="C100" s="15" t="n">
        <v>57.666966</v>
      </c>
    </row>
    <row r="102">
      <c r="A102" s="1" t="inlineStr">
        <is>
          <t>P/E</t>
        </is>
      </c>
    </row>
    <row r="103">
      <c r="A103" t="inlineStr">
        <is>
          <t>Target multiple (own five-year average)</t>
        </is>
      </c>
      <c r="C103" s="18" t="n">
        <v>10.475466</v>
      </c>
    </row>
    <row r="104">
      <c r="A104" t="inlineStr">
        <is>
          <t>Metric (LTM, or next-12m DPS for yield)</t>
        </is>
      </c>
      <c r="C104" s="13" t="n">
        <v>377.226</v>
      </c>
    </row>
    <row r="105">
      <c r="A105" t="inlineStr">
        <is>
          <t>Value per share (IDR) — P/E</t>
        </is>
      </c>
      <c r="C105" s="23">
        <f>MAX(0,$C$103*$C$104/$C$77*$C$85*1)</f>
        <v/>
      </c>
    </row>
    <row r="107">
      <c r="A107" s="1" t="inlineStr">
        <is>
          <t>P/BV</t>
        </is>
      </c>
    </row>
    <row r="108">
      <c r="A108" t="inlineStr">
        <is>
          <t>Target multiple (own five-year average)</t>
        </is>
      </c>
      <c r="C108" s="18" t="n">
        <v>0.217757</v>
      </c>
    </row>
    <row r="109">
      <c r="A109" t="inlineStr">
        <is>
          <t>Metric (LTM, or next-12m DPS for yield)</t>
        </is>
      </c>
      <c r="C109" s="13" t="n">
        <v>16464.537</v>
      </c>
    </row>
    <row r="110">
      <c r="A110" t="inlineStr">
        <is>
          <t>Value per share (IDR) — P/BV</t>
        </is>
      </c>
      <c r="C110" s="23">
        <f>MAX(0,$C$108*$C$109/$C$77*$C$85*1)</f>
        <v/>
      </c>
    </row>
    <row r="112">
      <c r="A112" s="1" t="inlineStr">
        <is>
          <t>TARGET</t>
        </is>
      </c>
    </row>
    <row r="113">
      <c r="A113" t="inlineStr">
        <is>
          <t>Weight: Sum of the parts</t>
        </is>
      </c>
      <c r="C113" s="4" t="n">
        <v>0.6</v>
      </c>
    </row>
    <row r="114">
      <c r="A114" t="inlineStr">
        <is>
          <t>Weight: P/E</t>
        </is>
      </c>
      <c r="C114" s="4" t="n">
        <v>0.25</v>
      </c>
    </row>
    <row r="115">
      <c r="A115" t="inlineStr">
        <is>
          <t>Weight: P/BV</t>
        </is>
      </c>
      <c r="C115" s="4" t="n">
        <v>0.15</v>
      </c>
    </row>
    <row r="116">
      <c r="A116" t="inlineStr">
        <is>
          <t>Value today (weighted)</t>
        </is>
      </c>
      <c r="C116" s="23">
        <f>$C$100*$C$113+$C$105*$C$114+$C$110*$C$115</f>
        <v/>
      </c>
    </row>
    <row r="117">
      <c r="A117" t="inlineStr">
        <is>
          <t>DPS expected in next 12 months (IDR)</t>
        </is>
      </c>
      <c r="C117" s="15" t="n">
        <v>0</v>
      </c>
    </row>
    <row r="118">
      <c r="A118" t="inlineStr">
        <is>
          <t>Base-case 12-month value</t>
        </is>
      </c>
      <c r="C118" s="23">
        <f>MAX(0,$C$116*(1+$C$94)-$C$117)</f>
        <v/>
      </c>
    </row>
    <row r="119">
      <c r="A119" t="inlineStr">
        <is>
          <t>Bear probability</t>
        </is>
      </c>
      <c r="C119" s="4" t="n">
        <v>0.25</v>
      </c>
    </row>
    <row r="120">
      <c r="A120" t="inlineStr">
        <is>
          <t>Bear 12-month value (engine)</t>
        </is>
      </c>
      <c r="C120" s="15" t="n">
        <v>53.60499054336637</v>
      </c>
    </row>
    <row r="121">
      <c r="A121" t="inlineStr">
        <is>
          <t>Base probability</t>
        </is>
      </c>
      <c r="C121" s="4" t="n">
        <v>0.5</v>
      </c>
    </row>
    <row r="122">
      <c r="A122" t="inlineStr">
        <is>
          <t>Bull probability</t>
        </is>
      </c>
      <c r="C122" s="4" t="n">
        <v>0.25</v>
      </c>
    </row>
    <row r="123">
      <c r="A123" t="inlineStr">
        <is>
          <t>Bull 12-month value (engine)</t>
        </is>
      </c>
      <c r="C123" s="15" t="n">
        <v>74.58026977104001</v>
      </c>
    </row>
    <row r="124">
      <c r="A124" t="inlineStr">
        <is>
          <t>Probability-weighted 12-month value</t>
        </is>
      </c>
      <c r="C124" s="23">
        <f>$C$119*$C$120+$C$121*$C$118+$C$122*$C$123</f>
        <v/>
      </c>
    </row>
    <row r="125">
      <c r="A125" t="inlineStr">
        <is>
          <t>Liquidity discount (limits.yaml)</t>
        </is>
      </c>
      <c r="C125" s="4" t="n">
        <v>0.1</v>
      </c>
    </row>
    <row r="126">
      <c r="A126" t="inlineStr">
        <is>
          <t>TARGET PRICE (IDR)</t>
        </is>
      </c>
      <c r="C126" s="24">
        <f>$C$124*(1-$C$125)</f>
        <v/>
      </c>
    </row>
    <row r="127">
      <c r="A127" t="inlineStr">
        <is>
          <t>Expected 12-month total return</t>
        </is>
      </c>
      <c r="C127" s="25">
        <f>($C$126+$C$117)/$C$76-1</f>
        <v/>
      </c>
    </row>
    <row r="128">
      <c r="A128" t="inlineStr">
        <is>
          <t>Rating</t>
        </is>
      </c>
      <c r="C128" s="26">
        <f>IF($C$127&gt;=0.25,"BUY",IF($C$127&gt;=0.1,"ADD",IF($C$127&lt;=-0.25,"SELL",IF($C$127&lt;=-0.1,"REDUCE","HOLD"))))</f>
        <v/>
      </c>
    </row>
    <row r="130">
      <c r="A130" s="1" t="inlineStr">
        <is>
          <t>12-month value vs holding-company discount and cost of equity (engine values)</t>
        </is>
      </c>
    </row>
    <row r="131">
      <c r="A131" s="5" t="inlineStr">
        <is>
          <t>rows: Cost of equity (+/- pp) · columns: Holdco discount (+/- pp)</t>
        </is>
      </c>
      <c r="D131" s="1" t="n">
        <v>-0.1</v>
      </c>
      <c r="E131" s="1" t="n">
        <v>-0.05</v>
      </c>
      <c r="F131" s="1" t="n">
        <v>0</v>
      </c>
      <c r="G131" s="1" t="n">
        <v>0.05</v>
      </c>
      <c r="H131" s="1" t="n">
        <v>0.1</v>
      </c>
    </row>
    <row r="132">
      <c r="C132" s="1" t="n">
        <v>-0.01</v>
      </c>
      <c r="D132" s="23" t="n">
        <v>70.498097</v>
      </c>
      <c r="E132" s="23" t="n">
        <v>67.03104999999999</v>
      </c>
      <c r="F132" s="23" t="n">
        <v>63.564004</v>
      </c>
      <c r="G132" s="23" t="n">
        <v>60.096958</v>
      </c>
      <c r="H132" s="23" t="n">
        <v>56.629911</v>
      </c>
    </row>
    <row r="133">
      <c r="C133" s="1" t="n">
        <v>-0.005</v>
      </c>
      <c r="D133" s="23" t="n">
        <v>70.79124299999999</v>
      </c>
      <c r="E133" s="23" t="n">
        <v>67.30978</v>
      </c>
      <c r="F133" s="23" t="n">
        <v>63.828317</v>
      </c>
      <c r="G133" s="23" t="n">
        <v>60.346854</v>
      </c>
      <c r="H133" s="23" t="n">
        <v>56.865391</v>
      </c>
    </row>
    <row r="134">
      <c r="C134" s="1" t="n">
        <v>0</v>
      </c>
      <c r="D134" s="23" t="n">
        <v>71.08439</v>
      </c>
      <c r="E134" s="23" t="n">
        <v>67.58851</v>
      </c>
      <c r="F134" s="23" t="n">
        <v>64.09263</v>
      </c>
      <c r="G134" s="23" t="n">
        <v>60.59675</v>
      </c>
      <c r="H134" s="23" t="n">
        <v>57.10087</v>
      </c>
    </row>
    <row r="135">
      <c r="C135" s="1" t="n">
        <v>0.005</v>
      </c>
      <c r="D135" s="23" t="n">
        <v>71.37753600000001</v>
      </c>
      <c r="E135" s="23" t="n">
        <v>67.86724</v>
      </c>
      <c r="F135" s="23" t="n">
        <v>64.356943</v>
      </c>
      <c r="G135" s="23" t="n">
        <v>60.846647</v>
      </c>
      <c r="H135" s="23" t="n">
        <v>57.33635</v>
      </c>
    </row>
    <row r="136">
      <c r="C136" s="1" t="n">
        <v>0.01</v>
      </c>
      <c r="D136" s="23" t="n">
        <v>71.670683</v>
      </c>
      <c r="E136" s="23" t="n">
        <v>68.14597000000001</v>
      </c>
      <c r="F136" s="23" t="n">
        <v>64.621256</v>
      </c>
      <c r="G136" s="23" t="n">
        <v>61.096543</v>
      </c>
      <c r="H136" s="23" t="n">
        <v>57.57183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1" t="inlineStr">
        <is>
          <t>PT Bakrie &amp; Brothers Tbk (BNBR.JK) — Conglomerates &amp; multi-sector holdings</t>
        </is>
      </c>
    </row>
    <row r="2">
      <c r="A2" s="5" t="inlineStr">
        <is>
          <t>Units: IDR bn; per-share in IDR unless marked IDR. Model asof 2026-10-29 · data 2026-10-27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  <c r="M4" s="1" t="inlineStr">
        <is>
          <t>FY2031E</t>
        </is>
      </c>
      <c r="N4" s="1" t="inlineStr">
        <is>
          <t>FY2032E</t>
        </is>
      </c>
      <c r="O4" s="1" t="inlineStr">
        <is>
          <t>FY2033E</t>
        </is>
      </c>
      <c r="P4" s="1" t="inlineStr">
        <is>
          <t>FY2034E</t>
        </is>
      </c>
      <c r="Q4" s="1" t="inlineStr">
        <is>
          <t>FY2035E</t>
        </is>
      </c>
    </row>
    <row r="6">
      <c r="A6" s="1" t="inlineStr">
        <is>
          <t>PARAMETERS</t>
        </is>
      </c>
    </row>
    <row r="7">
      <c r="A7" t="inlineStr">
        <is>
          <t>ps_factor</t>
        </is>
      </c>
      <c r="C7" s="12" t="n">
        <v>1000</v>
      </c>
    </row>
    <row r="8">
      <c r="A8" t="inlineStr">
        <is>
          <t>vp_factor</t>
        </is>
      </c>
      <c r="C8" s="12" t="n">
        <v>1</v>
      </c>
    </row>
    <row r="10">
      <c r="A10" s="1" t="inlineStr">
        <is>
          <t>INPUTS (company assumptions)</t>
        </is>
      </c>
    </row>
    <row r="11">
      <c r="A11" t="inlineStr">
        <is>
          <t>Revenue growth</t>
        </is>
      </c>
      <c r="B11" t="inlineStr">
        <is>
          <t>a.revenue_growth</t>
        </is>
      </c>
      <c r="H11" s="4" t="n">
        <v>0.38</v>
      </c>
      <c r="I11" s="4" t="n">
        <v>0.08</v>
      </c>
      <c r="J11" s="4" t="n">
        <v>0.06</v>
      </c>
      <c r="K11" s="4" t="n">
        <v>0.05</v>
      </c>
      <c r="L11" s="4" t="n">
        <v>0.04</v>
      </c>
      <c r="M11" s="4" t="n">
        <v>0.04</v>
      </c>
      <c r="N11" s="4" t="n">
        <v>0.04</v>
      </c>
      <c r="O11" s="4" t="n">
        <v>0.04</v>
      </c>
      <c r="P11" s="4" t="n">
        <v>0.04</v>
      </c>
      <c r="Q11" s="4" t="n">
        <v>0.04</v>
      </c>
    </row>
    <row r="12">
      <c r="A12" t="inlineStr">
        <is>
          <t>Gross margin at base input costs</t>
        </is>
      </c>
      <c r="B12" t="inlineStr">
        <is>
          <t>a.gross_margin</t>
        </is>
      </c>
      <c r="H12" s="4" t="n">
        <v>0.251</v>
      </c>
      <c r="I12" s="4" t="n">
        <v>0.251</v>
      </c>
      <c r="J12" s="4" t="n">
        <v>0.251</v>
      </c>
      <c r="K12" s="4" t="n">
        <v>0.251</v>
      </c>
      <c r="L12" s="4" t="n">
        <v>0.251</v>
      </c>
      <c r="M12" s="4" t="n">
        <v>0.251</v>
      </c>
      <c r="N12" s="4" t="n">
        <v>0.251</v>
      </c>
      <c r="O12" s="4" t="n">
        <v>0.251</v>
      </c>
      <c r="P12" s="4" t="n">
        <v>0.251</v>
      </c>
      <c r="Q12" s="4" t="n">
        <v>0.251</v>
      </c>
    </row>
    <row r="13">
      <c r="A13" t="inlineStr">
        <is>
          <t>SG&amp;A / revenue</t>
        </is>
      </c>
      <c r="B13" t="inlineStr">
        <is>
          <t>a.opex_pct</t>
        </is>
      </c>
      <c r="H13" s="4" t="n">
        <v>0.142</v>
      </c>
      <c r="I13" s="4" t="n">
        <v>0.142</v>
      </c>
      <c r="J13" s="4" t="n">
        <v>0.142</v>
      </c>
      <c r="K13" s="4" t="n">
        <v>0.142</v>
      </c>
      <c r="L13" s="4" t="n">
        <v>0.142</v>
      </c>
      <c r="M13" s="4" t="n">
        <v>0.142</v>
      </c>
      <c r="N13" s="4" t="n">
        <v>0.142</v>
      </c>
      <c r="O13" s="4" t="n">
        <v>0.142</v>
      </c>
      <c r="P13" s="4" t="n">
        <v>0.142</v>
      </c>
      <c r="Q13" s="4" t="n">
        <v>0.142</v>
      </c>
    </row>
    <row r="14">
      <c r="A14" t="inlineStr">
        <is>
          <t>D&amp;A / revenue</t>
        </is>
      </c>
      <c r="B14" t="inlineStr">
        <is>
          <t>a.da_pct</t>
        </is>
      </c>
      <c r="H14" s="4" t="n">
        <v>0.05</v>
      </c>
      <c r="I14" s="4" t="n">
        <v>0.05</v>
      </c>
      <c r="J14" s="4" t="n">
        <v>0.05</v>
      </c>
      <c r="K14" s="4" t="n">
        <v>0.05</v>
      </c>
      <c r="L14" s="4" t="n">
        <v>0.05</v>
      </c>
      <c r="M14" s="4" t="n">
        <v>0.05</v>
      </c>
      <c r="N14" s="4" t="n">
        <v>0.05</v>
      </c>
      <c r="O14" s="4" t="n">
        <v>0.05</v>
      </c>
      <c r="P14" s="4" t="n">
        <v>0.05</v>
      </c>
      <c r="Q14" s="4" t="n">
        <v>0.05</v>
      </c>
    </row>
    <row r="15">
      <c r="A15" t="inlineStr">
        <is>
          <t>Capex / revenue</t>
        </is>
      </c>
      <c r="B15" t="inlineStr">
        <is>
          <t>a.capex_pct</t>
        </is>
      </c>
      <c r="H15" s="4" t="n">
        <v>0.055</v>
      </c>
      <c r="I15" s="4" t="n">
        <v>0.055</v>
      </c>
      <c r="J15" s="4" t="n">
        <v>0.055</v>
      </c>
      <c r="K15" s="4" t="n">
        <v>0.055</v>
      </c>
      <c r="L15" s="4" t="n">
        <v>0.055</v>
      </c>
      <c r="M15" s="4" t="n">
        <v>0.055</v>
      </c>
      <c r="N15" s="4" t="n">
        <v>0.055</v>
      </c>
      <c r="O15" s="4" t="n">
        <v>0.055</v>
      </c>
      <c r="P15" s="4" t="n">
        <v>0.055</v>
      </c>
      <c r="Q15" s="4" t="n">
        <v>0.055</v>
      </c>
    </row>
    <row r="16">
      <c r="A16" t="inlineStr">
        <is>
          <t>Operating working capital / revenue</t>
        </is>
      </c>
      <c r="B16" t="inlineStr">
        <is>
          <t>a.nwc_pct</t>
        </is>
      </c>
      <c r="H16" s="4" t="n">
        <v>0.388</v>
      </c>
      <c r="I16" s="4" t="n">
        <v>0.388</v>
      </c>
      <c r="J16" s="4" t="n">
        <v>0.388</v>
      </c>
      <c r="K16" s="4" t="n">
        <v>0.388</v>
      </c>
      <c r="L16" s="4" t="n">
        <v>0.388</v>
      </c>
      <c r="M16" s="4" t="n">
        <v>0.388</v>
      </c>
      <c r="N16" s="4" t="n">
        <v>0.388</v>
      </c>
      <c r="O16" s="4" t="n">
        <v>0.388</v>
      </c>
      <c r="P16" s="4" t="n">
        <v>0.388</v>
      </c>
      <c r="Q16" s="4" t="n">
        <v>0.388</v>
      </c>
    </row>
    <row r="17">
      <c r="A17" t="inlineStr">
        <is>
          <t>Effective tax rate</t>
        </is>
      </c>
      <c r="B17" t="inlineStr">
        <is>
          <t>a.tax_rate</t>
        </is>
      </c>
      <c r="H17" s="4" t="n">
        <v>0.12</v>
      </c>
      <c r="I17" s="4" t="n">
        <v>0.12</v>
      </c>
      <c r="J17" s="4" t="n">
        <v>0.12</v>
      </c>
      <c r="K17" s="4" t="n">
        <v>0.12</v>
      </c>
      <c r="L17" s="4" t="n">
        <v>0.12</v>
      </c>
      <c r="M17" s="4" t="n">
        <v>0.12</v>
      </c>
      <c r="N17" s="4" t="n">
        <v>0.12</v>
      </c>
      <c r="O17" s="4" t="n">
        <v>0.12</v>
      </c>
      <c r="P17" s="4" t="n">
        <v>0.12</v>
      </c>
      <c r="Q17" s="4" t="n">
        <v>0.12</v>
      </c>
    </row>
    <row r="18">
      <c r="A18" t="inlineStr">
        <is>
          <t>Cost of debt (on opening debt)</t>
        </is>
      </c>
      <c r="B18" t="inlineStr">
        <is>
          <t>a.cost_of_debt</t>
        </is>
      </c>
      <c r="C18" s="4" t="n">
        <v>0.065</v>
      </c>
    </row>
    <row r="19">
      <c r="A19" t="inlineStr">
        <is>
          <t>Yield on opening cash</t>
        </is>
      </c>
      <c r="B19" t="inlineStr">
        <is>
          <t>a.cash_yield</t>
        </is>
      </c>
      <c r="C19" s="4" t="n">
        <v>0.055</v>
      </c>
    </row>
    <row r="20">
      <c r="A20" t="inlineStr">
        <is>
          <t>Net new borrowing</t>
        </is>
      </c>
      <c r="B20" t="inlineStr">
        <is>
          <t>a.net_borrowing</t>
        </is>
      </c>
      <c r="H20" s="13" t="n">
        <v>1000</v>
      </c>
      <c r="I20" s="13" t="n">
        <v>700</v>
      </c>
      <c r="J20" s="13" t="n">
        <v>650</v>
      </c>
      <c r="K20" s="13" t="n">
        <v>640</v>
      </c>
      <c r="L20" s="13" t="n">
        <v>630</v>
      </c>
      <c r="M20" s="13" t="n">
        <v>635.5</v>
      </c>
      <c r="N20" s="13" t="n">
        <v>651.3874999999999</v>
      </c>
      <c r="O20" s="13" t="n">
        <v>667.6721874999998</v>
      </c>
      <c r="P20" s="13" t="n">
        <v>684.3639921874997</v>
      </c>
      <c r="Q20" s="13" t="n">
        <v>701.4730919921872</v>
      </c>
    </row>
    <row r="21">
      <c r="A21" t="inlineStr">
        <is>
          <t>Other non-operating items</t>
        </is>
      </c>
      <c r="B21" t="inlineStr">
        <is>
          <t>a.other_nonop</t>
        </is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</row>
    <row r="22">
      <c r="A22" t="inlineStr">
        <is>
          <t>Minorities' share of net profit</t>
        </is>
      </c>
      <c r="B22" t="inlineStr">
        <is>
          <t>a.minority_pct</t>
        </is>
      </c>
      <c r="H22" s="4" t="n">
        <v>0.02</v>
      </c>
      <c r="I22" s="4" t="n">
        <v>0.02</v>
      </c>
      <c r="J22" s="4" t="n">
        <v>0.02</v>
      </c>
      <c r="K22" s="4" t="n">
        <v>0.02</v>
      </c>
      <c r="L22" s="4" t="n">
        <v>0.02</v>
      </c>
      <c r="M22" s="4" t="n">
        <v>0.02</v>
      </c>
      <c r="N22" s="4" t="n">
        <v>0.02</v>
      </c>
      <c r="O22" s="4" t="n">
        <v>0.02</v>
      </c>
      <c r="P22" s="4" t="n">
        <v>0.02</v>
      </c>
      <c r="Q22" s="4" t="n">
        <v>0.02</v>
      </c>
    </row>
    <row r="23">
      <c r="A23" t="inlineStr">
        <is>
          <t>Dividend payout</t>
        </is>
      </c>
      <c r="B23" t="inlineStr">
        <is>
          <t>a.payout</t>
        </is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</row>
    <row r="24">
      <c r="A24" t="inlineStr">
        <is>
          <t>Change in share count</t>
        </is>
      </c>
      <c r="B24" t="inlineStr">
        <is>
          <t>a.share_change</t>
        </is>
      </c>
      <c r="H24" s="4" t="n">
        <v>0.5185185185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</row>
    <row r="25">
      <c r="A25" t="inlineStr">
        <is>
          <t>Terminal growth (DCF)</t>
        </is>
      </c>
      <c r="B25" t="inlineStr">
        <is>
          <t>a.terminal_growth</t>
        </is>
      </c>
      <c r="C25" s="4" t="n">
        <v>0.04</v>
      </c>
    </row>
    <row r="26">
      <c r="A26" t="inlineStr">
        <is>
          <t>Holding-company discount to SOTP</t>
        </is>
      </c>
      <c r="B26" t="inlineStr">
        <is>
          <t>a.holdco_discount</t>
        </is>
      </c>
      <c r="C26" s="4" t="n">
        <v>0.38</v>
      </c>
    </row>
    <row r="28">
      <c r="A28" s="1" t="inlineStr">
        <is>
          <t>MODEL</t>
        </is>
      </c>
    </row>
    <row r="29">
      <c r="A29" t="inlineStr">
        <is>
          <t>Revenue</t>
        </is>
      </c>
      <c r="B29" t="inlineStr">
        <is>
          <t>revenue</t>
        </is>
      </c>
      <c r="D29" s="13" t="n">
        <v>3626.696</v>
      </c>
      <c r="E29" s="13" t="n">
        <v>3759.484</v>
      </c>
      <c r="F29" s="13" t="n">
        <v>3869.905</v>
      </c>
      <c r="G29" s="13" t="n">
        <v>3742.973</v>
      </c>
      <c r="H29" s="14">
        <f>(G29*(1+H11))</f>
        <v/>
      </c>
      <c r="I29" s="14">
        <f>(H29*(1+I11))</f>
        <v/>
      </c>
      <c r="J29" s="14">
        <f>(I29*(1+J11))</f>
        <v/>
      </c>
      <c r="K29" s="14">
        <f>(J29*(1+K11))</f>
        <v/>
      </c>
      <c r="L29" s="14">
        <f>(K29*(1+L11))</f>
        <v/>
      </c>
      <c r="M29" s="14">
        <f>(L29*(1+M11))</f>
        <v/>
      </c>
      <c r="N29" s="14">
        <f>(M29*(1+N11))</f>
        <v/>
      </c>
      <c r="O29" s="14">
        <f>(N29*(1+O11))</f>
        <v/>
      </c>
      <c r="P29" s="14">
        <f>(O29*(1+P11))</f>
        <v/>
      </c>
      <c r="Q29" s="14">
        <f>(P29*(1+Q11))</f>
        <v/>
      </c>
    </row>
    <row r="30">
      <c r="A30" t="inlineStr">
        <is>
          <t>Cost of revenue</t>
        </is>
      </c>
      <c r="B30" t="inlineStr">
        <is>
          <t>cogs</t>
        </is>
      </c>
      <c r="D30" s="13" t="n">
        <v>2910.526</v>
      </c>
      <c r="E30" s="13" t="n">
        <v>2876.109</v>
      </c>
      <c r="F30" s="13" t="n">
        <v>3000.428</v>
      </c>
      <c r="G30" s="13" t="n">
        <v>2998.589</v>
      </c>
      <c r="H30" s="14">
        <f>(H29*(1-H12))</f>
        <v/>
      </c>
      <c r="I30" s="14">
        <f>(I29*(1-I12))</f>
        <v/>
      </c>
      <c r="J30" s="14">
        <f>(J29*(1-J12))</f>
        <v/>
      </c>
      <c r="K30" s="14">
        <f>(K29*(1-K12))</f>
        <v/>
      </c>
      <c r="L30" s="14">
        <f>(L29*(1-L12))</f>
        <v/>
      </c>
      <c r="M30" s="14">
        <f>(M29*(1-M12))</f>
        <v/>
      </c>
      <c r="N30" s="14">
        <f>(N29*(1-N12))</f>
        <v/>
      </c>
      <c r="O30" s="14">
        <f>(O29*(1-O12))</f>
        <v/>
      </c>
      <c r="P30" s="14">
        <f>(P29*(1-P12))</f>
        <v/>
      </c>
      <c r="Q30" s="14">
        <f>(Q29*(1-Q12))</f>
        <v/>
      </c>
    </row>
    <row r="31">
      <c r="A31" t="inlineStr">
        <is>
          <t>Gross profit</t>
        </is>
      </c>
      <c r="B31" t="inlineStr">
        <is>
          <t>gross_profit</t>
        </is>
      </c>
      <c r="D31" s="13" t="n">
        <v>716.17</v>
      </c>
      <c r="E31" s="13" t="n">
        <v>883.375</v>
      </c>
      <c r="F31" s="13" t="n">
        <v>869.477</v>
      </c>
      <c r="G31" s="13" t="n">
        <v>744.384</v>
      </c>
      <c r="H31" s="14">
        <f>(H29-H30)</f>
        <v/>
      </c>
      <c r="I31" s="14">
        <f>(I29-I30)</f>
        <v/>
      </c>
      <c r="J31" s="14">
        <f>(J29-J30)</f>
        <v/>
      </c>
      <c r="K31" s="14">
        <f>(K29-K30)</f>
        <v/>
      </c>
      <c r="L31" s="14">
        <f>(L29-L30)</f>
        <v/>
      </c>
      <c r="M31" s="14">
        <f>(M29-M30)</f>
        <v/>
      </c>
      <c r="N31" s="14">
        <f>(N29-N30)</f>
        <v/>
      </c>
      <c r="O31" s="14">
        <f>(O29-O30)</f>
        <v/>
      </c>
      <c r="P31" s="14">
        <f>(P29-P30)</f>
        <v/>
      </c>
      <c r="Q31" s="14">
        <f>(Q29-Q30)</f>
        <v/>
      </c>
    </row>
    <row r="32">
      <c r="A32" t="inlineStr">
        <is>
          <t>SG&amp;A and other opex</t>
        </is>
      </c>
      <c r="B32" t="inlineStr">
        <is>
          <t>opex</t>
        </is>
      </c>
      <c r="D32" s="13" t="n">
        <v>800.0649999999999</v>
      </c>
      <c r="E32" s="13" t="n">
        <v>567.174</v>
      </c>
      <c r="F32" s="13" t="n">
        <v>586.605</v>
      </c>
      <c r="G32" s="13" t="n">
        <v>627.521</v>
      </c>
      <c r="H32" s="14">
        <f>(H29*H13)</f>
        <v/>
      </c>
      <c r="I32" s="14">
        <f>(I29*I13)</f>
        <v/>
      </c>
      <c r="J32" s="14">
        <f>(J29*J13)</f>
        <v/>
      </c>
      <c r="K32" s="14">
        <f>(K29*K13)</f>
        <v/>
      </c>
      <c r="L32" s="14">
        <f>(L29*L13)</f>
        <v/>
      </c>
      <c r="M32" s="14">
        <f>(M29*M13)</f>
        <v/>
      </c>
      <c r="N32" s="14">
        <f>(N29*N13)</f>
        <v/>
      </c>
      <c r="O32" s="14">
        <f>(O29*O13)</f>
        <v/>
      </c>
      <c r="P32" s="14">
        <f>(P29*P13)</f>
        <v/>
      </c>
      <c r="Q32" s="14">
        <f>(Q29*Q13)</f>
        <v/>
      </c>
    </row>
    <row r="33">
      <c r="A33" t="inlineStr">
        <is>
          <t>EBIT</t>
        </is>
      </c>
      <c r="B33" t="inlineStr">
        <is>
          <t>ebit</t>
        </is>
      </c>
      <c r="D33" s="13" t="n">
        <v>-83.895</v>
      </c>
      <c r="E33" s="13" t="n">
        <v>316.201</v>
      </c>
      <c r="F33" s="13" t="n">
        <v>282.872</v>
      </c>
      <c r="G33" s="13" t="n">
        <v>116.863</v>
      </c>
      <c r="H33" s="14">
        <f>(H31-H32)</f>
        <v/>
      </c>
      <c r="I33" s="14">
        <f>(I31-I32)</f>
        <v/>
      </c>
      <c r="J33" s="14">
        <f>(J31-J32)</f>
        <v/>
      </c>
      <c r="K33" s="14">
        <f>(K31-K32)</f>
        <v/>
      </c>
      <c r="L33" s="14">
        <f>(L31-L32)</f>
        <v/>
      </c>
      <c r="M33" s="14">
        <f>(M31-M32)</f>
        <v/>
      </c>
      <c r="N33" s="14">
        <f>(N31-N32)</f>
        <v/>
      </c>
      <c r="O33" s="14">
        <f>(O31-O32)</f>
        <v/>
      </c>
      <c r="P33" s="14">
        <f>(P31-P32)</f>
        <v/>
      </c>
      <c r="Q33" s="14">
        <f>(Q31-Q32)</f>
        <v/>
      </c>
    </row>
    <row r="34">
      <c r="A34" t="inlineStr">
        <is>
          <t>Depreciation &amp; amortisation</t>
        </is>
      </c>
      <c r="B34" t="inlineStr">
        <is>
          <t>da</t>
        </is>
      </c>
      <c r="D34" s="13" t="n">
        <v>3.19</v>
      </c>
      <c r="E34" s="13" t="n">
        <v>5.514</v>
      </c>
      <c r="F34" s="13" t="n">
        <v>115.127</v>
      </c>
      <c r="G34" s="13" t="n">
        <v>171.363</v>
      </c>
      <c r="H34" s="14">
        <f>(H29*H14)</f>
        <v/>
      </c>
      <c r="I34" s="14">
        <f>(I29*I14)</f>
        <v/>
      </c>
      <c r="J34" s="14">
        <f>(J29*J14)</f>
        <v/>
      </c>
      <c r="K34" s="14">
        <f>(K29*K14)</f>
        <v/>
      </c>
      <c r="L34" s="14">
        <f>(L29*L14)</f>
        <v/>
      </c>
      <c r="M34" s="14">
        <f>(M29*M14)</f>
        <v/>
      </c>
      <c r="N34" s="14">
        <f>(N29*N14)</f>
        <v/>
      </c>
      <c r="O34" s="14">
        <f>(O29*O14)</f>
        <v/>
      </c>
      <c r="P34" s="14">
        <f>(P29*P14)</f>
        <v/>
      </c>
      <c r="Q34" s="14">
        <f>(Q29*Q14)</f>
        <v/>
      </c>
    </row>
    <row r="35">
      <c r="A35" t="inlineStr">
        <is>
          <t>EBITDA</t>
        </is>
      </c>
      <c r="B35" t="inlineStr">
        <is>
          <t>ebitda</t>
        </is>
      </c>
      <c r="D35" s="13" t="n">
        <v>-80.705</v>
      </c>
      <c r="E35" s="13" t="n">
        <v>321.715</v>
      </c>
      <c r="F35" s="13" t="n">
        <v>397.999</v>
      </c>
      <c r="G35" s="13" t="n">
        <v>288.226</v>
      </c>
      <c r="H35" s="14">
        <f>(H33+H34)</f>
        <v/>
      </c>
      <c r="I35" s="14">
        <f>(I33+I34)</f>
        <v/>
      </c>
      <c r="J35" s="14">
        <f>(J33+J34)</f>
        <v/>
      </c>
      <c r="K35" s="14">
        <f>(K33+K34)</f>
        <v/>
      </c>
      <c r="L35" s="14">
        <f>(L33+L34)</f>
        <v/>
      </c>
      <c r="M35" s="14">
        <f>(M33+M34)</f>
        <v/>
      </c>
      <c r="N35" s="14">
        <f>(N33+N34)</f>
        <v/>
      </c>
      <c r="O35" s="14">
        <f>(O33+O34)</f>
        <v/>
      </c>
      <c r="P35" s="14">
        <f>(P33+P34)</f>
        <v/>
      </c>
      <c r="Q35" s="14">
        <f>(Q33+Q34)</f>
        <v/>
      </c>
    </row>
    <row r="36">
      <c r="A36" t="inlineStr">
        <is>
          <t>Interest expense</t>
        </is>
      </c>
      <c r="B36" t="inlineStr">
        <is>
          <t>interest_expense</t>
        </is>
      </c>
      <c r="D36" s="13" t="n">
        <v>56.361</v>
      </c>
      <c r="E36" s="13" t="n">
        <v>65.3</v>
      </c>
      <c r="F36" s="13" t="n">
        <v>54.837</v>
      </c>
      <c r="G36" s="13" t="n">
        <v>175.837</v>
      </c>
      <c r="H36" s="14">
        <f>(G56*$C$18)</f>
        <v/>
      </c>
      <c r="I36" s="14">
        <f>(H56*$C$18)</f>
        <v/>
      </c>
      <c r="J36" s="14">
        <f>(I56*$C$18)</f>
        <v/>
      </c>
      <c r="K36" s="14">
        <f>(J56*$C$18)</f>
        <v/>
      </c>
      <c r="L36" s="14">
        <f>(K56*$C$18)</f>
        <v/>
      </c>
      <c r="M36" s="14">
        <f>(L56*$C$18)</f>
        <v/>
      </c>
      <c r="N36" s="14">
        <f>(M56*$C$18)</f>
        <v/>
      </c>
      <c r="O36" s="14">
        <f>(N56*$C$18)</f>
        <v/>
      </c>
      <c r="P36" s="14">
        <f>(O56*$C$18)</f>
        <v/>
      </c>
      <c r="Q36" s="14">
        <f>(P56*$C$18)</f>
        <v/>
      </c>
    </row>
    <row r="37">
      <c r="A37" t="inlineStr">
        <is>
          <t>Interest income</t>
        </is>
      </c>
      <c r="B37" t="inlineStr">
        <is>
          <t>interest_income</t>
        </is>
      </c>
      <c r="D37" s="13" t="n">
        <v>4.867</v>
      </c>
      <c r="E37" s="13" t="n">
        <v>12.703</v>
      </c>
      <c r="F37" s="13" t="n">
        <v>13.815</v>
      </c>
      <c r="G37" s="13" t="n">
        <v>93.544</v>
      </c>
      <c r="H37" s="14">
        <f>(G55*$C$19)</f>
        <v/>
      </c>
      <c r="I37" s="14">
        <f>(H55*$C$19)</f>
        <v/>
      </c>
      <c r="J37" s="14">
        <f>(I55*$C$19)</f>
        <v/>
      </c>
      <c r="K37" s="14">
        <f>(J55*$C$19)</f>
        <v/>
      </c>
      <c r="L37" s="14">
        <f>(K55*$C$19)</f>
        <v/>
      </c>
      <c r="M37" s="14">
        <f>(L55*$C$19)</f>
        <v/>
      </c>
      <c r="N37" s="14">
        <f>(M55*$C$19)</f>
        <v/>
      </c>
      <c r="O37" s="14">
        <f>(N55*$C$19)</f>
        <v/>
      </c>
      <c r="P37" s="14">
        <f>(O55*$C$19)</f>
        <v/>
      </c>
      <c r="Q37" s="14">
        <f>(P55*$C$19)</f>
        <v/>
      </c>
    </row>
    <row r="38">
      <c r="A38" t="inlineStr">
        <is>
          <t>Other non-operating</t>
        </is>
      </c>
      <c r="B38" t="inlineStr">
        <is>
          <t>other_nonop</t>
        </is>
      </c>
      <c r="D38" s="13" t="n">
        <v>489.109</v>
      </c>
      <c r="E38" s="13" t="n">
        <v>54.36399999999999</v>
      </c>
      <c r="F38" s="13" t="n">
        <v>147.38</v>
      </c>
      <c r="G38" s="13" t="n">
        <v>484.2620000000001</v>
      </c>
      <c r="H38" s="14">
        <f>H21</f>
        <v/>
      </c>
      <c r="I38" s="14">
        <f>I21</f>
        <v/>
      </c>
      <c r="J38" s="14">
        <f>J21</f>
        <v/>
      </c>
      <c r="K38" s="14">
        <f>K21</f>
        <v/>
      </c>
      <c r="L38" s="14">
        <f>L21</f>
        <v/>
      </c>
      <c r="M38" s="14">
        <f>M21</f>
        <v/>
      </c>
      <c r="N38" s="14">
        <f>N21</f>
        <v/>
      </c>
      <c r="O38" s="14">
        <f>O21</f>
        <v/>
      </c>
      <c r="P38" s="14">
        <f>P21</f>
        <v/>
      </c>
      <c r="Q38" s="14">
        <f>Q21</f>
        <v/>
      </c>
    </row>
    <row r="39">
      <c r="A39" t="inlineStr">
        <is>
          <t>Profit before tax</t>
        </is>
      </c>
      <c r="B39" t="inlineStr">
        <is>
          <t>pbt</t>
        </is>
      </c>
      <c r="D39" s="13" t="n">
        <v>353.72</v>
      </c>
      <c r="E39" s="13" t="n">
        <v>317.968</v>
      </c>
      <c r="F39" s="13" t="n">
        <v>389.23</v>
      </c>
      <c r="G39" s="13" t="n">
        <v>518.832</v>
      </c>
      <c r="H39" s="14">
        <f>(((H33-H36)+H37)+H38)</f>
        <v/>
      </c>
      <c r="I39" s="14">
        <f>(((I33-I36)+I37)+I38)</f>
        <v/>
      </c>
      <c r="J39" s="14">
        <f>(((J33-J36)+J37)+J38)</f>
        <v/>
      </c>
      <c r="K39" s="14">
        <f>(((K33-K36)+K37)+K38)</f>
        <v/>
      </c>
      <c r="L39" s="14">
        <f>(((L33-L36)+L37)+L38)</f>
        <v/>
      </c>
      <c r="M39" s="14">
        <f>(((M33-M36)+M37)+M38)</f>
        <v/>
      </c>
      <c r="N39" s="14">
        <f>(((N33-N36)+N37)+N38)</f>
        <v/>
      </c>
      <c r="O39" s="14">
        <f>(((O33-O36)+O37)+O38)</f>
        <v/>
      </c>
      <c r="P39" s="14">
        <f>(((P33-P36)+P37)+P38)</f>
        <v/>
      </c>
      <c r="Q39" s="14">
        <f>(((Q33-Q36)+Q37)+Q38)</f>
        <v/>
      </c>
    </row>
    <row r="40">
      <c r="A40" t="inlineStr">
        <is>
          <t>Tax</t>
        </is>
      </c>
      <c r="B40" t="inlineStr">
        <is>
          <t>tax</t>
        </is>
      </c>
      <c r="D40" s="13" t="n">
        <v>47.559</v>
      </c>
      <c r="E40" s="13" t="n">
        <v>53.51</v>
      </c>
      <c r="F40" s="13" t="n">
        <v>53.182</v>
      </c>
      <c r="G40" s="13" t="n">
        <v>16.089</v>
      </c>
      <c r="H40" s="14">
        <f>(MAX(H39,0)*H17)</f>
        <v/>
      </c>
      <c r="I40" s="14">
        <f>(MAX(I39,0)*I17)</f>
        <v/>
      </c>
      <c r="J40" s="14">
        <f>(MAX(J39,0)*J17)</f>
        <v/>
      </c>
      <c r="K40" s="14">
        <f>(MAX(K39,0)*K17)</f>
        <v/>
      </c>
      <c r="L40" s="14">
        <f>(MAX(L39,0)*L17)</f>
        <v/>
      </c>
      <c r="M40" s="14">
        <f>(MAX(M39,0)*M17)</f>
        <v/>
      </c>
      <c r="N40" s="14">
        <f>(MAX(N39,0)*N17)</f>
        <v/>
      </c>
      <c r="O40" s="14">
        <f>(MAX(O39,0)*O17)</f>
        <v/>
      </c>
      <c r="P40" s="14">
        <f>(MAX(P39,0)*P17)</f>
        <v/>
      </c>
      <c r="Q40" s="14">
        <f>(MAX(Q39,0)*Q17)</f>
        <v/>
      </c>
    </row>
    <row r="41">
      <c r="A41" t="inlineStr">
        <is>
          <t>Net profit (incl. minorities)</t>
        </is>
      </c>
      <c r="B41" t="inlineStr">
        <is>
          <t>np</t>
        </is>
      </c>
      <c r="D41" s="13" t="n">
        <v>306.161</v>
      </c>
      <c r="E41" s="13" t="n">
        <v>264.458</v>
      </c>
      <c r="F41" s="13" t="n">
        <v>336.048</v>
      </c>
      <c r="G41" s="13" t="n">
        <v>502.743</v>
      </c>
      <c r="H41" s="14">
        <f>(H39-H40)</f>
        <v/>
      </c>
      <c r="I41" s="14">
        <f>(I39-I40)</f>
        <v/>
      </c>
      <c r="J41" s="14">
        <f>(J39-J40)</f>
        <v/>
      </c>
      <c r="K41" s="14">
        <f>(K39-K40)</f>
        <v/>
      </c>
      <c r="L41" s="14">
        <f>(L39-L40)</f>
        <v/>
      </c>
      <c r="M41" s="14">
        <f>(M39-M40)</f>
        <v/>
      </c>
      <c r="N41" s="14">
        <f>(N39-N40)</f>
        <v/>
      </c>
      <c r="O41" s="14">
        <f>(O39-O40)</f>
        <v/>
      </c>
      <c r="P41" s="14">
        <f>(P39-P40)</f>
        <v/>
      </c>
      <c r="Q41" s="14">
        <f>(Q39-Q40)</f>
        <v/>
      </c>
    </row>
    <row r="42">
      <c r="A42" t="inlineStr">
        <is>
          <t>Minority interests</t>
        </is>
      </c>
      <c r="B42" t="inlineStr">
        <is>
          <t>minority</t>
        </is>
      </c>
      <c r="D42" s="13" t="n">
        <v>40.02699999999999</v>
      </c>
      <c r="E42" s="13" t="n">
        <v>26.99000000000004</v>
      </c>
      <c r="F42" s="13" t="n">
        <v>8.458000000000027</v>
      </c>
      <c r="G42" s="13" t="n">
        <v>8.89100000000002</v>
      </c>
      <c r="H42" s="14">
        <f>(H41*H22)</f>
        <v/>
      </c>
      <c r="I42" s="14">
        <f>(I41*I22)</f>
        <v/>
      </c>
      <c r="J42" s="14">
        <f>(J41*J22)</f>
        <v/>
      </c>
      <c r="K42" s="14">
        <f>(K41*K22)</f>
        <v/>
      </c>
      <c r="L42" s="14">
        <f>(L41*L22)</f>
        <v/>
      </c>
      <c r="M42" s="14">
        <f>(M41*M22)</f>
        <v/>
      </c>
      <c r="N42" s="14">
        <f>(N41*N22)</f>
        <v/>
      </c>
      <c r="O42" s="14">
        <f>(O41*O22)</f>
        <v/>
      </c>
      <c r="P42" s="14">
        <f>(P41*P22)</f>
        <v/>
      </c>
      <c r="Q42" s="14">
        <f>(Q41*Q22)</f>
        <v/>
      </c>
    </row>
    <row r="43">
      <c r="A43" t="inlineStr">
        <is>
          <t>Net profit to parent</t>
        </is>
      </c>
      <c r="B43" t="inlineStr">
        <is>
          <t>np_parent</t>
        </is>
      </c>
      <c r="D43" s="13" t="n">
        <v>266.134</v>
      </c>
      <c r="E43" s="13" t="n">
        <v>237.468</v>
      </c>
      <c r="F43" s="13" t="n">
        <v>327.59</v>
      </c>
      <c r="G43" s="13" t="n">
        <v>493.852</v>
      </c>
      <c r="H43" s="14">
        <f>(H41-H42)</f>
        <v/>
      </c>
      <c r="I43" s="14">
        <f>(I41-I42)</f>
        <v/>
      </c>
      <c r="J43" s="14">
        <f>(J41-J42)</f>
        <v/>
      </c>
      <c r="K43" s="14">
        <f>(K41-K42)</f>
        <v/>
      </c>
      <c r="L43" s="14">
        <f>(L41-L42)</f>
        <v/>
      </c>
      <c r="M43" s="14">
        <f>(M41-M42)</f>
        <v/>
      </c>
      <c r="N43" s="14">
        <f>(N41-N42)</f>
        <v/>
      </c>
      <c r="O43" s="14">
        <f>(O41-O42)</f>
        <v/>
      </c>
      <c r="P43" s="14">
        <f>(P41-P42)</f>
        <v/>
      </c>
      <c r="Q43" s="14">
        <f>(Q41-Q42)</f>
        <v/>
      </c>
    </row>
    <row r="44">
      <c r="A44" t="inlineStr">
        <is>
          <t>Shares outstanding (m)</t>
        </is>
      </c>
      <c r="B44" t="inlineStr">
        <is>
          <t>shares</t>
        </is>
      </c>
      <c r="D44" s="13" t="n">
        <v>23599.272659</v>
      </c>
      <c r="E44" s="13" t="n">
        <v>185717.516286</v>
      </c>
      <c r="F44" s="13" t="n">
        <v>201414.781911</v>
      </c>
      <c r="G44" s="13" t="n">
        <v>173416.832509</v>
      </c>
      <c r="H44" s="14">
        <f>(G44*(1+H24))</f>
        <v/>
      </c>
      <c r="I44" s="14">
        <f>(H44*(1+I24))</f>
        <v/>
      </c>
      <c r="J44" s="14">
        <f>(I44*(1+J24))</f>
        <v/>
      </c>
      <c r="K44" s="14">
        <f>(J44*(1+K24))</f>
        <v/>
      </c>
      <c r="L44" s="14">
        <f>(K44*(1+L24))</f>
        <v/>
      </c>
      <c r="M44" s="14">
        <f>(L44*(1+M24))</f>
        <v/>
      </c>
      <c r="N44" s="14">
        <f>(M44*(1+N24))</f>
        <v/>
      </c>
      <c r="O44" s="14">
        <f>(N44*(1+O24))</f>
        <v/>
      </c>
      <c r="P44" s="14">
        <f>(O44*(1+P24))</f>
        <v/>
      </c>
      <c r="Q44" s="14">
        <f>(P44*(1+Q24))</f>
        <v/>
      </c>
    </row>
    <row r="45">
      <c r="A45" t="inlineStr">
        <is>
          <t>EPS</t>
        </is>
      </c>
      <c r="B45" t="inlineStr">
        <is>
          <t>eps</t>
        </is>
      </c>
      <c r="D45" s="15" t="n">
        <v>11.2772119651961</v>
      </c>
      <c r="E45" s="15" t="n">
        <v>1.278651603515447</v>
      </c>
      <c r="F45" s="15" t="n">
        <v>1.626444677455469</v>
      </c>
      <c r="G45" s="15" t="n">
        <v>2.847774306882061</v>
      </c>
      <c r="H45" s="16">
        <f>(IF(H44=0,0,H43/H44)*$C$7)</f>
        <v/>
      </c>
      <c r="I45" s="16">
        <f>(IF(I44=0,0,I43/I44)*$C$7)</f>
        <v/>
      </c>
      <c r="J45" s="16">
        <f>(IF(J44=0,0,J43/J44)*$C$7)</f>
        <v/>
      </c>
      <c r="K45" s="16">
        <f>(IF(K44=0,0,K43/K44)*$C$7)</f>
        <v/>
      </c>
      <c r="L45" s="16">
        <f>(IF(L44=0,0,L43/L44)*$C$7)</f>
        <v/>
      </c>
      <c r="M45" s="16">
        <f>(IF(M44=0,0,M43/M44)*$C$7)</f>
        <v/>
      </c>
      <c r="N45" s="16">
        <f>(IF(N44=0,0,N43/N44)*$C$7)</f>
        <v/>
      </c>
      <c r="O45" s="16">
        <f>(IF(O44=0,0,O43/O44)*$C$7)</f>
        <v/>
      </c>
      <c r="P45" s="16">
        <f>(IF(P44=0,0,P43/P44)*$C$7)</f>
        <v/>
      </c>
      <c r="Q45" s="16">
        <f>(IF(Q44=0,0,Q43/Q44)*$C$7)</f>
        <v/>
      </c>
    </row>
    <row r="46">
      <c r="A46" t="inlineStr">
        <is>
          <t>DPS (declared on the year)</t>
        </is>
      </c>
      <c r="B46" t="inlineStr">
        <is>
          <t>dps</t>
        </is>
      </c>
      <c r="D46" s="15" t="n">
        <v>0</v>
      </c>
      <c r="E46" s="15" t="n">
        <v>0</v>
      </c>
      <c r="F46" s="15" t="n">
        <v>0</v>
      </c>
      <c r="G46" s="15" t="n">
        <v>0</v>
      </c>
      <c r="H46" s="16">
        <f>(MAX(H45,0)*H23)</f>
        <v/>
      </c>
      <c r="I46" s="16">
        <f>(MAX(I45,0)*I23)</f>
        <v/>
      </c>
      <c r="J46" s="16">
        <f>(MAX(J45,0)*J23)</f>
        <v/>
      </c>
      <c r="K46" s="16">
        <f>(MAX(K45,0)*K23)</f>
        <v/>
      </c>
      <c r="L46" s="16">
        <f>(MAX(L45,0)*L23)</f>
        <v/>
      </c>
      <c r="M46" s="16">
        <f>(MAX(M45,0)*M23)</f>
        <v/>
      </c>
      <c r="N46" s="16">
        <f>(MAX(N45,0)*N23)</f>
        <v/>
      </c>
      <c r="O46" s="16">
        <f>(MAX(O45,0)*O23)</f>
        <v/>
      </c>
      <c r="P46" s="16">
        <f>(MAX(P45,0)*P23)</f>
        <v/>
      </c>
      <c r="Q46" s="16">
        <f>(MAX(Q45,0)*Q23)</f>
        <v/>
      </c>
    </row>
    <row r="47">
      <c r="A47" t="inlineStr">
        <is>
          <t>Dividends paid</t>
        </is>
      </c>
      <c r="B47" t="inlineStr">
        <is>
          <t>dividends_paid</t>
        </is>
      </c>
      <c r="D47" s="13" t="n"/>
      <c r="E47" s="13" t="n"/>
      <c r="F47" s="13" t="n"/>
      <c r="G47" s="13" t="n"/>
      <c r="H47" s="14">
        <f>IF($C$7=0,0,(G46*G44)/$C$7)</f>
        <v/>
      </c>
      <c r="I47" s="14">
        <f>IF($C$7=0,0,(H46*H44)/$C$7)</f>
        <v/>
      </c>
      <c r="J47" s="14">
        <f>IF($C$7=0,0,(I46*I44)/$C$7)</f>
        <v/>
      </c>
      <c r="K47" s="14">
        <f>IF($C$7=0,0,(J46*J44)/$C$7)</f>
        <v/>
      </c>
      <c r="L47" s="14">
        <f>IF($C$7=0,0,(K46*K44)/$C$7)</f>
        <v/>
      </c>
      <c r="M47" s="14">
        <f>IF($C$7=0,0,(L46*L44)/$C$7)</f>
        <v/>
      </c>
      <c r="N47" s="14">
        <f>IF($C$7=0,0,(M46*M44)/$C$7)</f>
        <v/>
      </c>
      <c r="O47" s="14">
        <f>IF($C$7=0,0,(N46*N44)/$C$7)</f>
        <v/>
      </c>
      <c r="P47" s="14">
        <f>IF($C$7=0,0,(O46*O44)/$C$7)</f>
        <v/>
      </c>
      <c r="Q47" s="14">
        <f>IF($C$7=0,0,(P46*P44)/$C$7)</f>
        <v/>
      </c>
    </row>
    <row r="48">
      <c r="A48" t="inlineStr">
        <is>
          <t>Capital expenditure</t>
        </is>
      </c>
      <c r="B48" t="inlineStr">
        <is>
          <t>capex</t>
        </is>
      </c>
      <c r="D48" s="13" t="n">
        <v>52.943</v>
      </c>
      <c r="E48" s="13" t="n">
        <v>105.978</v>
      </c>
      <c r="F48" s="13" t="n">
        <v>364.186</v>
      </c>
      <c r="G48" s="13" t="n">
        <v>195.704</v>
      </c>
      <c r="H48" s="14">
        <f>(H29*H15)</f>
        <v/>
      </c>
      <c r="I48" s="14">
        <f>(I29*I15)</f>
        <v/>
      </c>
      <c r="J48" s="14">
        <f>(J29*J15)</f>
        <v/>
      </c>
      <c r="K48" s="14">
        <f>(K29*K15)</f>
        <v/>
      </c>
      <c r="L48" s="14">
        <f>(L29*L15)</f>
        <v/>
      </c>
      <c r="M48" s="14">
        <f>(M29*M15)</f>
        <v/>
      </c>
      <c r="N48" s="14">
        <f>(N29*N15)</f>
        <v/>
      </c>
      <c r="O48" s="14">
        <f>(O29*O15)</f>
        <v/>
      </c>
      <c r="P48" s="14">
        <f>(P29*P15)</f>
        <v/>
      </c>
      <c r="Q48" s="14">
        <f>(Q29*Q15)</f>
        <v/>
      </c>
    </row>
    <row r="49">
      <c r="A49" t="inlineStr">
        <is>
          <t>Change in working capital</t>
        </is>
      </c>
      <c r="B49" t="inlineStr">
        <is>
          <t>delta_nwc</t>
        </is>
      </c>
      <c r="D49" s="13" t="n"/>
      <c r="E49" s="13" t="n">
        <v>12108.694</v>
      </c>
      <c r="F49" s="13" t="n">
        <v>681.3000000000002</v>
      </c>
      <c r="G49" s="13" t="n">
        <v>99.13599999999951</v>
      </c>
      <c r="H49" s="14">
        <f>(H54-G54)</f>
        <v/>
      </c>
      <c r="I49" s="14">
        <f>(I54-H54)</f>
        <v/>
      </c>
      <c r="J49" s="14">
        <f>(J54-I54)</f>
        <v/>
      </c>
      <c r="K49" s="14">
        <f>(K54-J54)</f>
        <v/>
      </c>
      <c r="L49" s="14">
        <f>(L54-K54)</f>
        <v/>
      </c>
      <c r="M49" s="14">
        <f>(M54-L54)</f>
        <v/>
      </c>
      <c r="N49" s="14">
        <f>(N54-M54)</f>
        <v/>
      </c>
      <c r="O49" s="14">
        <f>(O54-N54)</f>
        <v/>
      </c>
      <c r="P49" s="14">
        <f>(P54-O54)</f>
        <v/>
      </c>
      <c r="Q49" s="14">
        <f>(Q54-P54)</f>
        <v/>
      </c>
    </row>
    <row r="50">
      <c r="A50" t="inlineStr">
        <is>
          <t>Free cash flow to firm</t>
        </is>
      </c>
      <c r="B50" t="inlineStr">
        <is>
          <t>fcff</t>
        </is>
      </c>
      <c r="D50" s="13" t="n"/>
      <c r="E50" s="13" t="n">
        <v>-11946.16963620868</v>
      </c>
      <c r="F50" s="13" t="n">
        <v>-686.1368951879354</v>
      </c>
      <c r="G50" s="13" t="n">
        <v>-10.23792606277129</v>
      </c>
      <c r="H50" s="14">
        <f>((((H33*(1-H17))+H34)-H48)-H49)</f>
        <v/>
      </c>
      <c r="I50" s="14">
        <f>((((I33*(1-I17))+I34)-I48)-I49)</f>
        <v/>
      </c>
      <c r="J50" s="14">
        <f>((((J33*(1-J17))+J34)-J48)-J49)</f>
        <v/>
      </c>
      <c r="K50" s="14">
        <f>((((K33*(1-K17))+K34)-K48)-K49)</f>
        <v/>
      </c>
      <c r="L50" s="14">
        <f>((((L33*(1-L17))+L34)-L48)-L49)</f>
        <v/>
      </c>
      <c r="M50" s="14">
        <f>((((M33*(1-M17))+M34)-M48)-M49)</f>
        <v/>
      </c>
      <c r="N50" s="14">
        <f>((((N33*(1-N17))+N34)-N48)-N49)</f>
        <v/>
      </c>
      <c r="O50" s="14">
        <f>((((O33*(1-O17))+O34)-O48)-O49)</f>
        <v/>
      </c>
      <c r="P50" s="14">
        <f>((((P33*(1-P17))+P34)-P48)-P49)</f>
        <v/>
      </c>
      <c r="Q50" s="14">
        <f>((((Q33*(1-Q17))+Q34)-Q48)-Q49)</f>
        <v/>
      </c>
    </row>
    <row r="51">
      <c r="A51" t="inlineStr">
        <is>
          <t>Net borrowing</t>
        </is>
      </c>
      <c r="B51" t="inlineStr">
        <is>
          <t>net_borrowing</t>
        </is>
      </c>
      <c r="D51" s="13" t="n"/>
      <c r="E51" s="13" t="n">
        <v>145.3179999999998</v>
      </c>
      <c r="F51" s="13" t="n">
        <v>-951.3929999999998</v>
      </c>
      <c r="G51" s="13" t="n">
        <v>15515.103</v>
      </c>
      <c r="H51" s="14">
        <f>H20</f>
        <v/>
      </c>
      <c r="I51" s="14">
        <f>I20</f>
        <v/>
      </c>
      <c r="J51" s="14">
        <f>J20</f>
        <v/>
      </c>
      <c r="K51" s="14">
        <f>K20</f>
        <v/>
      </c>
      <c r="L51" s="14">
        <f>L20</f>
        <v/>
      </c>
      <c r="M51" s="14">
        <f>M20</f>
        <v/>
      </c>
      <c r="N51" s="14">
        <f>N20</f>
        <v/>
      </c>
      <c r="O51" s="14">
        <f>O20</f>
        <v/>
      </c>
      <c r="P51" s="14">
        <f>P20</f>
        <v/>
      </c>
      <c r="Q51" s="14">
        <f>Q20</f>
        <v/>
      </c>
    </row>
    <row r="52">
      <c r="A52" t="inlineStr">
        <is>
          <t>Dividends to minorities</t>
        </is>
      </c>
      <c r="B52" t="inlineStr">
        <is>
          <t>minority_div</t>
        </is>
      </c>
      <c r="D52" s="13" t="n"/>
      <c r="E52" s="13" t="n"/>
      <c r="F52" s="13" t="n"/>
      <c r="G52" s="13" t="n"/>
      <c r="H52" s="14">
        <f>(MAX(G42,0)*H23)</f>
        <v/>
      </c>
      <c r="I52" s="14">
        <f>(MAX(H42,0)*I23)</f>
        <v/>
      </c>
      <c r="J52" s="14">
        <f>(MAX(I42,0)*J23)</f>
        <v/>
      </c>
      <c r="K52" s="14">
        <f>(MAX(J42,0)*K23)</f>
        <v/>
      </c>
      <c r="L52" s="14">
        <f>(MAX(K42,0)*L23)</f>
        <v/>
      </c>
      <c r="M52" s="14">
        <f>(MAX(L42,0)*M23)</f>
        <v/>
      </c>
      <c r="N52" s="14">
        <f>(MAX(M42,0)*N23)</f>
        <v/>
      </c>
      <c r="O52" s="14">
        <f>(MAX(N42,0)*O23)</f>
        <v/>
      </c>
      <c r="P52" s="14">
        <f>(MAX(O42,0)*P23)</f>
        <v/>
      </c>
      <c r="Q52" s="14">
        <f>(MAX(P42,0)*Q23)</f>
        <v/>
      </c>
    </row>
    <row r="53">
      <c r="A53" t="inlineStr">
        <is>
          <t>Free cash flow to equity</t>
        </is>
      </c>
      <c r="B53" t="inlineStr">
        <is>
          <t>fcfe</t>
        </is>
      </c>
      <c r="D53" s="13" t="n"/>
      <c r="E53" s="13" t="n"/>
      <c r="F53" s="13" t="n"/>
      <c r="G53" s="13" t="n"/>
      <c r="H53" s="14">
        <f>(((((H41+H34)-H48)-H49)+H51)-H52)</f>
        <v/>
      </c>
      <c r="I53" s="14">
        <f>(((((I41+I34)-I48)-I49)+I51)-I52)</f>
        <v/>
      </c>
      <c r="J53" s="14">
        <f>(((((J41+J34)-J48)-J49)+J51)-J52)</f>
        <v/>
      </c>
      <c r="K53" s="14">
        <f>(((((K41+K34)-K48)-K49)+K51)-K52)</f>
        <v/>
      </c>
      <c r="L53" s="14">
        <f>(((((L41+L34)-L48)-L49)+L51)-L52)</f>
        <v/>
      </c>
      <c r="M53" s="14">
        <f>(((((M41+M34)-M48)-M49)+M51)-M52)</f>
        <v/>
      </c>
      <c r="N53" s="14">
        <f>(((((N41+N34)-N48)-N49)+N51)-N52)</f>
        <v/>
      </c>
      <c r="O53" s="14">
        <f>(((((O41+O34)-O48)-O49)+O51)-O52)</f>
        <v/>
      </c>
      <c r="P53" s="14">
        <f>(((((P41+P34)-P48)-P49)+P51)-P52)</f>
        <v/>
      </c>
      <c r="Q53" s="14">
        <f>(((((Q41+Q34)-Q48)-Q49)+Q51)-Q52)</f>
        <v/>
      </c>
    </row>
    <row r="54">
      <c r="A54" t="inlineStr">
        <is>
          <t>Operating working capital</t>
        </is>
      </c>
      <c r="B54" t="inlineStr">
        <is>
          <t>nwc</t>
        </is>
      </c>
      <c r="D54" s="13" t="n">
        <v>-11435.275</v>
      </c>
      <c r="E54" s="13" t="n">
        <v>673.4189999999999</v>
      </c>
      <c r="F54" s="13" t="n">
        <v>1354.719</v>
      </c>
      <c r="G54" s="13" t="n">
        <v>1453.855</v>
      </c>
      <c r="H54" s="14">
        <f>(H29*H16)</f>
        <v/>
      </c>
      <c r="I54" s="14">
        <f>(I29*I16)</f>
        <v/>
      </c>
      <c r="J54" s="14">
        <f>(J29*J16)</f>
        <v/>
      </c>
      <c r="K54" s="14">
        <f>(K29*K16)</f>
        <v/>
      </c>
      <c r="L54" s="14">
        <f>(L29*L16)</f>
        <v/>
      </c>
      <c r="M54" s="14">
        <f>(M29*M16)</f>
        <v/>
      </c>
      <c r="N54" s="14">
        <f>(N29*N16)</f>
        <v/>
      </c>
      <c r="O54" s="14">
        <f>(O29*O16)</f>
        <v/>
      </c>
      <c r="P54" s="14">
        <f>(P29*P16)</f>
        <v/>
      </c>
      <c r="Q54" s="14">
        <f>(Q29*Q16)</f>
        <v/>
      </c>
    </row>
    <row r="55">
      <c r="A55" t="inlineStr">
        <is>
          <t>Cash &amp; equivalents</t>
        </is>
      </c>
      <c r="B55" t="inlineStr">
        <is>
          <t>cash</t>
        </is>
      </c>
      <c r="D55" s="13" t="n">
        <v>12286.75</v>
      </c>
      <c r="E55" s="13" t="n">
        <v>1466.188</v>
      </c>
      <c r="F55" s="13" t="n">
        <v>1023.001</v>
      </c>
      <c r="G55" s="13" t="n">
        <v>1557.818</v>
      </c>
      <c r="H55" s="14">
        <f>(((((((G55+H41)+H34)-H48)-H49)+H51)-H47)-H52)</f>
        <v/>
      </c>
      <c r="I55" s="14">
        <f>(((((((H55+I41)+I34)-I48)-I49)+I51)-I47)-I52)</f>
        <v/>
      </c>
      <c r="J55" s="14">
        <f>(((((((I55+J41)+J34)-J48)-J49)+J51)-J47)-J52)</f>
        <v/>
      </c>
      <c r="K55" s="14">
        <f>(((((((J55+K41)+K34)-K48)-K49)+K51)-K47)-K52)</f>
        <v/>
      </c>
      <c r="L55" s="14">
        <f>(((((((K55+L41)+L34)-L48)-L49)+L51)-L47)-L52)</f>
        <v/>
      </c>
      <c r="M55" s="14">
        <f>(((((((L55+M41)+M34)-M48)-M49)+M51)-M47)-M52)</f>
        <v/>
      </c>
      <c r="N55" s="14">
        <f>(((((((M55+N41)+N34)-N48)-N49)+N51)-N47)-N52)</f>
        <v/>
      </c>
      <c r="O55" s="14">
        <f>(((((((N55+O41)+O34)-O48)-O49)+O51)-O47)-O52)</f>
        <v/>
      </c>
      <c r="P55" s="14">
        <f>(((((((O55+P41)+P34)-P48)-P49)+P51)-P47)-P52)</f>
        <v/>
      </c>
      <c r="Q55" s="14">
        <f>(((((((P55+Q41)+Q34)-Q48)-Q49)+Q51)-Q47)-Q52)</f>
        <v/>
      </c>
    </row>
    <row r="56">
      <c r="A56" t="inlineStr">
        <is>
          <t>Total debt</t>
        </is>
      </c>
      <c r="B56" t="inlineStr">
        <is>
          <t>debt</t>
        </is>
      </c>
      <c r="D56" s="13" t="n">
        <v>2039.306</v>
      </c>
      <c r="E56" s="13" t="n">
        <v>2184.624</v>
      </c>
      <c r="F56" s="13" t="n">
        <v>1233.231</v>
      </c>
      <c r="G56" s="13" t="n">
        <v>16748.334</v>
      </c>
      <c r="H56" s="14">
        <f>(G56+H51)</f>
        <v/>
      </c>
      <c r="I56" s="14">
        <f>(H56+I51)</f>
        <v/>
      </c>
      <c r="J56" s="14">
        <f>(I56+J51)</f>
        <v/>
      </c>
      <c r="K56" s="14">
        <f>(J56+K51)</f>
        <v/>
      </c>
      <c r="L56" s="14">
        <f>(K56+L51)</f>
        <v/>
      </c>
      <c r="M56" s="14">
        <f>(L56+M51)</f>
        <v/>
      </c>
      <c r="N56" s="14">
        <f>(M56+N51)</f>
        <v/>
      </c>
      <c r="O56" s="14">
        <f>(N56+O51)</f>
        <v/>
      </c>
      <c r="P56" s="14">
        <f>(O56+P51)</f>
        <v/>
      </c>
      <c r="Q56" s="14">
        <f>(P56+Q51)</f>
        <v/>
      </c>
    </row>
    <row r="57">
      <c r="A57" t="inlineStr">
        <is>
          <t>Fixed assets (net)</t>
        </is>
      </c>
      <c r="B57" t="inlineStr">
        <is>
          <t>ppe</t>
        </is>
      </c>
      <c r="D57" s="13" t="n">
        <v>1749.054</v>
      </c>
      <c r="E57" s="13" t="n">
        <v>1789.682</v>
      </c>
      <c r="F57" s="13" t="n">
        <v>2164.861</v>
      </c>
      <c r="G57" s="13" t="n">
        <v>2274.582</v>
      </c>
      <c r="H57" s="14">
        <f>((G57+H48)-H34)</f>
        <v/>
      </c>
      <c r="I57" s="14">
        <f>((H57+I48)-I34)</f>
        <v/>
      </c>
      <c r="J57" s="14">
        <f>((I57+J48)-J34)</f>
        <v/>
      </c>
      <c r="K57" s="14">
        <f>((J57+K48)-K34)</f>
        <v/>
      </c>
      <c r="L57" s="14">
        <f>((K57+L48)-L34)</f>
        <v/>
      </c>
      <c r="M57" s="14">
        <f>((L57+M48)-M34)</f>
        <v/>
      </c>
      <c r="N57" s="14">
        <f>((M57+N48)-N34)</f>
        <v/>
      </c>
      <c r="O57" s="14">
        <f>((N57+O48)-O34)</f>
        <v/>
      </c>
      <c r="P57" s="14">
        <f>((O57+P48)-P34)</f>
        <v/>
      </c>
      <c r="Q57" s="14">
        <f>((P57+Q48)-Q34)</f>
        <v/>
      </c>
    </row>
    <row r="58">
      <c r="A58" t="inlineStr">
        <is>
          <t>Parent shareholders' equity</t>
        </is>
      </c>
      <c r="B58" t="inlineStr">
        <is>
          <t>equity</t>
        </is>
      </c>
      <c r="D58" s="13" t="n">
        <v>1432.532</v>
      </c>
      <c r="E58" s="13" t="n">
        <v>2177.916</v>
      </c>
      <c r="F58" s="13" t="n">
        <v>3254.872</v>
      </c>
      <c r="G58" s="13" t="n">
        <v>3853.17</v>
      </c>
      <c r="H58" s="14">
        <f>((G58+H43)-H47)</f>
        <v/>
      </c>
      <c r="I58" s="14">
        <f>((H58+I43)-I47)</f>
        <v/>
      </c>
      <c r="J58" s="14">
        <f>((I58+J43)-J47)</f>
        <v/>
      </c>
      <c r="K58" s="14">
        <f>((J58+K43)-K47)</f>
        <v/>
      </c>
      <c r="L58" s="14">
        <f>((K58+L43)-L47)</f>
        <v/>
      </c>
      <c r="M58" s="14">
        <f>((L58+M43)-M47)</f>
        <v/>
      </c>
      <c r="N58" s="14">
        <f>((M58+N43)-N47)</f>
        <v/>
      </c>
      <c r="O58" s="14">
        <f>((N58+O43)-O47)</f>
        <v/>
      </c>
      <c r="P58" s="14">
        <f>((O58+P43)-P47)</f>
        <v/>
      </c>
      <c r="Q58" s="14">
        <f>((P58+Q43)-Q47)</f>
        <v/>
      </c>
    </row>
    <row r="59">
      <c r="A59" t="inlineStr">
        <is>
          <t>Minority interest (balance sheet)</t>
        </is>
      </c>
      <c r="B59" t="inlineStr">
        <is>
          <t>minority_bs</t>
        </is>
      </c>
      <c r="D59" s="13" t="n">
        <v>93.71599999999999</v>
      </c>
      <c r="E59" s="13" t="n">
        <v>482.747</v>
      </c>
      <c r="F59" s="13" t="n">
        <v>656.794</v>
      </c>
      <c r="G59" s="13" t="n">
        <v>818.494</v>
      </c>
      <c r="H59" s="14">
        <f>((G59+H42)-H52)</f>
        <v/>
      </c>
      <c r="I59" s="14">
        <f>((H59+I42)-I52)</f>
        <v/>
      </c>
      <c r="J59" s="14">
        <f>((I59+J42)-J52)</f>
        <v/>
      </c>
      <c r="K59" s="14">
        <f>((J59+K42)-K52)</f>
        <v/>
      </c>
      <c r="L59" s="14">
        <f>((K59+L42)-L52)</f>
        <v/>
      </c>
      <c r="M59" s="14">
        <f>((L59+M42)-M52)</f>
        <v/>
      </c>
      <c r="N59" s="14">
        <f>((M59+N42)-N52)</f>
        <v/>
      </c>
      <c r="O59" s="14">
        <f>((N59+O42)-O52)</f>
        <v/>
      </c>
      <c r="P59" s="14">
        <f>((O59+P42)-P52)</f>
        <v/>
      </c>
      <c r="Q59" s="14">
        <f>((P59+Q42)-Q52)</f>
        <v/>
      </c>
    </row>
    <row r="60">
      <c r="A60" t="inlineStr">
        <is>
          <t>Other assets less other liabilities</t>
        </is>
      </c>
      <c r="B60" t="inlineStr">
        <is>
          <t>other_net</t>
        </is>
      </c>
      <c r="D60" s="13" t="n">
        <v>965.0250000000015</v>
      </c>
      <c r="E60" s="13" t="n">
        <v>915.9980000000003</v>
      </c>
      <c r="F60" s="13" t="n">
        <v>602.3159999999998</v>
      </c>
      <c r="G60" s="13" t="n">
        <v>16133.743</v>
      </c>
      <c r="H60" s="14">
        <f>G60</f>
        <v/>
      </c>
      <c r="I60" s="14">
        <f>H60</f>
        <v/>
      </c>
      <c r="J60" s="14">
        <f>I60</f>
        <v/>
      </c>
      <c r="K60" s="14">
        <f>J60</f>
        <v/>
      </c>
      <c r="L60" s="14">
        <f>K60</f>
        <v/>
      </c>
      <c r="M60" s="14">
        <f>L60</f>
        <v/>
      </c>
      <c r="N60" s="14">
        <f>M60</f>
        <v/>
      </c>
      <c r="O60" s="14">
        <f>N60</f>
        <v/>
      </c>
      <c r="P60" s="14">
        <f>O60</f>
        <v/>
      </c>
      <c r="Q60" s="14">
        <f>P60</f>
        <v/>
      </c>
    </row>
    <row r="61">
      <c r="A61" t="inlineStr">
        <is>
          <t>Balance check (should be zero)</t>
        </is>
      </c>
      <c r="B61" t="inlineStr">
        <is>
          <t>bs_check</t>
        </is>
      </c>
      <c r="D61" s="13" t="n"/>
      <c r="E61" s="13" t="n"/>
      <c r="F61" s="13" t="n"/>
      <c r="G61" s="13" t="n"/>
      <c r="H61" s="14">
        <f>((((((H55+H54)+H57)+H60)-H56)-H58)-H59)</f>
        <v/>
      </c>
      <c r="I61" s="14">
        <f>((((((I55+I54)+I57)+I60)-I56)-I58)-I59)</f>
        <v/>
      </c>
      <c r="J61" s="14">
        <f>((((((J55+J54)+J57)+J60)-J56)-J58)-J59)</f>
        <v/>
      </c>
      <c r="K61" s="14">
        <f>((((((K55+K54)+K57)+K60)-K56)-K58)-K59)</f>
        <v/>
      </c>
      <c r="L61" s="14">
        <f>((((((L55+L54)+L57)+L60)-L56)-L58)-L59)</f>
        <v/>
      </c>
      <c r="M61" s="14">
        <f>((((((M55+M54)+M57)+M60)-M56)-M58)-M59)</f>
        <v/>
      </c>
      <c r="N61" s="14">
        <f>((((((N55+N54)+N57)+N60)-N56)-N58)-N59)</f>
        <v/>
      </c>
      <c r="O61" s="14">
        <f>((((((O55+O54)+O57)+O60)-O56)-O58)-O59)</f>
        <v/>
      </c>
      <c r="P61" s="14">
        <f>((((((P55+P54)+P57)+P60)-P56)-P58)-P59)</f>
        <v/>
      </c>
      <c r="Q61" s="14">
        <f>((((((Q55+Q54)+Q57)+Q60)-Q56)-Q58)-Q59)</f>
        <v/>
      </c>
    </row>
    <row r="62">
      <c r="A62" t="inlineStr">
        <is>
          <t>Net debt (cash)</t>
        </is>
      </c>
      <c r="B62" t="inlineStr">
        <is>
          <t>net_debt</t>
        </is>
      </c>
      <c r="D62" s="13" t="n">
        <v>-10247.444</v>
      </c>
      <c r="E62" s="13" t="n">
        <v>718.4359999999997</v>
      </c>
      <c r="F62" s="13" t="n">
        <v>210.23</v>
      </c>
      <c r="G62" s="13" t="n">
        <v>15190.516</v>
      </c>
      <c r="H62" s="14">
        <f>(H56-H55)</f>
        <v/>
      </c>
      <c r="I62" s="14">
        <f>(I56-I55)</f>
        <v/>
      </c>
      <c r="J62" s="14">
        <f>(J56-J55)</f>
        <v/>
      </c>
      <c r="K62" s="14">
        <f>(K56-K55)</f>
        <v/>
      </c>
      <c r="L62" s="14">
        <f>(L56-L55)</f>
        <v/>
      </c>
      <c r="M62" s="14">
        <f>(M56-M55)</f>
        <v/>
      </c>
      <c r="N62" s="14">
        <f>(N56-N55)</f>
        <v/>
      </c>
      <c r="O62" s="14">
        <f>(O56-O55)</f>
        <v/>
      </c>
      <c r="P62" s="14">
        <f>(P56-P55)</f>
        <v/>
      </c>
      <c r="Q62" s="14">
        <f>(Q56-Q55)</f>
        <v/>
      </c>
    </row>
    <row r="63">
      <c r="A63" t="inlineStr">
        <is>
          <t>Book value per share</t>
        </is>
      </c>
      <c r="B63" t="inlineStr">
        <is>
          <t>bvps</t>
        </is>
      </c>
      <c r="D63" s="15" t="n">
        <v>60.70237929361262</v>
      </c>
      <c r="E63" s="15" t="n">
        <v>11.72703600368028</v>
      </c>
      <c r="F63" s="15" t="n">
        <v>16.16004530113507</v>
      </c>
      <c r="G63" s="15" t="n">
        <v>22.21912339334204</v>
      </c>
      <c r="H63" s="16">
        <f>(IF(H44=0,0,H58/H44)*$C$7)</f>
        <v/>
      </c>
      <c r="I63" s="16">
        <f>(IF(I44=0,0,I58/I44)*$C$7)</f>
        <v/>
      </c>
      <c r="J63" s="16">
        <f>(IF(J44=0,0,J58/J44)*$C$7)</f>
        <v/>
      </c>
      <c r="K63" s="16">
        <f>(IF(K44=0,0,K58/K44)*$C$7)</f>
        <v/>
      </c>
      <c r="L63" s="16">
        <f>(IF(L44=0,0,L58/L44)*$C$7)</f>
        <v/>
      </c>
      <c r="M63" s="16">
        <f>(IF(M44=0,0,M58/M44)*$C$7)</f>
        <v/>
      </c>
      <c r="N63" s="16">
        <f>(IF(N44=0,0,N58/N44)*$C$7)</f>
        <v/>
      </c>
      <c r="O63" s="16">
        <f>(IF(O44=0,0,O58/O44)*$C$7)</f>
        <v/>
      </c>
      <c r="P63" s="16">
        <f>(IF(P44=0,0,P58/P44)*$C$7)</f>
        <v/>
      </c>
      <c r="Q63" s="16">
        <f>(IF(Q44=0,0,Q58/Q44)*$C$7)</f>
        <v/>
      </c>
    </row>
    <row r="64">
      <c r="A64" t="inlineStr">
        <is>
          <t>Revenue growth</t>
        </is>
      </c>
      <c r="B64" t="inlineStr">
        <is>
          <t>revenue_growth</t>
        </is>
      </c>
      <c r="D64" s="4" t="n"/>
      <c r="E64" s="4" t="n">
        <v>0.03661404209230668</v>
      </c>
      <c r="F64" s="4" t="n">
        <v>0.02937131797874404</v>
      </c>
      <c r="G64" s="4" t="n">
        <v>-0.03279977157061997</v>
      </c>
      <c r="H64" s="17">
        <f>(IF(G29=0,0,H29/G29)-1)</f>
        <v/>
      </c>
      <c r="I64" s="17">
        <f>(IF(H29=0,0,I29/H29)-1)</f>
        <v/>
      </c>
      <c r="J64" s="17">
        <f>(IF(I29=0,0,J29/I29)-1)</f>
        <v/>
      </c>
      <c r="K64" s="17">
        <f>(IF(J29=0,0,K29/J29)-1)</f>
        <v/>
      </c>
      <c r="L64" s="17">
        <f>(IF(K29=0,0,L29/K29)-1)</f>
        <v/>
      </c>
      <c r="M64" s="17">
        <f>(IF(L29=0,0,M29/L29)-1)</f>
        <v/>
      </c>
      <c r="N64" s="17">
        <f>(IF(M29=0,0,N29/M29)-1)</f>
        <v/>
      </c>
      <c r="O64" s="17">
        <f>(IF(N29=0,0,O29/N29)-1)</f>
        <v/>
      </c>
      <c r="P64" s="17">
        <f>(IF(O29=0,0,P29/O29)-1)</f>
        <v/>
      </c>
      <c r="Q64" s="17">
        <f>(IF(P29=0,0,Q29/P29)-1)</f>
        <v/>
      </c>
    </row>
    <row r="65">
      <c r="A65" t="inlineStr">
        <is>
          <t>Gross margin</t>
        </is>
      </c>
      <c r="B65" t="inlineStr">
        <is>
          <t>gross_margin</t>
        </is>
      </c>
      <c r="D65" s="4" t="n">
        <v>0.1974717483902704</v>
      </c>
      <c r="E65" s="4" t="n">
        <v>0.2349724057876028</v>
      </c>
      <c r="F65" s="4" t="n">
        <v>0.2246765747479589</v>
      </c>
      <c r="G65" s="4" t="n">
        <v>0.1988750653558014</v>
      </c>
      <c r="H65" s="17">
        <f>IF(H29=0,0,H31/H29)</f>
        <v/>
      </c>
      <c r="I65" s="17">
        <f>IF(I29=0,0,I31/I29)</f>
        <v/>
      </c>
      <c r="J65" s="17">
        <f>IF(J29=0,0,J31/J29)</f>
        <v/>
      </c>
      <c r="K65" s="17">
        <f>IF(K29=0,0,K31/K29)</f>
        <v/>
      </c>
      <c r="L65" s="17">
        <f>IF(L29=0,0,L31/L29)</f>
        <v/>
      </c>
      <c r="M65" s="17">
        <f>IF(M29=0,0,M31/M29)</f>
        <v/>
      </c>
      <c r="N65" s="17">
        <f>IF(N29=0,0,N31/N29)</f>
        <v/>
      </c>
      <c r="O65" s="17">
        <f>IF(O29=0,0,O31/O29)</f>
        <v/>
      </c>
      <c r="P65" s="17">
        <f>IF(P29=0,0,P31/P29)</f>
        <v/>
      </c>
      <c r="Q65" s="17">
        <f>IF(Q29=0,0,Q31/Q29)</f>
        <v/>
      </c>
    </row>
    <row r="66">
      <c r="A66" t="inlineStr">
        <is>
          <t>EBITDA margin</t>
        </is>
      </c>
      <c r="B66" t="inlineStr">
        <is>
          <t>ebitda_margin</t>
        </is>
      </c>
      <c r="D66" s="4" t="n">
        <v>-0.02225303692396606</v>
      </c>
      <c r="E66" s="4" t="n">
        <v>0.08557424369940131</v>
      </c>
      <c r="F66" s="4" t="n">
        <v>0.1028446434731602</v>
      </c>
      <c r="G66" s="4" t="n">
        <v>0.07700456295036058</v>
      </c>
      <c r="H66" s="17">
        <f>IF(H29=0,0,H35/H29)</f>
        <v/>
      </c>
      <c r="I66" s="17">
        <f>IF(I29=0,0,I35/I29)</f>
        <v/>
      </c>
      <c r="J66" s="17">
        <f>IF(J29=0,0,J35/J29)</f>
        <v/>
      </c>
      <c r="K66" s="17">
        <f>IF(K29=0,0,K35/K29)</f>
        <v/>
      </c>
      <c r="L66" s="17">
        <f>IF(L29=0,0,L35/L29)</f>
        <v/>
      </c>
      <c r="M66" s="17">
        <f>IF(M29=0,0,M35/M29)</f>
        <v/>
      </c>
      <c r="N66" s="17">
        <f>IF(N29=0,0,N35/N29)</f>
        <v/>
      </c>
      <c r="O66" s="17">
        <f>IF(O29=0,0,O35/O29)</f>
        <v/>
      </c>
      <c r="P66" s="17">
        <f>IF(P29=0,0,P35/P29)</f>
        <v/>
      </c>
      <c r="Q66" s="17">
        <f>IF(Q29=0,0,Q35/Q29)</f>
        <v/>
      </c>
    </row>
    <row r="67">
      <c r="A67" t="inlineStr">
        <is>
          <t>EBIT margin</t>
        </is>
      </c>
      <c r="B67" t="inlineStr">
        <is>
          <t>ebit_margin</t>
        </is>
      </c>
      <c r="D67" s="4" t="n">
        <v>-0.02313262539788281</v>
      </c>
      <c r="E67" s="4" t="n">
        <v>0.08410755305781326</v>
      </c>
      <c r="F67" s="4" t="n">
        <v>0.07309533438159335</v>
      </c>
      <c r="G67" s="4" t="n">
        <v>0.03122197248016483</v>
      </c>
      <c r="H67" s="17">
        <f>IF(H29=0,0,H33/H29)</f>
        <v/>
      </c>
      <c r="I67" s="17">
        <f>IF(I29=0,0,I33/I29)</f>
        <v/>
      </c>
      <c r="J67" s="17">
        <f>IF(J29=0,0,J33/J29)</f>
        <v/>
      </c>
      <c r="K67" s="17">
        <f>IF(K29=0,0,K33/K29)</f>
        <v/>
      </c>
      <c r="L67" s="17">
        <f>IF(L29=0,0,L33/L29)</f>
        <v/>
      </c>
      <c r="M67" s="17">
        <f>IF(M29=0,0,M33/M29)</f>
        <v/>
      </c>
      <c r="N67" s="17">
        <f>IF(N29=0,0,N33/N29)</f>
        <v/>
      </c>
      <c r="O67" s="17">
        <f>IF(O29=0,0,O33/O29)</f>
        <v/>
      </c>
      <c r="P67" s="17">
        <f>IF(P29=0,0,P33/P29)</f>
        <v/>
      </c>
      <c r="Q67" s="17">
        <f>IF(Q29=0,0,Q33/Q29)</f>
        <v/>
      </c>
    </row>
    <row r="68">
      <c r="A68" t="inlineStr">
        <is>
          <t>Net margin</t>
        </is>
      </c>
      <c r="B68" t="inlineStr">
        <is>
          <t>np_margin</t>
        </is>
      </c>
      <c r="D68" s="4" t="n">
        <v>0.07338194323428267</v>
      </c>
      <c r="E68" s="4" t="n">
        <v>0.06316505137407155</v>
      </c>
      <c r="F68" s="4" t="n">
        <v>0.0846506567990687</v>
      </c>
      <c r="G68" s="4" t="n">
        <v>0.1319411067084908</v>
      </c>
      <c r="H68" s="17">
        <f>IF(H29=0,0,H43/H29)</f>
        <v/>
      </c>
      <c r="I68" s="17">
        <f>IF(I29=0,0,I43/I29)</f>
        <v/>
      </c>
      <c r="J68" s="17">
        <f>IF(J29=0,0,J43/J29)</f>
        <v/>
      </c>
      <c r="K68" s="17">
        <f>IF(K29=0,0,K43/K29)</f>
        <v/>
      </c>
      <c r="L68" s="17">
        <f>IF(L29=0,0,L43/L29)</f>
        <v/>
      </c>
      <c r="M68" s="17">
        <f>IF(M29=0,0,M43/M29)</f>
        <v/>
      </c>
      <c r="N68" s="17">
        <f>IF(N29=0,0,N43/N29)</f>
        <v/>
      </c>
      <c r="O68" s="17">
        <f>IF(O29=0,0,O43/O29)</f>
        <v/>
      </c>
      <c r="P68" s="17">
        <f>IF(P29=0,0,P43/P29)</f>
        <v/>
      </c>
      <c r="Q68" s="17">
        <f>IF(Q29=0,0,Q43/Q29)</f>
        <v/>
      </c>
    </row>
    <row r="69">
      <c r="A69" t="inlineStr">
        <is>
          <t>EPS growth</t>
        </is>
      </c>
      <c r="B69" t="inlineStr">
        <is>
          <t>eps_growth</t>
        </is>
      </c>
      <c r="D69" s="4" t="n"/>
      <c r="E69" s="4" t="n">
        <v>-0.886616336780612</v>
      </c>
      <c r="F69" s="4" t="n">
        <v>0.2719998731349655</v>
      </c>
      <c r="G69" s="4" t="n">
        <v>0.7509198722561725</v>
      </c>
      <c r="H69" s="17">
        <f>(IF(G45=0,0,H45/G45)-1)</f>
        <v/>
      </c>
      <c r="I69" s="17">
        <f>(IF(H45=0,0,I45/H45)-1)</f>
        <v/>
      </c>
      <c r="J69" s="17">
        <f>(IF(I45=0,0,J45/I45)-1)</f>
        <v/>
      </c>
      <c r="K69" s="17">
        <f>(IF(J45=0,0,K45/J45)-1)</f>
        <v/>
      </c>
      <c r="L69" s="17">
        <f>(IF(K45=0,0,L45/K45)-1)</f>
        <v/>
      </c>
      <c r="M69" s="17">
        <f>(IF(L45=0,0,M45/L45)-1)</f>
        <v/>
      </c>
      <c r="N69" s="17">
        <f>(IF(M45=0,0,N45/M45)-1)</f>
        <v/>
      </c>
      <c r="O69" s="17">
        <f>(IF(N45=0,0,O45/N45)-1)</f>
        <v/>
      </c>
      <c r="P69" s="17">
        <f>(IF(O45=0,0,P45/O45)-1)</f>
        <v/>
      </c>
      <c r="Q69" s="17">
        <f>(IF(P45=0,0,Q45/P45)-1)</f>
        <v/>
      </c>
    </row>
    <row r="70">
      <c r="A70" t="inlineStr">
        <is>
          <t>ROE</t>
        </is>
      </c>
      <c r="B70" t="inlineStr">
        <is>
          <t>roe</t>
        </is>
      </c>
      <c r="D70" s="4" t="n"/>
      <c r="E70" s="4" t="n">
        <v>0.1315448941516399</v>
      </c>
      <c r="F70" s="4" t="n">
        <v>0.1205973802033136</v>
      </c>
      <c r="G70" s="4" t="n">
        <v>0.1389558474752963</v>
      </c>
      <c r="H70" s="17">
        <f>IF(IF(2=0,0,(H58+G58)/2)=0,0,H43/IF(2=0,0,(H58+G58)/2))</f>
        <v/>
      </c>
      <c r="I70" s="17">
        <f>IF(IF(2=0,0,(I58+H58)/2)=0,0,I43/IF(2=0,0,(I58+H58)/2))</f>
        <v/>
      </c>
      <c r="J70" s="17">
        <f>IF(IF(2=0,0,(J58+I58)/2)=0,0,J43/IF(2=0,0,(J58+I58)/2))</f>
        <v/>
      </c>
      <c r="K70" s="17">
        <f>IF(IF(2=0,0,(K58+J58)/2)=0,0,K43/IF(2=0,0,(K58+J58)/2))</f>
        <v/>
      </c>
      <c r="L70" s="17">
        <f>IF(IF(2=0,0,(L58+K58)/2)=0,0,L43/IF(2=0,0,(L58+K58)/2))</f>
        <v/>
      </c>
      <c r="M70" s="17">
        <f>IF(IF(2=0,0,(M58+L58)/2)=0,0,M43/IF(2=0,0,(M58+L58)/2))</f>
        <v/>
      </c>
      <c r="N70" s="17">
        <f>IF(IF(2=0,0,(N58+M58)/2)=0,0,N43/IF(2=0,0,(N58+M58)/2))</f>
        <v/>
      </c>
      <c r="O70" s="17">
        <f>IF(IF(2=0,0,(O58+N58)/2)=0,0,O43/IF(2=0,0,(O58+N58)/2))</f>
        <v/>
      </c>
      <c r="P70" s="17">
        <f>IF(IF(2=0,0,(P58+O58)/2)=0,0,P43/IF(2=0,0,(P58+O58)/2))</f>
        <v/>
      </c>
      <c r="Q70" s="17">
        <f>IF(IF(2=0,0,(Q58+P58)/2)=0,0,Q43/IF(2=0,0,(Q58+P58)/2))</f>
        <v/>
      </c>
    </row>
    <row r="71">
      <c r="A71" t="inlineStr">
        <is>
          <t>Net debt / EBITDA</t>
        </is>
      </c>
      <c r="B71" t="inlineStr">
        <is>
          <t>net_debt_ebitda</t>
        </is>
      </c>
      <c r="D71" s="18" t="n">
        <v>126.9740908246081</v>
      </c>
      <c r="E71" s="18" t="n">
        <v>2.233144242574949</v>
      </c>
      <c r="F71" s="18" t="n">
        <v>0.5282174075814261</v>
      </c>
      <c r="G71" s="18" t="n">
        <v>52.70348962272661</v>
      </c>
      <c r="H71" s="19">
        <f>IF(H35=0,0,H62/H35)</f>
        <v/>
      </c>
      <c r="I71" s="19">
        <f>IF(I35=0,0,I62/I35)</f>
        <v/>
      </c>
      <c r="J71" s="19">
        <f>IF(J35=0,0,J62/J35)</f>
        <v/>
      </c>
      <c r="K71" s="19">
        <f>IF(K35=0,0,K62/K35)</f>
        <v/>
      </c>
      <c r="L71" s="19">
        <f>IF(L35=0,0,L62/L35)</f>
        <v/>
      </c>
      <c r="M71" s="19">
        <f>IF(M35=0,0,M62/M35)</f>
        <v/>
      </c>
      <c r="N71" s="19">
        <f>IF(N35=0,0,N62/N35)</f>
        <v/>
      </c>
      <c r="O71" s="19">
        <f>IF(O35=0,0,O62/O35)</f>
        <v/>
      </c>
      <c r="P71" s="19">
        <f>IF(P35=0,0,P62/P35)</f>
        <v/>
      </c>
      <c r="Q71" s="19">
        <f>IF(Q35=0,0,Q62/Q35)</f>
        <v/>
      </c>
    </row>
    <row r="72">
      <c r="A72" t="inlineStr">
        <is>
          <t>Payout ratio</t>
        </is>
      </c>
      <c r="B72" t="inlineStr">
        <is>
          <t>payout_ratio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17">
        <f>IF(H45=0,0,H46/H45)</f>
        <v/>
      </c>
      <c r="I72" s="17">
        <f>IF(I45=0,0,I46/I45)</f>
        <v/>
      </c>
      <c r="J72" s="17">
        <f>IF(J45=0,0,J46/J45)</f>
        <v/>
      </c>
      <c r="K72" s="17">
        <f>IF(K45=0,0,K46/K45)</f>
        <v/>
      </c>
      <c r="L72" s="17">
        <f>IF(L45=0,0,L46/L45)</f>
        <v/>
      </c>
      <c r="M72" s="17">
        <f>IF(M45=0,0,M46/M45)</f>
        <v/>
      </c>
      <c r="N72" s="17">
        <f>IF(N45=0,0,N46/N45)</f>
        <v/>
      </c>
      <c r="O72" s="17">
        <f>IF(O45=0,0,O46/O45)</f>
        <v/>
      </c>
      <c r="P72" s="17">
        <f>IF(P45=0,0,P46/P45)</f>
        <v/>
      </c>
      <c r="Q72" s="17">
        <f>IF(Q45=0,0,Q46/Q45)</f>
        <v/>
      </c>
    </row>
    <row r="73">
      <c r="A73" t="inlineStr">
        <is>
          <t>Capex / revenue</t>
        </is>
      </c>
      <c r="B73" t="inlineStr">
        <is>
          <t>capex_revenue</t>
        </is>
      </c>
      <c r="D73" s="4" t="n">
        <v>0.01459813560331497</v>
      </c>
      <c r="E73" s="4" t="n">
        <v>0.02818950685785603</v>
      </c>
      <c r="F73" s="4" t="n">
        <v>0.09410721968627135</v>
      </c>
      <c r="G73" s="4" t="n">
        <v>0.0522857097820369</v>
      </c>
      <c r="H73" s="17">
        <f>IF(H29=0,0,H48/H29)</f>
        <v/>
      </c>
      <c r="I73" s="17">
        <f>IF(I29=0,0,I48/I29)</f>
        <v/>
      </c>
      <c r="J73" s="17">
        <f>IF(J29=0,0,J48/J29)</f>
        <v/>
      </c>
      <c r="K73" s="17">
        <f>IF(K29=0,0,K48/K29)</f>
        <v/>
      </c>
      <c r="L73" s="17">
        <f>IF(L29=0,0,L48/L29)</f>
        <v/>
      </c>
      <c r="M73" s="17">
        <f>IF(M29=0,0,M48/M29)</f>
        <v/>
      </c>
      <c r="N73" s="17">
        <f>IF(N29=0,0,N48/N29)</f>
        <v/>
      </c>
      <c r="O73" s="17">
        <f>IF(O29=0,0,O48/O29)</f>
        <v/>
      </c>
      <c r="P73" s="17">
        <f>IF(P29=0,0,P48/P29)</f>
        <v/>
      </c>
      <c r="Q73" s="17">
        <f>IF(Q29=0,0,Q48/Q29)</f>
        <v/>
      </c>
    </row>
    <row r="75">
      <c r="A75" s="1" t="inlineStr">
        <is>
          <t>VALUATION</t>
        </is>
      </c>
    </row>
    <row r="76">
      <c r="A76" t="inlineStr">
        <is>
          <t>Last price (IDR)</t>
        </is>
      </c>
      <c r="C76" s="15" t="n">
        <v>51</v>
      </c>
    </row>
    <row r="77">
      <c r="A77" t="inlineStr">
        <is>
          <t>Shares outstanding (m)</t>
        </is>
      </c>
      <c r="C77" s="13" t="n">
        <v>263336.671589</v>
      </c>
    </row>
    <row r="78">
      <c r="A78" t="inlineStr">
        <is>
          <t>IDR per USD (spot)</t>
        </is>
      </c>
      <c r="C78" s="3" t="n">
        <v>18183</v>
      </c>
    </row>
    <row r="79">
      <c r="A79" t="inlineStr">
        <is>
          <t>Debt at balance-sheet date</t>
        </is>
      </c>
      <c r="C79" s="13" t="n">
        <v>16968.639</v>
      </c>
    </row>
    <row r="80">
      <c r="A80" t="inlineStr">
        <is>
          <t>Cash at balance-sheet date</t>
        </is>
      </c>
      <c r="C80" s="13" t="n">
        <v>1432.62</v>
      </c>
    </row>
    <row r="81">
      <c r="A81" t="inlineStr">
        <is>
          <t>Minority interest (book)</t>
        </is>
      </c>
      <c r="C81" s="13" t="n">
        <v>821.8869999999999</v>
      </c>
    </row>
    <row r="82">
      <c r="A82" t="inlineStr">
        <is>
          <t>Associates &amp; investments (book)</t>
        </is>
      </c>
      <c r="C82" s="13" t="n">
        <v>10</v>
      </c>
    </row>
    <row r="83">
      <c r="A83" t="inlineStr">
        <is>
          <t>Post-balance-sheet &amp; other items (sourced, probability-weighted)</t>
        </is>
      </c>
      <c r="C83" s="13" t="n">
        <v>4543</v>
      </c>
    </row>
    <row r="84">
      <c r="A84" t="inlineStr">
        <is>
          <t>Parent equity at balance-sheet date</t>
        </is>
      </c>
      <c r="C84" s="13" t="n">
        <v>8470.09</v>
      </c>
    </row>
    <row r="85">
      <c r="A85" t="inlineStr">
        <is>
          <t>Per-share factor</t>
        </is>
      </c>
      <c r="C85" s="20" t="n">
        <v>1000</v>
      </c>
    </row>
    <row r="86">
      <c r="A86" t="inlineStr">
        <is>
          <t>Risk-free rate</t>
        </is>
      </c>
      <c r="C86" s="8">
        <f>Drivers!$C$7</f>
        <v/>
      </c>
    </row>
    <row r="87">
      <c r="A87" t="inlineStr">
        <is>
          <t>Less: default spread (IDR only)</t>
        </is>
      </c>
      <c r="C87" s="8">
        <f>Drivers!$C$9</f>
        <v/>
      </c>
    </row>
    <row r="88">
      <c r="A88" t="inlineStr">
        <is>
          <t>Mature ERP + Indonesia CRP</t>
        </is>
      </c>
      <c r="C88" s="8">
        <f>Drivers!$C$10+Drivers!$C$11</f>
        <v/>
      </c>
    </row>
    <row r="89">
      <c r="A89" t="inlineStr">
        <is>
          <t>Tax rate</t>
        </is>
      </c>
      <c r="C89" s="8">
        <f>Drivers!$C$13</f>
        <v/>
      </c>
    </row>
    <row r="90">
      <c r="A90" t="inlineStr">
        <is>
          <t>Unlevered beta (industry default (config))</t>
        </is>
      </c>
      <c r="C90" s="21" t="n">
        <v>0.9</v>
      </c>
    </row>
    <row r="91">
      <c r="A91" t="inlineStr">
        <is>
          <t>Debt / equity (market)</t>
        </is>
      </c>
      <c r="C91" s="21" t="n">
        <v>1.651906620794722</v>
      </c>
    </row>
    <row r="92">
      <c r="A92" t="inlineStr">
        <is>
          <t>Levered beta</t>
        </is>
      </c>
      <c r="C92" s="22">
        <f>$C$90*(1+(1-$C$89)*$C$91)</f>
        <v/>
      </c>
    </row>
    <row r="93">
      <c r="A93" t="inlineStr">
        <is>
          <t>Explicit company premium</t>
        </is>
      </c>
      <c r="C93" s="4" t="n">
        <v>0</v>
      </c>
    </row>
    <row r="94">
      <c r="A94" t="inlineStr">
        <is>
          <t>Cost of equity</t>
        </is>
      </c>
      <c r="C94" s="10">
        <f>$C$86-$C$87+$C$92*$C$88+$C$93</f>
        <v/>
      </c>
    </row>
    <row r="95">
      <c r="A95" t="inlineStr">
        <is>
          <t>Pre-tax cost of debt</t>
        </is>
      </c>
      <c r="C95" s="10">
        <f>$C$86+Drivers!$C$12</f>
        <v/>
      </c>
    </row>
    <row r="96">
      <c r="A96" t="inlineStr">
        <is>
          <t>WACC</t>
        </is>
      </c>
      <c r="C96" s="10">
        <f>1/(1+$C$91)*$C$94+$C$91/(1+$C$91)*$C$95*(1-$C$89)</f>
        <v/>
      </c>
    </row>
    <row r="97">
      <c r="A97" t="inlineStr">
        <is>
          <t>Terminal growth (capped)</t>
        </is>
      </c>
      <c r="C97" s="4" t="n">
        <v>0.04</v>
      </c>
    </row>
    <row r="99">
      <c r="A99" s="1" t="inlineStr">
        <is>
          <t>Sum of the parts</t>
        </is>
      </c>
    </row>
    <row r="100">
      <c r="A100" t="inlineStr">
        <is>
          <t>Value per share (IDR) — Sum of the parts (engine value)</t>
        </is>
      </c>
      <c r="C100" s="15" t="n">
        <v>19.767945</v>
      </c>
    </row>
    <row r="102">
      <c r="A102" s="1" t="inlineStr">
        <is>
          <t>P/BV</t>
        </is>
      </c>
    </row>
    <row r="103">
      <c r="A103" t="inlineStr">
        <is>
          <t>Target multiple (peer median)</t>
        </is>
      </c>
      <c r="C103" s="18" t="n">
        <v>1.946731</v>
      </c>
    </row>
    <row r="104">
      <c r="A104" t="inlineStr">
        <is>
          <t>Metric (LTM, or next-12m DPS for yield)</t>
        </is>
      </c>
      <c r="C104" s="13" t="n">
        <v>8470.09</v>
      </c>
    </row>
    <row r="105">
      <c r="A105" t="inlineStr">
        <is>
          <t>Value per share (IDR) — P/BV</t>
        </is>
      </c>
      <c r="C105" s="23">
        <f>MAX(0,$C$103*$C$104/$C$77*$C$85*1)</f>
        <v/>
      </c>
    </row>
    <row r="107">
      <c r="A107" s="1" t="inlineStr">
        <is>
          <t>TARGET</t>
        </is>
      </c>
    </row>
    <row r="108">
      <c r="A108" t="inlineStr">
        <is>
          <t>Weight: Sum of the parts</t>
        </is>
      </c>
      <c r="C108" s="4" t="n">
        <v>0.8</v>
      </c>
    </row>
    <row r="109">
      <c r="A109" t="inlineStr">
        <is>
          <t>Weight: P/BV</t>
        </is>
      </c>
      <c r="C109" s="4" t="n">
        <v>0.2</v>
      </c>
    </row>
    <row r="110">
      <c r="A110" t="inlineStr">
        <is>
          <t>Value today (weighted)</t>
        </is>
      </c>
      <c r="C110" s="23">
        <f>$C$100*$C$108+$C$105*$C$109</f>
        <v/>
      </c>
    </row>
    <row r="111">
      <c r="A111" t="inlineStr">
        <is>
          <t>DPS expected in next 12 months (IDR)</t>
        </is>
      </c>
      <c r="C111" s="15" t="n">
        <v>0</v>
      </c>
    </row>
    <row r="112">
      <c r="A112" t="inlineStr">
        <is>
          <t>Base-case 12-month value</t>
        </is>
      </c>
      <c r="C112" s="23">
        <f>MAX(0,$C$110*(1+$C$94)-$C$111)</f>
        <v/>
      </c>
    </row>
    <row r="113">
      <c r="A113" t="inlineStr">
        <is>
          <t>Bear probability</t>
        </is>
      </c>
      <c r="C113" s="4" t="n">
        <v>0.35</v>
      </c>
    </row>
    <row r="114">
      <c r="A114" t="inlineStr">
        <is>
          <t>Bear 12-month value (engine)</t>
        </is>
      </c>
      <c r="C114" s="15" t="n">
        <v>30.84329942127917</v>
      </c>
    </row>
    <row r="115">
      <c r="A115" t="inlineStr">
        <is>
          <t>Base probability</t>
        </is>
      </c>
      <c r="C115" s="4" t="n">
        <v>0.45</v>
      </c>
    </row>
    <row r="116">
      <c r="A116" t="inlineStr">
        <is>
          <t>Bull probability</t>
        </is>
      </c>
      <c r="C116" s="4" t="n">
        <v>0.2</v>
      </c>
    </row>
    <row r="117">
      <c r="A117" t="inlineStr">
        <is>
          <t>Bull 12-month value (engine)</t>
        </is>
      </c>
      <c r="C117" s="15" t="n">
        <v>36.94503809152588</v>
      </c>
    </row>
    <row r="118">
      <c r="A118" t="inlineStr">
        <is>
          <t>Probability-weighted 12-month value</t>
        </is>
      </c>
      <c r="C118" s="23">
        <f>$C$113*$C$114+$C$115*$C$112+$C$116*$C$117</f>
        <v/>
      </c>
    </row>
    <row r="119">
      <c r="A119" t="inlineStr">
        <is>
          <t>Liquidity discount (limits.yaml)</t>
        </is>
      </c>
      <c r="C119" s="4" t="n">
        <v>0</v>
      </c>
    </row>
    <row r="120">
      <c r="A120" t="inlineStr">
        <is>
          <t>Fundamental 12-month value (after liquidity discount)</t>
        </is>
      </c>
      <c r="C120" s="23">
        <f>$C$118*(1-$C$119)</f>
        <v/>
      </c>
    </row>
    <row r="121">
      <c r="A121" t="inlineStr">
        <is>
          <t>Konglo lens: price / fundamental value today (engine)</t>
        </is>
      </c>
      <c r="C121" s="18" t="n">
        <v>1.824369</v>
      </c>
    </row>
    <row r="122">
      <c r="A122" t="inlineStr">
        <is>
          <t>Regime bear: probability (konglo deck)</t>
        </is>
      </c>
      <c r="C122" s="4" t="n">
        <v>0.25</v>
      </c>
    </row>
    <row r="123">
      <c r="A123" t="inlineStr">
        <is>
          <t>Regime bear: share of the log gap closed in 12 months</t>
        </is>
      </c>
      <c r="C123" s="4" t="n">
        <v>0.7</v>
      </c>
    </row>
    <row r="124">
      <c r="A124" t="inlineStr">
        <is>
          <t>Regime base: probability (konglo deck)</t>
        </is>
      </c>
      <c r="C124" s="4" t="n">
        <v>0.5</v>
      </c>
    </row>
    <row r="125">
      <c r="A125" t="inlineStr">
        <is>
          <t>Regime base: share of the log gap closed in 12 months</t>
        </is>
      </c>
      <c r="C125" s="4" t="n">
        <v>0.3</v>
      </c>
    </row>
    <row r="126">
      <c r="A126" t="inlineStr">
        <is>
          <t>Regime bull: probability (konglo deck)</t>
        </is>
      </c>
      <c r="C126" s="4" t="n">
        <v>0.25</v>
      </c>
    </row>
    <row r="127">
      <c r="A127" t="inlineStr">
        <is>
          <t>Regime bull: share of the log gap closed in 12 months</t>
        </is>
      </c>
      <c r="C127" s="4" t="n">
        <v>-0.15</v>
      </c>
    </row>
    <row r="128">
      <c r="A128" t="inlineStr">
        <is>
          <t>Share of today's premium kept (probability-weighted)</t>
        </is>
      </c>
      <c r="C128" s="27">
        <f>$C$122*$C$121^(1-$C$123)+$C$124*$C$121^(1-$C$125)+$C$126*$C$121^(1-$C$127)</f>
        <v/>
      </c>
    </row>
    <row r="129">
      <c r="A129" t="inlineStr">
        <is>
          <t>TARGET PRICE (IDR) — konglo lens</t>
        </is>
      </c>
      <c r="C129" s="24">
        <f>$C$120*$C$128</f>
        <v/>
      </c>
    </row>
    <row r="130">
      <c r="A130" t="inlineStr">
        <is>
          <t>Expected 12-month total return</t>
        </is>
      </c>
      <c r="C130" s="25">
        <f>($C$129+$C$111)/$C$76-1</f>
        <v/>
      </c>
    </row>
    <row r="131">
      <c r="A131" t="inlineStr">
        <is>
          <t>Rating</t>
        </is>
      </c>
      <c r="C131" s="26">
        <f>IF($C$130&gt;=0.25,"BUY",IF($C$130&gt;=0.1,"ADD",IF($C$130&lt;=-0.25,"SELL",IF($C$130&lt;=-0.1,"REDUCE","HOLD"))))</f>
        <v/>
      </c>
    </row>
    <row r="133">
      <c r="A133" s="1" t="inlineStr">
        <is>
          <t>12-month value vs holding-company discount and cost of equity (engine values)</t>
        </is>
      </c>
    </row>
    <row r="134">
      <c r="A134" s="5" t="inlineStr">
        <is>
          <t>rows: Cost of equity (+/- pp) · columns: Holdco discount (+/- pp)</t>
        </is>
      </c>
      <c r="D134" s="1" t="n">
        <v>-0.1</v>
      </c>
      <c r="E134" s="1" t="n">
        <v>-0.05</v>
      </c>
      <c r="F134" s="1" t="n">
        <v>0</v>
      </c>
      <c r="G134" s="1" t="n">
        <v>0.05</v>
      </c>
      <c r="H134" s="1" t="n">
        <v>0.1</v>
      </c>
    </row>
    <row r="135">
      <c r="C135" s="1" t="n">
        <v>-0.01</v>
      </c>
      <c r="D135" s="23" t="n">
        <v>36.636156</v>
      </c>
      <c r="E135" s="23" t="n">
        <v>35.123475</v>
      </c>
      <c r="F135" s="23" t="n">
        <v>33.610794</v>
      </c>
      <c r="G135" s="23" t="n">
        <v>32.098113</v>
      </c>
      <c r="H135" s="23" t="n">
        <v>30.585432</v>
      </c>
    </row>
    <row r="136">
      <c r="C136" s="1" t="n">
        <v>-0.005</v>
      </c>
      <c r="D136" s="23" t="n">
        <v>36.790597</v>
      </c>
      <c r="E136" s="23" t="n">
        <v>35.271539</v>
      </c>
      <c r="F136" s="23" t="n">
        <v>33.752481</v>
      </c>
      <c r="G136" s="23" t="n">
        <v>32.233423</v>
      </c>
      <c r="H136" s="23" t="n">
        <v>30.714366</v>
      </c>
    </row>
    <row r="137">
      <c r="C137" s="1" t="n">
        <v>0</v>
      </c>
      <c r="D137" s="23" t="n">
        <v>36.945038</v>
      </c>
      <c r="E137" s="23" t="n">
        <v>35.419603</v>
      </c>
      <c r="F137" s="23" t="n">
        <v>33.894169</v>
      </c>
      <c r="G137" s="23" t="n">
        <v>32.368734</v>
      </c>
      <c r="H137" s="23" t="n">
        <v>30.843299</v>
      </c>
    </row>
    <row r="138">
      <c r="C138" s="1" t="n">
        <v>0.005</v>
      </c>
      <c r="D138" s="23" t="n">
        <v>37.099479</v>
      </c>
      <c r="E138" s="23" t="n">
        <v>35.567668</v>
      </c>
      <c r="F138" s="23" t="n">
        <v>34.035856</v>
      </c>
      <c r="G138" s="23" t="n">
        <v>32.504045</v>
      </c>
      <c r="H138" s="23" t="n">
        <v>30.972233</v>
      </c>
    </row>
    <row r="139">
      <c r="C139" s="1" t="n">
        <v>0.01</v>
      </c>
      <c r="D139" s="23" t="n">
        <v>37.25392</v>
      </c>
      <c r="E139" s="23" t="n">
        <v>35.715732</v>
      </c>
      <c r="F139" s="23" t="n">
        <v>34.177544</v>
      </c>
      <c r="G139" s="23" t="n">
        <v>32.639355</v>
      </c>
      <c r="H139" s="23" t="n">
        <v>31.101167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4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1" t="inlineStr">
        <is>
          <t>PT Barito Pacific Tbk (BRPT.JK) — Conglomerates &amp; multi-sector holdings</t>
        </is>
      </c>
    </row>
    <row r="2">
      <c r="A2" s="5" t="inlineStr">
        <is>
          <t>Units: USD m; per-share in USD unless marked IDR. Model asof 2026-10-29 · data 2026-10-27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  <c r="M4" s="1" t="inlineStr">
        <is>
          <t>FY2031E</t>
        </is>
      </c>
      <c r="N4" s="1" t="inlineStr">
        <is>
          <t>FY2032E</t>
        </is>
      </c>
      <c r="O4" s="1" t="inlineStr">
        <is>
          <t>FY2033E</t>
        </is>
      </c>
      <c r="P4" s="1" t="inlineStr">
        <is>
          <t>FY2034E</t>
        </is>
      </c>
      <c r="Q4" s="1" t="inlineStr">
        <is>
          <t>FY2035E</t>
        </is>
      </c>
    </row>
    <row r="6">
      <c r="A6" s="1" t="inlineStr">
        <is>
          <t>PARAMETERS</t>
        </is>
      </c>
    </row>
    <row r="7">
      <c r="A7" t="inlineStr">
        <is>
          <t>ps_factor</t>
        </is>
      </c>
      <c r="C7" s="12" t="n">
        <v>1</v>
      </c>
    </row>
    <row r="8">
      <c r="A8" t="inlineStr">
        <is>
          <t>vp_factor</t>
        </is>
      </c>
      <c r="C8" s="12" t="n">
        <v>1</v>
      </c>
    </row>
    <row r="10">
      <c r="A10" s="1" t="inlineStr">
        <is>
          <t>INPUTS (company assumptions)</t>
        </is>
      </c>
    </row>
    <row r="11">
      <c r="A11" t="inlineStr">
        <is>
          <t>Revenue growth</t>
        </is>
      </c>
      <c r="B11" t="inlineStr">
        <is>
          <t>a.revenue_growth</t>
        </is>
      </c>
      <c r="H11" s="4" t="n">
        <v>0.3</v>
      </c>
      <c r="I11" s="4" t="n">
        <v>0.1</v>
      </c>
      <c r="J11" s="4" t="n">
        <v>0.07000000000000001</v>
      </c>
      <c r="K11" s="4" t="n">
        <v>0.05</v>
      </c>
      <c r="L11" s="4" t="n">
        <v>0.04</v>
      </c>
      <c r="M11" s="4" t="n">
        <v>0.02</v>
      </c>
      <c r="N11" s="4" t="n">
        <v>0.02</v>
      </c>
      <c r="O11" s="4" t="n">
        <v>0.02</v>
      </c>
      <c r="P11" s="4" t="n">
        <v>0.02</v>
      </c>
      <c r="Q11" s="4" t="n">
        <v>0.02</v>
      </c>
    </row>
    <row r="12">
      <c r="A12" t="inlineStr">
        <is>
          <t>Gross margin at base input costs</t>
        </is>
      </c>
      <c r="B12" t="inlineStr">
        <is>
          <t>a.gross_margin</t>
        </is>
      </c>
      <c r="H12" s="4" t="n">
        <v>0.191901</v>
      </c>
      <c r="I12" s="4" t="n">
        <v>0.191901</v>
      </c>
      <c r="J12" s="4" t="n">
        <v>0.191901</v>
      </c>
      <c r="K12" s="4" t="n">
        <v>0.191901</v>
      </c>
      <c r="L12" s="4" t="n">
        <v>0.191901</v>
      </c>
      <c r="M12" s="4" t="n">
        <v>0.191901</v>
      </c>
      <c r="N12" s="4" t="n">
        <v>0.191901</v>
      </c>
      <c r="O12" s="4" t="n">
        <v>0.191901</v>
      </c>
      <c r="P12" s="4" t="n">
        <v>0.191901</v>
      </c>
      <c r="Q12" s="4" t="n">
        <v>0.191901</v>
      </c>
    </row>
    <row r="13">
      <c r="A13" t="inlineStr">
        <is>
          <t>SG&amp;A / revenue</t>
        </is>
      </c>
      <c r="B13" t="inlineStr">
        <is>
          <t>a.opex_pct</t>
        </is>
      </c>
      <c r="H13" s="4" t="n">
        <v>0.111429</v>
      </c>
      <c r="I13" s="4" t="n">
        <v>0.111429</v>
      </c>
      <c r="J13" s="4" t="n">
        <v>0.111429</v>
      </c>
      <c r="K13" s="4" t="n">
        <v>0.111429</v>
      </c>
      <c r="L13" s="4" t="n">
        <v>0.111429</v>
      </c>
      <c r="M13" s="4" t="n">
        <v>0.111429</v>
      </c>
      <c r="N13" s="4" t="n">
        <v>0.111429</v>
      </c>
      <c r="O13" s="4" t="n">
        <v>0.111429</v>
      </c>
      <c r="P13" s="4" t="n">
        <v>0.111429</v>
      </c>
      <c r="Q13" s="4" t="n">
        <v>0.111429</v>
      </c>
    </row>
    <row r="14">
      <c r="A14" t="inlineStr">
        <is>
          <t>D&amp;A / revenue</t>
        </is>
      </c>
      <c r="B14" t="inlineStr">
        <is>
          <t>a.da_pct</t>
        </is>
      </c>
      <c r="H14" s="4" t="n">
        <v>0.043116</v>
      </c>
      <c r="I14" s="4" t="n">
        <v>0.043116</v>
      </c>
      <c r="J14" s="4" t="n">
        <v>0.043116</v>
      </c>
      <c r="K14" s="4" t="n">
        <v>0.043116</v>
      </c>
      <c r="L14" s="4" t="n">
        <v>0.043116</v>
      </c>
      <c r="M14" s="4" t="n">
        <v>0.043116</v>
      </c>
      <c r="N14" s="4" t="n">
        <v>0.043116</v>
      </c>
      <c r="O14" s="4" t="n">
        <v>0.043116</v>
      </c>
      <c r="P14" s="4" t="n">
        <v>0.043116</v>
      </c>
      <c r="Q14" s="4" t="n">
        <v>0.043116</v>
      </c>
    </row>
    <row r="15">
      <c r="A15" t="inlineStr">
        <is>
          <t>Capex / revenue</t>
        </is>
      </c>
      <c r="B15" t="inlineStr">
        <is>
          <t>a.capex_pct</t>
        </is>
      </c>
      <c r="H15" s="4" t="n">
        <v>0.127661</v>
      </c>
      <c r="I15" s="4" t="n">
        <v>0.127661</v>
      </c>
      <c r="J15" s="4" t="n">
        <v>0.127661</v>
      </c>
      <c r="K15" s="4" t="n">
        <v>0.127661</v>
      </c>
      <c r="L15" s="4" t="n">
        <v>0.127661</v>
      </c>
      <c r="M15" s="4" t="n">
        <v>0.127661</v>
      </c>
      <c r="N15" s="4" t="n">
        <v>0.127661</v>
      </c>
      <c r="O15" s="4" t="n">
        <v>0.127661</v>
      </c>
      <c r="P15" s="4" t="n">
        <v>0.127661</v>
      </c>
      <c r="Q15" s="4" t="n">
        <v>0.127661</v>
      </c>
    </row>
    <row r="16">
      <c r="A16" t="inlineStr">
        <is>
          <t>Operating working capital / revenue</t>
        </is>
      </c>
      <c r="B16" t="inlineStr">
        <is>
          <t>a.nwc_pct</t>
        </is>
      </c>
      <c r="H16" s="4" t="n">
        <v>0.183589</v>
      </c>
      <c r="I16" s="4" t="n">
        <v>0.183589</v>
      </c>
      <c r="J16" s="4" t="n">
        <v>0.183589</v>
      </c>
      <c r="K16" s="4" t="n">
        <v>0.183589</v>
      </c>
      <c r="L16" s="4" t="n">
        <v>0.183589</v>
      </c>
      <c r="M16" s="4" t="n">
        <v>0.183589</v>
      </c>
      <c r="N16" s="4" t="n">
        <v>0.183589</v>
      </c>
      <c r="O16" s="4" t="n">
        <v>0.183589</v>
      </c>
      <c r="P16" s="4" t="n">
        <v>0.183589</v>
      </c>
      <c r="Q16" s="4" t="n">
        <v>0.183589</v>
      </c>
    </row>
    <row r="17">
      <c r="A17" t="inlineStr">
        <is>
          <t>Effective tax rate</t>
        </is>
      </c>
      <c r="B17" t="inlineStr">
        <is>
          <t>a.tax_rate</t>
        </is>
      </c>
      <c r="H17" s="4" t="n">
        <v>0.338994</v>
      </c>
      <c r="I17" s="4" t="n">
        <v>0.338994</v>
      </c>
      <c r="J17" s="4" t="n">
        <v>0.338994</v>
      </c>
      <c r="K17" s="4" t="n">
        <v>0.338994</v>
      </c>
      <c r="L17" s="4" t="n">
        <v>0.338994</v>
      </c>
      <c r="M17" s="4" t="n">
        <v>0.338994</v>
      </c>
      <c r="N17" s="4" t="n">
        <v>0.338994</v>
      </c>
      <c r="O17" s="4" t="n">
        <v>0.338994</v>
      </c>
      <c r="P17" s="4" t="n">
        <v>0.338994</v>
      </c>
      <c r="Q17" s="4" t="n">
        <v>0.338994</v>
      </c>
    </row>
    <row r="18">
      <c r="A18" t="inlineStr">
        <is>
          <t>Cost of debt (on opening debt)</t>
        </is>
      </c>
      <c r="B18" t="inlineStr">
        <is>
          <t>a.cost_of_debt</t>
        </is>
      </c>
      <c r="C18" s="4" t="n">
        <v>0.078279</v>
      </c>
    </row>
    <row r="19">
      <c r="A19" t="inlineStr">
        <is>
          <t>Yield on opening cash</t>
        </is>
      </c>
      <c r="B19" t="inlineStr">
        <is>
          <t>a.cash_yield</t>
        </is>
      </c>
      <c r="C19" s="4" t="n">
        <v>0.060805</v>
      </c>
    </row>
    <row r="20">
      <c r="A20" t="inlineStr">
        <is>
          <t>Net new borrowing</t>
        </is>
      </c>
      <c r="B20" t="inlineStr">
        <is>
          <t>a.net_borrowing</t>
        </is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</row>
    <row r="21">
      <c r="A21" t="inlineStr">
        <is>
          <t>Other non-operating items</t>
        </is>
      </c>
      <c r="B21" t="inlineStr">
        <is>
          <t>a.other_nonop</t>
        </is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</row>
    <row r="22">
      <c r="A22" t="inlineStr">
        <is>
          <t>Minorities' share of net profit</t>
        </is>
      </c>
      <c r="B22" t="inlineStr">
        <is>
          <t>a.minority_pct</t>
        </is>
      </c>
      <c r="H22" s="4" t="n">
        <v>0.658493</v>
      </c>
      <c r="I22" s="4" t="n">
        <v>0.658493</v>
      </c>
      <c r="J22" s="4" t="n">
        <v>0.658493</v>
      </c>
      <c r="K22" s="4" t="n">
        <v>0.658493</v>
      </c>
      <c r="L22" s="4" t="n">
        <v>0.658493</v>
      </c>
      <c r="M22" s="4" t="n">
        <v>0.658493</v>
      </c>
      <c r="N22" s="4" t="n">
        <v>0.658493</v>
      </c>
      <c r="O22" s="4" t="n">
        <v>0.658493</v>
      </c>
      <c r="P22" s="4" t="n">
        <v>0.658493</v>
      </c>
      <c r="Q22" s="4" t="n">
        <v>0.658493</v>
      </c>
    </row>
    <row r="23">
      <c r="A23" t="inlineStr">
        <is>
          <t>Dividend payout</t>
        </is>
      </c>
      <c r="B23" t="inlineStr">
        <is>
          <t>a.payout</t>
        </is>
      </c>
      <c r="H23" s="4" t="n">
        <v>1</v>
      </c>
      <c r="I23" s="4" t="n">
        <v>1</v>
      </c>
      <c r="J23" s="4" t="n">
        <v>1</v>
      </c>
      <c r="K23" s="4" t="n">
        <v>1</v>
      </c>
      <c r="L23" s="4" t="n">
        <v>1</v>
      </c>
      <c r="M23" s="4" t="n">
        <v>1</v>
      </c>
      <c r="N23" s="4" t="n">
        <v>1</v>
      </c>
      <c r="O23" s="4" t="n">
        <v>1</v>
      </c>
      <c r="P23" s="4" t="n">
        <v>1</v>
      </c>
      <c r="Q23" s="4" t="n">
        <v>1</v>
      </c>
    </row>
    <row r="24">
      <c r="A24" t="inlineStr">
        <is>
          <t>Change in share count</t>
        </is>
      </c>
      <c r="B24" t="inlineStr">
        <is>
          <t>a.share_change</t>
        </is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</row>
    <row r="25">
      <c r="A25" t="inlineStr">
        <is>
          <t>Terminal growth (DCF)</t>
        </is>
      </c>
      <c r="B25" t="inlineStr">
        <is>
          <t>a.terminal_growth</t>
        </is>
      </c>
      <c r="C25" s="4" t="n">
        <v>0.02</v>
      </c>
    </row>
    <row r="26">
      <c r="A26" t="inlineStr">
        <is>
          <t>Holding-company discount to SOTP</t>
        </is>
      </c>
      <c r="B26" t="inlineStr">
        <is>
          <t>a.holdco_discount</t>
        </is>
      </c>
      <c r="C26" s="4" t="n">
        <v>0.3</v>
      </c>
    </row>
    <row r="28">
      <c r="A28" s="1" t="inlineStr">
        <is>
          <t>MODEL</t>
        </is>
      </c>
    </row>
    <row r="29">
      <c r="A29" t="inlineStr">
        <is>
          <t>Revenue</t>
        </is>
      </c>
      <c r="B29" t="inlineStr">
        <is>
          <t>revenue</t>
        </is>
      </c>
      <c r="D29" s="13" t="n">
        <v>2961.532</v>
      </c>
      <c r="E29" s="13" t="n">
        <v>2760.359</v>
      </c>
      <c r="F29" s="13" t="n">
        <v>2386.995</v>
      </c>
      <c r="G29" s="13" t="n">
        <v>7630.662</v>
      </c>
      <c r="H29" s="14">
        <f>(G29*(1+H11))</f>
        <v/>
      </c>
      <c r="I29" s="14">
        <f>(H29*(1+I11))</f>
        <v/>
      </c>
      <c r="J29" s="14">
        <f>(I29*(1+J11))</f>
        <v/>
      </c>
      <c r="K29" s="14">
        <f>(J29*(1+K11))</f>
        <v/>
      </c>
      <c r="L29" s="14">
        <f>(K29*(1+L11))</f>
        <v/>
      </c>
      <c r="M29" s="14">
        <f>(L29*(1+M11))</f>
        <v/>
      </c>
      <c r="N29" s="14">
        <f>(M29*(1+N11))</f>
        <v/>
      </c>
      <c r="O29" s="14">
        <f>(N29*(1+O11))</f>
        <v/>
      </c>
      <c r="P29" s="14">
        <f>(O29*(1+P11))</f>
        <v/>
      </c>
      <c r="Q29" s="14">
        <f>(P29*(1+Q11))</f>
        <v/>
      </c>
    </row>
    <row r="30">
      <c r="A30" t="inlineStr">
        <is>
          <t>Cost of revenue</t>
        </is>
      </c>
      <c r="B30" t="inlineStr">
        <is>
          <t>cogs</t>
        </is>
      </c>
      <c r="D30" s="13" t="n">
        <v>2515.859</v>
      </c>
      <c r="E30" s="13" t="n">
        <v>2202.219</v>
      </c>
      <c r="F30" s="13" t="n">
        <v>1666.836</v>
      </c>
      <c r="G30" s="13" t="n">
        <v>7082.758</v>
      </c>
      <c r="H30" s="14">
        <f>(H29*(1-H12))</f>
        <v/>
      </c>
      <c r="I30" s="14">
        <f>(I29*(1-I12))</f>
        <v/>
      </c>
      <c r="J30" s="14">
        <f>(J29*(1-J12))</f>
        <v/>
      </c>
      <c r="K30" s="14">
        <f>(K29*(1-K12))</f>
        <v/>
      </c>
      <c r="L30" s="14">
        <f>(L29*(1-L12))</f>
        <v/>
      </c>
      <c r="M30" s="14">
        <f>(M29*(1-M12))</f>
        <v/>
      </c>
      <c r="N30" s="14">
        <f>(N29*(1-N12))</f>
        <v/>
      </c>
      <c r="O30" s="14">
        <f>(O29*(1-O12))</f>
        <v/>
      </c>
      <c r="P30" s="14">
        <f>(P29*(1-P12))</f>
        <v/>
      </c>
      <c r="Q30" s="14">
        <f>(Q29*(1-Q12))</f>
        <v/>
      </c>
    </row>
    <row r="31">
      <c r="A31" t="inlineStr">
        <is>
          <t>Gross profit</t>
        </is>
      </c>
      <c r="B31" t="inlineStr">
        <is>
          <t>gross_profit</t>
        </is>
      </c>
      <c r="D31" s="13" t="n">
        <v>445.673</v>
      </c>
      <c r="E31" s="13" t="n">
        <v>558.14</v>
      </c>
      <c r="F31" s="13" t="n">
        <v>720.159</v>
      </c>
      <c r="G31" s="13" t="n">
        <v>547.904</v>
      </c>
      <c r="H31" s="14">
        <f>(H29-H30)</f>
        <v/>
      </c>
      <c r="I31" s="14">
        <f>(I29-I30)</f>
        <v/>
      </c>
      <c r="J31" s="14">
        <f>(J29-J30)</f>
        <v/>
      </c>
      <c r="K31" s="14">
        <f>(K29-K30)</f>
        <v/>
      </c>
      <c r="L31" s="14">
        <f>(L29-L30)</f>
        <v/>
      </c>
      <c r="M31" s="14">
        <f>(M29-M30)</f>
        <v/>
      </c>
      <c r="N31" s="14">
        <f>(N29-N30)</f>
        <v/>
      </c>
      <c r="O31" s="14">
        <f>(O29-O30)</f>
        <v/>
      </c>
      <c r="P31" s="14">
        <f>(P29-P30)</f>
        <v/>
      </c>
      <c r="Q31" s="14">
        <f>(Q29-Q30)</f>
        <v/>
      </c>
    </row>
    <row r="32">
      <c r="A32" t="inlineStr">
        <is>
          <t>SG&amp;A and other opex</t>
        </is>
      </c>
      <c r="B32" t="inlineStr">
        <is>
          <t>opex</t>
        </is>
      </c>
      <c r="D32" s="13" t="n">
        <v>177.859</v>
      </c>
      <c r="E32" s="13" t="n">
        <v>209.066</v>
      </c>
      <c r="F32" s="13" t="n">
        <v>381.684</v>
      </c>
      <c r="G32" s="13" t="n">
        <v>752.749</v>
      </c>
      <c r="H32" s="14">
        <f>(H29*H13)</f>
        <v/>
      </c>
      <c r="I32" s="14">
        <f>(I29*I13)</f>
        <v/>
      </c>
      <c r="J32" s="14">
        <f>(J29*J13)</f>
        <v/>
      </c>
      <c r="K32" s="14">
        <f>(K29*K13)</f>
        <v/>
      </c>
      <c r="L32" s="14">
        <f>(L29*L13)</f>
        <v/>
      </c>
      <c r="M32" s="14">
        <f>(M29*M13)</f>
        <v/>
      </c>
      <c r="N32" s="14">
        <f>(N29*N13)</f>
        <v/>
      </c>
      <c r="O32" s="14">
        <f>(O29*O13)</f>
        <v/>
      </c>
      <c r="P32" s="14">
        <f>(P29*P13)</f>
        <v/>
      </c>
      <c r="Q32" s="14">
        <f>(Q29*Q13)</f>
        <v/>
      </c>
    </row>
    <row r="33">
      <c r="A33" t="inlineStr">
        <is>
          <t>EBIT</t>
        </is>
      </c>
      <c r="B33" t="inlineStr">
        <is>
          <t>ebit</t>
        </is>
      </c>
      <c r="D33" s="13" t="n">
        <v>267.814</v>
      </c>
      <c r="E33" s="13" t="n">
        <v>349.074</v>
      </c>
      <c r="F33" s="13" t="n">
        <v>338.475</v>
      </c>
      <c r="G33" s="13" t="n">
        <v>-204.845</v>
      </c>
      <c r="H33" s="14">
        <f>(H31-H32)</f>
        <v/>
      </c>
      <c r="I33" s="14">
        <f>(I31-I32)</f>
        <v/>
      </c>
      <c r="J33" s="14">
        <f>(J31-J32)</f>
        <v/>
      </c>
      <c r="K33" s="14">
        <f>(K31-K32)</f>
        <v/>
      </c>
      <c r="L33" s="14">
        <f>(L31-L32)</f>
        <v/>
      </c>
      <c r="M33" s="14">
        <f>(M31-M32)</f>
        <v/>
      </c>
      <c r="N33" s="14">
        <f>(N31-N32)</f>
        <v/>
      </c>
      <c r="O33" s="14">
        <f>(O31-O32)</f>
        <v/>
      </c>
      <c r="P33" s="14">
        <f>(P31-P32)</f>
        <v/>
      </c>
      <c r="Q33" s="14">
        <f>(Q31-Q32)</f>
        <v/>
      </c>
    </row>
    <row r="34">
      <c r="A34" t="inlineStr">
        <is>
          <t>Depreciation &amp; amortisation</t>
        </is>
      </c>
      <c r="B34" t="inlineStr">
        <is>
          <t>da</t>
        </is>
      </c>
      <c r="D34" s="13" t="n">
        <v>2.533</v>
      </c>
      <c r="E34" s="13" t="n">
        <v>4.041</v>
      </c>
      <c r="F34" s="13" t="n">
        <v>208.64</v>
      </c>
      <c r="G34" s="13" t="n">
        <v>308.865</v>
      </c>
      <c r="H34" s="14">
        <f>(H29*H14)</f>
        <v/>
      </c>
      <c r="I34" s="14">
        <f>(I29*I14)</f>
        <v/>
      </c>
      <c r="J34" s="14">
        <f>(J29*J14)</f>
        <v/>
      </c>
      <c r="K34" s="14">
        <f>(K29*K14)</f>
        <v/>
      </c>
      <c r="L34" s="14">
        <f>(L29*L14)</f>
        <v/>
      </c>
      <c r="M34" s="14">
        <f>(M29*M14)</f>
        <v/>
      </c>
      <c r="N34" s="14">
        <f>(N29*N14)</f>
        <v/>
      </c>
      <c r="O34" s="14">
        <f>(O29*O14)</f>
        <v/>
      </c>
      <c r="P34" s="14">
        <f>(P29*P14)</f>
        <v/>
      </c>
      <c r="Q34" s="14">
        <f>(Q29*Q14)</f>
        <v/>
      </c>
    </row>
    <row r="35">
      <c r="A35" t="inlineStr">
        <is>
          <t>EBITDA</t>
        </is>
      </c>
      <c r="B35" t="inlineStr">
        <is>
          <t>ebitda</t>
        </is>
      </c>
      <c r="D35" s="13" t="n">
        <v>270.347</v>
      </c>
      <c r="E35" s="13" t="n">
        <v>353.115</v>
      </c>
      <c r="F35" s="13" t="n">
        <v>547.115</v>
      </c>
      <c r="G35" s="13" t="n">
        <v>104.02</v>
      </c>
      <c r="H35" s="14">
        <f>(H33+H34)</f>
        <v/>
      </c>
      <c r="I35" s="14">
        <f>(I33+I34)</f>
        <v/>
      </c>
      <c r="J35" s="14">
        <f>(J33+J34)</f>
        <v/>
      </c>
      <c r="K35" s="14">
        <f>(K33+K34)</f>
        <v/>
      </c>
      <c r="L35" s="14">
        <f>(L33+L34)</f>
        <v/>
      </c>
      <c r="M35" s="14">
        <f>(M33+M34)</f>
        <v/>
      </c>
      <c r="N35" s="14">
        <f>(N33+N34)</f>
        <v/>
      </c>
      <c r="O35" s="14">
        <f>(O33+O34)</f>
        <v/>
      </c>
      <c r="P35" s="14">
        <f>(P33+P34)</f>
        <v/>
      </c>
      <c r="Q35" s="14">
        <f>(Q33+Q34)</f>
        <v/>
      </c>
    </row>
    <row r="36">
      <c r="A36" t="inlineStr">
        <is>
          <t>Interest expense</t>
        </is>
      </c>
      <c r="B36" t="inlineStr">
        <is>
          <t>interest_expense</t>
        </is>
      </c>
      <c r="D36" s="13" t="n">
        <v>191.858</v>
      </c>
      <c r="E36" s="13" t="n">
        <v>300.843</v>
      </c>
      <c r="F36" s="13" t="n">
        <v>320.228</v>
      </c>
      <c r="G36" s="13" t="n">
        <v>390.532</v>
      </c>
      <c r="H36" s="14">
        <f>(G56*$C$18)</f>
        <v/>
      </c>
      <c r="I36" s="14">
        <f>(H56*$C$18)</f>
        <v/>
      </c>
      <c r="J36" s="14">
        <f>(I56*$C$18)</f>
        <v/>
      </c>
      <c r="K36" s="14">
        <f>(J56*$C$18)</f>
        <v/>
      </c>
      <c r="L36" s="14">
        <f>(K56*$C$18)</f>
        <v/>
      </c>
      <c r="M36" s="14">
        <f>(L56*$C$18)</f>
        <v/>
      </c>
      <c r="N36" s="14">
        <f>(M56*$C$18)</f>
        <v/>
      </c>
      <c r="O36" s="14">
        <f>(N56*$C$18)</f>
        <v/>
      </c>
      <c r="P36" s="14">
        <f>(O56*$C$18)</f>
        <v/>
      </c>
      <c r="Q36" s="14">
        <f>(P56*$C$18)</f>
        <v/>
      </c>
    </row>
    <row r="37">
      <c r="A37" t="inlineStr">
        <is>
          <t>Interest income</t>
        </is>
      </c>
      <c r="B37" t="inlineStr">
        <is>
          <t>interest_income</t>
        </is>
      </c>
      <c r="D37" s="13" t="n">
        <v>30.265</v>
      </c>
      <c r="E37" s="13" t="n">
        <v>104.146</v>
      </c>
      <c r="F37" s="13" t="n">
        <v>128.811</v>
      </c>
      <c r="G37" s="13" t="n">
        <v>152.342</v>
      </c>
      <c r="H37" s="14">
        <f>(G55*$C$19)</f>
        <v/>
      </c>
      <c r="I37" s="14">
        <f>(H55*$C$19)</f>
        <v/>
      </c>
      <c r="J37" s="14">
        <f>(I55*$C$19)</f>
        <v/>
      </c>
      <c r="K37" s="14">
        <f>(J55*$C$19)</f>
        <v/>
      </c>
      <c r="L37" s="14">
        <f>(K55*$C$19)</f>
        <v/>
      </c>
      <c r="M37" s="14">
        <f>(L55*$C$19)</f>
        <v/>
      </c>
      <c r="N37" s="14">
        <f>(M55*$C$19)</f>
        <v/>
      </c>
      <c r="O37" s="14">
        <f>(N55*$C$19)</f>
        <v/>
      </c>
      <c r="P37" s="14">
        <f>(O55*$C$19)</f>
        <v/>
      </c>
      <c r="Q37" s="14">
        <f>(P55*$C$19)</f>
        <v/>
      </c>
    </row>
    <row r="38">
      <c r="A38" t="inlineStr">
        <is>
          <t>Other non-operating</t>
        </is>
      </c>
      <c r="B38" t="inlineStr">
        <is>
          <t>other_nonop</t>
        </is>
      </c>
      <c r="D38" s="13" t="n">
        <v>49.20199999999998</v>
      </c>
      <c r="E38" s="13" t="n">
        <v>70.84099999999999</v>
      </c>
      <c r="F38" s="13" t="n">
        <v>85.63799999999998</v>
      </c>
      <c r="G38" s="13" t="n">
        <v>2046.023</v>
      </c>
      <c r="H38" s="14">
        <f>H21</f>
        <v/>
      </c>
      <c r="I38" s="14">
        <f>I21</f>
        <v/>
      </c>
      <c r="J38" s="14">
        <f>J21</f>
        <v/>
      </c>
      <c r="K38" s="14">
        <f>K21</f>
        <v/>
      </c>
      <c r="L38" s="14">
        <f>L21</f>
        <v/>
      </c>
      <c r="M38" s="14">
        <f>M21</f>
        <v/>
      </c>
      <c r="N38" s="14">
        <f>N21</f>
        <v/>
      </c>
      <c r="O38" s="14">
        <f>O21</f>
        <v/>
      </c>
      <c r="P38" s="14">
        <f>P21</f>
        <v/>
      </c>
      <c r="Q38" s="14">
        <f>Q21</f>
        <v/>
      </c>
    </row>
    <row r="39">
      <c r="A39" t="inlineStr">
        <is>
          <t>Profit before tax</t>
        </is>
      </c>
      <c r="B39" t="inlineStr">
        <is>
          <t>pbt</t>
        </is>
      </c>
      <c r="D39" s="13" t="n">
        <v>155.423</v>
      </c>
      <c r="E39" s="13" t="n">
        <v>223.218</v>
      </c>
      <c r="F39" s="13" t="n">
        <v>232.696</v>
      </c>
      <c r="G39" s="13" t="n">
        <v>1602.988</v>
      </c>
      <c r="H39" s="14">
        <f>(((H33-H36)+H37)+H38)</f>
        <v/>
      </c>
      <c r="I39" s="14">
        <f>(((I33-I36)+I37)+I38)</f>
        <v/>
      </c>
      <c r="J39" s="14">
        <f>(((J33-J36)+J37)+J38)</f>
        <v/>
      </c>
      <c r="K39" s="14">
        <f>(((K33-K36)+K37)+K38)</f>
        <v/>
      </c>
      <c r="L39" s="14">
        <f>(((L33-L36)+L37)+L38)</f>
        <v/>
      </c>
      <c r="M39" s="14">
        <f>(((M33-M36)+M37)+M38)</f>
        <v/>
      </c>
      <c r="N39" s="14">
        <f>(((N33-N36)+N37)+N38)</f>
        <v/>
      </c>
      <c r="O39" s="14">
        <f>(((O33-O36)+O37)+O38)</f>
        <v/>
      </c>
      <c r="P39" s="14">
        <f>(((P33-P36)+P37)+P38)</f>
        <v/>
      </c>
      <c r="Q39" s="14">
        <f>(((Q33-Q36)+Q37)+Q38)</f>
        <v/>
      </c>
    </row>
    <row r="40">
      <c r="A40" t="inlineStr">
        <is>
          <t>Tax</t>
        </is>
      </c>
      <c r="B40" t="inlineStr">
        <is>
          <t>tax</t>
        </is>
      </c>
      <c r="D40" s="13" t="n">
        <v>123.213</v>
      </c>
      <c r="E40" s="13" t="n">
        <v>123.442</v>
      </c>
      <c r="F40" s="13" t="n">
        <v>109.8</v>
      </c>
      <c r="G40" s="13" t="n">
        <v>-12.646</v>
      </c>
      <c r="H40" s="14">
        <f>(MAX(H39,0)*H17)</f>
        <v/>
      </c>
      <c r="I40" s="14">
        <f>(MAX(I39,0)*I17)</f>
        <v/>
      </c>
      <c r="J40" s="14">
        <f>(MAX(J39,0)*J17)</f>
        <v/>
      </c>
      <c r="K40" s="14">
        <f>(MAX(K39,0)*K17)</f>
        <v/>
      </c>
      <c r="L40" s="14">
        <f>(MAX(L39,0)*L17)</f>
        <v/>
      </c>
      <c r="M40" s="14">
        <f>(MAX(M39,0)*M17)</f>
        <v/>
      </c>
      <c r="N40" s="14">
        <f>(MAX(N39,0)*N17)</f>
        <v/>
      </c>
      <c r="O40" s="14">
        <f>(MAX(O39,0)*O17)</f>
        <v/>
      </c>
      <c r="P40" s="14">
        <f>(MAX(P39,0)*P17)</f>
        <v/>
      </c>
      <c r="Q40" s="14">
        <f>(MAX(Q39,0)*Q17)</f>
        <v/>
      </c>
    </row>
    <row r="41">
      <c r="A41" t="inlineStr">
        <is>
          <t>Net profit (incl. minorities)</t>
        </is>
      </c>
      <c r="B41" t="inlineStr">
        <is>
          <t>np</t>
        </is>
      </c>
      <c r="D41" s="13" t="n">
        <v>32.21</v>
      </c>
      <c r="E41" s="13" t="n">
        <v>99.776</v>
      </c>
      <c r="F41" s="13" t="n">
        <v>122.896</v>
      </c>
      <c r="G41" s="13" t="n">
        <v>1615.634</v>
      </c>
      <c r="H41" s="14">
        <f>(H39-H40)</f>
        <v/>
      </c>
      <c r="I41" s="14">
        <f>(I39-I40)</f>
        <v/>
      </c>
      <c r="J41" s="14">
        <f>(J39-J40)</f>
        <v/>
      </c>
      <c r="K41" s="14">
        <f>(K39-K40)</f>
        <v/>
      </c>
      <c r="L41" s="14">
        <f>(L39-L40)</f>
        <v/>
      </c>
      <c r="M41" s="14">
        <f>(M39-M40)</f>
        <v/>
      </c>
      <c r="N41" s="14">
        <f>(N39-N40)</f>
        <v/>
      </c>
      <c r="O41" s="14">
        <f>(O39-O40)</f>
        <v/>
      </c>
      <c r="P41" s="14">
        <f>(P39-P40)</f>
        <v/>
      </c>
      <c r="Q41" s="14">
        <f>(Q39-Q40)</f>
        <v/>
      </c>
    </row>
    <row r="42">
      <c r="A42" t="inlineStr">
        <is>
          <t>Minority interests</t>
        </is>
      </c>
      <c r="B42" t="inlineStr">
        <is>
          <t>minority</t>
        </is>
      </c>
      <c r="D42" s="13" t="n">
        <v>30.451</v>
      </c>
      <c r="E42" s="13" t="n">
        <v>73.66</v>
      </c>
      <c r="F42" s="13" t="n">
        <v>66.41200000000001</v>
      </c>
      <c r="G42" s="13" t="n">
        <v>1125.827</v>
      </c>
      <c r="H42" s="14">
        <f>(H41*H22)</f>
        <v/>
      </c>
      <c r="I42" s="14">
        <f>(I41*I22)</f>
        <v/>
      </c>
      <c r="J42" s="14">
        <f>(J41*J22)</f>
        <v/>
      </c>
      <c r="K42" s="14">
        <f>(K41*K22)</f>
        <v/>
      </c>
      <c r="L42" s="14">
        <f>(L41*L22)</f>
        <v/>
      </c>
      <c r="M42" s="14">
        <f>(M41*M22)</f>
        <v/>
      </c>
      <c r="N42" s="14">
        <f>(N41*N22)</f>
        <v/>
      </c>
      <c r="O42" s="14">
        <f>(O41*O22)</f>
        <v/>
      </c>
      <c r="P42" s="14">
        <f>(P41*P22)</f>
        <v/>
      </c>
      <c r="Q42" s="14">
        <f>(Q41*Q22)</f>
        <v/>
      </c>
    </row>
    <row r="43">
      <c r="A43" t="inlineStr">
        <is>
          <t>Net profit to parent</t>
        </is>
      </c>
      <c r="B43" t="inlineStr">
        <is>
          <t>np_parent</t>
        </is>
      </c>
      <c r="D43" s="13" t="n">
        <v>1.759</v>
      </c>
      <c r="E43" s="13" t="n">
        <v>26.116</v>
      </c>
      <c r="F43" s="13" t="n">
        <v>56.484</v>
      </c>
      <c r="G43" s="13" t="n">
        <v>489.807</v>
      </c>
      <c r="H43" s="14">
        <f>(H41-H42)</f>
        <v/>
      </c>
      <c r="I43" s="14">
        <f>(I41-I42)</f>
        <v/>
      </c>
      <c r="J43" s="14">
        <f>(J41-J42)</f>
        <v/>
      </c>
      <c r="K43" s="14">
        <f>(K41-K42)</f>
        <v/>
      </c>
      <c r="L43" s="14">
        <f>(L41-L42)</f>
        <v/>
      </c>
      <c r="M43" s="14">
        <f>(M41-M42)</f>
        <v/>
      </c>
      <c r="N43" s="14">
        <f>(N41-N42)</f>
        <v/>
      </c>
      <c r="O43" s="14">
        <f>(O41-O42)</f>
        <v/>
      </c>
      <c r="P43" s="14">
        <f>(P41-P42)</f>
        <v/>
      </c>
      <c r="Q43" s="14">
        <f>(Q41-Q42)</f>
        <v/>
      </c>
    </row>
    <row r="44">
      <c r="A44" t="inlineStr">
        <is>
          <t>Shares outstanding (m)</t>
        </is>
      </c>
      <c r="B44" t="inlineStr">
        <is>
          <t>shares</t>
        </is>
      </c>
      <c r="D44" s="13" t="n">
        <v>93711.466142</v>
      </c>
      <c r="E44" s="13" t="n">
        <v>93711.466142</v>
      </c>
      <c r="F44" s="13" t="n">
        <v>93708.44622899999</v>
      </c>
      <c r="G44" s="13" t="n">
        <v>93711.74092900001</v>
      </c>
      <c r="H44" s="14">
        <f>(G44*(1+H24))</f>
        <v/>
      </c>
      <c r="I44" s="14">
        <f>(H44*(1+I24))</f>
        <v/>
      </c>
      <c r="J44" s="14">
        <f>(I44*(1+J24))</f>
        <v/>
      </c>
      <c r="K44" s="14">
        <f>(J44*(1+K24))</f>
        <v/>
      </c>
      <c r="L44" s="14">
        <f>(K44*(1+L24))</f>
        <v/>
      </c>
      <c r="M44" s="14">
        <f>(L44*(1+M24))</f>
        <v/>
      </c>
      <c r="N44" s="14">
        <f>(M44*(1+N24))</f>
        <v/>
      </c>
      <c r="O44" s="14">
        <f>(N44*(1+O24))</f>
        <v/>
      </c>
      <c r="P44" s="14">
        <f>(O44*(1+P24))</f>
        <v/>
      </c>
      <c r="Q44" s="14">
        <f>(P44*(1+Q24))</f>
        <v/>
      </c>
    </row>
    <row r="45">
      <c r="A45" t="inlineStr">
        <is>
          <t>EPS</t>
        </is>
      </c>
      <c r="B45" t="inlineStr">
        <is>
          <t>eps</t>
        </is>
      </c>
      <c r="D45" s="15" t="n">
        <v>1.877038181575994e-05</v>
      </c>
      <c r="E45" s="15" t="n">
        <v>0.0002786852140422891</v>
      </c>
      <c r="F45" s="15" t="n">
        <v>0.0006027631688819943</v>
      </c>
      <c r="G45" s="15" t="n">
        <v>0.005226741016060075</v>
      </c>
      <c r="H45" s="16">
        <f>(IF(H44=0,0,H43/H44)*$C$7)</f>
        <v/>
      </c>
      <c r="I45" s="16">
        <f>(IF(I44=0,0,I43/I44)*$C$7)</f>
        <v/>
      </c>
      <c r="J45" s="16">
        <f>(IF(J44=0,0,J43/J44)*$C$7)</f>
        <v/>
      </c>
      <c r="K45" s="16">
        <f>(IF(K44=0,0,K43/K44)*$C$7)</f>
        <v/>
      </c>
      <c r="L45" s="16">
        <f>(IF(L44=0,0,L43/L44)*$C$7)</f>
        <v/>
      </c>
      <c r="M45" s="16">
        <f>(IF(M44=0,0,M43/M44)*$C$7)</f>
        <v/>
      </c>
      <c r="N45" s="16">
        <f>(IF(N44=0,0,N43/N44)*$C$7)</f>
        <v/>
      </c>
      <c r="O45" s="16">
        <f>(IF(O44=0,0,O43/O44)*$C$7)</f>
        <v/>
      </c>
      <c r="P45" s="16">
        <f>(IF(P44=0,0,P43/P44)*$C$7)</f>
        <v/>
      </c>
      <c r="Q45" s="16">
        <f>(IF(Q44=0,0,Q43/Q44)*$C$7)</f>
        <v/>
      </c>
    </row>
    <row r="46">
      <c r="A46" t="inlineStr">
        <is>
          <t>DPS (declared on the year)</t>
        </is>
      </c>
      <c r="B46" t="inlineStr">
        <is>
          <t>dps</t>
        </is>
      </c>
      <c r="D46" s="15" t="n">
        <v>0.0001053810408921933</v>
      </c>
      <c r="E46" s="15" t="n">
        <v>5.341801958251994e-05</v>
      </c>
      <c r="F46" s="15" t="n">
        <v>0</v>
      </c>
      <c r="G46" s="15" t="n">
        <v>9.035426828535518e-05</v>
      </c>
      <c r="H46" s="16">
        <f>(MAX(H45,0)*H23)</f>
        <v/>
      </c>
      <c r="I46" s="16">
        <f>(MAX(I45,0)*I23)</f>
        <v/>
      </c>
      <c r="J46" s="16">
        <f>(MAX(J45,0)*J23)</f>
        <v/>
      </c>
      <c r="K46" s="16">
        <f>(MAX(K45,0)*K23)</f>
        <v/>
      </c>
      <c r="L46" s="16">
        <f>(MAX(L45,0)*L23)</f>
        <v/>
      </c>
      <c r="M46" s="16">
        <f>(MAX(M45,0)*M23)</f>
        <v/>
      </c>
      <c r="N46" s="16">
        <f>(MAX(N45,0)*N23)</f>
        <v/>
      </c>
      <c r="O46" s="16">
        <f>(MAX(O45,0)*O23)</f>
        <v/>
      </c>
      <c r="P46" s="16">
        <f>(MAX(P45,0)*P23)</f>
        <v/>
      </c>
      <c r="Q46" s="16">
        <f>(MAX(Q45,0)*Q23)</f>
        <v/>
      </c>
    </row>
    <row r="47">
      <c r="A47" t="inlineStr">
        <is>
          <t>Dividends paid</t>
        </is>
      </c>
      <c r="B47" t="inlineStr">
        <is>
          <t>dividends_paid</t>
        </is>
      </c>
      <c r="D47" s="13" t="n">
        <v>78.771</v>
      </c>
      <c r="E47" s="13" t="n">
        <v>67.697</v>
      </c>
      <c r="F47" s="13" t="n">
        <v>73.367</v>
      </c>
      <c r="G47" s="13" t="n">
        <v>60.121</v>
      </c>
      <c r="H47" s="14">
        <f>IF($C$7=0,0,(G46*G44)/$C$7)</f>
        <v/>
      </c>
      <c r="I47" s="14">
        <f>IF($C$7=0,0,(H46*H44)/$C$7)</f>
        <v/>
      </c>
      <c r="J47" s="14">
        <f>IF($C$7=0,0,(I46*I44)/$C$7)</f>
        <v/>
      </c>
      <c r="K47" s="14">
        <f>IF($C$7=0,0,(J46*J44)/$C$7)</f>
        <v/>
      </c>
      <c r="L47" s="14">
        <f>IF($C$7=0,0,(K46*K44)/$C$7)</f>
        <v/>
      </c>
      <c r="M47" s="14">
        <f>IF($C$7=0,0,(L46*L44)/$C$7)</f>
        <v/>
      </c>
      <c r="N47" s="14">
        <f>IF($C$7=0,0,(M46*M44)/$C$7)</f>
        <v/>
      </c>
      <c r="O47" s="14">
        <f>IF($C$7=0,0,(N46*N44)/$C$7)</f>
        <v/>
      </c>
      <c r="P47" s="14">
        <f>IF($C$7=0,0,(O46*O44)/$C$7)</f>
        <v/>
      </c>
      <c r="Q47" s="14">
        <f>IF($C$7=0,0,(P46*P44)/$C$7)</f>
        <v/>
      </c>
    </row>
    <row r="48">
      <c r="A48" t="inlineStr">
        <is>
          <t>Capital expenditure</t>
        </is>
      </c>
      <c r="B48" t="inlineStr">
        <is>
          <t>capex</t>
        </is>
      </c>
      <c r="D48" s="13" t="n">
        <v>179.543</v>
      </c>
      <c r="E48" s="13" t="n">
        <v>123.988</v>
      </c>
      <c r="F48" s="13" t="n">
        <v>521.285</v>
      </c>
      <c r="G48" s="13" t="n">
        <v>913.247</v>
      </c>
      <c r="H48" s="14">
        <f>(H29*H15)</f>
        <v/>
      </c>
      <c r="I48" s="14">
        <f>(I29*I15)</f>
        <v/>
      </c>
      <c r="J48" s="14">
        <f>(J29*J15)</f>
        <v/>
      </c>
      <c r="K48" s="14">
        <f>(K29*K15)</f>
        <v/>
      </c>
      <c r="L48" s="14">
        <f>(L29*L15)</f>
        <v/>
      </c>
      <c r="M48" s="14">
        <f>(M29*M15)</f>
        <v/>
      </c>
      <c r="N48" s="14">
        <f>(N29*N15)</f>
        <v/>
      </c>
      <c r="O48" s="14">
        <f>(O29*O15)</f>
        <v/>
      </c>
      <c r="P48" s="14">
        <f>(P29*P15)</f>
        <v/>
      </c>
      <c r="Q48" s="14">
        <f>(Q29*Q15)</f>
        <v/>
      </c>
    </row>
    <row r="49">
      <c r="A49" t="inlineStr">
        <is>
          <t>Change in working capital</t>
        </is>
      </c>
      <c r="B49" t="inlineStr">
        <is>
          <t>delta_nwc</t>
        </is>
      </c>
      <c r="D49" s="13" t="n"/>
      <c r="E49" s="13" t="n">
        <v>8.441000000000486</v>
      </c>
      <c r="F49" s="13" t="n">
        <v>412.7979999999995</v>
      </c>
      <c r="G49" s="13" t="n">
        <v>192.2450000000003</v>
      </c>
      <c r="H49" s="14">
        <f>(H54-G54)</f>
        <v/>
      </c>
      <c r="I49" s="14">
        <f>(I54-H54)</f>
        <v/>
      </c>
      <c r="J49" s="14">
        <f>(J54-I54)</f>
        <v/>
      </c>
      <c r="K49" s="14">
        <f>(K54-J54)</f>
        <v/>
      </c>
      <c r="L49" s="14">
        <f>(L54-K54)</f>
        <v/>
      </c>
      <c r="M49" s="14">
        <f>(M54-L54)</f>
        <v/>
      </c>
      <c r="N49" s="14">
        <f>(N54-M54)</f>
        <v/>
      </c>
      <c r="O49" s="14">
        <f>(O54-N54)</f>
        <v/>
      </c>
      <c r="P49" s="14">
        <f>(P54-O54)</f>
        <v/>
      </c>
      <c r="Q49" s="14">
        <f>(Q54-P54)</f>
        <v/>
      </c>
    </row>
    <row r="50">
      <c r="A50" t="inlineStr">
        <is>
          <t>Free cash flow to firm</t>
        </is>
      </c>
      <c r="B50" t="inlineStr">
        <is>
          <t>fcff</t>
        </is>
      </c>
      <c r="D50" s="13" t="n"/>
      <c r="E50" s="13" t="n">
        <v>27.64425288283158</v>
      </c>
      <c r="F50" s="13" t="n">
        <v>-546.6809086877295</v>
      </c>
      <c r="G50" s="13" t="n">
        <v>-1003.08802574068</v>
      </c>
      <c r="H50" s="14">
        <f>((((H33*(1-H17))+H34)-H48)-H49)</f>
        <v/>
      </c>
      <c r="I50" s="14">
        <f>((((I33*(1-I17))+I34)-I48)-I49)</f>
        <v/>
      </c>
      <c r="J50" s="14">
        <f>((((J33*(1-J17))+J34)-J48)-J49)</f>
        <v/>
      </c>
      <c r="K50" s="14">
        <f>((((K33*(1-K17))+K34)-K48)-K49)</f>
        <v/>
      </c>
      <c r="L50" s="14">
        <f>((((L33*(1-L17))+L34)-L48)-L49)</f>
        <v/>
      </c>
      <c r="M50" s="14">
        <f>((((M33*(1-M17))+M34)-M48)-M49)</f>
        <v/>
      </c>
      <c r="N50" s="14">
        <f>((((N33*(1-N17))+N34)-N48)-N49)</f>
        <v/>
      </c>
      <c r="O50" s="14">
        <f>((((O33*(1-O17))+O34)-O48)-O49)</f>
        <v/>
      </c>
      <c r="P50" s="14">
        <f>((((P33*(1-P17))+P34)-P48)-P49)</f>
        <v/>
      </c>
      <c r="Q50" s="14">
        <f>((((Q33*(1-Q17))+Q34)-Q48)-Q49)</f>
        <v/>
      </c>
    </row>
    <row r="51">
      <c r="A51" t="inlineStr">
        <is>
          <t>Net borrowing</t>
        </is>
      </c>
      <c r="B51" t="inlineStr">
        <is>
          <t>net_borrowing</t>
        </is>
      </c>
      <c r="D51" s="13" t="n"/>
      <c r="E51" s="13" t="n">
        <v>301.7900000000004</v>
      </c>
      <c r="F51" s="13" t="n">
        <v>370.665</v>
      </c>
      <c r="G51" s="13" t="n">
        <v>3465.454</v>
      </c>
      <c r="H51" s="14">
        <f>H20</f>
        <v/>
      </c>
      <c r="I51" s="14">
        <f>I20</f>
        <v/>
      </c>
      <c r="J51" s="14">
        <f>J20</f>
        <v/>
      </c>
      <c r="K51" s="14">
        <f>K20</f>
        <v/>
      </c>
      <c r="L51" s="14">
        <f>L20</f>
        <v/>
      </c>
      <c r="M51" s="14">
        <f>M20</f>
        <v/>
      </c>
      <c r="N51" s="14">
        <f>N20</f>
        <v/>
      </c>
      <c r="O51" s="14">
        <f>O20</f>
        <v/>
      </c>
      <c r="P51" s="14">
        <f>P20</f>
        <v/>
      </c>
      <c r="Q51" s="14">
        <f>Q20</f>
        <v/>
      </c>
    </row>
    <row r="52">
      <c r="A52" t="inlineStr">
        <is>
          <t>Dividends to minorities</t>
        </is>
      </c>
      <c r="B52" t="inlineStr">
        <is>
          <t>minority_div</t>
        </is>
      </c>
      <c r="D52" s="13" t="n"/>
      <c r="E52" s="13" t="n"/>
      <c r="F52" s="13" t="n"/>
      <c r="G52" s="13" t="n"/>
      <c r="H52" s="14">
        <f>(MAX(G42,0)*H23)</f>
        <v/>
      </c>
      <c r="I52" s="14">
        <f>(MAX(H42,0)*I23)</f>
        <v/>
      </c>
      <c r="J52" s="14">
        <f>(MAX(I42,0)*J23)</f>
        <v/>
      </c>
      <c r="K52" s="14">
        <f>(MAX(J42,0)*K23)</f>
        <v/>
      </c>
      <c r="L52" s="14">
        <f>(MAX(K42,0)*L23)</f>
        <v/>
      </c>
      <c r="M52" s="14">
        <f>(MAX(L42,0)*M23)</f>
        <v/>
      </c>
      <c r="N52" s="14">
        <f>(MAX(M42,0)*N23)</f>
        <v/>
      </c>
      <c r="O52" s="14">
        <f>(MAX(N42,0)*O23)</f>
        <v/>
      </c>
      <c r="P52" s="14">
        <f>(MAX(O42,0)*P23)</f>
        <v/>
      </c>
      <c r="Q52" s="14">
        <f>(MAX(P42,0)*Q23)</f>
        <v/>
      </c>
    </row>
    <row r="53">
      <c r="A53" t="inlineStr">
        <is>
          <t>Free cash flow to equity</t>
        </is>
      </c>
      <c r="B53" t="inlineStr">
        <is>
          <t>fcfe</t>
        </is>
      </c>
      <c r="D53" s="13" t="n"/>
      <c r="E53" s="13" t="n"/>
      <c r="F53" s="13" t="n"/>
      <c r="G53" s="13" t="n"/>
      <c r="H53" s="14">
        <f>(((((H41+H34)-H48)-H49)+H51)-H52)</f>
        <v/>
      </c>
      <c r="I53" s="14">
        <f>(((((I41+I34)-I48)-I49)+I51)-I52)</f>
        <v/>
      </c>
      <c r="J53" s="14">
        <f>(((((J41+J34)-J48)-J49)+J51)-J52)</f>
        <v/>
      </c>
      <c r="K53" s="14">
        <f>(((((K41+K34)-K48)-K49)+K51)-K52)</f>
        <v/>
      </c>
      <c r="L53" s="14">
        <f>(((((L41+L34)-L48)-L49)+L51)-L52)</f>
        <v/>
      </c>
      <c r="M53" s="14">
        <f>(((((M41+M34)-M48)-M49)+M51)-M52)</f>
        <v/>
      </c>
      <c r="N53" s="14">
        <f>(((((N41+N34)-N48)-N49)+N51)-N52)</f>
        <v/>
      </c>
      <c r="O53" s="14">
        <f>(((((O41+O34)-O48)-O49)+O51)-O52)</f>
        <v/>
      </c>
      <c r="P53" s="14">
        <f>(((((P41+P34)-P48)-P49)+P51)-P52)</f>
        <v/>
      </c>
      <c r="Q53" s="14">
        <f>(((((Q41+Q34)-Q48)-Q49)+Q51)-Q52)</f>
        <v/>
      </c>
    </row>
    <row r="54">
      <c r="A54" t="inlineStr">
        <is>
          <t>Operating working capital</t>
        </is>
      </c>
      <c r="B54" t="inlineStr">
        <is>
          <t>nwc</t>
        </is>
      </c>
      <c r="D54" s="13" t="n">
        <v>318.8119999999999</v>
      </c>
      <c r="E54" s="13" t="n">
        <v>327.2530000000004</v>
      </c>
      <c r="F54" s="13" t="n">
        <v>740.0509999999999</v>
      </c>
      <c r="G54" s="13" t="n">
        <v>932.2960000000003</v>
      </c>
      <c r="H54" s="14">
        <f>(H29*H16)</f>
        <v/>
      </c>
      <c r="I54" s="14">
        <f>(I29*I16)</f>
        <v/>
      </c>
      <c r="J54" s="14">
        <f>(J29*J16)</f>
        <v/>
      </c>
      <c r="K54" s="14">
        <f>(K29*K16)</f>
        <v/>
      </c>
      <c r="L54" s="14">
        <f>(L29*L16)</f>
        <v/>
      </c>
      <c r="M54" s="14">
        <f>(M29*M16)</f>
        <v/>
      </c>
      <c r="N54" s="14">
        <f>(N29*N16)</f>
        <v/>
      </c>
      <c r="O54" s="14">
        <f>(O29*O16)</f>
        <v/>
      </c>
      <c r="P54" s="14">
        <f>(P29*P16)</f>
        <v/>
      </c>
      <c r="Q54" s="14">
        <f>(Q29*Q16)</f>
        <v/>
      </c>
    </row>
    <row r="55">
      <c r="A55" t="inlineStr">
        <is>
          <t>Cash &amp; equivalents</t>
        </is>
      </c>
      <c r="B55" t="inlineStr">
        <is>
          <t>cash</t>
        </is>
      </c>
      <c r="D55" s="13" t="n">
        <v>1980.83</v>
      </c>
      <c r="E55" s="13" t="n">
        <v>2453.115</v>
      </c>
      <c r="F55" s="13" t="n">
        <v>1970.032</v>
      </c>
      <c r="G55" s="13" t="n">
        <v>3565.203</v>
      </c>
      <c r="H55" s="14">
        <f>(((((((G55+H41)+H34)-H48)-H49)+H51)-H47)-H52)</f>
        <v/>
      </c>
      <c r="I55" s="14">
        <f>(((((((H55+I41)+I34)-I48)-I49)+I51)-I47)-I52)</f>
        <v/>
      </c>
      <c r="J55" s="14">
        <f>(((((((I55+J41)+J34)-J48)-J49)+J51)-J47)-J52)</f>
        <v/>
      </c>
      <c r="K55" s="14">
        <f>(((((((J55+K41)+K34)-K48)-K49)+K51)-K47)-K52)</f>
        <v/>
      </c>
      <c r="L55" s="14">
        <f>(((((((K55+L41)+L34)-L48)-L49)+L51)-L47)-L52)</f>
        <v/>
      </c>
      <c r="M55" s="14">
        <f>(((((((L55+M41)+M34)-M48)-M49)+M51)-M47)-M52)</f>
        <v/>
      </c>
      <c r="N55" s="14">
        <f>(((((((M55+N41)+N34)-N48)-N49)+N51)-N47)-N52)</f>
        <v/>
      </c>
      <c r="O55" s="14">
        <f>(((((((N55+O41)+O34)-O48)-O49)+O51)-O47)-O52)</f>
        <v/>
      </c>
      <c r="P55" s="14">
        <f>(((((((O55+P41)+P34)-P48)-P49)+P51)-P47)-P52)</f>
        <v/>
      </c>
      <c r="Q55" s="14">
        <f>(((((((P55+Q41)+Q34)-Q48)-Q49)+Q51)-Q47)-Q52)</f>
        <v/>
      </c>
    </row>
    <row r="56">
      <c r="A56" t="inlineStr">
        <is>
          <t>Total debt</t>
        </is>
      </c>
      <c r="B56" t="inlineStr">
        <is>
          <t>debt</t>
        </is>
      </c>
      <c r="D56" s="13" t="n">
        <v>3970.48</v>
      </c>
      <c r="E56" s="13" t="n">
        <v>4272.27</v>
      </c>
      <c r="F56" s="13" t="n">
        <v>4642.935</v>
      </c>
      <c r="G56" s="13" t="n">
        <v>8108.389</v>
      </c>
      <c r="H56" s="14">
        <f>(G56+H51)</f>
        <v/>
      </c>
      <c r="I56" s="14">
        <f>(H56+I51)</f>
        <v/>
      </c>
      <c r="J56" s="14">
        <f>(I56+J51)</f>
        <v/>
      </c>
      <c r="K56" s="14">
        <f>(J56+K51)</f>
        <v/>
      </c>
      <c r="L56" s="14">
        <f>(K56+L51)</f>
        <v/>
      </c>
      <c r="M56" s="14">
        <f>(L56+M51)</f>
        <v/>
      </c>
      <c r="N56" s="14">
        <f>(M56+N51)</f>
        <v/>
      </c>
      <c r="O56" s="14">
        <f>(N56+O51)</f>
        <v/>
      </c>
      <c r="P56" s="14">
        <f>(O56+P51)</f>
        <v/>
      </c>
      <c r="Q56" s="14">
        <f>(P56+Q51)</f>
        <v/>
      </c>
    </row>
    <row r="57">
      <c r="A57" t="inlineStr">
        <is>
          <t>Fixed assets (net)</t>
        </is>
      </c>
      <c r="B57" t="inlineStr">
        <is>
          <t>ppe</t>
        </is>
      </c>
      <c r="D57" s="13" t="n">
        <v>3227.142</v>
      </c>
      <c r="E57" s="13" t="n">
        <v>3334.918</v>
      </c>
      <c r="F57" s="13" t="n">
        <v>3833.281</v>
      </c>
      <c r="G57" s="13" t="n">
        <v>6361.397</v>
      </c>
      <c r="H57" s="14">
        <f>((G57+H48)-H34)</f>
        <v/>
      </c>
      <c r="I57" s="14">
        <f>((H57+I48)-I34)</f>
        <v/>
      </c>
      <c r="J57" s="14">
        <f>((I57+J48)-J34)</f>
        <v/>
      </c>
      <c r="K57" s="14">
        <f>((J57+K48)-K34)</f>
        <v/>
      </c>
      <c r="L57" s="14">
        <f>((K57+L48)-L34)</f>
        <v/>
      </c>
      <c r="M57" s="14">
        <f>((L57+M48)-M34)</f>
        <v/>
      </c>
      <c r="N57" s="14">
        <f>((M57+N48)-N34)</f>
        <v/>
      </c>
      <c r="O57" s="14">
        <f>((N57+O48)-O34)</f>
        <v/>
      </c>
      <c r="P57" s="14">
        <f>((O57+P48)-P34)</f>
        <v/>
      </c>
      <c r="Q57" s="14">
        <f>((P57+Q48)-Q34)</f>
        <v/>
      </c>
    </row>
    <row r="58">
      <c r="A58" t="inlineStr">
        <is>
          <t>Parent shareholders' equity</t>
        </is>
      </c>
      <c r="B58" t="inlineStr">
        <is>
          <t>equity</t>
        </is>
      </c>
      <c r="D58" s="13" t="n">
        <v>1579.95</v>
      </c>
      <c r="E58" s="13" t="n">
        <v>1688.393</v>
      </c>
      <c r="F58" s="13" t="n">
        <v>1727.829</v>
      </c>
      <c r="G58" s="13" t="n">
        <v>2243.416</v>
      </c>
      <c r="H58" s="14">
        <f>((G58+H43)-H47)</f>
        <v/>
      </c>
      <c r="I58" s="14">
        <f>((H58+I43)-I47)</f>
        <v/>
      </c>
      <c r="J58" s="14">
        <f>((I58+J43)-J47)</f>
        <v/>
      </c>
      <c r="K58" s="14">
        <f>((J58+K43)-K47)</f>
        <v/>
      </c>
      <c r="L58" s="14">
        <f>((K58+L43)-L47)</f>
        <v/>
      </c>
      <c r="M58" s="14">
        <f>((L58+M43)-M47)</f>
        <v/>
      </c>
      <c r="N58" s="14">
        <f>((M58+N43)-N47)</f>
        <v/>
      </c>
      <c r="O58" s="14">
        <f>((N58+O43)-O47)</f>
        <v/>
      </c>
      <c r="P58" s="14">
        <f>((O58+P43)-P47)</f>
        <v/>
      </c>
      <c r="Q58" s="14">
        <f>((P58+Q43)-Q47)</f>
        <v/>
      </c>
    </row>
    <row r="59">
      <c r="A59" t="inlineStr">
        <is>
          <t>Minority interest (balance sheet)</t>
        </is>
      </c>
      <c r="B59" t="inlineStr">
        <is>
          <t>minority_bs</t>
        </is>
      </c>
      <c r="D59" s="13" t="n">
        <v>2141.947</v>
      </c>
      <c r="E59" s="13" t="n">
        <v>2423.536</v>
      </c>
      <c r="F59" s="13" t="n">
        <v>2460.156</v>
      </c>
      <c r="G59" s="13" t="n">
        <v>3802.216</v>
      </c>
      <c r="H59" s="14">
        <f>((G59+H42)-H52)</f>
        <v/>
      </c>
      <c r="I59" s="14">
        <f>((H59+I42)-I52)</f>
        <v/>
      </c>
      <c r="J59" s="14">
        <f>((I59+J42)-J52)</f>
        <v/>
      </c>
      <c r="K59" s="14">
        <f>((J59+K42)-K52)</f>
        <v/>
      </c>
      <c r="L59" s="14">
        <f>((K59+L42)-L52)</f>
        <v/>
      </c>
      <c r="M59" s="14">
        <f>((L59+M42)-M52)</f>
        <v/>
      </c>
      <c r="N59" s="14">
        <f>((M59+N42)-N52)</f>
        <v/>
      </c>
      <c r="O59" s="14">
        <f>((N59+O42)-O52)</f>
        <v/>
      </c>
      <c r="P59" s="14">
        <f>((O59+P42)-P52)</f>
        <v/>
      </c>
      <c r="Q59" s="14">
        <f>((P59+Q42)-Q52)</f>
        <v/>
      </c>
    </row>
    <row r="60">
      <c r="A60" t="inlineStr">
        <is>
          <t>Other assets less other liabilities</t>
        </is>
      </c>
      <c r="B60" t="inlineStr">
        <is>
          <t>other_net</t>
        </is>
      </c>
      <c r="D60" s="13" t="n">
        <v>2165.593000000001</v>
      </c>
      <c r="E60" s="13" t="n">
        <v>2268.913</v>
      </c>
      <c r="F60" s="13" t="n">
        <v>2287.556</v>
      </c>
      <c r="G60" s="13" t="n">
        <v>3295.125000000001</v>
      </c>
      <c r="H60" s="14">
        <f>G60</f>
        <v/>
      </c>
      <c r="I60" s="14">
        <f>H60</f>
        <v/>
      </c>
      <c r="J60" s="14">
        <f>I60</f>
        <v/>
      </c>
      <c r="K60" s="14">
        <f>J60</f>
        <v/>
      </c>
      <c r="L60" s="14">
        <f>K60</f>
        <v/>
      </c>
      <c r="M60" s="14">
        <f>L60</f>
        <v/>
      </c>
      <c r="N60" s="14">
        <f>M60</f>
        <v/>
      </c>
      <c r="O60" s="14">
        <f>N60</f>
        <v/>
      </c>
      <c r="P60" s="14">
        <f>O60</f>
        <v/>
      </c>
      <c r="Q60" s="14">
        <f>P60</f>
        <v/>
      </c>
    </row>
    <row r="61">
      <c r="A61" t="inlineStr">
        <is>
          <t>Balance check (should be zero)</t>
        </is>
      </c>
      <c r="B61" t="inlineStr">
        <is>
          <t>bs_check</t>
        </is>
      </c>
      <c r="D61" s="13" t="n"/>
      <c r="E61" s="13" t="n"/>
      <c r="F61" s="13" t="n"/>
      <c r="G61" s="13" t="n"/>
      <c r="H61" s="14">
        <f>((((((H55+H54)+H57)+H60)-H56)-H58)-H59)</f>
        <v/>
      </c>
      <c r="I61" s="14">
        <f>((((((I55+I54)+I57)+I60)-I56)-I58)-I59)</f>
        <v/>
      </c>
      <c r="J61" s="14">
        <f>((((((J55+J54)+J57)+J60)-J56)-J58)-J59)</f>
        <v/>
      </c>
      <c r="K61" s="14">
        <f>((((((K55+K54)+K57)+K60)-K56)-K58)-K59)</f>
        <v/>
      </c>
      <c r="L61" s="14">
        <f>((((((L55+L54)+L57)+L60)-L56)-L58)-L59)</f>
        <v/>
      </c>
      <c r="M61" s="14">
        <f>((((((M55+M54)+M57)+M60)-M56)-M58)-M59)</f>
        <v/>
      </c>
      <c r="N61" s="14">
        <f>((((((N55+N54)+N57)+N60)-N56)-N58)-N59)</f>
        <v/>
      </c>
      <c r="O61" s="14">
        <f>((((((O55+O54)+O57)+O60)-O56)-O58)-O59)</f>
        <v/>
      </c>
      <c r="P61" s="14">
        <f>((((((P55+P54)+P57)+P60)-P56)-P58)-P59)</f>
        <v/>
      </c>
      <c r="Q61" s="14">
        <f>((((((Q55+Q54)+Q57)+Q60)-Q56)-Q58)-Q59)</f>
        <v/>
      </c>
    </row>
    <row r="62">
      <c r="A62" t="inlineStr">
        <is>
          <t>Net debt (cash)</t>
        </is>
      </c>
      <c r="B62" t="inlineStr">
        <is>
          <t>net_debt</t>
        </is>
      </c>
      <c r="D62" s="13" t="n">
        <v>1989.65</v>
      </c>
      <c r="E62" s="13" t="n">
        <v>1819.155000000001</v>
      </c>
      <c r="F62" s="13" t="n">
        <v>2672.903</v>
      </c>
      <c r="G62" s="13" t="n">
        <v>4543.186</v>
      </c>
      <c r="H62" s="14">
        <f>(H56-H55)</f>
        <v/>
      </c>
      <c r="I62" s="14">
        <f>(I56-I55)</f>
        <v/>
      </c>
      <c r="J62" s="14">
        <f>(J56-J55)</f>
        <v/>
      </c>
      <c r="K62" s="14">
        <f>(K56-K55)</f>
        <v/>
      </c>
      <c r="L62" s="14">
        <f>(L56-L55)</f>
        <v/>
      </c>
      <c r="M62" s="14">
        <f>(M56-M55)</f>
        <v/>
      </c>
      <c r="N62" s="14">
        <f>(N56-N55)</f>
        <v/>
      </c>
      <c r="O62" s="14">
        <f>(O56-O55)</f>
        <v/>
      </c>
      <c r="P62" s="14">
        <f>(P56-P55)</f>
        <v/>
      </c>
      <c r="Q62" s="14">
        <f>(Q56-Q55)</f>
        <v/>
      </c>
    </row>
    <row r="63">
      <c r="A63" t="inlineStr">
        <is>
          <t>Book value per share</t>
        </is>
      </c>
      <c r="B63" t="inlineStr">
        <is>
          <t>bvps</t>
        </is>
      </c>
      <c r="D63" s="15" t="n">
        <v>0.01685972981797039</v>
      </c>
      <c r="E63" s="15" t="n">
        <v>0.01801693079309629</v>
      </c>
      <c r="F63" s="15" t="n">
        <v>0.01843834861777153</v>
      </c>
      <c r="G63" s="15" t="n">
        <v>0.02393954031544145</v>
      </c>
      <c r="H63" s="16">
        <f>(IF(H44=0,0,H58/H44)*$C$7)</f>
        <v/>
      </c>
      <c r="I63" s="16">
        <f>(IF(I44=0,0,I58/I44)*$C$7)</f>
        <v/>
      </c>
      <c r="J63" s="16">
        <f>(IF(J44=0,0,J58/J44)*$C$7)</f>
        <v/>
      </c>
      <c r="K63" s="16">
        <f>(IF(K44=0,0,K58/K44)*$C$7)</f>
        <v/>
      </c>
      <c r="L63" s="16">
        <f>(IF(L44=0,0,L58/L44)*$C$7)</f>
        <v/>
      </c>
      <c r="M63" s="16">
        <f>(IF(M44=0,0,M58/M44)*$C$7)</f>
        <v/>
      </c>
      <c r="N63" s="16">
        <f>(IF(N44=0,0,N58/N44)*$C$7)</f>
        <v/>
      </c>
      <c r="O63" s="16">
        <f>(IF(O44=0,0,O58/O44)*$C$7)</f>
        <v/>
      </c>
      <c r="P63" s="16">
        <f>(IF(P44=0,0,P58/P44)*$C$7)</f>
        <v/>
      </c>
      <c r="Q63" s="16">
        <f>(IF(Q44=0,0,Q58/Q44)*$C$7)</f>
        <v/>
      </c>
    </row>
    <row r="64">
      <c r="A64" t="inlineStr">
        <is>
          <t>Revenue growth</t>
        </is>
      </c>
      <c r="B64" t="inlineStr">
        <is>
          <t>revenue_growth</t>
        </is>
      </c>
      <c r="D64" s="4" t="n"/>
      <c r="E64" s="4" t="n">
        <v>-0.06792869366260446</v>
      </c>
      <c r="F64" s="4" t="n">
        <v>-0.1352592180944581</v>
      </c>
      <c r="G64" s="4" t="n">
        <v>2.196764970182175</v>
      </c>
      <c r="H64" s="17">
        <f>(IF(G29=0,0,H29/G29)-1)</f>
        <v/>
      </c>
      <c r="I64" s="17">
        <f>(IF(H29=0,0,I29/H29)-1)</f>
        <v/>
      </c>
      <c r="J64" s="17">
        <f>(IF(I29=0,0,J29/I29)-1)</f>
        <v/>
      </c>
      <c r="K64" s="17">
        <f>(IF(J29=0,0,K29/J29)-1)</f>
        <v/>
      </c>
      <c r="L64" s="17">
        <f>(IF(K29=0,0,L29/K29)-1)</f>
        <v/>
      </c>
      <c r="M64" s="17">
        <f>(IF(L29=0,0,M29/L29)-1)</f>
        <v/>
      </c>
      <c r="N64" s="17">
        <f>(IF(M29=0,0,N29/M29)-1)</f>
        <v/>
      </c>
      <c r="O64" s="17">
        <f>(IF(N29=0,0,O29/N29)-1)</f>
        <v/>
      </c>
      <c r="P64" s="17">
        <f>(IF(O29=0,0,P29/O29)-1)</f>
        <v/>
      </c>
      <c r="Q64" s="17">
        <f>(IF(P29=0,0,Q29/P29)-1)</f>
        <v/>
      </c>
    </row>
    <row r="65">
      <c r="A65" t="inlineStr">
        <is>
          <t>Gross margin</t>
        </is>
      </c>
      <c r="B65" t="inlineStr">
        <is>
          <t>gross_margin</t>
        </is>
      </c>
      <c r="D65" s="4" t="n">
        <v>0.1504873153489478</v>
      </c>
      <c r="E65" s="4" t="n">
        <v>0.2021983372452641</v>
      </c>
      <c r="F65" s="4" t="n">
        <v>0.3017010927965915</v>
      </c>
      <c r="G65" s="4" t="n">
        <v>0.07180294448895784</v>
      </c>
      <c r="H65" s="17">
        <f>IF(H29=0,0,H31/H29)</f>
        <v/>
      </c>
      <c r="I65" s="17">
        <f>IF(I29=0,0,I31/I29)</f>
        <v/>
      </c>
      <c r="J65" s="17">
        <f>IF(J29=0,0,J31/J29)</f>
        <v/>
      </c>
      <c r="K65" s="17">
        <f>IF(K29=0,0,K31/K29)</f>
        <v/>
      </c>
      <c r="L65" s="17">
        <f>IF(L29=0,0,L31/L29)</f>
        <v/>
      </c>
      <c r="M65" s="17">
        <f>IF(M29=0,0,M31/M29)</f>
        <v/>
      </c>
      <c r="N65" s="17">
        <f>IF(N29=0,0,N31/N29)</f>
        <v/>
      </c>
      <c r="O65" s="17">
        <f>IF(O29=0,0,O31/O29)</f>
        <v/>
      </c>
      <c r="P65" s="17">
        <f>IF(P29=0,0,P31/P29)</f>
        <v/>
      </c>
      <c r="Q65" s="17">
        <f>IF(Q29=0,0,Q31/Q29)</f>
        <v/>
      </c>
    </row>
    <row r="66">
      <c r="A66" t="inlineStr">
        <is>
          <t>EBITDA margin</t>
        </is>
      </c>
      <c r="B66" t="inlineStr">
        <is>
          <t>ebitda_margin</t>
        </is>
      </c>
      <c r="D66" s="4" t="n">
        <v>0.0912861991698891</v>
      </c>
      <c r="E66" s="4" t="n">
        <v>0.1279235780563325</v>
      </c>
      <c r="F66" s="4" t="n">
        <v>0.2292065965785433</v>
      </c>
      <c r="G66" s="4" t="n">
        <v>0.01363184478620597</v>
      </c>
      <c r="H66" s="17">
        <f>IF(H29=0,0,H35/H29)</f>
        <v/>
      </c>
      <c r="I66" s="17">
        <f>IF(I29=0,0,I35/I29)</f>
        <v/>
      </c>
      <c r="J66" s="17">
        <f>IF(J29=0,0,J35/J29)</f>
        <v/>
      </c>
      <c r="K66" s="17">
        <f>IF(K29=0,0,K35/K29)</f>
        <v/>
      </c>
      <c r="L66" s="17">
        <f>IF(L29=0,0,L35/L29)</f>
        <v/>
      </c>
      <c r="M66" s="17">
        <f>IF(M29=0,0,M35/M29)</f>
        <v/>
      </c>
      <c r="N66" s="17">
        <f>IF(N29=0,0,N35/N29)</f>
        <v/>
      </c>
      <c r="O66" s="17">
        <f>IF(O29=0,0,O35/O29)</f>
        <v/>
      </c>
      <c r="P66" s="17">
        <f>IF(P29=0,0,P35/P29)</f>
        <v/>
      </c>
      <c r="Q66" s="17">
        <f>IF(Q29=0,0,Q35/Q29)</f>
        <v/>
      </c>
    </row>
    <row r="67">
      <c r="A67" t="inlineStr">
        <is>
          <t>EBIT margin</t>
        </is>
      </c>
      <c r="B67" t="inlineStr">
        <is>
          <t>ebit_margin</t>
        </is>
      </c>
      <c r="D67" s="4" t="n">
        <v>0.09043089860248008</v>
      </c>
      <c r="E67" s="4" t="n">
        <v>0.1264596380398347</v>
      </c>
      <c r="F67" s="4" t="n">
        <v>0.1417996267273287</v>
      </c>
      <c r="G67" s="4" t="n">
        <v>-0.02684498409181274</v>
      </c>
      <c r="H67" s="17">
        <f>IF(H29=0,0,H33/H29)</f>
        <v/>
      </c>
      <c r="I67" s="17">
        <f>IF(I29=0,0,I33/I29)</f>
        <v/>
      </c>
      <c r="J67" s="17">
        <f>IF(J29=0,0,J33/J29)</f>
        <v/>
      </c>
      <c r="K67" s="17">
        <f>IF(K29=0,0,K33/K29)</f>
        <v/>
      </c>
      <c r="L67" s="17">
        <f>IF(L29=0,0,L33/L29)</f>
        <v/>
      </c>
      <c r="M67" s="17">
        <f>IF(M29=0,0,M33/M29)</f>
        <v/>
      </c>
      <c r="N67" s="17">
        <f>IF(N29=0,0,N33/N29)</f>
        <v/>
      </c>
      <c r="O67" s="17">
        <f>IF(O29=0,0,O33/O29)</f>
        <v/>
      </c>
      <c r="P67" s="17">
        <f>IF(P29=0,0,P33/P29)</f>
        <v/>
      </c>
      <c r="Q67" s="17">
        <f>IF(Q29=0,0,Q33/Q29)</f>
        <v/>
      </c>
    </row>
    <row r="68">
      <c r="A68" t="inlineStr">
        <is>
          <t>Net margin</t>
        </is>
      </c>
      <c r="B68" t="inlineStr">
        <is>
          <t>np_margin</t>
        </is>
      </c>
      <c r="D68" s="4" t="n">
        <v>0.000593949347837538</v>
      </c>
      <c r="E68" s="4" t="n">
        <v>0.009461088213525849</v>
      </c>
      <c r="F68" s="4" t="n">
        <v>0.02366322510101613</v>
      </c>
      <c r="G68" s="4" t="n">
        <v>0.06418931935394334</v>
      </c>
      <c r="H68" s="17">
        <f>IF(H29=0,0,H43/H29)</f>
        <v/>
      </c>
      <c r="I68" s="17">
        <f>IF(I29=0,0,I43/I29)</f>
        <v/>
      </c>
      <c r="J68" s="17">
        <f>IF(J29=0,0,J43/J29)</f>
        <v/>
      </c>
      <c r="K68" s="17">
        <f>IF(K29=0,0,K43/K29)</f>
        <v/>
      </c>
      <c r="L68" s="17">
        <f>IF(L29=0,0,L43/L29)</f>
        <v/>
      </c>
      <c r="M68" s="17">
        <f>IF(M29=0,0,M43/M29)</f>
        <v/>
      </c>
      <c r="N68" s="17">
        <f>IF(N29=0,0,N43/N29)</f>
        <v/>
      </c>
      <c r="O68" s="17">
        <f>IF(O29=0,0,O43/O29)</f>
        <v/>
      </c>
      <c r="P68" s="17">
        <f>IF(P29=0,0,P43/P29)</f>
        <v/>
      </c>
      <c r="Q68" s="17">
        <f>IF(Q29=0,0,Q43/Q29)</f>
        <v/>
      </c>
    </row>
    <row r="69">
      <c r="A69" t="inlineStr">
        <is>
          <t>EPS growth</t>
        </is>
      </c>
      <c r="B69" t="inlineStr">
        <is>
          <t>eps_growth</t>
        </is>
      </c>
      <c r="D69" s="4" t="n"/>
      <c r="E69" s="4" t="n">
        <v>13.8470722001137</v>
      </c>
      <c r="F69" s="4" t="n">
        <v>1.16288176950259</v>
      </c>
      <c r="G69" s="4" t="n">
        <v>7.671301243827886</v>
      </c>
      <c r="H69" s="17">
        <f>(IF(G45=0,0,H45/G45)-1)</f>
        <v/>
      </c>
      <c r="I69" s="17">
        <f>(IF(H45=0,0,I45/H45)-1)</f>
        <v/>
      </c>
      <c r="J69" s="17">
        <f>(IF(I45=0,0,J45/I45)-1)</f>
        <v/>
      </c>
      <c r="K69" s="17">
        <f>(IF(J45=0,0,K45/J45)-1)</f>
        <v/>
      </c>
      <c r="L69" s="17">
        <f>(IF(K45=0,0,L45/K45)-1)</f>
        <v/>
      </c>
      <c r="M69" s="17">
        <f>(IF(L45=0,0,M45/L45)-1)</f>
        <v/>
      </c>
      <c r="N69" s="17">
        <f>(IF(M45=0,0,N45/M45)-1)</f>
        <v/>
      </c>
      <c r="O69" s="17">
        <f>(IF(N45=0,0,O45/N45)-1)</f>
        <v/>
      </c>
      <c r="P69" s="17">
        <f>(IF(O45=0,0,P45/O45)-1)</f>
        <v/>
      </c>
      <c r="Q69" s="17">
        <f>(IF(P45=0,0,Q45/P45)-1)</f>
        <v/>
      </c>
    </row>
    <row r="70">
      <c r="A70" t="inlineStr">
        <is>
          <t>ROE</t>
        </is>
      </c>
      <c r="B70" t="inlineStr">
        <is>
          <t>roe</t>
        </is>
      </c>
      <c r="D70" s="4" t="n"/>
      <c r="E70" s="4" t="n">
        <v>0.01598118679710177</v>
      </c>
      <c r="F70" s="4" t="n">
        <v>0.03306810857139847</v>
      </c>
      <c r="G70" s="4" t="n">
        <v>0.2466767978304033</v>
      </c>
      <c r="H70" s="17">
        <f>IF(IF(2=0,0,(H58+G58)/2)=0,0,H43/IF(2=0,0,(H58+G58)/2))</f>
        <v/>
      </c>
      <c r="I70" s="17">
        <f>IF(IF(2=0,0,(I58+H58)/2)=0,0,I43/IF(2=0,0,(I58+H58)/2))</f>
        <v/>
      </c>
      <c r="J70" s="17">
        <f>IF(IF(2=0,0,(J58+I58)/2)=0,0,J43/IF(2=0,0,(J58+I58)/2))</f>
        <v/>
      </c>
      <c r="K70" s="17">
        <f>IF(IF(2=0,0,(K58+J58)/2)=0,0,K43/IF(2=0,0,(K58+J58)/2))</f>
        <v/>
      </c>
      <c r="L70" s="17">
        <f>IF(IF(2=0,0,(L58+K58)/2)=0,0,L43/IF(2=0,0,(L58+K58)/2))</f>
        <v/>
      </c>
      <c r="M70" s="17">
        <f>IF(IF(2=0,0,(M58+L58)/2)=0,0,M43/IF(2=0,0,(M58+L58)/2))</f>
        <v/>
      </c>
      <c r="N70" s="17">
        <f>IF(IF(2=0,0,(N58+M58)/2)=0,0,N43/IF(2=0,0,(N58+M58)/2))</f>
        <v/>
      </c>
      <c r="O70" s="17">
        <f>IF(IF(2=0,0,(O58+N58)/2)=0,0,O43/IF(2=0,0,(O58+N58)/2))</f>
        <v/>
      </c>
      <c r="P70" s="17">
        <f>IF(IF(2=0,0,(P58+O58)/2)=0,0,P43/IF(2=0,0,(P58+O58)/2))</f>
        <v/>
      </c>
      <c r="Q70" s="17">
        <f>IF(IF(2=0,0,(Q58+P58)/2)=0,0,Q43/IF(2=0,0,(Q58+P58)/2))</f>
        <v/>
      </c>
    </row>
    <row r="71">
      <c r="A71" t="inlineStr">
        <is>
          <t>Net debt / EBITDA</t>
        </is>
      </c>
      <c r="B71" t="inlineStr">
        <is>
          <t>net_debt_ebitda</t>
        </is>
      </c>
      <c r="D71" s="18" t="n">
        <v>7.359615605129703</v>
      </c>
      <c r="E71" s="18" t="n">
        <v>5.15173527037934</v>
      </c>
      <c r="F71" s="18" t="n">
        <v>4.885450042495637</v>
      </c>
      <c r="G71" s="18" t="n">
        <v>43.67608152278407</v>
      </c>
      <c r="H71" s="19">
        <f>IF(H35=0,0,H62/H35)</f>
        <v/>
      </c>
      <c r="I71" s="19">
        <f>IF(I35=0,0,I62/I35)</f>
        <v/>
      </c>
      <c r="J71" s="19">
        <f>IF(J35=0,0,J62/J35)</f>
        <v/>
      </c>
      <c r="K71" s="19">
        <f>IF(K35=0,0,K62/K35)</f>
        <v/>
      </c>
      <c r="L71" s="19">
        <f>IF(L35=0,0,L62/L35)</f>
        <v/>
      </c>
      <c r="M71" s="19">
        <f>IF(M35=0,0,M62/M35)</f>
        <v/>
      </c>
      <c r="N71" s="19">
        <f>IF(N35=0,0,N62/N35)</f>
        <v/>
      </c>
      <c r="O71" s="19">
        <f>IF(O35=0,0,O62/O35)</f>
        <v/>
      </c>
      <c r="P71" s="19">
        <f>IF(P35=0,0,P62/P35)</f>
        <v/>
      </c>
      <c r="Q71" s="19">
        <f>IF(Q35=0,0,Q62/Q35)</f>
        <v/>
      </c>
    </row>
    <row r="72">
      <c r="A72" t="inlineStr">
        <is>
          <t>Payout ratio</t>
        </is>
      </c>
      <c r="B72" t="inlineStr">
        <is>
          <t>payout_ratio</t>
        </is>
      </c>
      <c r="D72" s="4" t="n">
        <v>5.614219355075323</v>
      </c>
      <c r="E72" s="4" t="n">
        <v>0.1916787001638846</v>
      </c>
      <c r="F72" s="4" t="n">
        <v>0</v>
      </c>
      <c r="G72" s="4" t="n">
        <v>0.01728692277036989</v>
      </c>
      <c r="H72" s="17">
        <f>IF(H45=0,0,H46/H45)</f>
        <v/>
      </c>
      <c r="I72" s="17">
        <f>IF(I45=0,0,I46/I45)</f>
        <v/>
      </c>
      <c r="J72" s="17">
        <f>IF(J45=0,0,J46/J45)</f>
        <v/>
      </c>
      <c r="K72" s="17">
        <f>IF(K45=0,0,K46/K45)</f>
        <v/>
      </c>
      <c r="L72" s="17">
        <f>IF(L45=0,0,L46/L45)</f>
        <v/>
      </c>
      <c r="M72" s="17">
        <f>IF(M45=0,0,M46/M45)</f>
        <v/>
      </c>
      <c r="N72" s="17">
        <f>IF(N45=0,0,N46/N45)</f>
        <v/>
      </c>
      <c r="O72" s="17">
        <f>IF(O45=0,0,O46/O45)</f>
        <v/>
      </c>
      <c r="P72" s="17">
        <f>IF(P45=0,0,P46/P45)</f>
        <v/>
      </c>
      <c r="Q72" s="17">
        <f>IF(Q45=0,0,Q46/Q45)</f>
        <v/>
      </c>
    </row>
    <row r="73">
      <c r="A73" t="inlineStr">
        <is>
          <t>Capex / revenue</t>
        </is>
      </c>
      <c r="B73" t="inlineStr">
        <is>
          <t>capex_revenue</t>
        </is>
      </c>
      <c r="D73" s="4" t="n">
        <v>0.06062504136372661</v>
      </c>
      <c r="E73" s="4" t="n">
        <v>0.04491734589595049</v>
      </c>
      <c r="F73" s="4" t="n">
        <v>0.2183854595422278</v>
      </c>
      <c r="G73" s="4" t="n">
        <v>0.119681228181775</v>
      </c>
      <c r="H73" s="17">
        <f>IF(H29=0,0,H48/H29)</f>
        <v/>
      </c>
      <c r="I73" s="17">
        <f>IF(I29=0,0,I48/I29)</f>
        <v/>
      </c>
      <c r="J73" s="17">
        <f>IF(J29=0,0,J48/J29)</f>
        <v/>
      </c>
      <c r="K73" s="17">
        <f>IF(K29=0,0,K48/K29)</f>
        <v/>
      </c>
      <c r="L73" s="17">
        <f>IF(L29=0,0,L48/L29)</f>
        <v/>
      </c>
      <c r="M73" s="17">
        <f>IF(M29=0,0,M48/M29)</f>
        <v/>
      </c>
      <c r="N73" s="17">
        <f>IF(N29=0,0,N48/N29)</f>
        <v/>
      </c>
      <c r="O73" s="17">
        <f>IF(O29=0,0,O48/O29)</f>
        <v/>
      </c>
      <c r="P73" s="17">
        <f>IF(P29=0,0,P48/P29)</f>
        <v/>
      </c>
      <c r="Q73" s="17">
        <f>IF(Q29=0,0,Q48/Q29)</f>
        <v/>
      </c>
    </row>
    <row r="75">
      <c r="A75" s="1" t="inlineStr">
        <is>
          <t>VALUATION</t>
        </is>
      </c>
    </row>
    <row r="76">
      <c r="A76" t="inlineStr">
        <is>
          <t>Last price (IDR)</t>
        </is>
      </c>
      <c r="C76" s="15" t="n">
        <v>1405</v>
      </c>
    </row>
    <row r="77">
      <c r="A77" t="inlineStr">
        <is>
          <t>Shares outstanding (m)</t>
        </is>
      </c>
      <c r="C77" s="13" t="n">
        <v>93711.74092900001</v>
      </c>
    </row>
    <row r="78">
      <c r="A78" t="inlineStr">
        <is>
          <t>IDR per USD (spot)</t>
        </is>
      </c>
      <c r="C78" s="3" t="n">
        <v>18183</v>
      </c>
    </row>
    <row r="79">
      <c r="A79" t="inlineStr">
        <is>
          <t>Debt at balance-sheet date</t>
        </is>
      </c>
      <c r="C79" s="13" t="n">
        <v>8571.909</v>
      </c>
    </row>
    <row r="80">
      <c r="A80" t="inlineStr">
        <is>
          <t>Cash at balance-sheet date</t>
        </is>
      </c>
      <c r="C80" s="13" t="n">
        <v>3699.009</v>
      </c>
    </row>
    <row r="81">
      <c r="A81" t="inlineStr">
        <is>
          <t>Minority interest (book)</t>
        </is>
      </c>
      <c r="C81" s="13" t="n">
        <v>4060.05</v>
      </c>
    </row>
    <row r="82">
      <c r="A82" t="inlineStr">
        <is>
          <t>Associates &amp; investments (book)</t>
        </is>
      </c>
      <c r="C82" s="13" t="n">
        <v>760.66</v>
      </c>
    </row>
    <row r="83">
      <c r="A83" t="inlineStr">
        <is>
          <t>Post-balance-sheet &amp; other items (sourced, probability-weighted)</t>
        </is>
      </c>
      <c r="C83" s="13" t="n">
        <v>0</v>
      </c>
    </row>
    <row r="84">
      <c r="A84" t="inlineStr">
        <is>
          <t>Parent equity at balance-sheet date</t>
        </is>
      </c>
      <c r="C84" s="13" t="n">
        <v>2433.674</v>
      </c>
    </row>
    <row r="85">
      <c r="A85" t="inlineStr">
        <is>
          <t>Per-share factor</t>
        </is>
      </c>
      <c r="C85" s="20" t="n">
        <v>1</v>
      </c>
    </row>
    <row r="86">
      <c r="A86" t="inlineStr">
        <is>
          <t>Risk-free rate</t>
        </is>
      </c>
      <c r="C86" s="8">
        <f>Drivers!$C$8</f>
        <v/>
      </c>
    </row>
    <row r="87">
      <c r="A87" t="inlineStr">
        <is>
          <t>Less: default spread (IDR only)</t>
        </is>
      </c>
      <c r="C87" s="8" t="n">
        <v>0</v>
      </c>
    </row>
    <row r="88">
      <c r="A88" t="inlineStr">
        <is>
          <t>Mature ERP + Indonesia CRP</t>
        </is>
      </c>
      <c r="C88" s="8">
        <f>Drivers!$C$10+Drivers!$C$11</f>
        <v/>
      </c>
    </row>
    <row r="89">
      <c r="A89" t="inlineStr">
        <is>
          <t>Tax rate</t>
        </is>
      </c>
      <c r="C89" s="8">
        <f>Drivers!$C$13</f>
        <v/>
      </c>
    </row>
    <row r="90">
      <c r="A90" t="inlineStr">
        <is>
          <t>Unlevered beta (industry default (config))</t>
        </is>
      </c>
      <c r="C90" s="21" t="n">
        <v>0.9</v>
      </c>
    </row>
    <row r="91">
      <c r="A91" t="inlineStr">
        <is>
          <t>Debt / equity (market)</t>
        </is>
      </c>
      <c r="C91" s="21" t="n">
        <v>1.183784802915963</v>
      </c>
    </row>
    <row r="92">
      <c r="A92" t="inlineStr">
        <is>
          <t>Levered beta</t>
        </is>
      </c>
      <c r="C92" s="22">
        <f>$C$90*(1+(1-$C$89)*$C$91)</f>
        <v/>
      </c>
    </row>
    <row r="93">
      <c r="A93" t="inlineStr">
        <is>
          <t>Explicit company premium</t>
        </is>
      </c>
      <c r="C93" s="4" t="n">
        <v>0</v>
      </c>
    </row>
    <row r="94">
      <c r="A94" t="inlineStr">
        <is>
          <t>Cost of equity</t>
        </is>
      </c>
      <c r="C94" s="10">
        <f>$C$86-$C$87+$C$92*$C$88+$C$93</f>
        <v/>
      </c>
    </row>
    <row r="95">
      <c r="A95" t="inlineStr">
        <is>
          <t>Pre-tax cost of debt</t>
        </is>
      </c>
      <c r="C95" s="10">
        <f>$C$86+Drivers!$C$12</f>
        <v/>
      </c>
    </row>
    <row r="96">
      <c r="A96" t="inlineStr">
        <is>
          <t>WACC</t>
        </is>
      </c>
      <c r="C96" s="10">
        <f>1/(1+$C$91)*$C$94+$C$91/(1+$C$91)*$C$95*(1-$C$89)</f>
        <v/>
      </c>
    </row>
    <row r="97">
      <c r="A97" t="inlineStr">
        <is>
          <t>Terminal growth (capped)</t>
        </is>
      </c>
      <c r="C97" s="4" t="n">
        <v>0.02</v>
      </c>
    </row>
    <row r="99">
      <c r="A99" s="1" t="inlineStr">
        <is>
          <t>Sum of the parts</t>
        </is>
      </c>
    </row>
    <row r="100">
      <c r="A100" t="inlineStr">
        <is>
          <t>Value per share (IDR) — Sum of the parts (engine value)</t>
        </is>
      </c>
      <c r="C100" s="15" t="n">
        <v>946.284416</v>
      </c>
    </row>
    <row r="102">
      <c r="A102" s="1" t="inlineStr">
        <is>
          <t>P/E</t>
        </is>
      </c>
    </row>
    <row r="103">
      <c r="A103" t="inlineStr">
        <is>
          <t>Target multiple (peer median (own history unavailable))</t>
        </is>
      </c>
      <c r="C103" s="18" t="n">
        <v>8.560313000000001</v>
      </c>
    </row>
    <row r="104">
      <c r="A104" t="inlineStr">
        <is>
          <t>Metric (LTM, or next-12m DPS for yield)</t>
        </is>
      </c>
      <c r="C104" s="13" t="n">
        <v>489.807</v>
      </c>
    </row>
    <row r="105">
      <c r="A105" t="inlineStr">
        <is>
          <t>Value per share (IDR) — P/E</t>
        </is>
      </c>
      <c r="C105" s="23">
        <f>MAX(0,$C$103*$C$104/$C$77*$C$85*$C$78)</f>
        <v/>
      </c>
    </row>
    <row r="107">
      <c r="A107" s="1" t="inlineStr">
        <is>
          <t>P/BV</t>
        </is>
      </c>
    </row>
    <row r="108">
      <c r="A108" t="inlineStr">
        <is>
          <t>Target multiple (own five-year average)</t>
        </is>
      </c>
      <c r="C108" s="18" t="n">
        <v>4.737987</v>
      </c>
    </row>
    <row r="109">
      <c r="A109" t="inlineStr">
        <is>
          <t>Metric (LTM, or next-12m DPS for yield)</t>
        </is>
      </c>
      <c r="C109" s="13" t="n">
        <v>2433.674</v>
      </c>
    </row>
    <row r="110">
      <c r="A110" t="inlineStr">
        <is>
          <t>Value per share (IDR) — P/BV</t>
        </is>
      </c>
      <c r="C110" s="23">
        <f>MAX(0,$C$108*$C$109/$C$77*$C$85*$C$78)</f>
        <v/>
      </c>
    </row>
    <row r="112">
      <c r="A112" s="1" t="inlineStr">
        <is>
          <t>TARGET</t>
        </is>
      </c>
    </row>
    <row r="113">
      <c r="A113" t="inlineStr">
        <is>
          <t>Weight: Sum of the parts</t>
        </is>
      </c>
      <c r="C113" s="4" t="n">
        <v>0.6</v>
      </c>
    </row>
    <row r="114">
      <c r="A114" t="inlineStr">
        <is>
          <t>Weight: P/E</t>
        </is>
      </c>
      <c r="C114" s="4" t="n">
        <v>0.25</v>
      </c>
    </row>
    <row r="115">
      <c r="A115" t="inlineStr">
        <is>
          <t>Weight: P/BV</t>
        </is>
      </c>
      <c r="C115" s="4" t="n">
        <v>0.15</v>
      </c>
    </row>
    <row r="116">
      <c r="A116" t="inlineStr">
        <is>
          <t>Value today (weighted)</t>
        </is>
      </c>
      <c r="C116" s="23">
        <f>$C$100*$C$113+$C$105*$C$114+$C$110*$C$115</f>
        <v/>
      </c>
    </row>
    <row r="117">
      <c r="A117" t="inlineStr">
        <is>
          <t>DPS expected in next 12 months (IDR)</t>
        </is>
      </c>
      <c r="C117" s="15" t="n">
        <v>16.65883679082154</v>
      </c>
    </row>
    <row r="118">
      <c r="A118" t="inlineStr">
        <is>
          <t>Base-case 12-month value</t>
        </is>
      </c>
      <c r="C118" s="23">
        <f>MAX(0,$C$116*(1+$C$94)-$C$117)</f>
        <v/>
      </c>
    </row>
    <row r="119">
      <c r="A119" t="inlineStr">
        <is>
          <t>Bear probability</t>
        </is>
      </c>
      <c r="C119" s="4" t="n">
        <v>0.25</v>
      </c>
    </row>
    <row r="120">
      <c r="A120" t="inlineStr">
        <is>
          <t>Bear 12-month value (engine)</t>
        </is>
      </c>
      <c r="C120" s="15" t="n">
        <v>1180.313692476305</v>
      </c>
    </row>
    <row r="121">
      <c r="A121" t="inlineStr">
        <is>
          <t>Base probability</t>
        </is>
      </c>
      <c r="C121" s="4" t="n">
        <v>0.5</v>
      </c>
    </row>
    <row r="122">
      <c r="A122" t="inlineStr">
        <is>
          <t>Bull probability</t>
        </is>
      </c>
      <c r="C122" s="4" t="n">
        <v>0.25</v>
      </c>
    </row>
    <row r="123">
      <c r="A123" t="inlineStr">
        <is>
          <t>Bull 12-month value (engine)</t>
        </is>
      </c>
      <c r="C123" s="15" t="n">
        <v>1367.890055653173</v>
      </c>
    </row>
    <row r="124">
      <c r="A124" t="inlineStr">
        <is>
          <t>Probability-weighted 12-month value</t>
        </is>
      </c>
      <c r="C124" s="23">
        <f>$C$119*$C$120+$C$121*$C$118+$C$122*$C$123</f>
        <v/>
      </c>
    </row>
    <row r="125">
      <c r="A125" t="inlineStr">
        <is>
          <t>Liquidity discount (limits.yaml)</t>
        </is>
      </c>
      <c r="C125" s="4" t="n">
        <v>0</v>
      </c>
    </row>
    <row r="126">
      <c r="A126" t="inlineStr">
        <is>
          <t>Fundamental 12-month value (after liquidity discount)</t>
        </is>
      </c>
      <c r="C126" s="23">
        <f>$C$124*(1-$C$125)</f>
        <v/>
      </c>
    </row>
    <row r="127">
      <c r="A127" t="inlineStr">
        <is>
          <t>Konglo lens: price / fundamental value today (engine)</t>
        </is>
      </c>
      <c r="C127" s="18" t="n">
        <v>1.269475</v>
      </c>
    </row>
    <row r="128">
      <c r="A128" t="inlineStr">
        <is>
          <t>Regime bear: probability (konglo deck)</t>
        </is>
      </c>
      <c r="C128" s="4" t="n">
        <v>0.25</v>
      </c>
    </row>
    <row r="129">
      <c r="A129" t="inlineStr">
        <is>
          <t>Regime bear: share of the log gap closed in 12 months</t>
        </is>
      </c>
      <c r="C129" s="4" t="n">
        <v>0.7</v>
      </c>
    </row>
    <row r="130">
      <c r="A130" t="inlineStr">
        <is>
          <t>Regime base: probability (konglo deck)</t>
        </is>
      </c>
      <c r="C130" s="4" t="n">
        <v>0.5</v>
      </c>
    </row>
    <row r="131">
      <c r="A131" t="inlineStr">
        <is>
          <t>Regime base: share of the log gap closed in 12 months</t>
        </is>
      </c>
      <c r="C131" s="4" t="n">
        <v>0.3</v>
      </c>
    </row>
    <row r="132">
      <c r="A132" t="inlineStr">
        <is>
          <t>Regime bull: probability (konglo deck)</t>
        </is>
      </c>
      <c r="C132" s="4" t="n">
        <v>0.25</v>
      </c>
    </row>
    <row r="133">
      <c r="A133" t="inlineStr">
        <is>
          <t>Regime bull: share of the log gap closed in 12 months</t>
        </is>
      </c>
      <c r="C133" s="4" t="n">
        <v>-0.15</v>
      </c>
    </row>
    <row r="134">
      <c r="A134" t="inlineStr">
        <is>
          <t>Share of today's premium kept (probability-weighted)</t>
        </is>
      </c>
      <c r="C134" s="27">
        <f>$C$128*$C$127^(1-$C$129)+$C$130*$C$127^(1-$C$131)+$C$132*$C$127^(1-$C$133)</f>
        <v/>
      </c>
    </row>
    <row r="135">
      <c r="A135" t="inlineStr">
        <is>
          <t>TARGET PRICE (IDR) — konglo lens</t>
        </is>
      </c>
      <c r="C135" s="24">
        <f>$C$126*$C$134</f>
        <v/>
      </c>
    </row>
    <row r="136">
      <c r="A136" t="inlineStr">
        <is>
          <t>Expected 12-month total return</t>
        </is>
      </c>
      <c r="C136" s="25">
        <f>($C$135+$C$117)/$C$76-1</f>
        <v/>
      </c>
    </row>
    <row r="137">
      <c r="A137" t="inlineStr">
        <is>
          <t>Rating</t>
        </is>
      </c>
      <c r="C137" s="26">
        <f>IF($C$136&gt;=0.25,"BUY",IF($C$136&gt;=0.1,"ADD",IF($C$136&lt;=-0.25,"SELL",IF($C$136&lt;=-0.1,"REDUCE","HOLD"))))</f>
        <v/>
      </c>
    </row>
    <row r="139">
      <c r="A139" s="1" t="inlineStr">
        <is>
          <t>12-month value vs holding-company discount and cost of equity (engine values)</t>
        </is>
      </c>
    </row>
    <row r="140">
      <c r="A140" s="5" t="inlineStr">
        <is>
          <t>rows: Cost of equity (+/- pp) · columns: Holdco discount (+/- pp)</t>
        </is>
      </c>
      <c r="D140" s="1" t="n">
        <v>-0.1</v>
      </c>
      <c r="E140" s="1" t="n">
        <v>-0.05</v>
      </c>
      <c r="F140" s="1" t="n">
        <v>0</v>
      </c>
      <c r="G140" s="1" t="n">
        <v>0.05</v>
      </c>
      <c r="H140" s="1" t="n">
        <v>0.1</v>
      </c>
    </row>
    <row r="141">
      <c r="C141" s="1" t="n">
        <v>-0.01</v>
      </c>
      <c r="D141" s="23" t="n">
        <v>1356.818259</v>
      </c>
      <c r="E141" s="23" t="n">
        <v>1309.926282</v>
      </c>
      <c r="F141" s="23" t="n">
        <v>1263.034306</v>
      </c>
      <c r="G141" s="23" t="n">
        <v>1216.142329</v>
      </c>
      <c r="H141" s="23" t="n">
        <v>1169.250353</v>
      </c>
    </row>
    <row r="142">
      <c r="C142" s="1" t="n">
        <v>-0.005</v>
      </c>
      <c r="D142" s="23" t="n">
        <v>1362.757593</v>
      </c>
      <c r="E142" s="23" t="n">
        <v>1315.662842</v>
      </c>
      <c r="F142" s="23" t="n">
        <v>1268.56809</v>
      </c>
      <c r="G142" s="23" t="n">
        <v>1221.473338</v>
      </c>
      <c r="H142" s="23" t="n">
        <v>1174.378587</v>
      </c>
    </row>
    <row r="143">
      <c r="C143" s="1" t="n">
        <v>0</v>
      </c>
      <c r="D143" s="23" t="n">
        <v>1368.696928</v>
      </c>
      <c r="E143" s="23" t="n">
        <v>1321.399401</v>
      </c>
      <c r="F143" s="23" t="n">
        <v>1274.101874</v>
      </c>
      <c r="G143" s="23" t="n">
        <v>1226.804347</v>
      </c>
      <c r="H143" s="23" t="n">
        <v>1179.50682</v>
      </c>
    </row>
    <row r="144">
      <c r="C144" s="1" t="n">
        <v>0.005</v>
      </c>
      <c r="D144" s="23" t="n">
        <v>1374.636263</v>
      </c>
      <c r="E144" s="23" t="n">
        <v>1327.13596</v>
      </c>
      <c r="F144" s="23" t="n">
        <v>1279.635658</v>
      </c>
      <c r="G144" s="23" t="n">
        <v>1232.135356</v>
      </c>
      <c r="H144" s="23" t="n">
        <v>1184.635054</v>
      </c>
    </row>
    <row r="145">
      <c r="C145" s="1" t="n">
        <v>0.01</v>
      </c>
      <c r="D145" s="23" t="n">
        <v>1380.575597</v>
      </c>
      <c r="E145" s="23" t="n">
        <v>1332.87252</v>
      </c>
      <c r="F145" s="23" t="n">
        <v>1285.169442</v>
      </c>
      <c r="G145" s="23" t="n">
        <v>1237.466365</v>
      </c>
      <c r="H145" s="23" t="n">
        <v>1189.763287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1" t="inlineStr">
        <is>
          <t>PT Petrindo Jaya Kreasi Tbk (CUAN.JK) — Conglomerates &amp; multi-sector holdings</t>
        </is>
      </c>
    </row>
    <row r="2">
      <c r="A2" s="5" t="inlineStr">
        <is>
          <t>Units: USD m; per-share in USD unless marked IDR. Model asof 2026-10-29 · data 2026-10-27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  <c r="M4" s="1" t="inlineStr">
        <is>
          <t>FY2031E</t>
        </is>
      </c>
      <c r="N4" s="1" t="inlineStr">
        <is>
          <t>FY2032E</t>
        </is>
      </c>
      <c r="O4" s="1" t="inlineStr">
        <is>
          <t>FY2033E</t>
        </is>
      </c>
      <c r="P4" s="1" t="inlineStr">
        <is>
          <t>FY2034E</t>
        </is>
      </c>
      <c r="Q4" s="1" t="inlineStr">
        <is>
          <t>FY2035E</t>
        </is>
      </c>
    </row>
    <row r="6">
      <c r="A6" s="1" t="inlineStr">
        <is>
          <t>PARAMETERS</t>
        </is>
      </c>
    </row>
    <row r="7">
      <c r="A7" t="inlineStr">
        <is>
          <t>ps_factor</t>
        </is>
      </c>
      <c r="C7" s="12" t="n">
        <v>1</v>
      </c>
    </row>
    <row r="8">
      <c r="A8" t="inlineStr">
        <is>
          <t>vp_factor</t>
        </is>
      </c>
      <c r="C8" s="12" t="n">
        <v>1</v>
      </c>
    </row>
    <row r="10">
      <c r="A10" s="1" t="inlineStr">
        <is>
          <t>INPUTS (company assumptions)</t>
        </is>
      </c>
    </row>
    <row r="11">
      <c r="A11" t="inlineStr">
        <is>
          <t>Revenue growth</t>
        </is>
      </c>
      <c r="B11" t="inlineStr">
        <is>
          <t>a.revenue_growth</t>
        </is>
      </c>
      <c r="H11" s="4" t="n">
        <v>0.24</v>
      </c>
      <c r="I11" s="4" t="n">
        <v>0.12</v>
      </c>
      <c r="J11" s="4" t="n">
        <v>0.1</v>
      </c>
      <c r="K11" s="4" t="n">
        <v>0.08</v>
      </c>
      <c r="L11" s="4" t="n">
        <v>0.07000000000000001</v>
      </c>
      <c r="M11" s="4" t="n">
        <v>0.06</v>
      </c>
      <c r="N11" s="4" t="n">
        <v>0.06</v>
      </c>
      <c r="O11" s="4" t="n">
        <v>0.06</v>
      </c>
      <c r="P11" s="4" t="n">
        <v>0.06</v>
      </c>
      <c r="Q11" s="4" t="n">
        <v>0.06</v>
      </c>
    </row>
    <row r="12">
      <c r="A12" t="inlineStr">
        <is>
          <t>Gross margin at base input costs</t>
        </is>
      </c>
      <c r="B12" t="inlineStr">
        <is>
          <t>a.gross_margin</t>
        </is>
      </c>
      <c r="H12" s="4" t="n">
        <v>0.1381</v>
      </c>
      <c r="I12" s="4" t="n">
        <v>0.1381</v>
      </c>
      <c r="J12" s="4" t="n">
        <v>0.1381</v>
      </c>
      <c r="K12" s="4" t="n">
        <v>0.1381</v>
      </c>
      <c r="L12" s="4" t="n">
        <v>0.1381</v>
      </c>
      <c r="M12" s="4" t="n">
        <v>0.1381</v>
      </c>
      <c r="N12" s="4" t="n">
        <v>0.1381</v>
      </c>
      <c r="O12" s="4" t="n">
        <v>0.1381</v>
      </c>
      <c r="P12" s="4" t="n">
        <v>0.1381</v>
      </c>
      <c r="Q12" s="4" t="n">
        <v>0.1381</v>
      </c>
    </row>
    <row r="13">
      <c r="A13" t="inlineStr">
        <is>
          <t>SG&amp;A / revenue</t>
        </is>
      </c>
      <c r="B13" t="inlineStr">
        <is>
          <t>a.opex_pct</t>
        </is>
      </c>
      <c r="H13" s="4" t="n">
        <v>0.057314</v>
      </c>
      <c r="I13" s="4" t="n">
        <v>0.057314</v>
      </c>
      <c r="J13" s="4" t="n">
        <v>0.057314</v>
      </c>
      <c r="K13" s="4" t="n">
        <v>0.057314</v>
      </c>
      <c r="L13" s="4" t="n">
        <v>0.057314</v>
      </c>
      <c r="M13" s="4" t="n">
        <v>0.057314</v>
      </c>
      <c r="N13" s="4" t="n">
        <v>0.057314</v>
      </c>
      <c r="O13" s="4" t="n">
        <v>0.057314</v>
      </c>
      <c r="P13" s="4" t="n">
        <v>0.057314</v>
      </c>
      <c r="Q13" s="4" t="n">
        <v>0.057314</v>
      </c>
    </row>
    <row r="14">
      <c r="A14" t="inlineStr">
        <is>
          <t>D&amp;A / revenue</t>
        </is>
      </c>
      <c r="B14" t="inlineStr">
        <is>
          <t>a.da_pct</t>
        </is>
      </c>
      <c r="H14" s="4" t="n">
        <v>0.1272</v>
      </c>
      <c r="I14" s="4" t="n">
        <v>0.1272</v>
      </c>
      <c r="J14" s="4" t="n">
        <v>0.1272</v>
      </c>
      <c r="K14" s="4" t="n">
        <v>0.1272</v>
      </c>
      <c r="L14" s="4" t="n">
        <v>0.1272</v>
      </c>
      <c r="M14" s="4" t="n">
        <v>0.1272</v>
      </c>
      <c r="N14" s="4" t="n">
        <v>0.1272</v>
      </c>
      <c r="O14" s="4" t="n">
        <v>0.1272</v>
      </c>
      <c r="P14" s="4" t="n">
        <v>0.1272</v>
      </c>
      <c r="Q14" s="4" t="n">
        <v>0.1272</v>
      </c>
    </row>
    <row r="15">
      <c r="A15" t="inlineStr">
        <is>
          <t>Capex / revenue</t>
        </is>
      </c>
      <c r="B15" t="inlineStr">
        <is>
          <t>a.capex_pct</t>
        </is>
      </c>
      <c r="H15" s="4" t="n">
        <v>0.1</v>
      </c>
      <c r="I15" s="4" t="n">
        <v>0.1</v>
      </c>
      <c r="J15" s="4" t="n">
        <v>0.1</v>
      </c>
      <c r="K15" s="4" t="n">
        <v>0.1</v>
      </c>
      <c r="L15" s="4" t="n">
        <v>0.1</v>
      </c>
      <c r="M15" s="4" t="n">
        <v>0.1</v>
      </c>
      <c r="N15" s="4" t="n">
        <v>0.1</v>
      </c>
      <c r="O15" s="4" t="n">
        <v>0.1</v>
      </c>
      <c r="P15" s="4" t="n">
        <v>0.1</v>
      </c>
      <c r="Q15" s="4" t="n">
        <v>0.1</v>
      </c>
    </row>
    <row r="16">
      <c r="A16" t="inlineStr">
        <is>
          <t>Operating working capital / revenue</t>
        </is>
      </c>
      <c r="B16" t="inlineStr">
        <is>
          <t>a.nwc_pct</t>
        </is>
      </c>
      <c r="H16" s="4" t="n">
        <v>0.189128</v>
      </c>
      <c r="I16" s="4" t="n">
        <v>0.189128</v>
      </c>
      <c r="J16" s="4" t="n">
        <v>0.189128</v>
      </c>
      <c r="K16" s="4" t="n">
        <v>0.189128</v>
      </c>
      <c r="L16" s="4" t="n">
        <v>0.189128</v>
      </c>
      <c r="M16" s="4" t="n">
        <v>0.189128</v>
      </c>
      <c r="N16" s="4" t="n">
        <v>0.189128</v>
      </c>
      <c r="O16" s="4" t="n">
        <v>0.189128</v>
      </c>
      <c r="P16" s="4" t="n">
        <v>0.189128</v>
      </c>
      <c r="Q16" s="4" t="n">
        <v>0.189128</v>
      </c>
    </row>
    <row r="17">
      <c r="A17" t="inlineStr">
        <is>
          <t>Effective tax rate</t>
        </is>
      </c>
      <c r="B17" t="inlineStr">
        <is>
          <t>a.tax_rate</t>
        </is>
      </c>
      <c r="H17" s="4" t="n">
        <v>0.38098</v>
      </c>
      <c r="I17" s="4" t="n">
        <v>0.38098</v>
      </c>
      <c r="J17" s="4" t="n">
        <v>0.38098</v>
      </c>
      <c r="K17" s="4" t="n">
        <v>0.38098</v>
      </c>
      <c r="L17" s="4" t="n">
        <v>0.38098</v>
      </c>
      <c r="M17" s="4" t="n">
        <v>0.38098</v>
      </c>
      <c r="N17" s="4" t="n">
        <v>0.38098</v>
      </c>
      <c r="O17" s="4" t="n">
        <v>0.38098</v>
      </c>
      <c r="P17" s="4" t="n">
        <v>0.38098</v>
      </c>
      <c r="Q17" s="4" t="n">
        <v>0.38098</v>
      </c>
    </row>
    <row r="18">
      <c r="A18" t="inlineStr">
        <is>
          <t>Cost of debt (on opening debt)</t>
        </is>
      </c>
      <c r="B18" t="inlineStr">
        <is>
          <t>a.cost_of_debt</t>
        </is>
      </c>
      <c r="C18" s="4" t="n">
        <v>0.08500000000000001</v>
      </c>
    </row>
    <row r="19">
      <c r="A19" t="inlineStr">
        <is>
          <t>Yield on opening cash</t>
        </is>
      </c>
      <c r="B19" t="inlineStr">
        <is>
          <t>a.cash_yield</t>
        </is>
      </c>
      <c r="C19" s="4" t="n">
        <v>0.015</v>
      </c>
    </row>
    <row r="20">
      <c r="A20" t="inlineStr">
        <is>
          <t>Net new borrowing</t>
        </is>
      </c>
      <c r="B20" t="inlineStr">
        <is>
          <t>a.net_borrowing</t>
        </is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</row>
    <row r="21">
      <c r="A21" t="inlineStr">
        <is>
          <t>Other non-operating items</t>
        </is>
      </c>
      <c r="B21" t="inlineStr">
        <is>
          <t>a.other_nonop</t>
        </is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</row>
    <row r="22">
      <c r="A22" t="inlineStr">
        <is>
          <t>Minorities' share of net profit</t>
        </is>
      </c>
      <c r="B22" t="inlineStr">
        <is>
          <t>a.minority_pct</t>
        </is>
      </c>
      <c r="H22" s="4" t="n">
        <v>0.456174</v>
      </c>
      <c r="I22" s="4" t="n">
        <v>0.456174</v>
      </c>
      <c r="J22" s="4" t="n">
        <v>0.456174</v>
      </c>
      <c r="K22" s="4" t="n">
        <v>0.456174</v>
      </c>
      <c r="L22" s="4" t="n">
        <v>0.456174</v>
      </c>
      <c r="M22" s="4" t="n">
        <v>0.456174</v>
      </c>
      <c r="N22" s="4" t="n">
        <v>0.456174</v>
      </c>
      <c r="O22" s="4" t="n">
        <v>0.456174</v>
      </c>
      <c r="P22" s="4" t="n">
        <v>0.456174</v>
      </c>
      <c r="Q22" s="4" t="n">
        <v>0.456174</v>
      </c>
    </row>
    <row r="23">
      <c r="A23" t="inlineStr">
        <is>
          <t>Dividend payout</t>
        </is>
      </c>
      <c r="B23" t="inlineStr">
        <is>
          <t>a.payout</t>
        </is>
      </c>
      <c r="H23" s="4" t="n">
        <v>0.02</v>
      </c>
      <c r="I23" s="4" t="n">
        <v>0.02</v>
      </c>
      <c r="J23" s="4" t="n">
        <v>0.02</v>
      </c>
      <c r="K23" s="4" t="n">
        <v>0.02</v>
      </c>
      <c r="L23" s="4" t="n">
        <v>0.02</v>
      </c>
      <c r="M23" s="4" t="n">
        <v>0.02</v>
      </c>
      <c r="N23" s="4" t="n">
        <v>0.02</v>
      </c>
      <c r="O23" s="4" t="n">
        <v>0.02</v>
      </c>
      <c r="P23" s="4" t="n">
        <v>0.02</v>
      </c>
      <c r="Q23" s="4" t="n">
        <v>0.02</v>
      </c>
    </row>
    <row r="24">
      <c r="A24" t="inlineStr">
        <is>
          <t>Change in share count</t>
        </is>
      </c>
      <c r="B24" t="inlineStr">
        <is>
          <t>a.share_change</t>
        </is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</row>
    <row r="25">
      <c r="A25" t="inlineStr">
        <is>
          <t>Terminal growth (DCF)</t>
        </is>
      </c>
      <c r="B25" t="inlineStr">
        <is>
          <t>a.terminal_growth</t>
        </is>
      </c>
      <c r="C25" s="4" t="n">
        <v>0.02</v>
      </c>
    </row>
    <row r="26">
      <c r="A26" t="inlineStr">
        <is>
          <t>Holding-company discount to SOTP</t>
        </is>
      </c>
      <c r="B26" t="inlineStr">
        <is>
          <t>a.holdco_discount</t>
        </is>
      </c>
      <c r="C26" s="4" t="n">
        <v>0.3</v>
      </c>
    </row>
    <row r="28">
      <c r="A28" s="1" t="inlineStr">
        <is>
          <t>MODEL</t>
        </is>
      </c>
    </row>
    <row r="29">
      <c r="A29" t="inlineStr">
        <is>
          <t>Revenue</t>
        </is>
      </c>
      <c r="B29" t="inlineStr">
        <is>
          <t>revenue</t>
        </is>
      </c>
      <c r="D29" s="13" t="n">
        <v>97.665445660545</v>
      </c>
      <c r="E29" s="13" t="n">
        <v>97.943</v>
      </c>
      <c r="F29" s="13" t="n">
        <v>801.723</v>
      </c>
      <c r="G29" s="13" t="n">
        <v>1215.618</v>
      </c>
      <c r="H29" s="14">
        <f>(G29*(1+H11))</f>
        <v/>
      </c>
      <c r="I29" s="14">
        <f>(H29*(1+I11))</f>
        <v/>
      </c>
      <c r="J29" s="14">
        <f>(I29*(1+J11))</f>
        <v/>
      </c>
      <c r="K29" s="14">
        <f>(J29*(1+K11))</f>
        <v/>
      </c>
      <c r="L29" s="14">
        <f>(K29*(1+L11))</f>
        <v/>
      </c>
      <c r="M29" s="14">
        <f>(L29*(1+M11))</f>
        <v/>
      </c>
      <c r="N29" s="14">
        <f>(M29*(1+N11))</f>
        <v/>
      </c>
      <c r="O29" s="14">
        <f>(N29*(1+O11))</f>
        <v/>
      </c>
      <c r="P29" s="14">
        <f>(O29*(1+P11))</f>
        <v/>
      </c>
      <c r="Q29" s="14">
        <f>(P29*(1+Q11))</f>
        <v/>
      </c>
    </row>
    <row r="30">
      <c r="A30" t="inlineStr">
        <is>
          <t>Cost of revenue</t>
        </is>
      </c>
      <c r="B30" t="inlineStr">
        <is>
          <t>cogs</t>
        </is>
      </c>
      <c r="D30" s="13" t="n">
        <v>28.191867203577</v>
      </c>
      <c r="E30" s="13" t="n">
        <v>60.725</v>
      </c>
      <c r="F30" s="13" t="n">
        <v>683.857</v>
      </c>
      <c r="G30" s="13" t="n">
        <v>1055.649</v>
      </c>
      <c r="H30" s="14">
        <f>(H29*(1-H12))</f>
        <v/>
      </c>
      <c r="I30" s="14">
        <f>(I29*(1-I12))</f>
        <v/>
      </c>
      <c r="J30" s="14">
        <f>(J29*(1-J12))</f>
        <v/>
      </c>
      <c r="K30" s="14">
        <f>(K29*(1-K12))</f>
        <v/>
      </c>
      <c r="L30" s="14">
        <f>(L29*(1-L12))</f>
        <v/>
      </c>
      <c r="M30" s="14">
        <f>(M29*(1-M12))</f>
        <v/>
      </c>
      <c r="N30" s="14">
        <f>(N29*(1-N12))</f>
        <v/>
      </c>
      <c r="O30" s="14">
        <f>(O29*(1-O12))</f>
        <v/>
      </c>
      <c r="P30" s="14">
        <f>(P29*(1-P12))</f>
        <v/>
      </c>
      <c r="Q30" s="14">
        <f>(Q29*(1-Q12))</f>
        <v/>
      </c>
    </row>
    <row r="31">
      <c r="A31" t="inlineStr">
        <is>
          <t>Gross profit</t>
        </is>
      </c>
      <c r="B31" t="inlineStr">
        <is>
          <t>gross_profit</t>
        </is>
      </c>
      <c r="D31" s="13" t="n">
        <v>69.473578456968</v>
      </c>
      <c r="E31" s="13" t="n">
        <v>37.218</v>
      </c>
      <c r="F31" s="13" t="n">
        <v>117.866</v>
      </c>
      <c r="G31" s="13" t="n">
        <v>159.969</v>
      </c>
      <c r="H31" s="14">
        <f>(H29-H30)</f>
        <v/>
      </c>
      <c r="I31" s="14">
        <f>(I29-I30)</f>
        <v/>
      </c>
      <c r="J31" s="14">
        <f>(J29-J30)</f>
        <v/>
      </c>
      <c r="K31" s="14">
        <f>(K29-K30)</f>
        <v/>
      </c>
      <c r="L31" s="14">
        <f>(L29-L30)</f>
        <v/>
      </c>
      <c r="M31" s="14">
        <f>(M29-M30)</f>
        <v/>
      </c>
      <c r="N31" s="14">
        <f>(N29-N30)</f>
        <v/>
      </c>
      <c r="O31" s="14">
        <f>(O29-O30)</f>
        <v/>
      </c>
      <c r="P31" s="14">
        <f>(P29-P30)</f>
        <v/>
      </c>
      <c r="Q31" s="14">
        <f>(Q29-Q30)</f>
        <v/>
      </c>
    </row>
    <row r="32">
      <c r="A32" t="inlineStr">
        <is>
          <t>SG&amp;A and other opex</t>
        </is>
      </c>
      <c r="B32" t="inlineStr">
        <is>
          <t>opex</t>
        </is>
      </c>
      <c r="D32" s="13" t="n">
        <v>20.983647454543</v>
      </c>
      <c r="E32" s="13" t="n">
        <v>16.226</v>
      </c>
      <c r="F32" s="13" t="n">
        <v>91.255</v>
      </c>
      <c r="G32" s="13" t="n">
        <v>134.645</v>
      </c>
      <c r="H32" s="14">
        <f>(H29*H13)</f>
        <v/>
      </c>
      <c r="I32" s="14">
        <f>(I29*I13)</f>
        <v/>
      </c>
      <c r="J32" s="14">
        <f>(J29*J13)</f>
        <v/>
      </c>
      <c r="K32" s="14">
        <f>(K29*K13)</f>
        <v/>
      </c>
      <c r="L32" s="14">
        <f>(L29*L13)</f>
        <v/>
      </c>
      <c r="M32" s="14">
        <f>(M29*M13)</f>
        <v/>
      </c>
      <c r="N32" s="14">
        <f>(N29*N13)</f>
        <v/>
      </c>
      <c r="O32" s="14">
        <f>(O29*O13)</f>
        <v/>
      </c>
      <c r="P32" s="14">
        <f>(P29*P13)</f>
        <v/>
      </c>
      <c r="Q32" s="14">
        <f>(Q29*Q13)</f>
        <v/>
      </c>
    </row>
    <row r="33">
      <c r="A33" t="inlineStr">
        <is>
          <t>EBIT</t>
        </is>
      </c>
      <c r="B33" t="inlineStr">
        <is>
          <t>ebit</t>
        </is>
      </c>
      <c r="D33" s="13" t="n">
        <v>48.489931002425</v>
      </c>
      <c r="E33" s="13" t="n">
        <v>20.992</v>
      </c>
      <c r="F33" s="13" t="n">
        <v>26.611</v>
      </c>
      <c r="G33" s="13" t="n">
        <v>25.324</v>
      </c>
      <c r="H33" s="14">
        <f>(H31-H32)</f>
        <v/>
      </c>
      <c r="I33" s="14">
        <f>(I31-I32)</f>
        <v/>
      </c>
      <c r="J33" s="14">
        <f>(J31-J32)</f>
        <v/>
      </c>
      <c r="K33" s="14">
        <f>(K31-K32)</f>
        <v/>
      </c>
      <c r="L33" s="14">
        <f>(L31-L32)</f>
        <v/>
      </c>
      <c r="M33" s="14">
        <f>(M31-M32)</f>
        <v/>
      </c>
      <c r="N33" s="14">
        <f>(N31-N32)</f>
        <v/>
      </c>
      <c r="O33" s="14">
        <f>(O31-O32)</f>
        <v/>
      </c>
      <c r="P33" s="14">
        <f>(P31-P32)</f>
        <v/>
      </c>
      <c r="Q33" s="14">
        <f>(Q31-Q32)</f>
        <v/>
      </c>
    </row>
    <row r="34">
      <c r="A34" t="inlineStr">
        <is>
          <t>Depreciation &amp; amortisation</t>
        </is>
      </c>
      <c r="B34" t="inlineStr">
        <is>
          <t>da</t>
        </is>
      </c>
      <c r="D34" s="13" t="n">
        <v>0.009312827986</v>
      </c>
      <c r="E34" s="13" t="n">
        <v>0.013</v>
      </c>
      <c r="F34" s="13" t="n">
        <v>99.857</v>
      </c>
      <c r="G34" s="13" t="n">
        <v>155.318</v>
      </c>
      <c r="H34" s="14">
        <f>(H29*H14)</f>
        <v/>
      </c>
      <c r="I34" s="14">
        <f>(I29*I14)</f>
        <v/>
      </c>
      <c r="J34" s="14">
        <f>(J29*J14)</f>
        <v/>
      </c>
      <c r="K34" s="14">
        <f>(K29*K14)</f>
        <v/>
      </c>
      <c r="L34" s="14">
        <f>(L29*L14)</f>
        <v/>
      </c>
      <c r="M34" s="14">
        <f>(M29*M14)</f>
        <v/>
      </c>
      <c r="N34" s="14">
        <f>(N29*N14)</f>
        <v/>
      </c>
      <c r="O34" s="14">
        <f>(O29*O14)</f>
        <v/>
      </c>
      <c r="P34" s="14">
        <f>(P29*P14)</f>
        <v/>
      </c>
      <c r="Q34" s="14">
        <f>(Q29*Q14)</f>
        <v/>
      </c>
    </row>
    <row r="35">
      <c r="A35" t="inlineStr">
        <is>
          <t>EBITDA</t>
        </is>
      </c>
      <c r="B35" t="inlineStr">
        <is>
          <t>ebitda</t>
        </is>
      </c>
      <c r="D35" s="13" t="n">
        <v>48.499243830411</v>
      </c>
      <c r="E35" s="13" t="n">
        <v>21.005</v>
      </c>
      <c r="F35" s="13" t="n">
        <v>126.468</v>
      </c>
      <c r="G35" s="13" t="n">
        <v>180.642</v>
      </c>
      <c r="H35" s="14">
        <f>(H33+H34)</f>
        <v/>
      </c>
      <c r="I35" s="14">
        <f>(I33+I34)</f>
        <v/>
      </c>
      <c r="J35" s="14">
        <f>(J33+J34)</f>
        <v/>
      </c>
      <c r="K35" s="14">
        <f>(K33+K34)</f>
        <v/>
      </c>
      <c r="L35" s="14">
        <f>(L33+L34)</f>
        <v/>
      </c>
      <c r="M35" s="14">
        <f>(M33+M34)</f>
        <v/>
      </c>
      <c r="N35" s="14">
        <f>(N33+N34)</f>
        <v/>
      </c>
      <c r="O35" s="14">
        <f>(O33+O34)</f>
        <v/>
      </c>
      <c r="P35" s="14">
        <f>(P33+P34)</f>
        <v/>
      </c>
      <c r="Q35" s="14">
        <f>(Q33+Q34)</f>
        <v/>
      </c>
    </row>
    <row r="36">
      <c r="A36" t="inlineStr">
        <is>
          <t>Interest expense</t>
        </is>
      </c>
      <c r="B36" t="inlineStr">
        <is>
          <t>interest_expense</t>
        </is>
      </c>
      <c r="D36" s="13" t="n">
        <v>0.856846594907</v>
      </c>
      <c r="E36" s="13" t="n">
        <v>0.954</v>
      </c>
      <c r="F36" s="13" t="n">
        <v>46.127</v>
      </c>
      <c r="G36" s="13" t="n">
        <v>96.072</v>
      </c>
      <c r="H36" s="14">
        <f>(G56*$C$18)</f>
        <v/>
      </c>
      <c r="I36" s="14">
        <f>(H56*$C$18)</f>
        <v/>
      </c>
      <c r="J36" s="14">
        <f>(I56*$C$18)</f>
        <v/>
      </c>
      <c r="K36" s="14">
        <f>(J56*$C$18)</f>
        <v/>
      </c>
      <c r="L36" s="14">
        <f>(K56*$C$18)</f>
        <v/>
      </c>
      <c r="M36" s="14">
        <f>(L56*$C$18)</f>
        <v/>
      </c>
      <c r="N36" s="14">
        <f>(M56*$C$18)</f>
        <v/>
      </c>
      <c r="O36" s="14">
        <f>(N56*$C$18)</f>
        <v/>
      </c>
      <c r="P36" s="14">
        <f>(O56*$C$18)</f>
        <v/>
      </c>
      <c r="Q36" s="14">
        <f>(P56*$C$18)</f>
        <v/>
      </c>
    </row>
    <row r="37">
      <c r="A37" t="inlineStr">
        <is>
          <t>Interest income</t>
        </is>
      </c>
      <c r="B37" t="inlineStr">
        <is>
          <t>interest_income</t>
        </is>
      </c>
      <c r="D37" s="13" t="n">
        <v>0.095691848466</v>
      </c>
      <c r="E37" s="13" t="n">
        <v>1.118</v>
      </c>
      <c r="F37" s="13" t="n">
        <v>3.758</v>
      </c>
      <c r="G37" s="13" t="n">
        <v>6.263</v>
      </c>
      <c r="H37" s="14">
        <f>(G55*$C$19)</f>
        <v/>
      </c>
      <c r="I37" s="14">
        <f>(H55*$C$19)</f>
        <v/>
      </c>
      <c r="J37" s="14">
        <f>(I55*$C$19)</f>
        <v/>
      </c>
      <c r="K37" s="14">
        <f>(J55*$C$19)</f>
        <v/>
      </c>
      <c r="L37" s="14">
        <f>(K55*$C$19)</f>
        <v/>
      </c>
      <c r="M37" s="14">
        <f>(L55*$C$19)</f>
        <v/>
      </c>
      <c r="N37" s="14">
        <f>(M55*$C$19)</f>
        <v/>
      </c>
      <c r="O37" s="14">
        <f>(N55*$C$19)</f>
        <v/>
      </c>
      <c r="P37" s="14">
        <f>(O55*$C$19)</f>
        <v/>
      </c>
      <c r="Q37" s="14">
        <f>(P55*$C$19)</f>
        <v/>
      </c>
    </row>
    <row r="38">
      <c r="A38" t="inlineStr">
        <is>
          <t>Other non-operating</t>
        </is>
      </c>
      <c r="B38" t="inlineStr">
        <is>
          <t>other_nonop</t>
        </is>
      </c>
      <c r="D38" s="13" t="n">
        <v>-9.020562075079397e-16</v>
      </c>
      <c r="E38" s="13" t="n">
        <v>-1.568</v>
      </c>
      <c r="F38" s="13" t="n">
        <v>186.798</v>
      </c>
      <c r="G38" s="13" t="n">
        <v>213.755</v>
      </c>
      <c r="H38" s="14">
        <f>H21</f>
        <v/>
      </c>
      <c r="I38" s="14">
        <f>I21</f>
        <v/>
      </c>
      <c r="J38" s="14">
        <f>J21</f>
        <v/>
      </c>
      <c r="K38" s="14">
        <f>K21</f>
        <v/>
      </c>
      <c r="L38" s="14">
        <f>L21</f>
        <v/>
      </c>
      <c r="M38" s="14">
        <f>M21</f>
        <v/>
      </c>
      <c r="N38" s="14">
        <f>N21</f>
        <v/>
      </c>
      <c r="O38" s="14">
        <f>O21</f>
        <v/>
      </c>
      <c r="P38" s="14">
        <f>P21</f>
        <v/>
      </c>
      <c r="Q38" s="14">
        <f>Q21</f>
        <v/>
      </c>
    </row>
    <row r="39">
      <c r="A39" t="inlineStr">
        <is>
          <t>Profit before tax</t>
        </is>
      </c>
      <c r="B39" t="inlineStr">
        <is>
          <t>pbt</t>
        </is>
      </c>
      <c r="D39" s="13" t="n">
        <v>47.728776255984</v>
      </c>
      <c r="E39" s="13" t="n">
        <v>19.588</v>
      </c>
      <c r="F39" s="13" t="n">
        <v>171.04</v>
      </c>
      <c r="G39" s="13" t="n">
        <v>149.27</v>
      </c>
      <c r="H39" s="14">
        <f>(((H33-H36)+H37)+H38)</f>
        <v/>
      </c>
      <c r="I39" s="14">
        <f>(((I33-I36)+I37)+I38)</f>
        <v/>
      </c>
      <c r="J39" s="14">
        <f>(((J33-J36)+J37)+J38)</f>
        <v/>
      </c>
      <c r="K39" s="14">
        <f>(((K33-K36)+K37)+K38)</f>
        <v/>
      </c>
      <c r="L39" s="14">
        <f>(((L33-L36)+L37)+L38)</f>
        <v/>
      </c>
      <c r="M39" s="14">
        <f>(((M33-M36)+M37)+M38)</f>
        <v/>
      </c>
      <c r="N39" s="14">
        <f>(((N33-N36)+N37)+N38)</f>
        <v/>
      </c>
      <c r="O39" s="14">
        <f>(((O33-O36)+O37)+O38)</f>
        <v/>
      </c>
      <c r="P39" s="14">
        <f>(((P33-P36)+P37)+P38)</f>
        <v/>
      </c>
      <c r="Q39" s="14">
        <f>(((Q33-Q36)+Q37)+Q38)</f>
        <v/>
      </c>
    </row>
    <row r="40">
      <c r="A40" t="inlineStr">
        <is>
          <t>Tax</t>
        </is>
      </c>
      <c r="B40" t="inlineStr">
        <is>
          <t>tax</t>
        </is>
      </c>
      <c r="D40" s="13" t="n">
        <v>11.578736722216</v>
      </c>
      <c r="E40" s="13" t="n">
        <v>4.338</v>
      </c>
      <c r="F40" s="13" t="n">
        <v>1.07</v>
      </c>
      <c r="G40" s="13" t="n">
        <v>-2.725</v>
      </c>
      <c r="H40" s="14">
        <f>(MAX(H39,0)*H17)</f>
        <v/>
      </c>
      <c r="I40" s="14">
        <f>(MAX(I39,0)*I17)</f>
        <v/>
      </c>
      <c r="J40" s="14">
        <f>(MAX(J39,0)*J17)</f>
        <v/>
      </c>
      <c r="K40" s="14">
        <f>(MAX(K39,0)*K17)</f>
        <v/>
      </c>
      <c r="L40" s="14">
        <f>(MAX(L39,0)*L17)</f>
        <v/>
      </c>
      <c r="M40" s="14">
        <f>(MAX(M39,0)*M17)</f>
        <v/>
      </c>
      <c r="N40" s="14">
        <f>(MAX(N39,0)*N17)</f>
        <v/>
      </c>
      <c r="O40" s="14">
        <f>(MAX(O39,0)*O17)</f>
        <v/>
      </c>
      <c r="P40" s="14">
        <f>(MAX(P39,0)*P17)</f>
        <v/>
      </c>
      <c r="Q40" s="14">
        <f>(MAX(Q39,0)*Q17)</f>
        <v/>
      </c>
    </row>
    <row r="41">
      <c r="A41" t="inlineStr">
        <is>
          <t>Net profit (incl. minorities)</t>
        </is>
      </c>
      <c r="B41" t="inlineStr">
        <is>
          <t>np</t>
        </is>
      </c>
      <c r="D41" s="13" t="n">
        <v>36.15003953376799</v>
      </c>
      <c r="E41" s="13" t="n">
        <v>15.25</v>
      </c>
      <c r="F41" s="13" t="n">
        <v>169.97</v>
      </c>
      <c r="G41" s="13" t="n">
        <v>151.995</v>
      </c>
      <c r="H41" s="14">
        <f>(H39-H40)</f>
        <v/>
      </c>
      <c r="I41" s="14">
        <f>(I39-I40)</f>
        <v/>
      </c>
      <c r="J41" s="14">
        <f>(J39-J40)</f>
        <v/>
      </c>
      <c r="K41" s="14">
        <f>(K39-K40)</f>
        <v/>
      </c>
      <c r="L41" s="14">
        <f>(L39-L40)</f>
        <v/>
      </c>
      <c r="M41" s="14">
        <f>(M39-M40)</f>
        <v/>
      </c>
      <c r="N41" s="14">
        <f>(N39-N40)</f>
        <v/>
      </c>
      <c r="O41" s="14">
        <f>(O39-O40)</f>
        <v/>
      </c>
      <c r="P41" s="14">
        <f>(P39-P40)</f>
        <v/>
      </c>
      <c r="Q41" s="14">
        <f>(Q39-Q40)</f>
        <v/>
      </c>
    </row>
    <row r="42">
      <c r="A42" t="inlineStr">
        <is>
          <t>Minority interests</t>
        </is>
      </c>
      <c r="B42" t="inlineStr">
        <is>
          <t>minority</t>
        </is>
      </c>
      <c r="D42" s="13" t="n">
        <v>-0.5446104299110033</v>
      </c>
      <c r="E42" s="13" t="n">
        <v>-0.3710000000000004</v>
      </c>
      <c r="F42" s="13" t="n">
        <v>9.185000000000002</v>
      </c>
      <c r="G42" s="13" t="n">
        <v>17.428</v>
      </c>
      <c r="H42" s="14">
        <f>(H41*H22)</f>
        <v/>
      </c>
      <c r="I42" s="14">
        <f>(I41*I22)</f>
        <v/>
      </c>
      <c r="J42" s="14">
        <f>(J41*J22)</f>
        <v/>
      </c>
      <c r="K42" s="14">
        <f>(K41*K22)</f>
        <v/>
      </c>
      <c r="L42" s="14">
        <f>(L41*L22)</f>
        <v/>
      </c>
      <c r="M42" s="14">
        <f>(M41*M22)</f>
        <v/>
      </c>
      <c r="N42" s="14">
        <f>(N41*N22)</f>
        <v/>
      </c>
      <c r="O42" s="14">
        <f>(O41*O22)</f>
        <v/>
      </c>
      <c r="P42" s="14">
        <f>(P41*P22)</f>
        <v/>
      </c>
      <c r="Q42" s="14">
        <f>(Q41*Q22)</f>
        <v/>
      </c>
    </row>
    <row r="43">
      <c r="A43" t="inlineStr">
        <is>
          <t>Net profit to parent</t>
        </is>
      </c>
      <c r="B43" t="inlineStr">
        <is>
          <t>np_parent</t>
        </is>
      </c>
      <c r="D43" s="13" t="n">
        <v>36.694649963679</v>
      </c>
      <c r="E43" s="13" t="n">
        <v>15.621</v>
      </c>
      <c r="F43" s="13" t="n">
        <v>160.785</v>
      </c>
      <c r="G43" s="13" t="n">
        <v>134.567</v>
      </c>
      <c r="H43" s="14">
        <f>(H41-H42)</f>
        <v/>
      </c>
      <c r="I43" s="14">
        <f>(I41-I42)</f>
        <v/>
      </c>
      <c r="J43" s="14">
        <f>(J41-J42)</f>
        <v/>
      </c>
      <c r="K43" s="14">
        <f>(K41-K42)</f>
        <v/>
      </c>
      <c r="L43" s="14">
        <f>(L41-L42)</f>
        <v/>
      </c>
      <c r="M43" s="14">
        <f>(M41-M42)</f>
        <v/>
      </c>
      <c r="N43" s="14">
        <f>(N41-N42)</f>
        <v/>
      </c>
      <c r="O43" s="14">
        <f>(O41-O42)</f>
        <v/>
      </c>
      <c r="P43" s="14">
        <f>(P41-P42)</f>
        <v/>
      </c>
      <c r="Q43" s="14">
        <f>(Q41-Q42)</f>
        <v/>
      </c>
    </row>
    <row r="44">
      <c r="A44" t="inlineStr">
        <is>
          <t>Shares outstanding (m)</t>
        </is>
      </c>
      <c r="B44" t="inlineStr">
        <is>
          <t>shares</t>
        </is>
      </c>
      <c r="D44" s="13" t="n">
        <v>112418.9</v>
      </c>
      <c r="E44" s="13" t="n">
        <v>112418.9</v>
      </c>
      <c r="F44" s="13" t="n">
        <v>112418.9</v>
      </c>
      <c r="G44" s="13" t="n">
        <v>112418.9</v>
      </c>
      <c r="H44" s="14">
        <f>(G44*(1+H24))</f>
        <v/>
      </c>
      <c r="I44" s="14">
        <f>(H44*(1+I24))</f>
        <v/>
      </c>
      <c r="J44" s="14">
        <f>(I44*(1+J24))</f>
        <v/>
      </c>
      <c r="K44" s="14">
        <f>(J44*(1+K24))</f>
        <v/>
      </c>
      <c r="L44" s="14">
        <f>(K44*(1+L24))</f>
        <v/>
      </c>
      <c r="M44" s="14">
        <f>(L44*(1+M24))</f>
        <v/>
      </c>
      <c r="N44" s="14">
        <f>(M44*(1+N24))</f>
        <v/>
      </c>
      <c r="O44" s="14">
        <f>(N44*(1+O24))</f>
        <v/>
      </c>
      <c r="P44" s="14">
        <f>(O44*(1+P24))</f>
        <v/>
      </c>
      <c r="Q44" s="14">
        <f>(P44*(1+Q24))</f>
        <v/>
      </c>
    </row>
    <row r="45">
      <c r="A45" t="inlineStr">
        <is>
          <t>EPS</t>
        </is>
      </c>
      <c r="B45" t="inlineStr">
        <is>
          <t>eps</t>
        </is>
      </c>
      <c r="D45" s="15" t="n">
        <v>0.0003264099716656096</v>
      </c>
      <c r="E45" s="15" t="n">
        <v>0.0001389535033699849</v>
      </c>
      <c r="F45" s="15" t="n">
        <v>0.001430231037663596</v>
      </c>
      <c r="G45" s="15" t="n">
        <v>0.001197014025221738</v>
      </c>
      <c r="H45" s="16">
        <f>(IF(H44=0,0,H43/H44)*$C$7)</f>
        <v/>
      </c>
      <c r="I45" s="16">
        <f>(IF(I44=0,0,I43/I44)*$C$7)</f>
        <v/>
      </c>
      <c r="J45" s="16">
        <f>(IF(J44=0,0,J43/J44)*$C$7)</f>
        <v/>
      </c>
      <c r="K45" s="16">
        <f>(IF(K44=0,0,K43/K44)*$C$7)</f>
        <v/>
      </c>
      <c r="L45" s="16">
        <f>(IF(L44=0,0,L43/L44)*$C$7)</f>
        <v/>
      </c>
      <c r="M45" s="16">
        <f>(IF(M44=0,0,M43/M44)*$C$7)</f>
        <v/>
      </c>
      <c r="N45" s="16">
        <f>(IF(N44=0,0,N43/N44)*$C$7)</f>
        <v/>
      </c>
      <c r="O45" s="16">
        <f>(IF(O44=0,0,O43/O44)*$C$7)</f>
        <v/>
      </c>
      <c r="P45" s="16">
        <f>(IF(P44=0,0,P43/P44)*$C$7)</f>
        <v/>
      </c>
      <c r="Q45" s="16">
        <f>(IF(Q44=0,0,Q43/Q44)*$C$7)</f>
        <v/>
      </c>
    </row>
    <row r="46">
      <c r="A46" t="inlineStr">
        <is>
          <t>DPS (declared on the year)</t>
        </is>
      </c>
      <c r="B46" t="inlineStr">
        <is>
          <t>dps</t>
        </is>
      </c>
      <c r="D46" s="15" t="n"/>
      <c r="E46" s="15" t="n">
        <v>0</v>
      </c>
      <c r="F46" s="15" t="n">
        <v>1.936368769775187e-05</v>
      </c>
      <c r="G46" s="15" t="n">
        <v>0.00017791</v>
      </c>
      <c r="H46" s="16">
        <f>(MAX(H45,0)*H23)</f>
        <v/>
      </c>
      <c r="I46" s="16">
        <f>(MAX(I45,0)*I23)</f>
        <v/>
      </c>
      <c r="J46" s="16">
        <f>(MAX(J45,0)*J23)</f>
        <v/>
      </c>
      <c r="K46" s="16">
        <f>(MAX(K45,0)*K23)</f>
        <v/>
      </c>
      <c r="L46" s="16">
        <f>(MAX(L45,0)*L23)</f>
        <v/>
      </c>
      <c r="M46" s="16">
        <f>(MAX(M45,0)*M23)</f>
        <v/>
      </c>
      <c r="N46" s="16">
        <f>(MAX(N45,0)*N23)</f>
        <v/>
      </c>
      <c r="O46" s="16">
        <f>(MAX(O45,0)*O23)</f>
        <v/>
      </c>
      <c r="P46" s="16">
        <f>(MAX(P45,0)*P23)</f>
        <v/>
      </c>
      <c r="Q46" s="16">
        <f>(MAX(Q45,0)*Q23)</f>
        <v/>
      </c>
    </row>
    <row r="47">
      <c r="A47" t="inlineStr">
        <is>
          <t>Dividends paid</t>
        </is>
      </c>
      <c r="B47" t="inlineStr">
        <is>
          <t>dividends_paid</t>
        </is>
      </c>
      <c r="D47" s="13" t="n"/>
      <c r="E47" s="13" t="n">
        <v>0</v>
      </c>
      <c r="F47" s="13" t="n">
        <v>2.232</v>
      </c>
      <c r="G47" s="13" t="n">
        <v>2</v>
      </c>
      <c r="H47" s="14">
        <f>IF($C$7=0,0,(G46*G44)/$C$7)</f>
        <v/>
      </c>
      <c r="I47" s="14">
        <f>IF($C$7=0,0,(H46*H44)/$C$7)</f>
        <v/>
      </c>
      <c r="J47" s="14">
        <f>IF($C$7=0,0,(I46*I44)/$C$7)</f>
        <v/>
      </c>
      <c r="K47" s="14">
        <f>IF($C$7=0,0,(J46*J44)/$C$7)</f>
        <v/>
      </c>
      <c r="L47" s="14">
        <f>IF($C$7=0,0,(K46*K44)/$C$7)</f>
        <v/>
      </c>
      <c r="M47" s="14">
        <f>IF($C$7=0,0,(L46*L44)/$C$7)</f>
        <v/>
      </c>
      <c r="N47" s="14">
        <f>IF($C$7=0,0,(M46*M44)/$C$7)</f>
        <v/>
      </c>
      <c r="O47" s="14">
        <f>IF($C$7=0,0,(N46*N44)/$C$7)</f>
        <v/>
      </c>
      <c r="P47" s="14">
        <f>IF($C$7=0,0,(O46*O44)/$C$7)</f>
        <v/>
      </c>
      <c r="Q47" s="14">
        <f>IF($C$7=0,0,(P46*P44)/$C$7)</f>
        <v/>
      </c>
    </row>
    <row r="48">
      <c r="A48" t="inlineStr">
        <is>
          <t>Capital expenditure</t>
        </is>
      </c>
      <c r="B48" t="inlineStr">
        <is>
          <t>capex</t>
        </is>
      </c>
      <c r="D48" s="13" t="n">
        <v>2.701289274822</v>
      </c>
      <c r="E48" s="13" t="n">
        <v>11.787</v>
      </c>
      <c r="F48" s="13" t="n">
        <v>143.704</v>
      </c>
      <c r="G48" s="13" t="n">
        <v>436.073</v>
      </c>
      <c r="H48" s="14">
        <f>(H29*H15)</f>
        <v/>
      </c>
      <c r="I48" s="14">
        <f>(I29*I15)</f>
        <v/>
      </c>
      <c r="J48" s="14">
        <f>(J29*J15)</f>
        <v/>
      </c>
      <c r="K48" s="14">
        <f>(K29*K15)</f>
        <v/>
      </c>
      <c r="L48" s="14">
        <f>(L29*L15)</f>
        <v/>
      </c>
      <c r="M48" s="14">
        <f>(M29*M15)</f>
        <v/>
      </c>
      <c r="N48" s="14">
        <f>(N29*N15)</f>
        <v/>
      </c>
      <c r="O48" s="14">
        <f>(O29*O15)</f>
        <v/>
      </c>
      <c r="P48" s="14">
        <f>(P29*P15)</f>
        <v/>
      </c>
      <c r="Q48" s="14">
        <f>(Q29*Q15)</f>
        <v/>
      </c>
    </row>
    <row r="49">
      <c r="A49" t="inlineStr">
        <is>
          <t>Change in working capital</t>
        </is>
      </c>
      <c r="B49" t="inlineStr">
        <is>
          <t>delta_nwc</t>
        </is>
      </c>
      <c r="D49" s="13" t="n"/>
      <c r="E49" s="13" t="n">
        <v>57.11300000000001</v>
      </c>
      <c r="F49" s="13" t="n">
        <v>73.50500000000002</v>
      </c>
      <c r="G49" s="13" t="n">
        <v>12.98899999999992</v>
      </c>
      <c r="H49" s="14">
        <f>(H54-G54)</f>
        <v/>
      </c>
      <c r="I49" s="14">
        <f>(I54-H54)</f>
        <v/>
      </c>
      <c r="J49" s="14">
        <f>(J54-I54)</f>
        <v/>
      </c>
      <c r="K49" s="14">
        <f>(K54-J54)</f>
        <v/>
      </c>
      <c r="L49" s="14">
        <f>(L54-K54)</f>
        <v/>
      </c>
      <c r="M49" s="14">
        <f>(M54-L54)</f>
        <v/>
      </c>
      <c r="N49" s="14">
        <f>(N54-M54)</f>
        <v/>
      </c>
      <c r="O49" s="14">
        <f>(O54-N54)</f>
        <v/>
      </c>
      <c r="P49" s="14">
        <f>(P54-O54)</f>
        <v/>
      </c>
      <c r="Q49" s="14">
        <f>(Q54-P54)</f>
        <v/>
      </c>
    </row>
    <row r="50">
      <c r="A50" t="inlineStr">
        <is>
          <t>Free cash flow to firm</t>
        </is>
      </c>
      <c r="B50" t="inlineStr">
        <is>
          <t>fcff</t>
        </is>
      </c>
      <c r="D50" s="13" t="n"/>
      <c r="E50" s="13" t="n">
        <v>-52.54393281600981</v>
      </c>
      <c r="F50" s="13" t="n">
        <v>-90.90747433348928</v>
      </c>
      <c r="G50" s="13" t="n">
        <v>-267.9576974609766</v>
      </c>
      <c r="H50" s="14">
        <f>((((H33*(1-H17))+H34)-H48)-H49)</f>
        <v/>
      </c>
      <c r="I50" s="14">
        <f>((((I33*(1-I17))+I34)-I48)-I49)</f>
        <v/>
      </c>
      <c r="J50" s="14">
        <f>((((J33*(1-J17))+J34)-J48)-J49)</f>
        <v/>
      </c>
      <c r="K50" s="14">
        <f>((((K33*(1-K17))+K34)-K48)-K49)</f>
        <v/>
      </c>
      <c r="L50" s="14">
        <f>((((L33*(1-L17))+L34)-L48)-L49)</f>
        <v/>
      </c>
      <c r="M50" s="14">
        <f>((((M33*(1-M17))+M34)-M48)-M49)</f>
        <v/>
      </c>
      <c r="N50" s="14">
        <f>((((N33*(1-N17))+N34)-N48)-N49)</f>
        <v/>
      </c>
      <c r="O50" s="14">
        <f>((((O33*(1-O17))+O34)-O48)-O49)</f>
        <v/>
      </c>
      <c r="P50" s="14">
        <f>((((P33*(1-P17))+P34)-P48)-P49)</f>
        <v/>
      </c>
      <c r="Q50" s="14">
        <f>((((Q33*(1-Q17))+Q34)-Q48)-Q49)</f>
        <v/>
      </c>
    </row>
    <row r="51">
      <c r="A51" t="inlineStr">
        <is>
          <t>Net borrowing</t>
        </is>
      </c>
      <c r="B51" t="inlineStr">
        <is>
          <t>net_borrowing</t>
        </is>
      </c>
      <c r="D51" s="13" t="n"/>
      <c r="E51" s="13" t="n">
        <v>73.973</v>
      </c>
      <c r="F51" s="13" t="n">
        <v>742.4010000000001</v>
      </c>
      <c r="G51" s="13" t="n">
        <v>632.375</v>
      </c>
      <c r="H51" s="14">
        <f>H20</f>
        <v/>
      </c>
      <c r="I51" s="14">
        <f>I20</f>
        <v/>
      </c>
      <c r="J51" s="14">
        <f>J20</f>
        <v/>
      </c>
      <c r="K51" s="14">
        <f>K20</f>
        <v/>
      </c>
      <c r="L51" s="14">
        <f>L20</f>
        <v/>
      </c>
      <c r="M51" s="14">
        <f>M20</f>
        <v/>
      </c>
      <c r="N51" s="14">
        <f>N20</f>
        <v/>
      </c>
      <c r="O51" s="14">
        <f>O20</f>
        <v/>
      </c>
      <c r="P51" s="14">
        <f>P20</f>
        <v/>
      </c>
      <c r="Q51" s="14">
        <f>Q20</f>
        <v/>
      </c>
    </row>
    <row r="52">
      <c r="A52" t="inlineStr">
        <is>
          <t>Dividends to minorities</t>
        </is>
      </c>
      <c r="B52" t="inlineStr">
        <is>
          <t>minority_div</t>
        </is>
      </c>
      <c r="D52" s="13" t="n"/>
      <c r="E52" s="13" t="n"/>
      <c r="F52" s="13" t="n"/>
      <c r="G52" s="13" t="n"/>
      <c r="H52" s="14">
        <f>(MAX(G42,0)*H23)</f>
        <v/>
      </c>
      <c r="I52" s="14">
        <f>(MAX(H42,0)*I23)</f>
        <v/>
      </c>
      <c r="J52" s="14">
        <f>(MAX(I42,0)*J23)</f>
        <v/>
      </c>
      <c r="K52" s="14">
        <f>(MAX(J42,0)*K23)</f>
        <v/>
      </c>
      <c r="L52" s="14">
        <f>(MAX(K42,0)*L23)</f>
        <v/>
      </c>
      <c r="M52" s="14">
        <f>(MAX(L42,0)*M23)</f>
        <v/>
      </c>
      <c r="N52" s="14">
        <f>(MAX(M42,0)*N23)</f>
        <v/>
      </c>
      <c r="O52" s="14">
        <f>(MAX(N42,0)*O23)</f>
        <v/>
      </c>
      <c r="P52" s="14">
        <f>(MAX(O42,0)*P23)</f>
        <v/>
      </c>
      <c r="Q52" s="14">
        <f>(MAX(P42,0)*Q23)</f>
        <v/>
      </c>
    </row>
    <row r="53">
      <c r="A53" t="inlineStr">
        <is>
          <t>Free cash flow to equity</t>
        </is>
      </c>
      <c r="B53" t="inlineStr">
        <is>
          <t>fcfe</t>
        </is>
      </c>
      <c r="D53" s="13" t="n"/>
      <c r="E53" s="13" t="n"/>
      <c r="F53" s="13" t="n"/>
      <c r="G53" s="13" t="n"/>
      <c r="H53" s="14">
        <f>(((((H41+H34)-H48)-H49)+H51)-H52)</f>
        <v/>
      </c>
      <c r="I53" s="14">
        <f>(((((I41+I34)-I48)-I49)+I51)-I52)</f>
        <v/>
      </c>
      <c r="J53" s="14">
        <f>(((((J41+J34)-J48)-J49)+J51)-J52)</f>
        <v/>
      </c>
      <c r="K53" s="14">
        <f>(((((K41+K34)-K48)-K49)+K51)-K52)</f>
        <v/>
      </c>
      <c r="L53" s="14">
        <f>(((((L41+L34)-L48)-L49)+L51)-L52)</f>
        <v/>
      </c>
      <c r="M53" s="14">
        <f>(((((M41+M34)-M48)-M49)+M51)-M52)</f>
        <v/>
      </c>
      <c r="N53" s="14">
        <f>(((((N41+N34)-N48)-N49)+N51)-N52)</f>
        <v/>
      </c>
      <c r="O53" s="14">
        <f>(((((O41+O34)-O48)-O49)+O51)-O52)</f>
        <v/>
      </c>
      <c r="P53" s="14">
        <f>(((((P41+P34)-P48)-P49)+P51)-P52)</f>
        <v/>
      </c>
      <c r="Q53" s="14">
        <f>(((((Q41+Q34)-Q48)-Q49)+Q51)-Q52)</f>
        <v/>
      </c>
    </row>
    <row r="54">
      <c r="A54" t="inlineStr">
        <is>
          <t>Operating working capital</t>
        </is>
      </c>
      <c r="B54" t="inlineStr">
        <is>
          <t>nwc</t>
        </is>
      </c>
      <c r="D54" s="13" t="n">
        <v>12.919</v>
      </c>
      <c r="E54" s="13" t="n">
        <v>70.03200000000001</v>
      </c>
      <c r="F54" s="13" t="n">
        <v>143.537</v>
      </c>
      <c r="G54" s="13" t="n">
        <v>156.526</v>
      </c>
      <c r="H54" s="14">
        <f>(H29*H16)</f>
        <v/>
      </c>
      <c r="I54" s="14">
        <f>(I29*I16)</f>
        <v/>
      </c>
      <c r="J54" s="14">
        <f>(J29*J16)</f>
        <v/>
      </c>
      <c r="K54" s="14">
        <f>(K29*K16)</f>
        <v/>
      </c>
      <c r="L54" s="14">
        <f>(L29*L16)</f>
        <v/>
      </c>
      <c r="M54" s="14">
        <f>(M29*M16)</f>
        <v/>
      </c>
      <c r="N54" s="14">
        <f>(N29*N16)</f>
        <v/>
      </c>
      <c r="O54" s="14">
        <f>(O29*O16)</f>
        <v/>
      </c>
      <c r="P54" s="14">
        <f>(P29*P16)</f>
        <v/>
      </c>
      <c r="Q54" s="14">
        <f>(Q29*Q16)</f>
        <v/>
      </c>
    </row>
    <row r="55">
      <c r="A55" t="inlineStr">
        <is>
          <t>Cash &amp; equivalents</t>
        </is>
      </c>
      <c r="B55" t="inlineStr">
        <is>
          <t>cash</t>
        </is>
      </c>
      <c r="D55" s="13" t="n">
        <v>16.193</v>
      </c>
      <c r="E55" s="13" t="n">
        <v>60.919</v>
      </c>
      <c r="F55" s="13" t="n">
        <v>304.163</v>
      </c>
      <c r="G55" s="13" t="n">
        <v>453.801</v>
      </c>
      <c r="H55" s="14">
        <f>(((((((G55+H41)+H34)-H48)-H49)+H51)-H47)-H52)</f>
        <v/>
      </c>
      <c r="I55" s="14">
        <f>(((((((H55+I41)+I34)-I48)-I49)+I51)-I47)-I52)</f>
        <v/>
      </c>
      <c r="J55" s="14">
        <f>(((((((I55+J41)+J34)-J48)-J49)+J51)-J47)-J52)</f>
        <v/>
      </c>
      <c r="K55" s="14">
        <f>(((((((J55+K41)+K34)-K48)-K49)+K51)-K47)-K52)</f>
        <v/>
      </c>
      <c r="L55" s="14">
        <f>(((((((K55+L41)+L34)-L48)-L49)+L51)-L47)-L52)</f>
        <v/>
      </c>
      <c r="M55" s="14">
        <f>(((((((L55+M41)+M34)-M48)-M49)+M51)-M47)-M52)</f>
        <v/>
      </c>
      <c r="N55" s="14">
        <f>(((((((M55+N41)+N34)-N48)-N49)+N51)-N47)-N52)</f>
        <v/>
      </c>
      <c r="O55" s="14">
        <f>(((((((N55+O41)+O34)-O48)-O49)+O51)-O47)-O52)</f>
        <v/>
      </c>
      <c r="P55" s="14">
        <f>(((((((O55+P41)+P34)-P48)-P49)+P51)-P47)-P52)</f>
        <v/>
      </c>
      <c r="Q55" s="14">
        <f>(((((((P55+Q41)+Q34)-Q48)-Q49)+Q51)-Q47)-Q52)</f>
        <v/>
      </c>
    </row>
    <row r="56">
      <c r="A56" t="inlineStr">
        <is>
          <t>Total debt</t>
        </is>
      </c>
      <c r="B56" t="inlineStr">
        <is>
          <t>debt</t>
        </is>
      </c>
      <c r="D56" s="13" t="n">
        <v>0</v>
      </c>
      <c r="E56" s="13" t="n">
        <v>73.973</v>
      </c>
      <c r="F56" s="13" t="n">
        <v>816.374</v>
      </c>
      <c r="G56" s="13" t="n">
        <v>1448.749</v>
      </c>
      <c r="H56" s="14">
        <f>(G56+H51)</f>
        <v/>
      </c>
      <c r="I56" s="14">
        <f>(H56+I51)</f>
        <v/>
      </c>
      <c r="J56" s="14">
        <f>(I56+J51)</f>
        <v/>
      </c>
      <c r="K56" s="14">
        <f>(J56+K51)</f>
        <v/>
      </c>
      <c r="L56" s="14">
        <f>(K56+L51)</f>
        <v/>
      </c>
      <c r="M56" s="14">
        <f>(L56+M51)</f>
        <v/>
      </c>
      <c r="N56" s="14">
        <f>(M56+N51)</f>
        <v/>
      </c>
      <c r="O56" s="14">
        <f>(N56+O51)</f>
        <v/>
      </c>
      <c r="P56" s="14">
        <f>(O56+P51)</f>
        <v/>
      </c>
      <c r="Q56" s="14">
        <f>(P56+Q51)</f>
        <v/>
      </c>
    </row>
    <row r="57">
      <c r="A57" t="inlineStr">
        <is>
          <t>Fixed assets (net)</t>
        </is>
      </c>
      <c r="B57" t="inlineStr">
        <is>
          <t>ppe</t>
        </is>
      </c>
      <c r="D57" s="13" t="n">
        <v>51.416</v>
      </c>
      <c r="E57" s="13" t="n">
        <v>62.242</v>
      </c>
      <c r="F57" s="13" t="n">
        <v>903.902</v>
      </c>
      <c r="G57" s="13" t="n">
        <v>1390.681</v>
      </c>
      <c r="H57" s="14">
        <f>((G57+H48)-H34)</f>
        <v/>
      </c>
      <c r="I57" s="14">
        <f>((H57+I48)-I34)</f>
        <v/>
      </c>
      <c r="J57" s="14">
        <f>((I57+J48)-J34)</f>
        <v/>
      </c>
      <c r="K57" s="14">
        <f>((J57+K48)-K34)</f>
        <v/>
      </c>
      <c r="L57" s="14">
        <f>((K57+L48)-L34)</f>
        <v/>
      </c>
      <c r="M57" s="14">
        <f>((L57+M48)-M34)</f>
        <v/>
      </c>
      <c r="N57" s="14">
        <f>((M57+N48)-N34)</f>
        <v/>
      </c>
      <c r="O57" s="14">
        <f>((N57+O48)-O34)</f>
        <v/>
      </c>
      <c r="P57" s="14">
        <f>((O57+P48)-P34)</f>
        <v/>
      </c>
      <c r="Q57" s="14">
        <f>((P57+Q48)-Q34)</f>
        <v/>
      </c>
    </row>
    <row r="58">
      <c r="A58" t="inlineStr">
        <is>
          <t>Parent shareholders' equity</t>
        </is>
      </c>
      <c r="B58" t="inlineStr">
        <is>
          <t>equity</t>
        </is>
      </c>
      <c r="D58" s="13" t="n">
        <v>69.748</v>
      </c>
      <c r="E58" s="13" t="n">
        <v>108.715</v>
      </c>
      <c r="F58" s="13" t="n">
        <v>306.151</v>
      </c>
      <c r="G58" s="13" t="n">
        <v>339.384</v>
      </c>
      <c r="H58" s="14">
        <f>((G58+H43)-H47)</f>
        <v/>
      </c>
      <c r="I58" s="14">
        <f>((H58+I43)-I47)</f>
        <v/>
      </c>
      <c r="J58" s="14">
        <f>((I58+J43)-J47)</f>
        <v/>
      </c>
      <c r="K58" s="14">
        <f>((J58+K43)-K47)</f>
        <v/>
      </c>
      <c r="L58" s="14">
        <f>((K58+L43)-L47)</f>
        <v/>
      </c>
      <c r="M58" s="14">
        <f>((L58+M43)-M47)</f>
        <v/>
      </c>
      <c r="N58" s="14">
        <f>((M58+N43)-N47)</f>
        <v/>
      </c>
      <c r="O58" s="14">
        <f>((N58+O43)-O47)</f>
        <v/>
      </c>
      <c r="P58" s="14">
        <f>((O58+P43)-P47)</f>
        <v/>
      </c>
      <c r="Q58" s="14">
        <f>((P58+Q43)-Q47)</f>
        <v/>
      </c>
    </row>
    <row r="59">
      <c r="A59" t="inlineStr">
        <is>
          <t>Minority interest (balance sheet)</t>
        </is>
      </c>
      <c r="B59" t="inlineStr">
        <is>
          <t>minority_bs</t>
        </is>
      </c>
      <c r="D59" s="13" t="n">
        <v>11.326</v>
      </c>
      <c r="E59" s="13" t="n">
        <v>11.987</v>
      </c>
      <c r="F59" s="13" t="n">
        <v>259.748</v>
      </c>
      <c r="G59" s="13" t="n">
        <v>287.026</v>
      </c>
      <c r="H59" s="14">
        <f>((G59+H42)-H52)</f>
        <v/>
      </c>
      <c r="I59" s="14">
        <f>((H59+I42)-I52)</f>
        <v/>
      </c>
      <c r="J59" s="14">
        <f>((I59+J42)-J52)</f>
        <v/>
      </c>
      <c r="K59" s="14">
        <f>((J59+K42)-K52)</f>
        <v/>
      </c>
      <c r="L59" s="14">
        <f>((K59+L42)-L52)</f>
        <v/>
      </c>
      <c r="M59" s="14">
        <f>((L59+M42)-M52)</f>
        <v/>
      </c>
      <c r="N59" s="14">
        <f>((M59+N42)-N52)</f>
        <v/>
      </c>
      <c r="O59" s="14">
        <f>((N59+O42)-O52)</f>
        <v/>
      </c>
      <c r="P59" s="14">
        <f>((O59+P42)-P52)</f>
        <v/>
      </c>
      <c r="Q59" s="14">
        <f>((P59+Q42)-Q52)</f>
        <v/>
      </c>
    </row>
    <row r="60">
      <c r="A60" t="inlineStr">
        <is>
          <t>Other assets less other liabilities</t>
        </is>
      </c>
      <c r="B60" t="inlineStr">
        <is>
          <t>other_net</t>
        </is>
      </c>
      <c r="D60" s="13" t="n">
        <v>0.5460000000000207</v>
      </c>
      <c r="E60" s="13" t="n">
        <v>1.481999999999964</v>
      </c>
      <c r="F60" s="13" t="n">
        <v>30.67100000000005</v>
      </c>
      <c r="G60" s="13" t="n">
        <v>74.15100000000029</v>
      </c>
      <c r="H60" s="14">
        <f>G60</f>
        <v/>
      </c>
      <c r="I60" s="14">
        <f>H60</f>
        <v/>
      </c>
      <c r="J60" s="14">
        <f>I60</f>
        <v/>
      </c>
      <c r="K60" s="14">
        <f>J60</f>
        <v/>
      </c>
      <c r="L60" s="14">
        <f>K60</f>
        <v/>
      </c>
      <c r="M60" s="14">
        <f>L60</f>
        <v/>
      </c>
      <c r="N60" s="14">
        <f>M60</f>
        <v/>
      </c>
      <c r="O60" s="14">
        <f>N60</f>
        <v/>
      </c>
      <c r="P60" s="14">
        <f>O60</f>
        <v/>
      </c>
      <c r="Q60" s="14">
        <f>P60</f>
        <v/>
      </c>
    </row>
    <row r="61">
      <c r="A61" t="inlineStr">
        <is>
          <t>Balance check (should be zero)</t>
        </is>
      </c>
      <c r="B61" t="inlineStr">
        <is>
          <t>bs_check</t>
        </is>
      </c>
      <c r="D61" s="13" t="n"/>
      <c r="E61" s="13" t="n"/>
      <c r="F61" s="13" t="n"/>
      <c r="G61" s="13" t="n"/>
      <c r="H61" s="14">
        <f>((((((H55+H54)+H57)+H60)-H56)-H58)-H59)</f>
        <v/>
      </c>
      <c r="I61" s="14">
        <f>((((((I55+I54)+I57)+I60)-I56)-I58)-I59)</f>
        <v/>
      </c>
      <c r="J61" s="14">
        <f>((((((J55+J54)+J57)+J60)-J56)-J58)-J59)</f>
        <v/>
      </c>
      <c r="K61" s="14">
        <f>((((((K55+K54)+K57)+K60)-K56)-K58)-K59)</f>
        <v/>
      </c>
      <c r="L61" s="14">
        <f>((((((L55+L54)+L57)+L60)-L56)-L58)-L59)</f>
        <v/>
      </c>
      <c r="M61" s="14">
        <f>((((((M55+M54)+M57)+M60)-M56)-M58)-M59)</f>
        <v/>
      </c>
      <c r="N61" s="14">
        <f>((((((N55+N54)+N57)+N60)-N56)-N58)-N59)</f>
        <v/>
      </c>
      <c r="O61" s="14">
        <f>((((((O55+O54)+O57)+O60)-O56)-O58)-O59)</f>
        <v/>
      </c>
      <c r="P61" s="14">
        <f>((((((P55+P54)+P57)+P60)-P56)-P58)-P59)</f>
        <v/>
      </c>
      <c r="Q61" s="14">
        <f>((((((Q55+Q54)+Q57)+Q60)-Q56)-Q58)-Q59)</f>
        <v/>
      </c>
    </row>
    <row r="62">
      <c r="A62" t="inlineStr">
        <is>
          <t>Net debt (cash)</t>
        </is>
      </c>
      <c r="B62" t="inlineStr">
        <is>
          <t>net_debt</t>
        </is>
      </c>
      <c r="D62" s="13" t="n">
        <v>-16.193</v>
      </c>
      <c r="E62" s="13" t="n">
        <v>13.054</v>
      </c>
      <c r="F62" s="13" t="n">
        <v>512.211</v>
      </c>
      <c r="G62" s="13" t="n">
        <v>994.9480000000001</v>
      </c>
      <c r="H62" s="14">
        <f>(H56-H55)</f>
        <v/>
      </c>
      <c r="I62" s="14">
        <f>(I56-I55)</f>
        <v/>
      </c>
      <c r="J62" s="14">
        <f>(J56-J55)</f>
        <v/>
      </c>
      <c r="K62" s="14">
        <f>(K56-K55)</f>
        <v/>
      </c>
      <c r="L62" s="14">
        <f>(L56-L55)</f>
        <v/>
      </c>
      <c r="M62" s="14">
        <f>(M56-M55)</f>
        <v/>
      </c>
      <c r="N62" s="14">
        <f>(N56-N55)</f>
        <v/>
      </c>
      <c r="O62" s="14">
        <f>(O56-O55)</f>
        <v/>
      </c>
      <c r="P62" s="14">
        <f>(P56-P55)</f>
        <v/>
      </c>
      <c r="Q62" s="14">
        <f>(Q56-Q55)</f>
        <v/>
      </c>
    </row>
    <row r="63">
      <c r="A63" t="inlineStr">
        <is>
          <t>Book value per share</t>
        </is>
      </c>
      <c r="B63" t="inlineStr">
        <is>
          <t>bvps</t>
        </is>
      </c>
      <c r="D63" s="15" t="n">
        <v>0.0006204294829428149</v>
      </c>
      <c r="E63" s="15" t="n">
        <v>0.0009670526930969794</v>
      </c>
      <c r="F63" s="15" t="n">
        <v>0.0027233054228426</v>
      </c>
      <c r="G63" s="15" t="n">
        <v>0.003018922974695536</v>
      </c>
      <c r="H63" s="16">
        <f>(IF(H44=0,0,H58/H44)*$C$7)</f>
        <v/>
      </c>
      <c r="I63" s="16">
        <f>(IF(I44=0,0,I58/I44)*$C$7)</f>
        <v/>
      </c>
      <c r="J63" s="16">
        <f>(IF(J44=0,0,J58/J44)*$C$7)</f>
        <v/>
      </c>
      <c r="K63" s="16">
        <f>(IF(K44=0,0,K58/K44)*$C$7)</f>
        <v/>
      </c>
      <c r="L63" s="16">
        <f>(IF(L44=0,0,L58/L44)*$C$7)</f>
        <v/>
      </c>
      <c r="M63" s="16">
        <f>(IF(M44=0,0,M58/M44)*$C$7)</f>
        <v/>
      </c>
      <c r="N63" s="16">
        <f>(IF(N44=0,0,N58/N44)*$C$7)</f>
        <v/>
      </c>
      <c r="O63" s="16">
        <f>(IF(O44=0,0,O58/O44)*$C$7)</f>
        <v/>
      </c>
      <c r="P63" s="16">
        <f>(IF(P44=0,0,P58/P44)*$C$7)</f>
        <v/>
      </c>
      <c r="Q63" s="16">
        <f>(IF(Q44=0,0,Q58/Q44)*$C$7)</f>
        <v/>
      </c>
    </row>
    <row r="64">
      <c r="A64" t="inlineStr">
        <is>
          <t>Revenue growth</t>
        </is>
      </c>
      <c r="B64" t="inlineStr">
        <is>
          <t>revenue_growth</t>
        </is>
      </c>
      <c r="D64" s="4" t="n"/>
      <c r="E64" s="4" t="n">
        <v>0.002841888833638118</v>
      </c>
      <c r="F64" s="4" t="n">
        <v>7.185607955647672</v>
      </c>
      <c r="G64" s="4" t="n">
        <v>0.5162568617839329</v>
      </c>
      <c r="H64" s="17">
        <f>(IF(G29=0,0,H29/G29)-1)</f>
        <v/>
      </c>
      <c r="I64" s="17">
        <f>(IF(H29=0,0,I29/H29)-1)</f>
        <v/>
      </c>
      <c r="J64" s="17">
        <f>(IF(I29=0,0,J29/I29)-1)</f>
        <v/>
      </c>
      <c r="K64" s="17">
        <f>(IF(J29=0,0,K29/J29)-1)</f>
        <v/>
      </c>
      <c r="L64" s="17">
        <f>(IF(K29=0,0,L29/K29)-1)</f>
        <v/>
      </c>
      <c r="M64" s="17">
        <f>(IF(L29=0,0,M29/L29)-1)</f>
        <v/>
      </c>
      <c r="N64" s="17">
        <f>(IF(M29=0,0,N29/M29)-1)</f>
        <v/>
      </c>
      <c r="O64" s="17">
        <f>(IF(N29=0,0,O29/N29)-1)</f>
        <v/>
      </c>
      <c r="P64" s="17">
        <f>(IF(O29=0,0,P29/O29)-1)</f>
        <v/>
      </c>
      <c r="Q64" s="17">
        <f>(IF(P29=0,0,Q29/P29)-1)</f>
        <v/>
      </c>
    </row>
    <row r="65">
      <c r="A65" t="inlineStr">
        <is>
          <t>Gross margin</t>
        </is>
      </c>
      <c r="B65" t="inlineStr">
        <is>
          <t>gross_margin</t>
        </is>
      </c>
      <c r="D65" s="4" t="n">
        <v>0.711342460858027</v>
      </c>
      <c r="E65" s="4" t="n">
        <v>0.3799965285931614</v>
      </c>
      <c r="F65" s="4" t="n">
        <v>0.1470158645816573</v>
      </c>
      <c r="G65" s="4" t="n">
        <v>0.1315947937592237</v>
      </c>
      <c r="H65" s="17">
        <f>IF(H29=0,0,H31/H29)</f>
        <v/>
      </c>
      <c r="I65" s="17">
        <f>IF(I29=0,0,I31/I29)</f>
        <v/>
      </c>
      <c r="J65" s="17">
        <f>IF(J29=0,0,J31/J29)</f>
        <v/>
      </c>
      <c r="K65" s="17">
        <f>IF(K29=0,0,K31/K29)</f>
        <v/>
      </c>
      <c r="L65" s="17">
        <f>IF(L29=0,0,L31/L29)</f>
        <v/>
      </c>
      <c r="M65" s="17">
        <f>IF(M29=0,0,M31/M29)</f>
        <v/>
      </c>
      <c r="N65" s="17">
        <f>IF(N29=0,0,N31/N29)</f>
        <v/>
      </c>
      <c r="O65" s="17">
        <f>IF(O29=0,0,O31/O29)</f>
        <v/>
      </c>
      <c r="P65" s="17">
        <f>IF(P29=0,0,P31/P29)</f>
        <v/>
      </c>
      <c r="Q65" s="17">
        <f>IF(Q29=0,0,Q31/Q29)</f>
        <v/>
      </c>
    </row>
    <row r="66">
      <c r="A66" t="inlineStr">
        <is>
          <t>EBITDA margin</t>
        </is>
      </c>
      <c r="B66" t="inlineStr">
        <is>
          <t>ebitda_margin</t>
        </is>
      </c>
      <c r="D66" s="4" t="n">
        <v>0.4965854965632311</v>
      </c>
      <c r="E66" s="4" t="n">
        <v>0.2144614724891008</v>
      </c>
      <c r="F66" s="4" t="n">
        <v>0.1577452561545571</v>
      </c>
      <c r="G66" s="4" t="n">
        <v>0.1486009585247998</v>
      </c>
      <c r="H66" s="17">
        <f>IF(H29=0,0,H35/H29)</f>
        <v/>
      </c>
      <c r="I66" s="17">
        <f>IF(I29=0,0,I35/I29)</f>
        <v/>
      </c>
      <c r="J66" s="17">
        <f>IF(J29=0,0,J35/J29)</f>
        <v/>
      </c>
      <c r="K66" s="17">
        <f>IF(K29=0,0,K35/K29)</f>
        <v/>
      </c>
      <c r="L66" s="17">
        <f>IF(L29=0,0,L35/L29)</f>
        <v/>
      </c>
      <c r="M66" s="17">
        <f>IF(M29=0,0,M35/M29)</f>
        <v/>
      </c>
      <c r="N66" s="17">
        <f>IF(N29=0,0,N35/N29)</f>
        <v/>
      </c>
      <c r="O66" s="17">
        <f>IF(O29=0,0,O35/O29)</f>
        <v/>
      </c>
      <c r="P66" s="17">
        <f>IF(P29=0,0,P35/P29)</f>
        <v/>
      </c>
      <c r="Q66" s="17">
        <f>IF(Q29=0,0,Q35/Q29)</f>
        <v/>
      </c>
    </row>
    <row r="67">
      <c r="A67" t="inlineStr">
        <is>
          <t>EBIT margin</t>
        </is>
      </c>
      <c r="B67" t="inlineStr">
        <is>
          <t>ebit_margin</t>
        </is>
      </c>
      <c r="D67" s="4" t="n">
        <v>0.4964901421835627</v>
      </c>
      <c r="E67" s="4" t="n">
        <v>0.2143287422276222</v>
      </c>
      <c r="F67" s="4" t="n">
        <v>0.03319226216536136</v>
      </c>
      <c r="G67" s="4" t="n">
        <v>0.02083220222142153</v>
      </c>
      <c r="H67" s="17">
        <f>IF(H29=0,0,H33/H29)</f>
        <v/>
      </c>
      <c r="I67" s="17">
        <f>IF(I29=0,0,I33/I29)</f>
        <v/>
      </c>
      <c r="J67" s="17">
        <f>IF(J29=0,0,J33/J29)</f>
        <v/>
      </c>
      <c r="K67" s="17">
        <f>IF(K29=0,0,K33/K29)</f>
        <v/>
      </c>
      <c r="L67" s="17">
        <f>IF(L29=0,0,L33/L29)</f>
        <v/>
      </c>
      <c r="M67" s="17">
        <f>IF(M29=0,0,M33/M29)</f>
        <v/>
      </c>
      <c r="N67" s="17">
        <f>IF(N29=0,0,N33/N29)</f>
        <v/>
      </c>
      <c r="O67" s="17">
        <f>IF(O29=0,0,O33/O29)</f>
        <v/>
      </c>
      <c r="P67" s="17">
        <f>IF(P29=0,0,P33/P29)</f>
        <v/>
      </c>
      <c r="Q67" s="17">
        <f>IF(Q29=0,0,Q33/Q29)</f>
        <v/>
      </c>
    </row>
    <row r="68">
      <c r="A68" t="inlineStr">
        <is>
          <t>Net margin</t>
        </is>
      </c>
      <c r="B68" t="inlineStr">
        <is>
          <t>np_margin</t>
        </is>
      </c>
      <c r="D68" s="4" t="n">
        <v>0.3757178366975183</v>
      </c>
      <c r="E68" s="4" t="n">
        <v>0.1594907241967267</v>
      </c>
      <c r="F68" s="4" t="n">
        <v>0.2005493169087079</v>
      </c>
      <c r="G68" s="4" t="n">
        <v>0.1106984266438964</v>
      </c>
      <c r="H68" s="17">
        <f>IF(H29=0,0,H43/H29)</f>
        <v/>
      </c>
      <c r="I68" s="17">
        <f>IF(I29=0,0,I43/I29)</f>
        <v/>
      </c>
      <c r="J68" s="17">
        <f>IF(J29=0,0,J43/J29)</f>
        <v/>
      </c>
      <c r="K68" s="17">
        <f>IF(K29=0,0,K43/K29)</f>
        <v/>
      </c>
      <c r="L68" s="17">
        <f>IF(L29=0,0,L43/L29)</f>
        <v/>
      </c>
      <c r="M68" s="17">
        <f>IF(M29=0,0,M43/M29)</f>
        <v/>
      </c>
      <c r="N68" s="17">
        <f>IF(N29=0,0,N43/N29)</f>
        <v/>
      </c>
      <c r="O68" s="17">
        <f>IF(O29=0,0,O43/O29)</f>
        <v/>
      </c>
      <c r="P68" s="17">
        <f>IF(P29=0,0,P43/P29)</f>
        <v/>
      </c>
      <c r="Q68" s="17">
        <f>IF(Q29=0,0,Q43/Q29)</f>
        <v/>
      </c>
    </row>
    <row r="69">
      <c r="A69" t="inlineStr">
        <is>
          <t>EPS growth</t>
        </is>
      </c>
      <c r="B69" t="inlineStr">
        <is>
          <t>eps_growth</t>
        </is>
      </c>
      <c r="D69" s="4" t="n"/>
      <c r="E69" s="4" t="n">
        <v>-0.5742976151710961</v>
      </c>
      <c r="F69" s="4" t="n">
        <v>9.292874975993854</v>
      </c>
      <c r="G69" s="4" t="n">
        <v>-0.1630624747333393</v>
      </c>
      <c r="H69" s="17">
        <f>(IF(G45=0,0,H45/G45)-1)</f>
        <v/>
      </c>
      <c r="I69" s="17">
        <f>(IF(H45=0,0,I45/H45)-1)</f>
        <v/>
      </c>
      <c r="J69" s="17">
        <f>(IF(I45=0,0,J45/I45)-1)</f>
        <v/>
      </c>
      <c r="K69" s="17">
        <f>(IF(J45=0,0,K45/J45)-1)</f>
        <v/>
      </c>
      <c r="L69" s="17">
        <f>(IF(K45=0,0,L45/K45)-1)</f>
        <v/>
      </c>
      <c r="M69" s="17">
        <f>(IF(L45=0,0,M45/L45)-1)</f>
        <v/>
      </c>
      <c r="N69" s="17">
        <f>(IF(M45=0,0,N45/M45)-1)</f>
        <v/>
      </c>
      <c r="O69" s="17">
        <f>(IF(N45=0,0,O45/N45)-1)</f>
        <v/>
      </c>
      <c r="P69" s="17">
        <f>(IF(O45=0,0,P45/O45)-1)</f>
        <v/>
      </c>
      <c r="Q69" s="17">
        <f>(IF(P45=0,0,Q45/P45)-1)</f>
        <v/>
      </c>
    </row>
    <row r="70">
      <c r="A70" t="inlineStr">
        <is>
          <t>ROE</t>
        </is>
      </c>
      <c r="B70" t="inlineStr">
        <is>
          <t>roe</t>
        </is>
      </c>
      <c r="D70" s="4" t="n"/>
      <c r="E70" s="4" t="n">
        <v>0.1750614973411856</v>
      </c>
      <c r="F70" s="4" t="n">
        <v>0.7751177488634885</v>
      </c>
      <c r="G70" s="4" t="n">
        <v>0.4169162012904025</v>
      </c>
      <c r="H70" s="17">
        <f>IF(IF(2=0,0,(H58+G58)/2)=0,0,H43/IF(2=0,0,(H58+G58)/2))</f>
        <v/>
      </c>
      <c r="I70" s="17">
        <f>IF(IF(2=0,0,(I58+H58)/2)=0,0,I43/IF(2=0,0,(I58+H58)/2))</f>
        <v/>
      </c>
      <c r="J70" s="17">
        <f>IF(IF(2=0,0,(J58+I58)/2)=0,0,J43/IF(2=0,0,(J58+I58)/2))</f>
        <v/>
      </c>
      <c r="K70" s="17">
        <f>IF(IF(2=0,0,(K58+J58)/2)=0,0,K43/IF(2=0,0,(K58+J58)/2))</f>
        <v/>
      </c>
      <c r="L70" s="17">
        <f>IF(IF(2=0,0,(L58+K58)/2)=0,0,L43/IF(2=0,0,(L58+K58)/2))</f>
        <v/>
      </c>
      <c r="M70" s="17">
        <f>IF(IF(2=0,0,(M58+L58)/2)=0,0,M43/IF(2=0,0,(M58+L58)/2))</f>
        <v/>
      </c>
      <c r="N70" s="17">
        <f>IF(IF(2=0,0,(N58+M58)/2)=0,0,N43/IF(2=0,0,(N58+M58)/2))</f>
        <v/>
      </c>
      <c r="O70" s="17">
        <f>IF(IF(2=0,0,(O58+N58)/2)=0,0,O43/IF(2=0,0,(O58+N58)/2))</f>
        <v/>
      </c>
      <c r="P70" s="17">
        <f>IF(IF(2=0,0,(P58+O58)/2)=0,0,P43/IF(2=0,0,(P58+O58)/2))</f>
        <v/>
      </c>
      <c r="Q70" s="17">
        <f>IF(IF(2=0,0,(Q58+P58)/2)=0,0,Q43/IF(2=0,0,(Q58+P58)/2))</f>
        <v/>
      </c>
    </row>
    <row r="71">
      <c r="A71" t="inlineStr">
        <is>
          <t>Net debt / EBITDA</t>
        </is>
      </c>
      <c r="B71" t="inlineStr">
        <is>
          <t>net_debt_ebitda</t>
        </is>
      </c>
      <c r="D71" s="18" t="n">
        <v>-0.3338814942480883</v>
      </c>
      <c r="E71" s="18" t="n">
        <v>0.621471078314687</v>
      </c>
      <c r="F71" s="18" t="n">
        <v>4.050123351361609</v>
      </c>
      <c r="G71" s="18" t="n">
        <v>5.507844244417134</v>
      </c>
      <c r="H71" s="19">
        <f>IF(H35=0,0,H62/H35)</f>
        <v/>
      </c>
      <c r="I71" s="19">
        <f>IF(I35=0,0,I62/I35)</f>
        <v/>
      </c>
      <c r="J71" s="19">
        <f>IF(J35=0,0,J62/J35)</f>
        <v/>
      </c>
      <c r="K71" s="19">
        <f>IF(K35=0,0,K62/K35)</f>
        <v/>
      </c>
      <c r="L71" s="19">
        <f>IF(L35=0,0,L62/L35)</f>
        <v/>
      </c>
      <c r="M71" s="19">
        <f>IF(M35=0,0,M62/M35)</f>
        <v/>
      </c>
      <c r="N71" s="19">
        <f>IF(N35=0,0,N62/N35)</f>
        <v/>
      </c>
      <c r="O71" s="19">
        <f>IF(O35=0,0,O62/O35)</f>
        <v/>
      </c>
      <c r="P71" s="19">
        <f>IF(P35=0,0,P62/P35)</f>
        <v/>
      </c>
      <c r="Q71" s="19">
        <f>IF(Q35=0,0,Q62/Q35)</f>
        <v/>
      </c>
    </row>
    <row r="72">
      <c r="A72" t="inlineStr">
        <is>
          <t>Payout ratio</t>
        </is>
      </c>
      <c r="B72" t="inlineStr">
        <is>
          <t>payout_ratio</t>
        </is>
      </c>
      <c r="D72" s="4" t="n"/>
      <c r="E72" s="4" t="n">
        <v>0</v>
      </c>
      <c r="F72" s="4" t="n">
        <v>0.01353885294601361</v>
      </c>
      <c r="G72" s="4" t="n">
        <v>0.148628166630749</v>
      </c>
      <c r="H72" s="17">
        <f>IF(H45=0,0,H46/H45)</f>
        <v/>
      </c>
      <c r="I72" s="17">
        <f>IF(I45=0,0,I46/I45)</f>
        <v/>
      </c>
      <c r="J72" s="17">
        <f>IF(J45=0,0,J46/J45)</f>
        <v/>
      </c>
      <c r="K72" s="17">
        <f>IF(K45=0,0,K46/K45)</f>
        <v/>
      </c>
      <c r="L72" s="17">
        <f>IF(L45=0,0,L46/L45)</f>
        <v/>
      </c>
      <c r="M72" s="17">
        <f>IF(M45=0,0,M46/M45)</f>
        <v/>
      </c>
      <c r="N72" s="17">
        <f>IF(N45=0,0,N46/N45)</f>
        <v/>
      </c>
      <c r="O72" s="17">
        <f>IF(O45=0,0,O46/O45)</f>
        <v/>
      </c>
      <c r="P72" s="17">
        <f>IF(P45=0,0,P46/P45)</f>
        <v/>
      </c>
      <c r="Q72" s="17">
        <f>IF(Q45=0,0,Q46/Q45)</f>
        <v/>
      </c>
    </row>
    <row r="73">
      <c r="A73" t="inlineStr">
        <is>
          <t>Capex / revenue</t>
        </is>
      </c>
      <c r="B73" t="inlineStr">
        <is>
          <t>capex_revenue</t>
        </is>
      </c>
      <c r="D73" s="4" t="n">
        <v>0.02765859774203918</v>
      </c>
      <c r="E73" s="4" t="n">
        <v>0.120345507080649</v>
      </c>
      <c r="F73" s="4" t="n">
        <v>0.1792439533355037</v>
      </c>
      <c r="G73" s="4" t="n">
        <v>0.3587253561562925</v>
      </c>
      <c r="H73" s="17">
        <f>IF(H29=0,0,H48/H29)</f>
        <v/>
      </c>
      <c r="I73" s="17">
        <f>IF(I29=0,0,I48/I29)</f>
        <v/>
      </c>
      <c r="J73" s="17">
        <f>IF(J29=0,0,J48/J29)</f>
        <v/>
      </c>
      <c r="K73" s="17">
        <f>IF(K29=0,0,K48/K29)</f>
        <v/>
      </c>
      <c r="L73" s="17">
        <f>IF(L29=0,0,L48/L29)</f>
        <v/>
      </c>
      <c r="M73" s="17">
        <f>IF(M29=0,0,M48/M29)</f>
        <v/>
      </c>
      <c r="N73" s="17">
        <f>IF(N29=0,0,N48/N29)</f>
        <v/>
      </c>
      <c r="O73" s="17">
        <f>IF(O29=0,0,O48/O29)</f>
        <v/>
      </c>
      <c r="P73" s="17">
        <f>IF(P29=0,0,P48/P29)</f>
        <v/>
      </c>
      <c r="Q73" s="17">
        <f>IF(Q29=0,0,Q48/Q29)</f>
        <v/>
      </c>
    </row>
    <row r="75">
      <c r="A75" s="1" t="inlineStr">
        <is>
          <t>VALUATION</t>
        </is>
      </c>
    </row>
    <row r="76">
      <c r="A76" t="inlineStr">
        <is>
          <t>Last price (IDR)</t>
        </is>
      </c>
      <c r="C76" s="15" t="n">
        <v>505</v>
      </c>
    </row>
    <row r="77">
      <c r="A77" t="inlineStr">
        <is>
          <t>Shares outstanding (m)</t>
        </is>
      </c>
      <c r="C77" s="13" t="n">
        <v>112399.1994</v>
      </c>
    </row>
    <row r="78">
      <c r="A78" t="inlineStr">
        <is>
          <t>IDR per USD (spot)</t>
        </is>
      </c>
      <c r="C78" s="3" t="n">
        <v>18183</v>
      </c>
    </row>
    <row r="79">
      <c r="A79" t="inlineStr">
        <is>
          <t>Debt at balance-sheet date</t>
        </is>
      </c>
      <c r="C79" s="13" t="n">
        <v>1426.519</v>
      </c>
    </row>
    <row r="80">
      <c r="A80" t="inlineStr">
        <is>
          <t>Cash at balance-sheet date</t>
        </is>
      </c>
      <c r="C80" s="13" t="n">
        <v>449.092</v>
      </c>
    </row>
    <row r="81">
      <c r="A81" t="inlineStr">
        <is>
          <t>Minority interest (book)</t>
        </is>
      </c>
      <c r="C81" s="13" t="n">
        <v>291.21</v>
      </c>
    </row>
    <row r="82">
      <c r="A82" t="inlineStr">
        <is>
          <t>Associates &amp; investments (book)</t>
        </is>
      </c>
      <c r="C82" s="13" t="n">
        <v>33.982</v>
      </c>
    </row>
    <row r="83">
      <c r="A83" t="inlineStr">
        <is>
          <t>Post-balance-sheet &amp; other items (sourced, probability-weighted)</t>
        </is>
      </c>
      <c r="C83" s="13" t="n">
        <v>-20.2</v>
      </c>
    </row>
    <row r="84">
      <c r="A84" t="inlineStr">
        <is>
          <t>Parent equity at balance-sheet date</t>
        </is>
      </c>
      <c r="C84" s="13" t="n">
        <v>347.161</v>
      </c>
    </row>
    <row r="85">
      <c r="A85" t="inlineStr">
        <is>
          <t>Per-share factor</t>
        </is>
      </c>
      <c r="C85" s="20" t="n">
        <v>1</v>
      </c>
    </row>
    <row r="86">
      <c r="A86" t="inlineStr">
        <is>
          <t>Risk-free rate</t>
        </is>
      </c>
      <c r="C86" s="8">
        <f>Drivers!$C$8</f>
        <v/>
      </c>
    </row>
    <row r="87">
      <c r="A87" t="inlineStr">
        <is>
          <t>Less: default spread (IDR only)</t>
        </is>
      </c>
      <c r="C87" s="8" t="n">
        <v>0</v>
      </c>
    </row>
    <row r="88">
      <c r="A88" t="inlineStr">
        <is>
          <t>Mature ERP + Indonesia CRP</t>
        </is>
      </c>
      <c r="C88" s="8">
        <f>Drivers!$C$10+Drivers!$C$11</f>
        <v/>
      </c>
    </row>
    <row r="89">
      <c r="A89" t="inlineStr">
        <is>
          <t>Tax rate</t>
        </is>
      </c>
      <c r="C89" s="8">
        <f>Drivers!$C$13</f>
        <v/>
      </c>
    </row>
    <row r="90">
      <c r="A90" t="inlineStr">
        <is>
          <t>Unlevered beta (industry default (config))</t>
        </is>
      </c>
      <c r="C90" s="21" t="n">
        <v>0.9</v>
      </c>
    </row>
    <row r="91">
      <c r="A91" t="inlineStr">
        <is>
          <t>Debt / equity (market)</t>
        </is>
      </c>
      <c r="C91" s="21" t="n">
        <v>0.4569708560601814</v>
      </c>
    </row>
    <row r="92">
      <c r="A92" t="inlineStr">
        <is>
          <t>Levered beta</t>
        </is>
      </c>
      <c r="C92" s="22">
        <f>$C$90*(1+(1-$C$89)*$C$91)</f>
        <v/>
      </c>
    </row>
    <row r="93">
      <c r="A93" t="inlineStr">
        <is>
          <t>Explicit company premium</t>
        </is>
      </c>
      <c r="C93" s="4" t="n">
        <v>0</v>
      </c>
    </row>
    <row r="94">
      <c r="A94" t="inlineStr">
        <is>
          <t>Cost of equity</t>
        </is>
      </c>
      <c r="C94" s="10">
        <f>$C$86-$C$87+$C$92*$C$88+$C$93</f>
        <v/>
      </c>
    </row>
    <row r="95">
      <c r="A95" t="inlineStr">
        <is>
          <t>Pre-tax cost of debt</t>
        </is>
      </c>
      <c r="C95" s="10">
        <f>$C$86+Drivers!$C$12</f>
        <v/>
      </c>
    </row>
    <row r="96">
      <c r="A96" t="inlineStr">
        <is>
          <t>WACC</t>
        </is>
      </c>
      <c r="C96" s="10">
        <f>1/(1+$C$91)*$C$94+$C$91/(1+$C$91)*$C$95*(1-$C$89)</f>
        <v/>
      </c>
    </row>
    <row r="97">
      <c r="A97" t="inlineStr">
        <is>
          <t>Terminal growth (capped)</t>
        </is>
      </c>
      <c r="C97" s="4" t="n">
        <v>0.02</v>
      </c>
    </row>
    <row r="99">
      <c r="A99" s="1" t="inlineStr">
        <is>
          <t>Sum of the parts</t>
        </is>
      </c>
    </row>
    <row r="100">
      <c r="A100" t="inlineStr">
        <is>
          <t>Value per share (IDR) — Sum of the parts (engine value)</t>
        </is>
      </c>
      <c r="C100" s="15" t="n">
        <v>39.31252</v>
      </c>
    </row>
    <row r="102">
      <c r="A102" s="1" t="inlineStr">
        <is>
          <t>P/BV</t>
        </is>
      </c>
    </row>
    <row r="103">
      <c r="A103" t="inlineStr">
        <is>
          <t>Target multiple (peer median (own history unavailable))</t>
        </is>
      </c>
      <c r="C103" s="18" t="n">
        <v>0.845401</v>
      </c>
    </row>
    <row r="104">
      <c r="A104" t="inlineStr">
        <is>
          <t>Metric (LTM, or next-12m DPS for yield)</t>
        </is>
      </c>
      <c r="C104" s="13" t="n">
        <v>347.161</v>
      </c>
    </row>
    <row r="105">
      <c r="A105" t="inlineStr">
        <is>
          <t>Value per share (IDR) — P/BV</t>
        </is>
      </c>
      <c r="C105" s="23">
        <f>MAX(0,$C$103*$C$104/$C$77*$C$85*$C$78)</f>
        <v/>
      </c>
    </row>
    <row r="107">
      <c r="A107" s="1" t="inlineStr">
        <is>
          <t>TARGET</t>
        </is>
      </c>
    </row>
    <row r="108">
      <c r="A108" t="inlineStr">
        <is>
          <t>Weight: Sum of the parts</t>
        </is>
      </c>
      <c r="C108" s="4" t="n">
        <v>0.833333</v>
      </c>
    </row>
    <row r="109">
      <c r="A109" t="inlineStr">
        <is>
          <t>Weight: P/BV</t>
        </is>
      </c>
      <c r="C109" s="4" t="n">
        <v>0.166667</v>
      </c>
    </row>
    <row r="110">
      <c r="A110" t="inlineStr">
        <is>
          <t>Value today (weighted)</t>
        </is>
      </c>
      <c r="C110" s="23">
        <f>$C$100*$C$108+$C$105*$C$109</f>
        <v/>
      </c>
    </row>
    <row r="111">
      <c r="A111" t="inlineStr">
        <is>
          <t>DPS expected in next 12 months (IDR)</t>
        </is>
      </c>
      <c r="C111" s="15" t="n">
        <v>0.005921282346156363</v>
      </c>
    </row>
    <row r="112">
      <c r="A112" t="inlineStr">
        <is>
          <t>Base-case 12-month value</t>
        </is>
      </c>
      <c r="C112" s="23">
        <f>MAX(0,$C$110*(1+$C$94)-$C$111)</f>
        <v/>
      </c>
    </row>
    <row r="113">
      <c r="A113" t="inlineStr">
        <is>
          <t>Bear probability</t>
        </is>
      </c>
      <c r="C113" s="4" t="n">
        <v>0.25</v>
      </c>
    </row>
    <row r="114">
      <c r="A114" t="inlineStr">
        <is>
          <t>Bear 12-month value (engine)</t>
        </is>
      </c>
      <c r="C114" s="15" t="n">
        <v>38.76687401121073</v>
      </c>
    </row>
    <row r="115">
      <c r="A115" t="inlineStr">
        <is>
          <t>Base probability</t>
        </is>
      </c>
      <c r="C115" s="4" t="n">
        <v>0.5</v>
      </c>
    </row>
    <row r="116">
      <c r="A116" t="inlineStr">
        <is>
          <t>Bull probability</t>
        </is>
      </c>
      <c r="C116" s="4" t="n">
        <v>0.25</v>
      </c>
    </row>
    <row r="117">
      <c r="A117" t="inlineStr">
        <is>
          <t>Bull 12-month value (engine)</t>
        </is>
      </c>
      <c r="C117" s="15" t="n">
        <v>53.03512433612789</v>
      </c>
    </row>
    <row r="118">
      <c r="A118" t="inlineStr">
        <is>
          <t>Probability-weighted 12-month value</t>
        </is>
      </c>
      <c r="C118" s="23">
        <f>$C$113*$C$114+$C$115*$C$112+$C$116*$C$117</f>
        <v/>
      </c>
    </row>
    <row r="119">
      <c r="A119" t="inlineStr">
        <is>
          <t>Liquidity discount (limits.yaml)</t>
        </is>
      </c>
      <c r="C119" s="4" t="n">
        <v>0</v>
      </c>
    </row>
    <row r="120">
      <c r="A120" t="inlineStr">
        <is>
          <t>Fundamental 12-month value (after liquidity discount)</t>
        </is>
      </c>
      <c r="C120" s="23">
        <f>$C$118*(1-$C$119)</f>
        <v/>
      </c>
    </row>
    <row r="121">
      <c r="A121" t="inlineStr">
        <is>
          <t>Konglo lens: price / fundamental value today (engine)</t>
        </is>
      </c>
      <c r="C121" s="18" t="n">
        <v>12.415948</v>
      </c>
    </row>
    <row r="122">
      <c r="A122" t="inlineStr">
        <is>
          <t>Regime bear: probability (konglo deck)</t>
        </is>
      </c>
      <c r="C122" s="4" t="n">
        <v>0.25</v>
      </c>
    </row>
    <row r="123">
      <c r="A123" t="inlineStr">
        <is>
          <t>Regime bear: share of the log gap closed in 12 months</t>
        </is>
      </c>
      <c r="C123" s="4" t="n">
        <v>0.75</v>
      </c>
    </row>
    <row r="124">
      <c r="A124" t="inlineStr">
        <is>
          <t>Regime base: probability (konglo deck)</t>
        </is>
      </c>
      <c r="C124" s="4" t="n">
        <v>0.5</v>
      </c>
    </row>
    <row r="125">
      <c r="A125" t="inlineStr">
        <is>
          <t>Regime base: share of the log gap closed in 12 months</t>
        </is>
      </c>
      <c r="C125" s="4" t="n">
        <v>0.35</v>
      </c>
    </row>
    <row r="126">
      <c r="A126" t="inlineStr">
        <is>
          <t>Regime bull: probability (konglo deck)</t>
        </is>
      </c>
      <c r="C126" s="4" t="n">
        <v>0.25</v>
      </c>
    </row>
    <row r="127">
      <c r="A127" t="inlineStr">
        <is>
          <t>Regime bull: share of the log gap closed in 12 months</t>
        </is>
      </c>
      <c r="C127" s="4" t="n">
        <v>-0.1</v>
      </c>
    </row>
    <row r="128">
      <c r="A128" t="inlineStr">
        <is>
          <t>Share of today's premium kept (probability-weighted)</t>
        </is>
      </c>
      <c r="C128" s="27">
        <f>$C$122*$C$121^(1-$C$123)+$C$124*$C$121^(1-$C$125)+$C$126*$C$121^(1-$C$127)</f>
        <v/>
      </c>
    </row>
    <row r="129">
      <c r="A129" t="inlineStr">
        <is>
          <t>TARGET PRICE (IDR) — konglo lens</t>
        </is>
      </c>
      <c r="C129" s="24">
        <f>$C$120*$C$128</f>
        <v/>
      </c>
    </row>
    <row r="130">
      <c r="A130" t="inlineStr">
        <is>
          <t>Expected 12-month total return</t>
        </is>
      </c>
      <c r="C130" s="25">
        <f>($C$129+$C$111)/$C$76-1</f>
        <v/>
      </c>
    </row>
    <row r="131">
      <c r="A131" t="inlineStr">
        <is>
          <t>Rating</t>
        </is>
      </c>
      <c r="C131" s="26">
        <f>IF($C$130&gt;=0.25,"BUY",IF($C$130&gt;=0.1,"ADD",IF($C$130&lt;=-0.25,"SELL",IF($C$130&lt;=-0.1,"REDUCE","HOLD"))))</f>
        <v/>
      </c>
    </row>
    <row r="133">
      <c r="A133" s="1" t="inlineStr">
        <is>
          <t>12-month value vs holding-company discount and cost of equity (engine values)</t>
        </is>
      </c>
    </row>
    <row r="134">
      <c r="A134" s="5" t="inlineStr">
        <is>
          <t>rows: Cost of equity (+/- pp) · columns: Holdco discount (+/- pp)</t>
        </is>
      </c>
      <c r="D134" s="1" t="n">
        <v>-0.1</v>
      </c>
      <c r="E134" s="1" t="n">
        <v>-0.05</v>
      </c>
      <c r="F134" s="1" t="n">
        <v>0</v>
      </c>
      <c r="G134" s="1" t="n">
        <v>0.05</v>
      </c>
      <c r="H134" s="1" t="n">
        <v>0.1</v>
      </c>
    </row>
    <row r="135">
      <c r="C135" s="1" t="n">
        <v>-0.01</v>
      </c>
      <c r="D135" s="23" t="n">
        <v>50.886262</v>
      </c>
      <c r="E135" s="23" t="n">
        <v>48.260464</v>
      </c>
      <c r="F135" s="23" t="n">
        <v>45.634666</v>
      </c>
      <c r="G135" s="23" t="n">
        <v>43.008868</v>
      </c>
      <c r="H135" s="23" t="n">
        <v>40.38307</v>
      </c>
    </row>
    <row r="136">
      <c r="C136" s="1" t="n">
        <v>-0.005</v>
      </c>
      <c r="D136" s="23" t="n">
        <v>51.11303</v>
      </c>
      <c r="E136" s="23" t="n">
        <v>48.475532</v>
      </c>
      <c r="F136" s="23" t="n">
        <v>45.838034</v>
      </c>
      <c r="G136" s="23" t="n">
        <v>43.200535</v>
      </c>
      <c r="H136" s="23" t="n">
        <v>40.563037</v>
      </c>
    </row>
    <row r="137">
      <c r="C137" s="1" t="n">
        <v>0</v>
      </c>
      <c r="D137" s="23" t="n">
        <v>51.339798</v>
      </c>
      <c r="E137" s="23" t="n">
        <v>48.690599</v>
      </c>
      <c r="F137" s="23" t="n">
        <v>46.041401</v>
      </c>
      <c r="G137" s="23" t="n">
        <v>43.392203</v>
      </c>
      <c r="H137" s="23" t="n">
        <v>40.743004</v>
      </c>
    </row>
    <row r="138">
      <c r="C138" s="1" t="n">
        <v>0.005</v>
      </c>
      <c r="D138" s="23" t="n">
        <v>51.566566</v>
      </c>
      <c r="E138" s="23" t="n">
        <v>48.905667</v>
      </c>
      <c r="F138" s="23" t="n">
        <v>46.244769</v>
      </c>
      <c r="G138" s="23" t="n">
        <v>43.58387</v>
      </c>
      <c r="H138" s="23" t="n">
        <v>40.922971</v>
      </c>
    </row>
    <row r="139">
      <c r="C139" s="1" t="n">
        <v>0.01</v>
      </c>
      <c r="D139" s="23" t="n">
        <v>51.793333</v>
      </c>
      <c r="E139" s="23" t="n">
        <v>49.120735</v>
      </c>
      <c r="F139" s="23" t="n">
        <v>46.448136</v>
      </c>
      <c r="G139" s="23" t="n">
        <v>43.775537</v>
      </c>
      <c r="H139" s="23" t="n">
        <v>41.102939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3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1" t="inlineStr">
        <is>
          <t>PT Dian Swastatika Sentosa Tbk (DSSA.JK) — Conglomerates &amp; multi-sector holdings</t>
        </is>
      </c>
    </row>
    <row r="2">
      <c r="A2" s="5" t="inlineStr">
        <is>
          <t>Units: USD m; per-share in USD unless marked IDR. Model asof 2026-10-29 · data 2026-10-27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  <c r="M4" s="1" t="inlineStr">
        <is>
          <t>FY2031E</t>
        </is>
      </c>
      <c r="N4" s="1" t="inlineStr">
        <is>
          <t>FY2032E</t>
        </is>
      </c>
      <c r="O4" s="1" t="inlineStr">
        <is>
          <t>FY2033E</t>
        </is>
      </c>
      <c r="P4" s="1" t="inlineStr">
        <is>
          <t>FY2034E</t>
        </is>
      </c>
      <c r="Q4" s="1" t="inlineStr">
        <is>
          <t>FY2035E</t>
        </is>
      </c>
    </row>
    <row r="6">
      <c r="A6" s="1" t="inlineStr">
        <is>
          <t>PARAMETERS</t>
        </is>
      </c>
    </row>
    <row r="7">
      <c r="A7" t="inlineStr">
        <is>
          <t>ps_factor</t>
        </is>
      </c>
      <c r="C7" s="12" t="n">
        <v>1</v>
      </c>
    </row>
    <row r="8">
      <c r="A8" t="inlineStr">
        <is>
          <t>vp_factor</t>
        </is>
      </c>
      <c r="C8" s="12" t="n">
        <v>1</v>
      </c>
    </row>
    <row r="10">
      <c r="A10" s="1" t="inlineStr">
        <is>
          <t>INPUTS (company assumptions)</t>
        </is>
      </c>
    </row>
    <row r="11">
      <c r="A11" t="inlineStr">
        <is>
          <t>Revenue growth</t>
        </is>
      </c>
      <c r="B11" t="inlineStr">
        <is>
          <t>a.revenue_growth</t>
        </is>
      </c>
      <c r="H11" s="4" t="n">
        <v>0.1</v>
      </c>
      <c r="I11" s="4" t="n">
        <v>-0.05</v>
      </c>
      <c r="J11" s="4" t="n">
        <v>-0.06</v>
      </c>
      <c r="K11" s="4" t="n">
        <v>-0.06</v>
      </c>
      <c r="L11" s="4" t="n">
        <v>-0.06</v>
      </c>
      <c r="M11" s="4" t="n">
        <v>-0.05</v>
      </c>
      <c r="N11" s="4" t="n">
        <v>-0.05</v>
      </c>
      <c r="O11" s="4" t="n">
        <v>-0.05</v>
      </c>
      <c r="P11" s="4" t="n">
        <v>-0.05</v>
      </c>
      <c r="Q11" s="4" t="n">
        <v>-0.05</v>
      </c>
    </row>
    <row r="12">
      <c r="A12" t="inlineStr">
        <is>
          <t>Gross margin at base input costs</t>
        </is>
      </c>
      <c r="B12" t="inlineStr">
        <is>
          <t>a.gross_margin</t>
        </is>
      </c>
      <c r="H12" s="4" t="n">
        <v>0.337361</v>
      </c>
      <c r="I12" s="4" t="n">
        <v>0.337361</v>
      </c>
      <c r="J12" s="4" t="n">
        <v>0.337361</v>
      </c>
      <c r="K12" s="4" t="n">
        <v>0.337361</v>
      </c>
      <c r="L12" s="4" t="n">
        <v>0.337361</v>
      </c>
      <c r="M12" s="4" t="n">
        <v>0.337361</v>
      </c>
      <c r="N12" s="4" t="n">
        <v>0.337361</v>
      </c>
      <c r="O12" s="4" t="n">
        <v>0.337361</v>
      </c>
      <c r="P12" s="4" t="n">
        <v>0.337361</v>
      </c>
      <c r="Q12" s="4" t="n">
        <v>0.337361</v>
      </c>
    </row>
    <row r="13">
      <c r="A13" t="inlineStr">
        <is>
          <t>SG&amp;A / revenue</t>
        </is>
      </c>
      <c r="B13" t="inlineStr">
        <is>
          <t>a.opex_pct</t>
        </is>
      </c>
      <c r="H13" s="4" t="n">
        <v>0.193723</v>
      </c>
      <c r="I13" s="4" t="n">
        <v>0.193723</v>
      </c>
      <c r="J13" s="4" t="n">
        <v>0.193723</v>
      </c>
      <c r="K13" s="4" t="n">
        <v>0.193723</v>
      </c>
      <c r="L13" s="4" t="n">
        <v>0.193723</v>
      </c>
      <c r="M13" s="4" t="n">
        <v>0.193723</v>
      </c>
      <c r="N13" s="4" t="n">
        <v>0.193723</v>
      </c>
      <c r="O13" s="4" t="n">
        <v>0.193723</v>
      </c>
      <c r="P13" s="4" t="n">
        <v>0.193723</v>
      </c>
      <c r="Q13" s="4" t="n">
        <v>0.193723</v>
      </c>
    </row>
    <row r="14">
      <c r="A14" t="inlineStr">
        <is>
          <t>D&amp;A / revenue</t>
        </is>
      </c>
      <c r="B14" t="inlineStr">
        <is>
          <t>a.da_pct</t>
        </is>
      </c>
      <c r="H14" s="4" t="n">
        <v>0.028005</v>
      </c>
      <c r="I14" s="4" t="n">
        <v>0.028005</v>
      </c>
      <c r="J14" s="4" t="n">
        <v>0.028005</v>
      </c>
      <c r="K14" s="4" t="n">
        <v>0.028005</v>
      </c>
      <c r="L14" s="4" t="n">
        <v>0.028005</v>
      </c>
      <c r="M14" s="4" t="n">
        <v>0.028005</v>
      </c>
      <c r="N14" s="4" t="n">
        <v>0.028005</v>
      </c>
      <c r="O14" s="4" t="n">
        <v>0.028005</v>
      </c>
      <c r="P14" s="4" t="n">
        <v>0.028005</v>
      </c>
      <c r="Q14" s="4" t="n">
        <v>0.028005</v>
      </c>
    </row>
    <row r="15">
      <c r="A15" t="inlineStr">
        <is>
          <t>Capex / revenue</t>
        </is>
      </c>
      <c r="B15" t="inlineStr">
        <is>
          <t>a.capex_pct</t>
        </is>
      </c>
      <c r="H15" s="4" t="n">
        <v>0.167325</v>
      </c>
      <c r="I15" s="4" t="n">
        <v>0.167325</v>
      </c>
      <c r="J15" s="4" t="n">
        <v>0.167325</v>
      </c>
      <c r="K15" s="4" t="n">
        <v>0.167325</v>
      </c>
      <c r="L15" s="4" t="n">
        <v>0.167325</v>
      </c>
      <c r="M15" s="4" t="n">
        <v>0.167325</v>
      </c>
      <c r="N15" s="4" t="n">
        <v>0.167325</v>
      </c>
      <c r="O15" s="4" t="n">
        <v>0.167325</v>
      </c>
      <c r="P15" s="4" t="n">
        <v>0.167325</v>
      </c>
      <c r="Q15" s="4" t="n">
        <v>0.167325</v>
      </c>
    </row>
    <row r="16">
      <c r="A16" t="inlineStr">
        <is>
          <t>Operating working capital / revenue</t>
        </is>
      </c>
      <c r="B16" t="inlineStr">
        <is>
          <t>a.nwc_pct</t>
        </is>
      </c>
      <c r="H16" s="4" t="n">
        <v>0.155985</v>
      </c>
      <c r="I16" s="4" t="n">
        <v>0.155985</v>
      </c>
      <c r="J16" s="4" t="n">
        <v>0.155985</v>
      </c>
      <c r="K16" s="4" t="n">
        <v>0.155985</v>
      </c>
      <c r="L16" s="4" t="n">
        <v>0.155985</v>
      </c>
      <c r="M16" s="4" t="n">
        <v>0.155985</v>
      </c>
      <c r="N16" s="4" t="n">
        <v>0.155985</v>
      </c>
      <c r="O16" s="4" t="n">
        <v>0.155985</v>
      </c>
      <c r="P16" s="4" t="n">
        <v>0.155985</v>
      </c>
      <c r="Q16" s="4" t="n">
        <v>0.155985</v>
      </c>
    </row>
    <row r="17">
      <c r="A17" t="inlineStr">
        <is>
          <t>Effective tax rate</t>
        </is>
      </c>
      <c r="B17" t="inlineStr">
        <is>
          <t>a.tax_rate</t>
        </is>
      </c>
      <c r="H17" s="4" t="n">
        <v>0.241607</v>
      </c>
      <c r="I17" s="4" t="n">
        <v>0.241607</v>
      </c>
      <c r="J17" s="4" t="n">
        <v>0.241607</v>
      </c>
      <c r="K17" s="4" t="n">
        <v>0.241607</v>
      </c>
      <c r="L17" s="4" t="n">
        <v>0.241607</v>
      </c>
      <c r="M17" s="4" t="n">
        <v>0.241607</v>
      </c>
      <c r="N17" s="4" t="n">
        <v>0.241607</v>
      </c>
      <c r="O17" s="4" t="n">
        <v>0.241607</v>
      </c>
      <c r="P17" s="4" t="n">
        <v>0.241607</v>
      </c>
      <c r="Q17" s="4" t="n">
        <v>0.241607</v>
      </c>
    </row>
    <row r="18">
      <c r="A18" t="inlineStr">
        <is>
          <t>Cost of debt (on opening debt)</t>
        </is>
      </c>
      <c r="B18" t="inlineStr">
        <is>
          <t>a.cost_of_debt</t>
        </is>
      </c>
      <c r="C18" s="4" t="n">
        <v>0.066581</v>
      </c>
    </row>
    <row r="19">
      <c r="A19" t="inlineStr">
        <is>
          <t>Yield on opening cash</t>
        </is>
      </c>
      <c r="B19" t="inlineStr">
        <is>
          <t>a.cash_yield</t>
        </is>
      </c>
      <c r="C19" s="4" t="n">
        <v>0.07000000000000001</v>
      </c>
    </row>
    <row r="20">
      <c r="A20" t="inlineStr">
        <is>
          <t>Net new borrowing</t>
        </is>
      </c>
      <c r="B20" t="inlineStr">
        <is>
          <t>a.net_borrowing</t>
        </is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</row>
    <row r="21">
      <c r="A21" t="inlineStr">
        <is>
          <t>Other non-operating items</t>
        </is>
      </c>
      <c r="B21" t="inlineStr">
        <is>
          <t>a.other_nonop</t>
        </is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</row>
    <row r="22">
      <c r="A22" t="inlineStr">
        <is>
          <t>Minorities' share of net profit</t>
        </is>
      </c>
      <c r="B22" t="inlineStr">
        <is>
          <t>a.minority_pct</t>
        </is>
      </c>
      <c r="H22" s="4" t="n">
        <v>0.43326</v>
      </c>
      <c r="I22" s="4" t="n">
        <v>0.43326</v>
      </c>
      <c r="J22" s="4" t="n">
        <v>0.43326</v>
      </c>
      <c r="K22" s="4" t="n">
        <v>0.43326</v>
      </c>
      <c r="L22" s="4" t="n">
        <v>0.43326</v>
      </c>
      <c r="M22" s="4" t="n">
        <v>0.43326</v>
      </c>
      <c r="N22" s="4" t="n">
        <v>0.43326</v>
      </c>
      <c r="O22" s="4" t="n">
        <v>0.43326</v>
      </c>
      <c r="P22" s="4" t="n">
        <v>0.43326</v>
      </c>
      <c r="Q22" s="4" t="n">
        <v>0.43326</v>
      </c>
    </row>
    <row r="23">
      <c r="A23" t="inlineStr">
        <is>
          <t>Dividend payout</t>
        </is>
      </c>
      <c r="B23" t="inlineStr">
        <is>
          <t>a.payout</t>
        </is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</row>
    <row r="24">
      <c r="A24" t="inlineStr">
        <is>
          <t>Change in share count</t>
        </is>
      </c>
      <c r="B24" t="inlineStr">
        <is>
          <t>a.share_change</t>
        </is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</row>
    <row r="25">
      <c r="A25" t="inlineStr">
        <is>
          <t>Terminal growth (DCF)</t>
        </is>
      </c>
      <c r="B25" t="inlineStr">
        <is>
          <t>a.terminal_growth</t>
        </is>
      </c>
      <c r="C25" s="4" t="n">
        <v>0.02</v>
      </c>
    </row>
    <row r="26">
      <c r="A26" t="inlineStr">
        <is>
          <t>Holding-company discount to SOTP</t>
        </is>
      </c>
      <c r="B26" t="inlineStr">
        <is>
          <t>a.holdco_discount</t>
        </is>
      </c>
      <c r="C26" s="4" t="n">
        <v>0.3</v>
      </c>
    </row>
    <row r="28">
      <c r="A28" s="1" t="inlineStr">
        <is>
          <t>MODEL</t>
        </is>
      </c>
    </row>
    <row r="29">
      <c r="A29" t="inlineStr">
        <is>
          <t>Revenue</t>
        </is>
      </c>
      <c r="B29" t="inlineStr">
        <is>
          <t>revenue</t>
        </is>
      </c>
      <c r="D29" s="13" t="n">
        <v>5956.105798</v>
      </c>
      <c r="E29" s="13" t="n">
        <v>5014.659972</v>
      </c>
      <c r="F29" s="13" t="n">
        <v>3017.79603</v>
      </c>
      <c r="G29" s="13" t="n">
        <v>2791.216594</v>
      </c>
      <c r="H29" s="14">
        <f>(G29*(1+H11))</f>
        <v/>
      </c>
      <c r="I29" s="14">
        <f>(H29*(1+I11))</f>
        <v/>
      </c>
      <c r="J29" s="14">
        <f>(I29*(1+J11))</f>
        <v/>
      </c>
      <c r="K29" s="14">
        <f>(J29*(1+K11))</f>
        <v/>
      </c>
      <c r="L29" s="14">
        <f>(K29*(1+L11))</f>
        <v/>
      </c>
      <c r="M29" s="14">
        <f>(L29*(1+M11))</f>
        <v/>
      </c>
      <c r="N29" s="14">
        <f>(M29*(1+N11))</f>
        <v/>
      </c>
      <c r="O29" s="14">
        <f>(N29*(1+O11))</f>
        <v/>
      </c>
      <c r="P29" s="14">
        <f>(O29*(1+P11))</f>
        <v/>
      </c>
      <c r="Q29" s="14">
        <f>(P29*(1+Q11))</f>
        <v/>
      </c>
    </row>
    <row r="30">
      <c r="A30" t="inlineStr">
        <is>
          <t>Cost of revenue</t>
        </is>
      </c>
      <c r="B30" t="inlineStr">
        <is>
          <t>cogs</t>
        </is>
      </c>
      <c r="D30" s="13" t="n">
        <v>3318.073368</v>
      </c>
      <c r="E30" s="13" t="n">
        <v>2942.400531</v>
      </c>
      <c r="F30" s="13" t="n">
        <v>1789.388822</v>
      </c>
      <c r="G30" s="13" t="n">
        <v>1849.6</v>
      </c>
      <c r="H30" s="14">
        <f>(H29*(1-H12))</f>
        <v/>
      </c>
      <c r="I30" s="14">
        <f>(I29*(1-I12))</f>
        <v/>
      </c>
      <c r="J30" s="14">
        <f>(J29*(1-J12))</f>
        <v/>
      </c>
      <c r="K30" s="14">
        <f>(K29*(1-K12))</f>
        <v/>
      </c>
      <c r="L30" s="14">
        <f>(L29*(1-L12))</f>
        <v/>
      </c>
      <c r="M30" s="14">
        <f>(M29*(1-M12))</f>
        <v/>
      </c>
      <c r="N30" s="14">
        <f>(N29*(1-N12))</f>
        <v/>
      </c>
      <c r="O30" s="14">
        <f>(O29*(1-O12))</f>
        <v/>
      </c>
      <c r="P30" s="14">
        <f>(P29*(1-P12))</f>
        <v/>
      </c>
      <c r="Q30" s="14">
        <f>(Q29*(1-Q12))</f>
        <v/>
      </c>
    </row>
    <row r="31">
      <c r="A31" t="inlineStr">
        <is>
          <t>Gross profit</t>
        </is>
      </c>
      <c r="B31" t="inlineStr">
        <is>
          <t>gross_profit</t>
        </is>
      </c>
      <c r="D31" s="13" t="n">
        <v>2638.03243</v>
      </c>
      <c r="E31" s="13" t="n">
        <v>2072.259441</v>
      </c>
      <c r="F31" s="13" t="n">
        <v>1228.407208</v>
      </c>
      <c r="G31" s="13" t="n">
        <v>941.656015</v>
      </c>
      <c r="H31" s="14">
        <f>(H29-H30)</f>
        <v/>
      </c>
      <c r="I31" s="14">
        <f>(I29-I30)</f>
        <v/>
      </c>
      <c r="J31" s="14">
        <f>(J29-J30)</f>
        <v/>
      </c>
      <c r="K31" s="14">
        <f>(K29-K30)</f>
        <v/>
      </c>
      <c r="L31" s="14">
        <f>(L29-L30)</f>
        <v/>
      </c>
      <c r="M31" s="14">
        <f>(M29-M30)</f>
        <v/>
      </c>
      <c r="N31" s="14">
        <f>(N29-N30)</f>
        <v/>
      </c>
      <c r="O31" s="14">
        <f>(O29-O30)</f>
        <v/>
      </c>
      <c r="P31" s="14">
        <f>(P29-P30)</f>
        <v/>
      </c>
      <c r="Q31" s="14">
        <f>(Q29-Q30)</f>
        <v/>
      </c>
    </row>
    <row r="32">
      <c r="A32" t="inlineStr">
        <is>
          <t>SG&amp;A and other opex</t>
        </is>
      </c>
      <c r="B32" t="inlineStr">
        <is>
          <t>opex</t>
        </is>
      </c>
      <c r="D32" s="13" t="n">
        <v>860.9013520000003</v>
      </c>
      <c r="E32" s="13" t="n">
        <v>817.4717290000001</v>
      </c>
      <c r="F32" s="13" t="n">
        <v>577.672898</v>
      </c>
      <c r="G32" s="13" t="n">
        <v>540.7234980000001</v>
      </c>
      <c r="H32" s="14">
        <f>(H29*H13)</f>
        <v/>
      </c>
      <c r="I32" s="14">
        <f>(I29*I13)</f>
        <v/>
      </c>
      <c r="J32" s="14">
        <f>(J29*J13)</f>
        <v/>
      </c>
      <c r="K32" s="14">
        <f>(K29*K13)</f>
        <v/>
      </c>
      <c r="L32" s="14">
        <f>(L29*L13)</f>
        <v/>
      </c>
      <c r="M32" s="14">
        <f>(M29*M13)</f>
        <v/>
      </c>
      <c r="N32" s="14">
        <f>(N29*N13)</f>
        <v/>
      </c>
      <c r="O32" s="14">
        <f>(O29*O13)</f>
        <v/>
      </c>
      <c r="P32" s="14">
        <f>(P29*P13)</f>
        <v/>
      </c>
      <c r="Q32" s="14">
        <f>(Q29*Q13)</f>
        <v/>
      </c>
    </row>
    <row r="33">
      <c r="A33" t="inlineStr">
        <is>
          <t>EBIT</t>
        </is>
      </c>
      <c r="B33" t="inlineStr">
        <is>
          <t>ebit</t>
        </is>
      </c>
      <c r="D33" s="13" t="n">
        <v>1777.131078</v>
      </c>
      <c r="E33" s="13" t="n">
        <v>1254.787712</v>
      </c>
      <c r="F33" s="13" t="n">
        <v>650.7343100000001</v>
      </c>
      <c r="G33" s="13" t="n">
        <v>400.932517</v>
      </c>
      <c r="H33" s="14">
        <f>(H31-H32)</f>
        <v/>
      </c>
      <c r="I33" s="14">
        <f>(I31-I32)</f>
        <v/>
      </c>
      <c r="J33" s="14">
        <f>(J31-J32)</f>
        <v/>
      </c>
      <c r="K33" s="14">
        <f>(K31-K32)</f>
        <v/>
      </c>
      <c r="L33" s="14">
        <f>(L31-L32)</f>
        <v/>
      </c>
      <c r="M33" s="14">
        <f>(M31-M32)</f>
        <v/>
      </c>
      <c r="N33" s="14">
        <f>(N31-N32)</f>
        <v/>
      </c>
      <c r="O33" s="14">
        <f>(O31-O32)</f>
        <v/>
      </c>
      <c r="P33" s="14">
        <f>(P31-P32)</f>
        <v/>
      </c>
      <c r="Q33" s="14">
        <f>(Q31-Q32)</f>
        <v/>
      </c>
    </row>
    <row r="34">
      <c r="A34" t="inlineStr">
        <is>
          <t>Depreciation &amp; amortisation</t>
        </is>
      </c>
      <c r="B34" t="inlineStr">
        <is>
          <t>da</t>
        </is>
      </c>
      <c r="D34" s="13" t="n">
        <v>14.25822</v>
      </c>
      <c r="E34" s="13" t="n">
        <v>14.185685</v>
      </c>
      <c r="F34" s="13" t="n">
        <v>83.646621</v>
      </c>
      <c r="G34" s="13" t="n">
        <v>78.164895</v>
      </c>
      <c r="H34" s="14">
        <f>(H29*H14)</f>
        <v/>
      </c>
      <c r="I34" s="14">
        <f>(I29*I14)</f>
        <v/>
      </c>
      <c r="J34" s="14">
        <f>(J29*J14)</f>
        <v/>
      </c>
      <c r="K34" s="14">
        <f>(K29*K14)</f>
        <v/>
      </c>
      <c r="L34" s="14">
        <f>(L29*L14)</f>
        <v/>
      </c>
      <c r="M34" s="14">
        <f>(M29*M14)</f>
        <v/>
      </c>
      <c r="N34" s="14">
        <f>(N29*N14)</f>
        <v/>
      </c>
      <c r="O34" s="14">
        <f>(O29*O14)</f>
        <v/>
      </c>
      <c r="P34" s="14">
        <f>(P29*P14)</f>
        <v/>
      </c>
      <c r="Q34" s="14">
        <f>(Q29*Q14)</f>
        <v/>
      </c>
    </row>
    <row r="35">
      <c r="A35" t="inlineStr">
        <is>
          <t>EBITDA</t>
        </is>
      </c>
      <c r="B35" t="inlineStr">
        <is>
          <t>ebitda</t>
        </is>
      </c>
      <c r="D35" s="13" t="n">
        <v>1791.389298</v>
      </c>
      <c r="E35" s="13" t="n">
        <v>1268.973397</v>
      </c>
      <c r="F35" s="13" t="n">
        <v>734.380931</v>
      </c>
      <c r="G35" s="13" t="n">
        <v>479.097412</v>
      </c>
      <c r="H35" s="14">
        <f>(H33+H34)</f>
        <v/>
      </c>
      <c r="I35" s="14">
        <f>(I33+I34)</f>
        <v/>
      </c>
      <c r="J35" s="14">
        <f>(J33+J34)</f>
        <v/>
      </c>
      <c r="K35" s="14">
        <f>(K33+K34)</f>
        <v/>
      </c>
      <c r="L35" s="14">
        <f>(L33+L34)</f>
        <v/>
      </c>
      <c r="M35" s="14">
        <f>(M33+M34)</f>
        <v/>
      </c>
      <c r="N35" s="14">
        <f>(N33+N34)</f>
        <v/>
      </c>
      <c r="O35" s="14">
        <f>(O33+O34)</f>
        <v/>
      </c>
      <c r="P35" s="14">
        <f>(P33+P34)</f>
        <v/>
      </c>
      <c r="Q35" s="14">
        <f>(Q33+Q34)</f>
        <v/>
      </c>
    </row>
    <row r="36">
      <c r="A36" t="inlineStr">
        <is>
          <t>Interest expense</t>
        </is>
      </c>
      <c r="B36" t="inlineStr">
        <is>
          <t>interest_expense</t>
        </is>
      </c>
      <c r="D36" s="13" t="n">
        <v>158.888223</v>
      </c>
      <c r="E36" s="13" t="n">
        <v>107.45761</v>
      </c>
      <c r="F36" s="13" t="n">
        <v>60.859253</v>
      </c>
      <c r="G36" s="13" t="n">
        <v>71.37262</v>
      </c>
      <c r="H36" s="14">
        <f>(G56*$C$18)</f>
        <v/>
      </c>
      <c r="I36" s="14">
        <f>(H56*$C$18)</f>
        <v/>
      </c>
      <c r="J36" s="14">
        <f>(I56*$C$18)</f>
        <v/>
      </c>
      <c r="K36" s="14">
        <f>(J56*$C$18)</f>
        <v/>
      </c>
      <c r="L36" s="14">
        <f>(K56*$C$18)</f>
        <v/>
      </c>
      <c r="M36" s="14">
        <f>(L56*$C$18)</f>
        <v/>
      </c>
      <c r="N36" s="14">
        <f>(M56*$C$18)</f>
        <v/>
      </c>
      <c r="O36" s="14">
        <f>(N56*$C$18)</f>
        <v/>
      </c>
      <c r="P36" s="14">
        <f>(O56*$C$18)</f>
        <v/>
      </c>
      <c r="Q36" s="14">
        <f>(P56*$C$18)</f>
        <v/>
      </c>
    </row>
    <row r="37">
      <c r="A37" t="inlineStr">
        <is>
          <t>Interest income</t>
        </is>
      </c>
      <c r="B37" t="inlineStr">
        <is>
          <t>interest_income</t>
        </is>
      </c>
      <c r="D37" s="13" t="n">
        <v>24.584143</v>
      </c>
      <c r="E37" s="13" t="n">
        <v>42.939142</v>
      </c>
      <c r="F37" s="13" t="n">
        <v>67.10893900000001</v>
      </c>
      <c r="G37" s="13" t="n">
        <v>90.36784900000001</v>
      </c>
      <c r="H37" s="14">
        <f>(G55*$C$19)</f>
        <v/>
      </c>
      <c r="I37" s="14">
        <f>(H55*$C$19)</f>
        <v/>
      </c>
      <c r="J37" s="14">
        <f>(I55*$C$19)</f>
        <v/>
      </c>
      <c r="K37" s="14">
        <f>(J55*$C$19)</f>
        <v/>
      </c>
      <c r="L37" s="14">
        <f>(K55*$C$19)</f>
        <v/>
      </c>
      <c r="M37" s="14">
        <f>(L55*$C$19)</f>
        <v/>
      </c>
      <c r="N37" s="14">
        <f>(M55*$C$19)</f>
        <v/>
      </c>
      <c r="O37" s="14">
        <f>(N55*$C$19)</f>
        <v/>
      </c>
      <c r="P37" s="14">
        <f>(O55*$C$19)</f>
        <v/>
      </c>
      <c r="Q37" s="14">
        <f>(P55*$C$19)</f>
        <v/>
      </c>
    </row>
    <row r="38">
      <c r="A38" t="inlineStr">
        <is>
          <t>Other non-operating</t>
        </is>
      </c>
      <c r="B38" t="inlineStr">
        <is>
          <t>other_nonop</t>
        </is>
      </c>
      <c r="D38" s="13" t="n">
        <v>-42.47878499999989</v>
      </c>
      <c r="E38" s="13" t="n">
        <v>-9.199558000000003</v>
      </c>
      <c r="F38" s="13" t="n">
        <v>53.25965199999995</v>
      </c>
      <c r="G38" s="13" t="n">
        <v>44.15677099999996</v>
      </c>
      <c r="H38" s="14">
        <f>H21</f>
        <v/>
      </c>
      <c r="I38" s="14">
        <f>I21</f>
        <v/>
      </c>
      <c r="J38" s="14">
        <f>J21</f>
        <v/>
      </c>
      <c r="K38" s="14">
        <f>K21</f>
        <v/>
      </c>
      <c r="L38" s="14">
        <f>L21</f>
        <v/>
      </c>
      <c r="M38" s="14">
        <f>M21</f>
        <v/>
      </c>
      <c r="N38" s="14">
        <f>N21</f>
        <v/>
      </c>
      <c r="O38" s="14">
        <f>O21</f>
        <v/>
      </c>
      <c r="P38" s="14">
        <f>P21</f>
        <v/>
      </c>
      <c r="Q38" s="14">
        <f>Q21</f>
        <v/>
      </c>
    </row>
    <row r="39">
      <c r="A39" t="inlineStr">
        <is>
          <t>Profit before tax</t>
        </is>
      </c>
      <c r="B39" t="inlineStr">
        <is>
          <t>pbt</t>
        </is>
      </c>
      <c r="D39" s="13" t="n">
        <v>1600.348213</v>
      </c>
      <c r="E39" s="13" t="n">
        <v>1181.069686</v>
      </c>
      <c r="F39" s="13" t="n">
        <v>710.243648</v>
      </c>
      <c r="G39" s="13" t="n">
        <v>464.084517</v>
      </c>
      <c r="H39" s="14">
        <f>(((H33-H36)+H37)+H38)</f>
        <v/>
      </c>
      <c r="I39" s="14">
        <f>(((I33-I36)+I37)+I38)</f>
        <v/>
      </c>
      <c r="J39" s="14">
        <f>(((J33-J36)+J37)+J38)</f>
        <v/>
      </c>
      <c r="K39" s="14">
        <f>(((K33-K36)+K37)+K38)</f>
        <v/>
      </c>
      <c r="L39" s="14">
        <f>(((L33-L36)+L37)+L38)</f>
        <v/>
      </c>
      <c r="M39" s="14">
        <f>(((M33-M36)+M37)+M38)</f>
        <v/>
      </c>
      <c r="N39" s="14">
        <f>(((N33-N36)+N37)+N38)</f>
        <v/>
      </c>
      <c r="O39" s="14">
        <f>(((O33-O36)+O37)+O38)</f>
        <v/>
      </c>
      <c r="P39" s="14">
        <f>(((P33-P36)+P37)+P38)</f>
        <v/>
      </c>
      <c r="Q39" s="14">
        <f>(((Q33-Q36)+Q37)+Q38)</f>
        <v/>
      </c>
    </row>
    <row r="40">
      <c r="A40" t="inlineStr">
        <is>
          <t>Tax</t>
        </is>
      </c>
      <c r="B40" t="inlineStr">
        <is>
          <t>tax</t>
        </is>
      </c>
      <c r="D40" s="13" t="n">
        <v>302.184619</v>
      </c>
      <c r="E40" s="13" t="n">
        <v>315.756167</v>
      </c>
      <c r="F40" s="13" t="n">
        <v>167.463158</v>
      </c>
      <c r="G40" s="13" t="n">
        <v>102.883644</v>
      </c>
      <c r="H40" s="14">
        <f>(MAX(H39,0)*H17)</f>
        <v/>
      </c>
      <c r="I40" s="14">
        <f>(MAX(I39,0)*I17)</f>
        <v/>
      </c>
      <c r="J40" s="14">
        <f>(MAX(J39,0)*J17)</f>
        <v/>
      </c>
      <c r="K40" s="14">
        <f>(MAX(K39,0)*K17)</f>
        <v/>
      </c>
      <c r="L40" s="14">
        <f>(MAX(L39,0)*L17)</f>
        <v/>
      </c>
      <c r="M40" s="14">
        <f>(MAX(M39,0)*M17)</f>
        <v/>
      </c>
      <c r="N40" s="14">
        <f>(MAX(N39,0)*N17)</f>
        <v/>
      </c>
      <c r="O40" s="14">
        <f>(MAX(O39,0)*O17)</f>
        <v/>
      </c>
      <c r="P40" s="14">
        <f>(MAX(P39,0)*P17)</f>
        <v/>
      </c>
      <c r="Q40" s="14">
        <f>(MAX(Q39,0)*Q17)</f>
        <v/>
      </c>
    </row>
    <row r="41">
      <c r="A41" t="inlineStr">
        <is>
          <t>Net profit (incl. minorities)</t>
        </is>
      </c>
      <c r="B41" t="inlineStr">
        <is>
          <t>np</t>
        </is>
      </c>
      <c r="D41" s="13" t="n">
        <v>1298.163594</v>
      </c>
      <c r="E41" s="13" t="n">
        <v>865.313519</v>
      </c>
      <c r="F41" s="13" t="n">
        <v>542.78049</v>
      </c>
      <c r="G41" s="13" t="n">
        <v>361.200873</v>
      </c>
      <c r="H41" s="14">
        <f>(H39-H40)</f>
        <v/>
      </c>
      <c r="I41" s="14">
        <f>(I39-I40)</f>
        <v/>
      </c>
      <c r="J41" s="14">
        <f>(J39-J40)</f>
        <v/>
      </c>
      <c r="K41" s="14">
        <f>(K39-K40)</f>
        <v/>
      </c>
      <c r="L41" s="14">
        <f>(L39-L40)</f>
        <v/>
      </c>
      <c r="M41" s="14">
        <f>(M39-M40)</f>
        <v/>
      </c>
      <c r="N41" s="14">
        <f>(N39-N40)</f>
        <v/>
      </c>
      <c r="O41" s="14">
        <f>(O39-O40)</f>
        <v/>
      </c>
      <c r="P41" s="14">
        <f>(P39-P40)</f>
        <v/>
      </c>
      <c r="Q41" s="14">
        <f>(Q39-Q40)</f>
        <v/>
      </c>
    </row>
    <row r="42">
      <c r="A42" t="inlineStr">
        <is>
          <t>Minority interests</t>
        </is>
      </c>
      <c r="B42" t="inlineStr">
        <is>
          <t>minority</t>
        </is>
      </c>
      <c r="D42" s="13" t="n">
        <v>708.2662730000001</v>
      </c>
      <c r="E42" s="13" t="n">
        <v>439.134328</v>
      </c>
      <c r="F42" s="13" t="n">
        <v>233.695697</v>
      </c>
      <c r="G42" s="13" t="n">
        <v>130.66173</v>
      </c>
      <c r="H42" s="14">
        <f>(H41*H22)</f>
        <v/>
      </c>
      <c r="I42" s="14">
        <f>(I41*I22)</f>
        <v/>
      </c>
      <c r="J42" s="14">
        <f>(J41*J22)</f>
        <v/>
      </c>
      <c r="K42" s="14">
        <f>(K41*K22)</f>
        <v/>
      </c>
      <c r="L42" s="14">
        <f>(L41*L22)</f>
        <v/>
      </c>
      <c r="M42" s="14">
        <f>(M41*M22)</f>
        <v/>
      </c>
      <c r="N42" s="14">
        <f>(N41*N22)</f>
        <v/>
      </c>
      <c r="O42" s="14">
        <f>(O41*O22)</f>
        <v/>
      </c>
      <c r="P42" s="14">
        <f>(P41*P22)</f>
        <v/>
      </c>
      <c r="Q42" s="14">
        <f>(Q41*Q22)</f>
        <v/>
      </c>
    </row>
    <row r="43">
      <c r="A43" t="inlineStr">
        <is>
          <t>Net profit to parent</t>
        </is>
      </c>
      <c r="B43" t="inlineStr">
        <is>
          <t>np_parent</t>
        </is>
      </c>
      <c r="D43" s="13" t="n">
        <v>589.897321</v>
      </c>
      <c r="E43" s="13" t="n">
        <v>426.179191</v>
      </c>
      <c r="F43" s="13" t="n">
        <v>309.084793</v>
      </c>
      <c r="G43" s="13" t="n">
        <v>230.539143</v>
      </c>
      <c r="H43" s="14">
        <f>(H41-H42)</f>
        <v/>
      </c>
      <c r="I43" s="14">
        <f>(I41-I42)</f>
        <v/>
      </c>
      <c r="J43" s="14">
        <f>(J41-J42)</f>
        <v/>
      </c>
      <c r="K43" s="14">
        <f>(K41-K42)</f>
        <v/>
      </c>
      <c r="L43" s="14">
        <f>(L41-L42)</f>
        <v/>
      </c>
      <c r="M43" s="14">
        <f>(M41-M42)</f>
        <v/>
      </c>
      <c r="N43" s="14">
        <f>(N41-N42)</f>
        <v/>
      </c>
      <c r="O43" s="14">
        <f>(O41-O42)</f>
        <v/>
      </c>
      <c r="P43" s="14">
        <f>(P41-P42)</f>
        <v/>
      </c>
      <c r="Q43" s="14">
        <f>(Q41-Q42)</f>
        <v/>
      </c>
    </row>
    <row r="44">
      <c r="A44" t="inlineStr">
        <is>
          <t>Shares outstanding (m)</t>
        </is>
      </c>
      <c r="B44" t="inlineStr">
        <is>
          <t>shares</t>
        </is>
      </c>
      <c r="D44" s="13" t="n">
        <v>192638.08</v>
      </c>
      <c r="E44" s="13" t="n">
        <v>154111.74825</v>
      </c>
      <c r="F44" s="13" t="n">
        <v>154732.12325</v>
      </c>
      <c r="G44" s="13" t="n">
        <v>154732.12325</v>
      </c>
      <c r="H44" s="14">
        <f>(G44*(1+H24))</f>
        <v/>
      </c>
      <c r="I44" s="14">
        <f>(H44*(1+I24))</f>
        <v/>
      </c>
      <c r="J44" s="14">
        <f>(I44*(1+J24))</f>
        <v/>
      </c>
      <c r="K44" s="14">
        <f>(J44*(1+K24))</f>
        <v/>
      </c>
      <c r="L44" s="14">
        <f>(K44*(1+L24))</f>
        <v/>
      </c>
      <c r="M44" s="14">
        <f>(L44*(1+M24))</f>
        <v/>
      </c>
      <c r="N44" s="14">
        <f>(M44*(1+N24))</f>
        <v/>
      </c>
      <c r="O44" s="14">
        <f>(N44*(1+O24))</f>
        <v/>
      </c>
      <c r="P44" s="14">
        <f>(O44*(1+P24))</f>
        <v/>
      </c>
      <c r="Q44" s="14">
        <f>(P44*(1+Q24))</f>
        <v/>
      </c>
    </row>
    <row r="45">
      <c r="A45" t="inlineStr">
        <is>
          <t>EPS</t>
        </is>
      </c>
      <c r="B45" t="inlineStr">
        <is>
          <t>eps</t>
        </is>
      </c>
      <c r="D45" s="15" t="n">
        <v>0.003062205151754004</v>
      </c>
      <c r="E45" s="15" t="n">
        <v>0.002765390671635574</v>
      </c>
      <c r="F45" s="15" t="n">
        <v>0.001997547674703675</v>
      </c>
      <c r="G45" s="15" t="n">
        <v>0.00148992425204118</v>
      </c>
      <c r="H45" s="16">
        <f>(IF(H44=0,0,H43/H44)*$C$7)</f>
        <v/>
      </c>
      <c r="I45" s="16">
        <f>(IF(I44=0,0,I43/I44)*$C$7)</f>
        <v/>
      </c>
      <c r="J45" s="16">
        <f>(IF(J44=0,0,J43/J44)*$C$7)</f>
        <v/>
      </c>
      <c r="K45" s="16">
        <f>(IF(K44=0,0,K43/K44)*$C$7)</f>
        <v/>
      </c>
      <c r="L45" s="16">
        <f>(IF(L44=0,0,L43/L44)*$C$7)</f>
        <v/>
      </c>
      <c r="M45" s="16">
        <f>(IF(M44=0,0,M43/M44)*$C$7)</f>
        <v/>
      </c>
      <c r="N45" s="16">
        <f>(IF(N44=0,0,N43/N44)*$C$7)</f>
        <v/>
      </c>
      <c r="O45" s="16">
        <f>(IF(O44=0,0,O43/O44)*$C$7)</f>
        <v/>
      </c>
      <c r="P45" s="16">
        <f>(IF(P44=0,0,P43/P44)*$C$7)</f>
        <v/>
      </c>
      <c r="Q45" s="16">
        <f>(IF(Q44=0,0,Q43/Q44)*$C$7)</f>
        <v/>
      </c>
    </row>
    <row r="46">
      <c r="A46" t="inlineStr">
        <is>
          <t>DPS (declared on the year)</t>
        </is>
      </c>
      <c r="B46" t="inlineStr">
        <is>
          <t>dps</t>
        </is>
      </c>
      <c r="D46" s="15" t="n">
        <v>0</v>
      </c>
      <c r="E46" s="15" t="n">
        <v>0</v>
      </c>
      <c r="F46" s="15" t="n">
        <v>0</v>
      </c>
      <c r="G46" s="15" t="n">
        <v>0</v>
      </c>
      <c r="H46" s="16">
        <f>(MAX(H45,0)*H23)</f>
        <v/>
      </c>
      <c r="I46" s="16">
        <f>(MAX(I45,0)*I23)</f>
        <v/>
      </c>
      <c r="J46" s="16">
        <f>(MAX(J45,0)*J23)</f>
        <v/>
      </c>
      <c r="K46" s="16">
        <f>(MAX(K45,0)*K23)</f>
        <v/>
      </c>
      <c r="L46" s="16">
        <f>(MAX(L45,0)*L23)</f>
        <v/>
      </c>
      <c r="M46" s="16">
        <f>(MAX(M45,0)*M23)</f>
        <v/>
      </c>
      <c r="N46" s="16">
        <f>(MAX(N45,0)*N23)</f>
        <v/>
      </c>
      <c r="O46" s="16">
        <f>(MAX(O45,0)*O23)</f>
        <v/>
      </c>
      <c r="P46" s="16">
        <f>(MAX(P45,0)*P23)</f>
        <v/>
      </c>
      <c r="Q46" s="16">
        <f>(MAX(Q45,0)*Q23)</f>
        <v/>
      </c>
    </row>
    <row r="47">
      <c r="A47" t="inlineStr">
        <is>
          <t>Dividends paid</t>
        </is>
      </c>
      <c r="B47" t="inlineStr">
        <is>
          <t>dividends_paid</t>
        </is>
      </c>
      <c r="D47" s="13" t="n"/>
      <c r="E47" s="13" t="n"/>
      <c r="F47" s="13" t="n"/>
      <c r="G47" s="13" t="n"/>
      <c r="H47" s="14">
        <f>IF($C$7=0,0,(G46*G44)/$C$7)</f>
        <v/>
      </c>
      <c r="I47" s="14">
        <f>IF($C$7=0,0,(H46*H44)/$C$7)</f>
        <v/>
      </c>
      <c r="J47" s="14">
        <f>IF($C$7=0,0,(I46*I44)/$C$7)</f>
        <v/>
      </c>
      <c r="K47" s="14">
        <f>IF($C$7=0,0,(J46*J44)/$C$7)</f>
        <v/>
      </c>
      <c r="L47" s="14">
        <f>IF($C$7=0,0,(K46*K44)/$C$7)</f>
        <v/>
      </c>
      <c r="M47" s="14">
        <f>IF($C$7=0,0,(L46*L44)/$C$7)</f>
        <v/>
      </c>
      <c r="N47" s="14">
        <f>IF($C$7=0,0,(M46*M44)/$C$7)</f>
        <v/>
      </c>
      <c r="O47" s="14">
        <f>IF($C$7=0,0,(N46*N44)/$C$7)</f>
        <v/>
      </c>
      <c r="P47" s="14">
        <f>IF($C$7=0,0,(O46*O44)/$C$7)</f>
        <v/>
      </c>
      <c r="Q47" s="14">
        <f>IF($C$7=0,0,(P46*P44)/$C$7)</f>
        <v/>
      </c>
    </row>
    <row r="48">
      <c r="A48" t="inlineStr">
        <is>
          <t>Capital expenditure</t>
        </is>
      </c>
      <c r="B48" t="inlineStr">
        <is>
          <t>capex</t>
        </is>
      </c>
      <c r="D48" s="13" t="n">
        <v>188.541235</v>
      </c>
      <c r="E48" s="13" t="n">
        <v>306.133372</v>
      </c>
      <c r="F48" s="13" t="n">
        <v>403.843971</v>
      </c>
      <c r="G48" s="13" t="n">
        <v>467.049182</v>
      </c>
      <c r="H48" s="14">
        <f>(H29*H15)</f>
        <v/>
      </c>
      <c r="I48" s="14">
        <f>(I29*I15)</f>
        <v/>
      </c>
      <c r="J48" s="14">
        <f>(J29*J15)</f>
        <v/>
      </c>
      <c r="K48" s="14">
        <f>(K29*K15)</f>
        <v/>
      </c>
      <c r="L48" s="14">
        <f>(L29*L15)</f>
        <v/>
      </c>
      <c r="M48" s="14">
        <f>(M29*M15)</f>
        <v/>
      </c>
      <c r="N48" s="14">
        <f>(N29*N15)</f>
        <v/>
      </c>
      <c r="O48" s="14">
        <f>(O29*O15)</f>
        <v/>
      </c>
      <c r="P48" s="14">
        <f>(P29*P15)</f>
        <v/>
      </c>
      <c r="Q48" s="14">
        <f>(Q29*Q15)</f>
        <v/>
      </c>
    </row>
    <row r="49">
      <c r="A49" t="inlineStr">
        <is>
          <t>Change in working capital</t>
        </is>
      </c>
      <c r="B49" t="inlineStr">
        <is>
          <t>delta_nwc</t>
        </is>
      </c>
      <c r="D49" s="13" t="n"/>
      <c r="E49" s="13" t="n">
        <v>319.7526750000002</v>
      </c>
      <c r="F49" s="13" t="n">
        <v>316.4726659999999</v>
      </c>
      <c r="G49" s="13" t="n">
        <v>22.53228899999999</v>
      </c>
      <c r="H49" s="14">
        <f>(H54-G54)</f>
        <v/>
      </c>
      <c r="I49" s="14">
        <f>(I54-H54)</f>
        <v/>
      </c>
      <c r="J49" s="14">
        <f>(J54-I54)</f>
        <v/>
      </c>
      <c r="K49" s="14">
        <f>(K54-J54)</f>
        <v/>
      </c>
      <c r="L49" s="14">
        <f>(L54-K54)</f>
        <v/>
      </c>
      <c r="M49" s="14">
        <f>(M54-L54)</f>
        <v/>
      </c>
      <c r="N49" s="14">
        <f>(N54-M54)</f>
        <v/>
      </c>
      <c r="O49" s="14">
        <f>(O54-N54)</f>
        <v/>
      </c>
      <c r="P49" s="14">
        <f>(P54-O54)</f>
        <v/>
      </c>
      <c r="Q49" s="14">
        <f>(Q54-P54)</f>
        <v/>
      </c>
    </row>
    <row r="50">
      <c r="A50" t="inlineStr">
        <is>
          <t>Free cash flow to firm</t>
        </is>
      </c>
      <c r="B50" t="inlineStr">
        <is>
          <t>fcff</t>
        </is>
      </c>
      <c r="D50" s="13" t="n"/>
      <c r="E50" s="13" t="n">
        <v>307.622844360474</v>
      </c>
      <c r="F50" s="13" t="n">
        <v>-139.3675921962576</v>
      </c>
      <c r="G50" s="13" t="n">
        <v>-99.36743441123343</v>
      </c>
      <c r="H50" s="14">
        <f>((((H33*(1-H17))+H34)-H48)-H49)</f>
        <v/>
      </c>
      <c r="I50" s="14">
        <f>((((I33*(1-I17))+I34)-I48)-I49)</f>
        <v/>
      </c>
      <c r="J50" s="14">
        <f>((((J33*(1-J17))+J34)-J48)-J49)</f>
        <v/>
      </c>
      <c r="K50" s="14">
        <f>((((K33*(1-K17))+K34)-K48)-K49)</f>
        <v/>
      </c>
      <c r="L50" s="14">
        <f>((((L33*(1-L17))+L34)-L48)-L49)</f>
        <v/>
      </c>
      <c r="M50" s="14">
        <f>((((M33*(1-M17))+M34)-M48)-M49)</f>
        <v/>
      </c>
      <c r="N50" s="14">
        <f>((((N33*(1-N17))+N34)-N48)-N49)</f>
        <v/>
      </c>
      <c r="O50" s="14">
        <f>((((O33*(1-O17))+O34)-O48)-O49)</f>
        <v/>
      </c>
      <c r="P50" s="14">
        <f>((((P33*(1-P17))+P34)-P48)-P49)</f>
        <v/>
      </c>
      <c r="Q50" s="14">
        <f>((((Q33*(1-Q17))+Q34)-Q48)-Q49)</f>
        <v/>
      </c>
    </row>
    <row r="51">
      <c r="A51" t="inlineStr">
        <is>
          <t>Net borrowing</t>
        </is>
      </c>
      <c r="B51" t="inlineStr">
        <is>
          <t>net_borrowing</t>
        </is>
      </c>
      <c r="D51" s="13" t="n"/>
      <c r="E51" s="13" t="n">
        <v>-830.2185499999999</v>
      </c>
      <c r="F51" s="13" t="n">
        <v>409.4546759999999</v>
      </c>
      <c r="G51" s="13" t="n">
        <v>269.8341850000002</v>
      </c>
      <c r="H51" s="14">
        <f>H20</f>
        <v/>
      </c>
      <c r="I51" s="14">
        <f>I20</f>
        <v/>
      </c>
      <c r="J51" s="14">
        <f>J20</f>
        <v/>
      </c>
      <c r="K51" s="14">
        <f>K20</f>
        <v/>
      </c>
      <c r="L51" s="14">
        <f>L20</f>
        <v/>
      </c>
      <c r="M51" s="14">
        <f>M20</f>
        <v/>
      </c>
      <c r="N51" s="14">
        <f>N20</f>
        <v/>
      </c>
      <c r="O51" s="14">
        <f>O20</f>
        <v/>
      </c>
      <c r="P51" s="14">
        <f>P20</f>
        <v/>
      </c>
      <c r="Q51" s="14">
        <f>Q20</f>
        <v/>
      </c>
    </row>
    <row r="52">
      <c r="A52" t="inlineStr">
        <is>
          <t>Dividends to minorities</t>
        </is>
      </c>
      <c r="B52" t="inlineStr">
        <is>
          <t>minority_div</t>
        </is>
      </c>
      <c r="D52" s="13" t="n"/>
      <c r="E52" s="13" t="n"/>
      <c r="F52" s="13" t="n"/>
      <c r="G52" s="13" t="n"/>
      <c r="H52" s="14">
        <f>(MAX(G42,0)*H23)</f>
        <v/>
      </c>
      <c r="I52" s="14">
        <f>(MAX(H42,0)*I23)</f>
        <v/>
      </c>
      <c r="J52" s="14">
        <f>(MAX(I42,0)*J23)</f>
        <v/>
      </c>
      <c r="K52" s="14">
        <f>(MAX(J42,0)*K23)</f>
        <v/>
      </c>
      <c r="L52" s="14">
        <f>(MAX(K42,0)*L23)</f>
        <v/>
      </c>
      <c r="M52" s="14">
        <f>(MAX(L42,0)*M23)</f>
        <v/>
      </c>
      <c r="N52" s="14">
        <f>(MAX(M42,0)*N23)</f>
        <v/>
      </c>
      <c r="O52" s="14">
        <f>(MAX(N42,0)*O23)</f>
        <v/>
      </c>
      <c r="P52" s="14">
        <f>(MAX(O42,0)*P23)</f>
        <v/>
      </c>
      <c r="Q52" s="14">
        <f>(MAX(P42,0)*Q23)</f>
        <v/>
      </c>
    </row>
    <row r="53">
      <c r="A53" t="inlineStr">
        <is>
          <t>Free cash flow to equity</t>
        </is>
      </c>
      <c r="B53" t="inlineStr">
        <is>
          <t>fcfe</t>
        </is>
      </c>
      <c r="D53" s="13" t="n"/>
      <c r="E53" s="13" t="n"/>
      <c r="F53" s="13" t="n"/>
      <c r="G53" s="13" t="n"/>
      <c r="H53" s="14">
        <f>(((((H41+H34)-H48)-H49)+H51)-H52)</f>
        <v/>
      </c>
      <c r="I53" s="14">
        <f>(((((I41+I34)-I48)-I49)+I51)-I52)</f>
        <v/>
      </c>
      <c r="J53" s="14">
        <f>(((((J41+J34)-J48)-J49)+J51)-J52)</f>
        <v/>
      </c>
      <c r="K53" s="14">
        <f>(((((K41+K34)-K48)-K49)+K51)-K52)</f>
        <v/>
      </c>
      <c r="L53" s="14">
        <f>(((((L41+L34)-L48)-L49)+L51)-L52)</f>
        <v/>
      </c>
      <c r="M53" s="14">
        <f>(((((M41+M34)-M48)-M49)+M51)-M52)</f>
        <v/>
      </c>
      <c r="N53" s="14">
        <f>(((((N41+N34)-N48)-N49)+N51)-N52)</f>
        <v/>
      </c>
      <c r="O53" s="14">
        <f>(((((O41+O34)-O48)-O49)+O51)-O52)</f>
        <v/>
      </c>
      <c r="P53" s="14">
        <f>(((((P41+P34)-P48)-P49)+P51)-P52)</f>
        <v/>
      </c>
      <c r="Q53" s="14">
        <f>(((((Q41+Q34)-Q48)-Q49)+Q51)-Q52)</f>
        <v/>
      </c>
    </row>
    <row r="54">
      <c r="A54" t="inlineStr">
        <is>
          <t>Operating working capital</t>
        </is>
      </c>
      <c r="B54" t="inlineStr">
        <is>
          <t>nwc</t>
        </is>
      </c>
      <c r="D54" s="13" t="n">
        <v>-47.96453100000008</v>
      </c>
      <c r="E54" s="13" t="n">
        <v>271.7881440000001</v>
      </c>
      <c r="F54" s="13" t="n">
        <v>588.26081</v>
      </c>
      <c r="G54" s="13" t="n">
        <v>610.793099</v>
      </c>
      <c r="H54" s="14">
        <f>(H29*H16)</f>
        <v/>
      </c>
      <c r="I54" s="14">
        <f>(I29*I16)</f>
        <v/>
      </c>
      <c r="J54" s="14">
        <f>(J29*J16)</f>
        <v/>
      </c>
      <c r="K54" s="14">
        <f>(K29*K16)</f>
        <v/>
      </c>
      <c r="L54" s="14">
        <f>(L29*L16)</f>
        <v/>
      </c>
      <c r="M54" s="14">
        <f>(M29*M16)</f>
        <v/>
      </c>
      <c r="N54" s="14">
        <f>(N29*N16)</f>
        <v/>
      </c>
      <c r="O54" s="14">
        <f>(O29*O16)</f>
        <v/>
      </c>
      <c r="P54" s="14">
        <f>(P29*P16)</f>
        <v/>
      </c>
      <c r="Q54" s="14">
        <f>(Q29*Q16)</f>
        <v/>
      </c>
    </row>
    <row r="55">
      <c r="A55" t="inlineStr">
        <is>
          <t>Cash &amp; equivalents</t>
        </is>
      </c>
      <c r="B55" t="inlineStr">
        <is>
          <t>cash</t>
        </is>
      </c>
      <c r="D55" s="13" t="n">
        <v>1122.685374</v>
      </c>
      <c r="E55" s="13" t="n">
        <v>657.753749</v>
      </c>
      <c r="F55" s="13" t="n">
        <v>908.48203</v>
      </c>
      <c r="G55" s="13" t="n">
        <v>575.526176</v>
      </c>
      <c r="H55" s="14">
        <f>(((((((G55+H41)+H34)-H48)-H49)+H51)-H47)-H52)</f>
        <v/>
      </c>
      <c r="I55" s="14">
        <f>(((((((H55+I41)+I34)-I48)-I49)+I51)-I47)-I52)</f>
        <v/>
      </c>
      <c r="J55" s="14">
        <f>(((((((I55+J41)+J34)-J48)-J49)+J51)-J47)-J52)</f>
        <v/>
      </c>
      <c r="K55" s="14">
        <f>(((((((J55+K41)+K34)-K48)-K49)+K51)-K47)-K52)</f>
        <v/>
      </c>
      <c r="L55" s="14">
        <f>(((((((K55+L41)+L34)-L48)-L49)+L51)-L47)-L52)</f>
        <v/>
      </c>
      <c r="M55" s="14">
        <f>(((((((L55+M41)+M34)-M48)-M49)+M51)-M47)-M52)</f>
        <v/>
      </c>
      <c r="N55" s="14">
        <f>(((((((M55+N41)+N34)-N48)-N49)+N51)-N47)-N52)</f>
        <v/>
      </c>
      <c r="O55" s="14">
        <f>(((((((N55+O41)+O34)-O48)-O49)+O51)-O47)-O52)</f>
        <v/>
      </c>
      <c r="P55" s="14">
        <f>(((((((O55+P41)+P34)-P48)-P49)+P51)-P47)-P52)</f>
        <v/>
      </c>
      <c r="Q55" s="14">
        <f>(((((((P55+Q41)+Q34)-Q48)-Q49)+Q51)-Q47)-Q52)</f>
        <v/>
      </c>
    </row>
    <row r="56">
      <c r="A56" t="inlineStr">
        <is>
          <t>Total debt</t>
        </is>
      </c>
      <c r="B56" t="inlineStr">
        <is>
          <t>debt</t>
        </is>
      </c>
      <c r="D56" s="13" t="n">
        <v>1637.093653</v>
      </c>
      <c r="E56" s="13" t="n">
        <v>806.875103</v>
      </c>
      <c r="F56" s="13" t="n">
        <v>1216.329779</v>
      </c>
      <c r="G56" s="13" t="n">
        <v>1486.163964</v>
      </c>
      <c r="H56" s="14">
        <f>(G56+H51)</f>
        <v/>
      </c>
      <c r="I56" s="14">
        <f>(H56+I51)</f>
        <v/>
      </c>
      <c r="J56" s="14">
        <f>(I56+J51)</f>
        <v/>
      </c>
      <c r="K56" s="14">
        <f>(J56+K51)</f>
        <v/>
      </c>
      <c r="L56" s="14">
        <f>(K56+L51)</f>
        <v/>
      </c>
      <c r="M56" s="14">
        <f>(L56+M51)</f>
        <v/>
      </c>
      <c r="N56" s="14">
        <f>(M56+N51)</f>
        <v/>
      </c>
      <c r="O56" s="14">
        <f>(N56+O51)</f>
        <v/>
      </c>
      <c r="P56" s="14">
        <f>(O56+P51)</f>
        <v/>
      </c>
      <c r="Q56" s="14">
        <f>(P56+Q51)</f>
        <v/>
      </c>
    </row>
    <row r="57">
      <c r="A57" t="inlineStr">
        <is>
          <t>Fixed assets (net)</t>
        </is>
      </c>
      <c r="B57" t="inlineStr">
        <is>
          <t>ppe</t>
        </is>
      </c>
      <c r="D57" s="13" t="n">
        <v>3118.331876</v>
      </c>
      <c r="E57" s="13" t="n">
        <v>870.644301</v>
      </c>
      <c r="F57" s="13" t="n">
        <v>985.016787</v>
      </c>
      <c r="G57" s="13" t="n">
        <v>1356.247947</v>
      </c>
      <c r="H57" s="14">
        <f>((G57+H48)-H34)</f>
        <v/>
      </c>
      <c r="I57" s="14">
        <f>((H57+I48)-I34)</f>
        <v/>
      </c>
      <c r="J57" s="14">
        <f>((I57+J48)-J34)</f>
        <v/>
      </c>
      <c r="K57" s="14">
        <f>((J57+K48)-K34)</f>
        <v/>
      </c>
      <c r="L57" s="14">
        <f>((K57+L48)-L34)</f>
        <v/>
      </c>
      <c r="M57" s="14">
        <f>((L57+M48)-M34)</f>
        <v/>
      </c>
      <c r="N57" s="14">
        <f>((M57+N48)-N34)</f>
        <v/>
      </c>
      <c r="O57" s="14">
        <f>((N57+O48)-O34)</f>
        <v/>
      </c>
      <c r="P57" s="14">
        <f>((O57+P48)-P34)</f>
        <v/>
      </c>
      <c r="Q57" s="14">
        <f>((P57+Q48)-Q34)</f>
        <v/>
      </c>
    </row>
    <row r="58">
      <c r="A58" t="inlineStr">
        <is>
          <t>Parent shareholders' equity</t>
        </is>
      </c>
      <c r="B58" t="inlineStr">
        <is>
          <t>equity</t>
        </is>
      </c>
      <c r="D58" s="13" t="n">
        <v>2072.667286</v>
      </c>
      <c r="E58" s="13" t="n">
        <v>1383.424532</v>
      </c>
      <c r="F58" s="13" t="n">
        <v>1608.439898</v>
      </c>
      <c r="G58" s="13" t="n">
        <v>1816.771286</v>
      </c>
      <c r="H58" s="14">
        <f>((G58+H43)-H47)</f>
        <v/>
      </c>
      <c r="I58" s="14">
        <f>((H58+I43)-I47)</f>
        <v/>
      </c>
      <c r="J58" s="14">
        <f>((I58+J43)-J47)</f>
        <v/>
      </c>
      <c r="K58" s="14">
        <f>((J58+K43)-K47)</f>
        <v/>
      </c>
      <c r="L58" s="14">
        <f>((K58+L43)-L47)</f>
        <v/>
      </c>
      <c r="M58" s="14">
        <f>((L58+M43)-M47)</f>
        <v/>
      </c>
      <c r="N58" s="14">
        <f>((M58+N43)-N47)</f>
        <v/>
      </c>
      <c r="O58" s="14">
        <f>((N58+O43)-O47)</f>
        <v/>
      </c>
      <c r="P58" s="14">
        <f>((O58+P43)-P47)</f>
        <v/>
      </c>
      <c r="Q58" s="14">
        <f>((P58+Q43)-Q47)</f>
        <v/>
      </c>
    </row>
    <row r="59">
      <c r="A59" t="inlineStr">
        <is>
          <t>Minority interest (balance sheet)</t>
        </is>
      </c>
      <c r="B59" t="inlineStr">
        <is>
          <t>minority_bs</t>
        </is>
      </c>
      <c r="D59" s="13" t="n">
        <v>985.3180609999999</v>
      </c>
      <c r="E59" s="13" t="n">
        <v>337.390654</v>
      </c>
      <c r="F59" s="13" t="n">
        <v>335.139495</v>
      </c>
      <c r="G59" s="13" t="n">
        <v>444.426346</v>
      </c>
      <c r="H59" s="14">
        <f>((G59+H42)-H52)</f>
        <v/>
      </c>
      <c r="I59" s="14">
        <f>((H59+I42)-I52)</f>
        <v/>
      </c>
      <c r="J59" s="14">
        <f>((I59+J42)-J52)</f>
        <v/>
      </c>
      <c r="K59" s="14">
        <f>((J59+K42)-K52)</f>
        <v/>
      </c>
      <c r="L59" s="14">
        <f>((K59+L42)-L52)</f>
        <v/>
      </c>
      <c r="M59" s="14">
        <f>((L59+M42)-M52)</f>
        <v/>
      </c>
      <c r="N59" s="14">
        <f>((M59+N42)-N52)</f>
        <v/>
      </c>
      <c r="O59" s="14">
        <f>((N59+O42)-O52)</f>
        <v/>
      </c>
      <c r="P59" s="14">
        <f>((O59+P42)-P52)</f>
        <v/>
      </c>
      <c r="Q59" s="14">
        <f>((P59+Q42)-Q52)</f>
        <v/>
      </c>
    </row>
    <row r="60">
      <c r="A60" t="inlineStr">
        <is>
          <t>Other assets less other liabilities</t>
        </is>
      </c>
      <c r="B60" t="inlineStr">
        <is>
          <t>other_net</t>
        </is>
      </c>
      <c r="D60" s="13" t="n">
        <v>502.0262809999999</v>
      </c>
      <c r="E60" s="13" t="n">
        <v>727.5040949999996</v>
      </c>
      <c r="F60" s="13" t="n">
        <v>678.149545</v>
      </c>
      <c r="G60" s="13" t="n">
        <v>1204.794374</v>
      </c>
      <c r="H60" s="14">
        <f>G60</f>
        <v/>
      </c>
      <c r="I60" s="14">
        <f>H60</f>
        <v/>
      </c>
      <c r="J60" s="14">
        <f>I60</f>
        <v/>
      </c>
      <c r="K60" s="14">
        <f>J60</f>
        <v/>
      </c>
      <c r="L60" s="14">
        <f>K60</f>
        <v/>
      </c>
      <c r="M60" s="14">
        <f>L60</f>
        <v/>
      </c>
      <c r="N60" s="14">
        <f>M60</f>
        <v/>
      </c>
      <c r="O60" s="14">
        <f>N60</f>
        <v/>
      </c>
      <c r="P60" s="14">
        <f>O60</f>
        <v/>
      </c>
      <c r="Q60" s="14">
        <f>P60</f>
        <v/>
      </c>
    </row>
    <row r="61">
      <c r="A61" t="inlineStr">
        <is>
          <t>Balance check (should be zero)</t>
        </is>
      </c>
      <c r="B61" t="inlineStr">
        <is>
          <t>bs_check</t>
        </is>
      </c>
      <c r="D61" s="13" t="n"/>
      <c r="E61" s="13" t="n"/>
      <c r="F61" s="13" t="n"/>
      <c r="G61" s="13" t="n"/>
      <c r="H61" s="14">
        <f>((((((H55+H54)+H57)+H60)-H56)-H58)-H59)</f>
        <v/>
      </c>
      <c r="I61" s="14">
        <f>((((((I55+I54)+I57)+I60)-I56)-I58)-I59)</f>
        <v/>
      </c>
      <c r="J61" s="14">
        <f>((((((J55+J54)+J57)+J60)-J56)-J58)-J59)</f>
        <v/>
      </c>
      <c r="K61" s="14">
        <f>((((((K55+K54)+K57)+K60)-K56)-K58)-K59)</f>
        <v/>
      </c>
      <c r="L61" s="14">
        <f>((((((L55+L54)+L57)+L60)-L56)-L58)-L59)</f>
        <v/>
      </c>
      <c r="M61" s="14">
        <f>((((((M55+M54)+M57)+M60)-M56)-M58)-M59)</f>
        <v/>
      </c>
      <c r="N61" s="14">
        <f>((((((N55+N54)+N57)+N60)-N56)-N58)-N59)</f>
        <v/>
      </c>
      <c r="O61" s="14">
        <f>((((((O55+O54)+O57)+O60)-O56)-O58)-O59)</f>
        <v/>
      </c>
      <c r="P61" s="14">
        <f>((((((P55+P54)+P57)+P60)-P56)-P58)-P59)</f>
        <v/>
      </c>
      <c r="Q61" s="14">
        <f>((((((Q55+Q54)+Q57)+Q60)-Q56)-Q58)-Q59)</f>
        <v/>
      </c>
    </row>
    <row r="62">
      <c r="A62" t="inlineStr">
        <is>
          <t>Net debt (cash)</t>
        </is>
      </c>
      <c r="B62" t="inlineStr">
        <is>
          <t>net_debt</t>
        </is>
      </c>
      <c r="D62" s="13" t="n">
        <v>514.408279</v>
      </c>
      <c r="E62" s="13" t="n">
        <v>149.121354</v>
      </c>
      <c r="F62" s="13" t="n">
        <v>307.8477489999999</v>
      </c>
      <c r="G62" s="13" t="n">
        <v>910.6377880000001</v>
      </c>
      <c r="H62" s="14">
        <f>(H56-H55)</f>
        <v/>
      </c>
      <c r="I62" s="14">
        <f>(I56-I55)</f>
        <v/>
      </c>
      <c r="J62" s="14">
        <f>(J56-J55)</f>
        <v/>
      </c>
      <c r="K62" s="14">
        <f>(K56-K55)</f>
        <v/>
      </c>
      <c r="L62" s="14">
        <f>(L56-L55)</f>
        <v/>
      </c>
      <c r="M62" s="14">
        <f>(M56-M55)</f>
        <v/>
      </c>
      <c r="N62" s="14">
        <f>(N56-N55)</f>
        <v/>
      </c>
      <c r="O62" s="14">
        <f>(O56-O55)</f>
        <v/>
      </c>
      <c r="P62" s="14">
        <f>(P56-P55)</f>
        <v/>
      </c>
      <c r="Q62" s="14">
        <f>(Q56-Q55)</f>
        <v/>
      </c>
    </row>
    <row r="63">
      <c r="A63" t="inlineStr">
        <is>
          <t>Book value per share</t>
        </is>
      </c>
      <c r="B63" t="inlineStr">
        <is>
          <t>bvps</t>
        </is>
      </c>
      <c r="D63" s="15" t="n">
        <v>0.01075938509146271</v>
      </c>
      <c r="E63" s="15" t="n">
        <v>0.008976762302091398</v>
      </c>
      <c r="F63" s="15" t="n">
        <v>0.01039499661877741</v>
      </c>
      <c r="G63" s="15" t="n">
        <v>0.01174139698881176</v>
      </c>
      <c r="H63" s="16">
        <f>(IF(H44=0,0,H58/H44)*$C$7)</f>
        <v/>
      </c>
      <c r="I63" s="16">
        <f>(IF(I44=0,0,I58/I44)*$C$7)</f>
        <v/>
      </c>
      <c r="J63" s="16">
        <f>(IF(J44=0,0,J58/J44)*$C$7)</f>
        <v/>
      </c>
      <c r="K63" s="16">
        <f>(IF(K44=0,0,K58/K44)*$C$7)</f>
        <v/>
      </c>
      <c r="L63" s="16">
        <f>(IF(L44=0,0,L58/L44)*$C$7)</f>
        <v/>
      </c>
      <c r="M63" s="16">
        <f>(IF(M44=0,0,M58/M44)*$C$7)</f>
        <v/>
      </c>
      <c r="N63" s="16">
        <f>(IF(N44=0,0,N58/N44)*$C$7)</f>
        <v/>
      </c>
      <c r="O63" s="16">
        <f>(IF(O44=0,0,O58/O44)*$C$7)</f>
        <v/>
      </c>
      <c r="P63" s="16">
        <f>(IF(P44=0,0,P58/P44)*$C$7)</f>
        <v/>
      </c>
      <c r="Q63" s="16">
        <f>(IF(Q44=0,0,Q58/Q44)*$C$7)</f>
        <v/>
      </c>
    </row>
    <row r="64">
      <c r="A64" t="inlineStr">
        <is>
          <t>Revenue growth</t>
        </is>
      </c>
      <c r="B64" t="inlineStr">
        <is>
          <t>revenue_growth</t>
        </is>
      </c>
      <c r="D64" s="4" t="n"/>
      <c r="E64" s="4" t="n">
        <v>-0.1580639864248428</v>
      </c>
      <c r="F64" s="4" t="n">
        <v>-0.3982052528286558</v>
      </c>
      <c r="G64" s="4" t="n">
        <v>-0.07508109684934539</v>
      </c>
      <c r="H64" s="17">
        <f>(IF(G29=0,0,H29/G29)-1)</f>
        <v/>
      </c>
      <c r="I64" s="17">
        <f>(IF(H29=0,0,I29/H29)-1)</f>
        <v/>
      </c>
      <c r="J64" s="17">
        <f>(IF(I29=0,0,J29/I29)-1)</f>
        <v/>
      </c>
      <c r="K64" s="17">
        <f>(IF(J29=0,0,K29/J29)-1)</f>
        <v/>
      </c>
      <c r="L64" s="17">
        <f>(IF(K29=0,0,L29/K29)-1)</f>
        <v/>
      </c>
      <c r="M64" s="17">
        <f>(IF(L29=0,0,M29/L29)-1)</f>
        <v/>
      </c>
      <c r="N64" s="17">
        <f>(IF(M29=0,0,N29/M29)-1)</f>
        <v/>
      </c>
      <c r="O64" s="17">
        <f>(IF(N29=0,0,O29/N29)-1)</f>
        <v/>
      </c>
      <c r="P64" s="17">
        <f>(IF(O29=0,0,P29/O29)-1)</f>
        <v/>
      </c>
      <c r="Q64" s="17">
        <f>(IF(P29=0,0,Q29/P29)-1)</f>
        <v/>
      </c>
    </row>
    <row r="65">
      <c r="A65" t="inlineStr">
        <is>
          <t>Gross margin</t>
        </is>
      </c>
      <c r="B65" t="inlineStr">
        <is>
          <t>gross_margin</t>
        </is>
      </c>
      <c r="D65" s="4" t="n">
        <v>0.4429122852192829</v>
      </c>
      <c r="E65" s="4" t="n">
        <v>0.4132402700423812</v>
      </c>
      <c r="F65" s="4" t="n">
        <v>0.4070544184525288</v>
      </c>
      <c r="G65" s="4" t="n">
        <v>0.3373640071588081</v>
      </c>
      <c r="H65" s="17">
        <f>IF(H29=0,0,H31/H29)</f>
        <v/>
      </c>
      <c r="I65" s="17">
        <f>IF(I29=0,0,I31/I29)</f>
        <v/>
      </c>
      <c r="J65" s="17">
        <f>IF(J29=0,0,J31/J29)</f>
        <v/>
      </c>
      <c r="K65" s="17">
        <f>IF(K29=0,0,K31/K29)</f>
        <v/>
      </c>
      <c r="L65" s="17">
        <f>IF(L29=0,0,L31/L29)</f>
        <v/>
      </c>
      <c r="M65" s="17">
        <f>IF(M29=0,0,M31/M29)</f>
        <v/>
      </c>
      <c r="N65" s="17">
        <f>IF(N29=0,0,N31/N29)</f>
        <v/>
      </c>
      <c r="O65" s="17">
        <f>IF(O29=0,0,O31/O29)</f>
        <v/>
      </c>
      <c r="P65" s="17">
        <f>IF(P29=0,0,P31/P29)</f>
        <v/>
      </c>
      <c r="Q65" s="17">
        <f>IF(Q29=0,0,Q31/Q29)</f>
        <v/>
      </c>
    </row>
    <row r="66">
      <c r="A66" t="inlineStr">
        <is>
          <t>EBITDA margin</t>
        </is>
      </c>
      <c r="B66" t="inlineStr">
        <is>
          <t>ebitda_margin</t>
        </is>
      </c>
      <c r="D66" s="4" t="n">
        <v>0.3007651910081131</v>
      </c>
      <c r="E66" s="4" t="n">
        <v>0.2530527302121133</v>
      </c>
      <c r="F66" s="4" t="n">
        <v>0.2433500885081355</v>
      </c>
      <c r="G66" s="4" t="n">
        <v>0.1716446559646672</v>
      </c>
      <c r="H66" s="17">
        <f>IF(H29=0,0,H35/H29)</f>
        <v/>
      </c>
      <c r="I66" s="17">
        <f>IF(I29=0,0,I35/I29)</f>
        <v/>
      </c>
      <c r="J66" s="17">
        <f>IF(J29=0,0,J35/J29)</f>
        <v/>
      </c>
      <c r="K66" s="17">
        <f>IF(K29=0,0,K35/K29)</f>
        <v/>
      </c>
      <c r="L66" s="17">
        <f>IF(L29=0,0,L35/L29)</f>
        <v/>
      </c>
      <c r="M66" s="17">
        <f>IF(M29=0,0,M35/M29)</f>
        <v/>
      </c>
      <c r="N66" s="17">
        <f>IF(N29=0,0,N35/N29)</f>
        <v/>
      </c>
      <c r="O66" s="17">
        <f>IF(O29=0,0,O35/O29)</f>
        <v/>
      </c>
      <c r="P66" s="17">
        <f>IF(P29=0,0,P35/P29)</f>
        <v/>
      </c>
      <c r="Q66" s="17">
        <f>IF(Q29=0,0,Q35/Q29)</f>
        <v/>
      </c>
    </row>
    <row r="67">
      <c r="A67" t="inlineStr">
        <is>
          <t>EBIT margin</t>
        </is>
      </c>
      <c r="B67" t="inlineStr">
        <is>
          <t>ebit_margin</t>
        </is>
      </c>
      <c r="D67" s="4" t="n">
        <v>0.2983713080779631</v>
      </c>
      <c r="E67" s="4" t="n">
        <v>0.250223887363504</v>
      </c>
      <c r="F67" s="4" t="n">
        <v>0.2156323036848849</v>
      </c>
      <c r="G67" s="4" t="n">
        <v>0.1436407758043015</v>
      </c>
      <c r="H67" s="17">
        <f>IF(H29=0,0,H33/H29)</f>
        <v/>
      </c>
      <c r="I67" s="17">
        <f>IF(I29=0,0,I33/I29)</f>
        <v/>
      </c>
      <c r="J67" s="17">
        <f>IF(J29=0,0,J33/J29)</f>
        <v/>
      </c>
      <c r="K67" s="17">
        <f>IF(K29=0,0,K33/K29)</f>
        <v/>
      </c>
      <c r="L67" s="17">
        <f>IF(L29=0,0,L33/L29)</f>
        <v/>
      </c>
      <c r="M67" s="17">
        <f>IF(M29=0,0,M33/M29)</f>
        <v/>
      </c>
      <c r="N67" s="17">
        <f>IF(N29=0,0,N33/N29)</f>
        <v/>
      </c>
      <c r="O67" s="17">
        <f>IF(O29=0,0,O33/O29)</f>
        <v/>
      </c>
      <c r="P67" s="17">
        <f>IF(P29=0,0,P33/P29)</f>
        <v/>
      </c>
      <c r="Q67" s="17">
        <f>IF(Q29=0,0,Q33/Q29)</f>
        <v/>
      </c>
    </row>
    <row r="68">
      <c r="A68" t="inlineStr">
        <is>
          <t>Net margin</t>
        </is>
      </c>
      <c r="B68" t="inlineStr">
        <is>
          <t>np_margin</t>
        </is>
      </c>
      <c r="D68" s="4" t="n">
        <v>0.09904077278111507</v>
      </c>
      <c r="E68" s="4" t="n">
        <v>0.08498665779526955</v>
      </c>
      <c r="F68" s="4" t="n">
        <v>0.1024207036948087</v>
      </c>
      <c r="G68" s="4" t="n">
        <v>0.08259450144269241</v>
      </c>
      <c r="H68" s="17">
        <f>IF(H29=0,0,H43/H29)</f>
        <v/>
      </c>
      <c r="I68" s="17">
        <f>IF(I29=0,0,I43/I29)</f>
        <v/>
      </c>
      <c r="J68" s="17">
        <f>IF(J29=0,0,J43/J29)</f>
        <v/>
      </c>
      <c r="K68" s="17">
        <f>IF(K29=0,0,K43/K29)</f>
        <v/>
      </c>
      <c r="L68" s="17">
        <f>IF(L29=0,0,L43/L29)</f>
        <v/>
      </c>
      <c r="M68" s="17">
        <f>IF(M29=0,0,M43/M29)</f>
        <v/>
      </c>
      <c r="N68" s="17">
        <f>IF(N29=0,0,N43/N29)</f>
        <v/>
      </c>
      <c r="O68" s="17">
        <f>IF(O29=0,0,O43/O29)</f>
        <v/>
      </c>
      <c r="P68" s="17">
        <f>IF(P29=0,0,P43/P29)</f>
        <v/>
      </c>
      <c r="Q68" s="17">
        <f>IF(Q29=0,0,Q43/Q29)</f>
        <v/>
      </c>
    </row>
    <row r="69">
      <c r="A69" t="inlineStr">
        <is>
          <t>EPS growth</t>
        </is>
      </c>
      <c r="B69" t="inlineStr">
        <is>
          <t>eps_growth</t>
        </is>
      </c>
      <c r="D69" s="4" t="n"/>
      <c r="E69" s="4" t="n">
        <v>-0.09692834588447408</v>
      </c>
      <c r="F69" s="4" t="n">
        <v>-0.2776616717513415</v>
      </c>
      <c r="G69" s="4" t="n">
        <v>-0.2541233078393476</v>
      </c>
      <c r="H69" s="17">
        <f>(IF(G45=0,0,H45/G45)-1)</f>
        <v/>
      </c>
      <c r="I69" s="17">
        <f>(IF(H45=0,0,I45/H45)-1)</f>
        <v/>
      </c>
      <c r="J69" s="17">
        <f>(IF(I45=0,0,J45/I45)-1)</f>
        <v/>
      </c>
      <c r="K69" s="17">
        <f>(IF(J45=0,0,K45/J45)-1)</f>
        <v/>
      </c>
      <c r="L69" s="17">
        <f>(IF(K45=0,0,L45/K45)-1)</f>
        <v/>
      </c>
      <c r="M69" s="17">
        <f>(IF(L45=0,0,M45/L45)-1)</f>
        <v/>
      </c>
      <c r="N69" s="17">
        <f>(IF(M45=0,0,N45/M45)-1)</f>
        <v/>
      </c>
      <c r="O69" s="17">
        <f>(IF(N45=0,0,O45/N45)-1)</f>
        <v/>
      </c>
      <c r="P69" s="17">
        <f>(IF(O45=0,0,P45/O45)-1)</f>
        <v/>
      </c>
      <c r="Q69" s="17">
        <f>(IF(P45=0,0,Q45/P45)-1)</f>
        <v/>
      </c>
    </row>
    <row r="70">
      <c r="A70" t="inlineStr">
        <is>
          <t>ROE</t>
        </is>
      </c>
      <c r="B70" t="inlineStr">
        <is>
          <t>roe</t>
        </is>
      </c>
      <c r="D70" s="4" t="n"/>
      <c r="E70" s="4" t="n">
        <v>0.2466249240140992</v>
      </c>
      <c r="F70" s="4" t="n">
        <v>0.2066168439323302</v>
      </c>
      <c r="G70" s="4" t="n">
        <v>0.1346130971876448</v>
      </c>
      <c r="H70" s="17">
        <f>IF(IF(2=0,0,(H58+G58)/2)=0,0,H43/IF(2=0,0,(H58+G58)/2))</f>
        <v/>
      </c>
      <c r="I70" s="17">
        <f>IF(IF(2=0,0,(I58+H58)/2)=0,0,I43/IF(2=0,0,(I58+H58)/2))</f>
        <v/>
      </c>
      <c r="J70" s="17">
        <f>IF(IF(2=0,0,(J58+I58)/2)=0,0,J43/IF(2=0,0,(J58+I58)/2))</f>
        <v/>
      </c>
      <c r="K70" s="17">
        <f>IF(IF(2=0,0,(K58+J58)/2)=0,0,K43/IF(2=0,0,(K58+J58)/2))</f>
        <v/>
      </c>
      <c r="L70" s="17">
        <f>IF(IF(2=0,0,(L58+K58)/2)=0,0,L43/IF(2=0,0,(L58+K58)/2))</f>
        <v/>
      </c>
      <c r="M70" s="17">
        <f>IF(IF(2=0,0,(M58+L58)/2)=0,0,M43/IF(2=0,0,(M58+L58)/2))</f>
        <v/>
      </c>
      <c r="N70" s="17">
        <f>IF(IF(2=0,0,(N58+M58)/2)=0,0,N43/IF(2=0,0,(N58+M58)/2))</f>
        <v/>
      </c>
      <c r="O70" s="17">
        <f>IF(IF(2=0,0,(O58+N58)/2)=0,0,O43/IF(2=0,0,(O58+N58)/2))</f>
        <v/>
      </c>
      <c r="P70" s="17">
        <f>IF(IF(2=0,0,(P58+O58)/2)=0,0,P43/IF(2=0,0,(P58+O58)/2))</f>
        <v/>
      </c>
      <c r="Q70" s="17">
        <f>IF(IF(2=0,0,(Q58+P58)/2)=0,0,Q43/IF(2=0,0,(Q58+P58)/2))</f>
        <v/>
      </c>
    </row>
    <row r="71">
      <c r="A71" t="inlineStr">
        <is>
          <t>Net debt / EBITDA</t>
        </is>
      </c>
      <c r="B71" t="inlineStr">
        <is>
          <t>net_debt_ebitda</t>
        </is>
      </c>
      <c r="D71" s="18" t="n">
        <v>0.2871560523300615</v>
      </c>
      <c r="E71" s="18" t="n">
        <v>0.1175133807789353</v>
      </c>
      <c r="F71" s="18" t="n">
        <v>0.4191935492943782</v>
      </c>
      <c r="G71" s="18" t="n">
        <v>1.900736186819561</v>
      </c>
      <c r="H71" s="19">
        <f>IF(H35=0,0,H62/H35)</f>
        <v/>
      </c>
      <c r="I71" s="19">
        <f>IF(I35=0,0,I62/I35)</f>
        <v/>
      </c>
      <c r="J71" s="19">
        <f>IF(J35=0,0,J62/J35)</f>
        <v/>
      </c>
      <c r="K71" s="19">
        <f>IF(K35=0,0,K62/K35)</f>
        <v/>
      </c>
      <c r="L71" s="19">
        <f>IF(L35=0,0,L62/L35)</f>
        <v/>
      </c>
      <c r="M71" s="19">
        <f>IF(M35=0,0,M62/M35)</f>
        <v/>
      </c>
      <c r="N71" s="19">
        <f>IF(N35=0,0,N62/N35)</f>
        <v/>
      </c>
      <c r="O71" s="19">
        <f>IF(O35=0,0,O62/O35)</f>
        <v/>
      </c>
      <c r="P71" s="19">
        <f>IF(P35=0,0,P62/P35)</f>
        <v/>
      </c>
      <c r="Q71" s="19">
        <f>IF(Q35=0,0,Q62/Q35)</f>
        <v/>
      </c>
    </row>
    <row r="72">
      <c r="A72" t="inlineStr">
        <is>
          <t>Payout ratio</t>
        </is>
      </c>
      <c r="B72" t="inlineStr">
        <is>
          <t>payout_ratio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17">
        <f>IF(H45=0,0,H46/H45)</f>
        <v/>
      </c>
      <c r="I72" s="17">
        <f>IF(I45=0,0,I46/I45)</f>
        <v/>
      </c>
      <c r="J72" s="17">
        <f>IF(J45=0,0,J46/J45)</f>
        <v/>
      </c>
      <c r="K72" s="17">
        <f>IF(K45=0,0,K46/K45)</f>
        <v/>
      </c>
      <c r="L72" s="17">
        <f>IF(L45=0,0,L46/L45)</f>
        <v/>
      </c>
      <c r="M72" s="17">
        <f>IF(M45=0,0,M46/M45)</f>
        <v/>
      </c>
      <c r="N72" s="17">
        <f>IF(N45=0,0,N46/N45)</f>
        <v/>
      </c>
      <c r="O72" s="17">
        <f>IF(O45=0,0,O46/O45)</f>
        <v/>
      </c>
      <c r="P72" s="17">
        <f>IF(P45=0,0,P46/P45)</f>
        <v/>
      </c>
      <c r="Q72" s="17">
        <f>IF(Q45=0,0,Q46/Q45)</f>
        <v/>
      </c>
    </row>
    <row r="73">
      <c r="A73" t="inlineStr">
        <is>
          <t>Capex / revenue</t>
        </is>
      </c>
      <c r="B73" t="inlineStr">
        <is>
          <t>capex_revenue</t>
        </is>
      </c>
      <c r="D73" s="4" t="n">
        <v>0.03165511852783244</v>
      </c>
      <c r="E73" s="4" t="n">
        <v>0.06104768293550013</v>
      </c>
      <c r="F73" s="4" t="n">
        <v>0.1338208304952936</v>
      </c>
      <c r="G73" s="4" t="n">
        <v>0.1673281761809417</v>
      </c>
      <c r="H73" s="17">
        <f>IF(H29=0,0,H48/H29)</f>
        <v/>
      </c>
      <c r="I73" s="17">
        <f>IF(I29=0,0,I48/I29)</f>
        <v/>
      </c>
      <c r="J73" s="17">
        <f>IF(J29=0,0,J48/J29)</f>
        <v/>
      </c>
      <c r="K73" s="17">
        <f>IF(K29=0,0,K48/K29)</f>
        <v/>
      </c>
      <c r="L73" s="17">
        <f>IF(L29=0,0,L48/L29)</f>
        <v/>
      </c>
      <c r="M73" s="17">
        <f>IF(M29=0,0,M48/M29)</f>
        <v/>
      </c>
      <c r="N73" s="17">
        <f>IF(N29=0,0,N48/N29)</f>
        <v/>
      </c>
      <c r="O73" s="17">
        <f>IF(O29=0,0,O48/O29)</f>
        <v/>
      </c>
      <c r="P73" s="17">
        <f>IF(P29=0,0,P48/P29)</f>
        <v/>
      </c>
      <c r="Q73" s="17">
        <f>IF(Q29=0,0,Q48/Q29)</f>
        <v/>
      </c>
    </row>
    <row r="75">
      <c r="A75" s="1" t="inlineStr">
        <is>
          <t>VALUATION</t>
        </is>
      </c>
    </row>
    <row r="76">
      <c r="A76" t="inlineStr">
        <is>
          <t>Last price (IDR)</t>
        </is>
      </c>
      <c r="C76" s="15" t="n">
        <v>750</v>
      </c>
    </row>
    <row r="77">
      <c r="A77" t="inlineStr">
        <is>
          <t>Shares outstanding (m)</t>
        </is>
      </c>
      <c r="C77" s="13" t="n">
        <v>154732.12325</v>
      </c>
    </row>
    <row r="78">
      <c r="A78" t="inlineStr">
        <is>
          <t>IDR per USD (spot)</t>
        </is>
      </c>
      <c r="C78" s="3" t="n">
        <v>18183</v>
      </c>
    </row>
    <row r="79">
      <c r="A79" t="inlineStr">
        <is>
          <t>Debt at balance-sheet date</t>
        </is>
      </c>
      <c r="C79" s="13" t="n">
        <v>1911.110993</v>
      </c>
    </row>
    <row r="80">
      <c r="A80" t="inlineStr">
        <is>
          <t>Cash at balance-sheet date</t>
        </is>
      </c>
      <c r="C80" s="13" t="n">
        <v>814.3766900000001</v>
      </c>
    </row>
    <row r="81">
      <c r="A81" t="inlineStr">
        <is>
          <t>Minority interest (book)</t>
        </is>
      </c>
      <c r="C81" s="13" t="n">
        <v>954.039943</v>
      </c>
    </row>
    <row r="82">
      <c r="A82" t="inlineStr">
        <is>
          <t>Associates &amp; investments (book)</t>
        </is>
      </c>
      <c r="C82" s="13" t="n">
        <v>6.479142</v>
      </c>
    </row>
    <row r="83">
      <c r="A83" t="inlineStr">
        <is>
          <t>Post-balance-sheet &amp; other items (sourced, probability-weighted)</t>
        </is>
      </c>
      <c r="C83" s="13" t="n">
        <v>0</v>
      </c>
    </row>
    <row r="84">
      <c r="A84" t="inlineStr">
        <is>
          <t>Parent equity at balance-sheet date</t>
        </is>
      </c>
      <c r="C84" s="13" t="n">
        <v>2093.883533</v>
      </c>
    </row>
    <row r="85">
      <c r="A85" t="inlineStr">
        <is>
          <t>Per-share factor</t>
        </is>
      </c>
      <c r="C85" s="20" t="n">
        <v>1</v>
      </c>
    </row>
    <row r="86">
      <c r="A86" t="inlineStr">
        <is>
          <t>Risk-free rate</t>
        </is>
      </c>
      <c r="C86" s="8">
        <f>Drivers!$C$8</f>
        <v/>
      </c>
    </row>
    <row r="87">
      <c r="A87" t="inlineStr">
        <is>
          <t>Less: default spread (IDR only)</t>
        </is>
      </c>
      <c r="C87" s="8" t="n">
        <v>0</v>
      </c>
    </row>
    <row r="88">
      <c r="A88" t="inlineStr">
        <is>
          <t>Mature ERP + Indonesia CRP</t>
        </is>
      </c>
      <c r="C88" s="8">
        <f>Drivers!$C$10+Drivers!$C$11</f>
        <v/>
      </c>
    </row>
    <row r="89">
      <c r="A89" t="inlineStr">
        <is>
          <t>Tax rate</t>
        </is>
      </c>
      <c r="C89" s="8">
        <f>Drivers!$C$13</f>
        <v/>
      </c>
    </row>
    <row r="90">
      <c r="A90" t="inlineStr">
        <is>
          <t>Unlevered beta (industry default (config))</t>
        </is>
      </c>
      <c r="C90" s="21" t="n">
        <v>0.9</v>
      </c>
    </row>
    <row r="91">
      <c r="A91" t="inlineStr">
        <is>
          <t>Debt / equity (market)</t>
        </is>
      </c>
      <c r="C91" s="21" t="n">
        <v>0.2994399219833106</v>
      </c>
    </row>
    <row r="92">
      <c r="A92" t="inlineStr">
        <is>
          <t>Levered beta</t>
        </is>
      </c>
      <c r="C92" s="22">
        <f>$C$90*(1+(1-$C$89)*$C$91)</f>
        <v/>
      </c>
    </row>
    <row r="93">
      <c r="A93" t="inlineStr">
        <is>
          <t>Explicit company premium</t>
        </is>
      </c>
      <c r="C93" s="4" t="n">
        <v>0</v>
      </c>
    </row>
    <row r="94">
      <c r="A94" t="inlineStr">
        <is>
          <t>Cost of equity</t>
        </is>
      </c>
      <c r="C94" s="10">
        <f>$C$86-$C$87+$C$92*$C$88+$C$93</f>
        <v/>
      </c>
    </row>
    <row r="95">
      <c r="A95" t="inlineStr">
        <is>
          <t>Pre-tax cost of debt</t>
        </is>
      </c>
      <c r="C95" s="10">
        <f>$C$86+Drivers!$C$12</f>
        <v/>
      </c>
    </row>
    <row r="96">
      <c r="A96" t="inlineStr">
        <is>
          <t>WACC</t>
        </is>
      </c>
      <c r="C96" s="10">
        <f>1/(1+$C$91)*$C$94+$C$91/(1+$C$91)*$C$95*(1-$C$89)</f>
        <v/>
      </c>
    </row>
    <row r="97">
      <c r="A97" t="inlineStr">
        <is>
          <t>Terminal growth (capped)</t>
        </is>
      </c>
      <c r="C97" s="4" t="n">
        <v>0.02</v>
      </c>
    </row>
    <row r="99">
      <c r="A99" s="1" t="inlineStr">
        <is>
          <t>Sum of the parts</t>
        </is>
      </c>
    </row>
    <row r="100">
      <c r="A100" t="inlineStr">
        <is>
          <t>Value per share (IDR) — Sum of the parts (engine value)</t>
        </is>
      </c>
      <c r="C100" s="15" t="n">
        <v>208.370262</v>
      </c>
    </row>
    <row r="102">
      <c r="A102" s="1" t="inlineStr">
        <is>
          <t>TARGET</t>
        </is>
      </c>
    </row>
    <row r="103">
      <c r="A103" t="inlineStr">
        <is>
          <t>Weight: Sum of the parts</t>
        </is>
      </c>
      <c r="C103" s="4" t="n">
        <v>1</v>
      </c>
    </row>
    <row r="104">
      <c r="A104" t="inlineStr">
        <is>
          <t>Value today (weighted)</t>
        </is>
      </c>
      <c r="C104" s="23">
        <f>$C$100*$C$103</f>
        <v/>
      </c>
    </row>
    <row r="105">
      <c r="A105" t="inlineStr">
        <is>
          <t>DPS expected in next 12 months (IDR)</t>
        </is>
      </c>
      <c r="C105" s="15" t="n">
        <v>0</v>
      </c>
    </row>
    <row r="106">
      <c r="A106" t="inlineStr">
        <is>
          <t>Base-case 12-month value</t>
        </is>
      </c>
      <c r="C106" s="23">
        <f>MAX(0,$C$104*(1+$C$94)-$C$105)</f>
        <v/>
      </c>
    </row>
    <row r="107">
      <c r="A107" t="inlineStr">
        <is>
          <t>Bear probability</t>
        </is>
      </c>
      <c r="C107" s="4" t="n">
        <v>0.25</v>
      </c>
    </row>
    <row r="108">
      <c r="A108" t="inlineStr">
        <is>
          <t>Bear 12-month value (engine)</t>
        </is>
      </c>
      <c r="C108" s="15" t="n">
        <v>200.8789645817189</v>
      </c>
    </row>
    <row r="109">
      <c r="A109" t="inlineStr">
        <is>
          <t>Base probability</t>
        </is>
      </c>
      <c r="C109" s="4" t="n">
        <v>0.5</v>
      </c>
    </row>
    <row r="110">
      <c r="A110" t="inlineStr">
        <is>
          <t>Bull probability</t>
        </is>
      </c>
      <c r="C110" s="4" t="n">
        <v>0.25</v>
      </c>
    </row>
    <row r="111">
      <c r="A111" t="inlineStr">
        <is>
          <t>Bull 12-month value (engine)</t>
        </is>
      </c>
      <c r="C111" s="15" t="n">
        <v>267.8386194422919</v>
      </c>
    </row>
    <row r="112">
      <c r="A112" t="inlineStr">
        <is>
          <t>Probability-weighted 12-month value</t>
        </is>
      </c>
      <c r="C112" s="23">
        <f>$C$107*$C$108+$C$109*$C$106+$C$110*$C$111</f>
        <v/>
      </c>
    </row>
    <row r="113">
      <c r="A113" t="inlineStr">
        <is>
          <t>Liquidity discount (limits.yaml)</t>
        </is>
      </c>
      <c r="C113" s="4" t="n">
        <v>0</v>
      </c>
    </row>
    <row r="114">
      <c r="A114" t="inlineStr">
        <is>
          <t>Fundamental 12-month value (after liquidity discount)</t>
        </is>
      </c>
      <c r="C114" s="23">
        <f>$C$112*(1-$C$113)</f>
        <v/>
      </c>
    </row>
    <row r="115">
      <c r="A115" t="inlineStr">
        <is>
          <t>Konglo lens: price / fundamental value today (engine)</t>
        </is>
      </c>
      <c r="C115" s="18" t="n">
        <v>3.599362</v>
      </c>
    </row>
    <row r="116">
      <c r="A116" t="inlineStr">
        <is>
          <t>Regime bear: probability (konglo deck)</t>
        </is>
      </c>
      <c r="C116" s="4" t="n">
        <v>0.25</v>
      </c>
    </row>
    <row r="117">
      <c r="A117" t="inlineStr">
        <is>
          <t>Regime bear: share of the log gap closed in 12 months</t>
        </is>
      </c>
      <c r="C117" s="4" t="n">
        <v>0.85</v>
      </c>
    </row>
    <row r="118">
      <c r="A118" t="inlineStr">
        <is>
          <t>Regime base: probability (konglo deck)</t>
        </is>
      </c>
      <c r="C118" s="4" t="n">
        <v>0.5</v>
      </c>
    </row>
    <row r="119">
      <c r="A119" t="inlineStr">
        <is>
          <t>Regime base: share of the log gap closed in 12 months</t>
        </is>
      </c>
      <c r="C119" s="4" t="n">
        <v>0.45</v>
      </c>
    </row>
    <row r="120">
      <c r="A120" t="inlineStr">
        <is>
          <t>Regime bull: probability (konglo deck)</t>
        </is>
      </c>
      <c r="C120" s="4" t="n">
        <v>0.25</v>
      </c>
    </row>
    <row r="121">
      <c r="A121" t="inlineStr">
        <is>
          <t>Regime bull: share of the log gap closed in 12 months</t>
        </is>
      </c>
      <c r="C121" s="4" t="n">
        <v>0</v>
      </c>
    </row>
    <row r="122">
      <c r="A122" t="inlineStr">
        <is>
          <t>Share of today's premium kept (probability-weighted)</t>
        </is>
      </c>
      <c r="C122" s="27">
        <f>$C$116*$C$115^(1-$C$117)+$C$118*$C$115^(1-$C$119)+$C$120*$C$115^(1-$C$121)</f>
        <v/>
      </c>
    </row>
    <row r="123">
      <c r="A123" t="inlineStr">
        <is>
          <t>TARGET PRICE (IDR) — konglo lens</t>
        </is>
      </c>
      <c r="C123" s="24">
        <f>$C$114*$C$122</f>
        <v/>
      </c>
    </row>
    <row r="124">
      <c r="A124" t="inlineStr">
        <is>
          <t>Expected 12-month total return</t>
        </is>
      </c>
      <c r="C124" s="25">
        <f>($C$123+$C$105)/$C$76-1</f>
        <v/>
      </c>
    </row>
    <row r="125">
      <c r="A125" t="inlineStr">
        <is>
          <t>Rating</t>
        </is>
      </c>
      <c r="C125" s="26">
        <f>IF($C$124&gt;=0.25,"BUY",IF($C$124&gt;=0.1,"ADD",IF($C$124&lt;=-0.25,"SELL",IF($C$124&lt;=-0.1,"REDUCE","HOLD"))))</f>
        <v/>
      </c>
    </row>
    <row r="127">
      <c r="A127" s="1" t="inlineStr">
        <is>
          <t>12-month value vs holding-company discount and cost of equity (engine values)</t>
        </is>
      </c>
    </row>
    <row r="128">
      <c r="A128" s="5" t="inlineStr">
        <is>
          <t>rows: Cost of equity (+/- pp) · columns: Holdco discount (+/- pp)</t>
        </is>
      </c>
      <c r="D128" s="1" t="n">
        <v>-0.1</v>
      </c>
      <c r="E128" s="1" t="n">
        <v>-0.05</v>
      </c>
      <c r="F128" s="1" t="n">
        <v>0</v>
      </c>
      <c r="G128" s="1" t="n">
        <v>0.05</v>
      </c>
      <c r="H128" s="1" t="n">
        <v>0.1</v>
      </c>
    </row>
    <row r="129">
      <c r="C129" s="1" t="n">
        <v>-0.01</v>
      </c>
      <c r="D129" s="23" t="n">
        <v>265.457245</v>
      </c>
      <c r="E129" s="23" t="n">
        <v>248.866167</v>
      </c>
      <c r="F129" s="23" t="n">
        <v>232.275089</v>
      </c>
      <c r="G129" s="23" t="n">
        <v>215.684012</v>
      </c>
      <c r="H129" s="23" t="n">
        <v>199.092934</v>
      </c>
    </row>
    <row r="130">
      <c r="C130" s="1" t="n">
        <v>-0.005</v>
      </c>
      <c r="D130" s="23" t="n">
        <v>266.647932</v>
      </c>
      <c r="E130" s="23" t="n">
        <v>249.982436</v>
      </c>
      <c r="F130" s="23" t="n">
        <v>233.316941</v>
      </c>
      <c r="G130" s="23" t="n">
        <v>216.651445</v>
      </c>
      <c r="H130" s="23" t="n">
        <v>199.985949</v>
      </c>
    </row>
    <row r="131">
      <c r="C131" s="1" t="n">
        <v>0</v>
      </c>
      <c r="D131" s="23" t="n">
        <v>267.838619</v>
      </c>
      <c r="E131" s="23" t="n">
        <v>251.098706</v>
      </c>
      <c r="F131" s="23" t="n">
        <v>234.358792</v>
      </c>
      <c r="G131" s="23" t="n">
        <v>217.618878</v>
      </c>
      <c r="H131" s="23" t="n">
        <v>200.878965</v>
      </c>
    </row>
    <row r="132">
      <c r="C132" s="1" t="n">
        <v>0.005</v>
      </c>
      <c r="D132" s="23" t="n">
        <v>269.029307</v>
      </c>
      <c r="E132" s="23" t="n">
        <v>252.214975</v>
      </c>
      <c r="F132" s="23" t="n">
        <v>235.400643</v>
      </c>
      <c r="G132" s="23" t="n">
        <v>218.586312</v>
      </c>
      <c r="H132" s="23" t="n">
        <v>201.77198</v>
      </c>
    </row>
    <row r="133">
      <c r="C133" s="1" t="n">
        <v>0.01</v>
      </c>
      <c r="D133" s="23" t="n">
        <v>270.219994</v>
      </c>
      <c r="E133" s="23" t="n">
        <v>253.331244</v>
      </c>
      <c r="F133" s="23" t="n">
        <v>236.442495</v>
      </c>
      <c r="G133" s="23" t="n">
        <v>219.553745</v>
      </c>
      <c r="H133" s="23" t="n">
        <v>202.664995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2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1" t="inlineStr">
        <is>
          <t>PT Multi Garam Utama Tbk (FOLK.JK) — Conglomerates &amp; multi-sector holdings</t>
        </is>
      </c>
    </row>
    <row r="2">
      <c r="A2" s="5" t="inlineStr">
        <is>
          <t>Units: IDR bn; per-share in IDR unless marked IDR. Model asof 2026-10-29 · data 2026-10-27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  <c r="M4" s="1" t="inlineStr">
        <is>
          <t>FY2031E</t>
        </is>
      </c>
      <c r="N4" s="1" t="inlineStr">
        <is>
          <t>FY2032E</t>
        </is>
      </c>
      <c r="O4" s="1" t="inlineStr">
        <is>
          <t>FY2033E</t>
        </is>
      </c>
      <c r="P4" s="1" t="inlineStr">
        <is>
          <t>FY2034E</t>
        </is>
      </c>
      <c r="Q4" s="1" t="inlineStr">
        <is>
          <t>FY2035E</t>
        </is>
      </c>
    </row>
    <row r="6">
      <c r="A6" s="1" t="inlineStr">
        <is>
          <t>PARAMETERS</t>
        </is>
      </c>
    </row>
    <row r="7">
      <c r="A7" t="inlineStr">
        <is>
          <t>ps_factor</t>
        </is>
      </c>
      <c r="C7" s="12" t="n">
        <v>1000</v>
      </c>
    </row>
    <row r="8">
      <c r="A8" t="inlineStr">
        <is>
          <t>vp_factor</t>
        </is>
      </c>
      <c r="C8" s="12" t="n">
        <v>1</v>
      </c>
    </row>
    <row r="10">
      <c r="A10" s="1" t="inlineStr">
        <is>
          <t>INPUTS (company assumptions)</t>
        </is>
      </c>
    </row>
    <row r="11">
      <c r="A11" t="inlineStr">
        <is>
          <t>Revenue growth</t>
        </is>
      </c>
      <c r="B11" t="inlineStr">
        <is>
          <t>a.revenue_growth</t>
        </is>
      </c>
      <c r="H11" s="4" t="n">
        <v>0.02</v>
      </c>
      <c r="I11" s="4" t="n">
        <v>0.05</v>
      </c>
      <c r="J11" s="4" t="n">
        <v>0.05</v>
      </c>
      <c r="K11" s="4" t="n">
        <v>0.05</v>
      </c>
      <c r="L11" s="4" t="n">
        <v>0.05</v>
      </c>
      <c r="M11" s="4" t="n">
        <v>0.04</v>
      </c>
      <c r="N11" s="4" t="n">
        <v>0.04</v>
      </c>
      <c r="O11" s="4" t="n">
        <v>0.04</v>
      </c>
      <c r="P11" s="4" t="n">
        <v>0.04</v>
      </c>
      <c r="Q11" s="4" t="n">
        <v>0.04</v>
      </c>
    </row>
    <row r="12">
      <c r="A12" t="inlineStr">
        <is>
          <t>Gross margin at base input costs</t>
        </is>
      </c>
      <c r="B12" t="inlineStr">
        <is>
          <t>a.gross_margin</t>
        </is>
      </c>
      <c r="H12" s="4" t="n">
        <v>0.52</v>
      </c>
      <c r="I12" s="4" t="n">
        <v>0.52</v>
      </c>
      <c r="J12" s="4" t="n">
        <v>0.52</v>
      </c>
      <c r="K12" s="4" t="n">
        <v>0.52</v>
      </c>
      <c r="L12" s="4" t="n">
        <v>0.52</v>
      </c>
      <c r="M12" s="4" t="n">
        <v>0.52</v>
      </c>
      <c r="N12" s="4" t="n">
        <v>0.52</v>
      </c>
      <c r="O12" s="4" t="n">
        <v>0.52</v>
      </c>
      <c r="P12" s="4" t="n">
        <v>0.52</v>
      </c>
      <c r="Q12" s="4" t="n">
        <v>0.52</v>
      </c>
    </row>
    <row r="13">
      <c r="A13" t="inlineStr">
        <is>
          <t>SG&amp;A / revenue</t>
        </is>
      </c>
      <c r="B13" t="inlineStr">
        <is>
          <t>a.opex_pct</t>
        </is>
      </c>
      <c r="H13" s="4" t="n">
        <v>1</v>
      </c>
      <c r="I13" s="4" t="n">
        <v>1</v>
      </c>
      <c r="J13" s="4" t="n">
        <v>1</v>
      </c>
      <c r="K13" s="4" t="n">
        <v>1</v>
      </c>
      <c r="L13" s="4" t="n">
        <v>1</v>
      </c>
      <c r="M13" s="4" t="n">
        <v>1</v>
      </c>
      <c r="N13" s="4" t="n">
        <v>1</v>
      </c>
      <c r="O13" s="4" t="n">
        <v>1</v>
      </c>
      <c r="P13" s="4" t="n">
        <v>1</v>
      </c>
      <c r="Q13" s="4" t="n">
        <v>1</v>
      </c>
    </row>
    <row r="14">
      <c r="A14" t="inlineStr">
        <is>
          <t>D&amp;A / revenue</t>
        </is>
      </c>
      <c r="B14" t="inlineStr">
        <is>
          <t>a.da_pct</t>
        </is>
      </c>
      <c r="H14" s="4" t="n">
        <v>0.18</v>
      </c>
      <c r="I14" s="4" t="n">
        <v>0.18</v>
      </c>
      <c r="J14" s="4" t="n">
        <v>0.18</v>
      </c>
      <c r="K14" s="4" t="n">
        <v>0.18</v>
      </c>
      <c r="L14" s="4" t="n">
        <v>0.18</v>
      </c>
      <c r="M14" s="4" t="n">
        <v>0.18</v>
      </c>
      <c r="N14" s="4" t="n">
        <v>0.18</v>
      </c>
      <c r="O14" s="4" t="n">
        <v>0.18</v>
      </c>
      <c r="P14" s="4" t="n">
        <v>0.18</v>
      </c>
      <c r="Q14" s="4" t="n">
        <v>0.18</v>
      </c>
    </row>
    <row r="15">
      <c r="A15" t="inlineStr">
        <is>
          <t>Capex / revenue</t>
        </is>
      </c>
      <c r="B15" t="inlineStr">
        <is>
          <t>a.capex_pct</t>
        </is>
      </c>
      <c r="H15" s="4" t="n">
        <v>0.02</v>
      </c>
      <c r="I15" s="4" t="n">
        <v>0.02</v>
      </c>
      <c r="J15" s="4" t="n">
        <v>0.02</v>
      </c>
      <c r="K15" s="4" t="n">
        <v>0.02</v>
      </c>
      <c r="L15" s="4" t="n">
        <v>0.02</v>
      </c>
      <c r="M15" s="4" t="n">
        <v>0.02</v>
      </c>
      <c r="N15" s="4" t="n">
        <v>0.02</v>
      </c>
      <c r="O15" s="4" t="n">
        <v>0.02</v>
      </c>
      <c r="P15" s="4" t="n">
        <v>0.02</v>
      </c>
      <c r="Q15" s="4" t="n">
        <v>0.02</v>
      </c>
    </row>
    <row r="16">
      <c r="A16" t="inlineStr">
        <is>
          <t>Operating working capital / revenue</t>
        </is>
      </c>
      <c r="B16" t="inlineStr">
        <is>
          <t>a.nwc_pct</t>
        </is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</row>
    <row r="17">
      <c r="A17" t="inlineStr">
        <is>
          <t>Effective tax rate</t>
        </is>
      </c>
      <c r="B17" t="inlineStr">
        <is>
          <t>a.tax_rate</t>
        </is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</row>
    <row r="18">
      <c r="A18" t="inlineStr">
        <is>
          <t>Cost of debt (on opening debt)</t>
        </is>
      </c>
      <c r="B18" t="inlineStr">
        <is>
          <t>a.cost_of_debt</t>
        </is>
      </c>
      <c r="C18" s="4" t="n">
        <v>0</v>
      </c>
    </row>
    <row r="19">
      <c r="A19" t="inlineStr">
        <is>
          <t>Yield on opening cash</t>
        </is>
      </c>
      <c r="B19" t="inlineStr">
        <is>
          <t>a.cash_yield</t>
        </is>
      </c>
      <c r="C19" s="4" t="n">
        <v>0.055</v>
      </c>
    </row>
    <row r="20">
      <c r="A20" t="inlineStr">
        <is>
          <t>Net new borrowing</t>
        </is>
      </c>
      <c r="B20" t="inlineStr">
        <is>
          <t>a.net_borrowing</t>
        </is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</row>
    <row r="21">
      <c r="A21" t="inlineStr">
        <is>
          <t>Other non-operating items</t>
        </is>
      </c>
      <c r="B21" t="inlineStr">
        <is>
          <t>a.other_nonop</t>
        </is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</row>
    <row r="22">
      <c r="A22" t="inlineStr">
        <is>
          <t>Minorities' share of net profit</t>
        </is>
      </c>
      <c r="B22" t="inlineStr">
        <is>
          <t>a.minority_pct</t>
        </is>
      </c>
      <c r="H22" s="4" t="n">
        <v>0.27</v>
      </c>
      <c r="I22" s="4" t="n">
        <v>0.27</v>
      </c>
      <c r="J22" s="4" t="n">
        <v>0.27</v>
      </c>
      <c r="K22" s="4" t="n">
        <v>0.27</v>
      </c>
      <c r="L22" s="4" t="n">
        <v>0.27</v>
      </c>
      <c r="M22" s="4" t="n">
        <v>0.27</v>
      </c>
      <c r="N22" s="4" t="n">
        <v>0.27</v>
      </c>
      <c r="O22" s="4" t="n">
        <v>0.27</v>
      </c>
      <c r="P22" s="4" t="n">
        <v>0.27</v>
      </c>
      <c r="Q22" s="4" t="n">
        <v>0.27</v>
      </c>
    </row>
    <row r="23">
      <c r="A23" t="inlineStr">
        <is>
          <t>Dividend payout</t>
        </is>
      </c>
      <c r="B23" t="inlineStr">
        <is>
          <t>a.payout</t>
        </is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</row>
    <row r="24">
      <c r="A24" t="inlineStr">
        <is>
          <t>Change in share count</t>
        </is>
      </c>
      <c r="B24" t="inlineStr">
        <is>
          <t>a.share_change</t>
        </is>
      </c>
      <c r="H24" s="4" t="n">
        <v>0.0362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</row>
    <row r="25">
      <c r="A25" t="inlineStr">
        <is>
          <t>Terminal growth (DCF)</t>
        </is>
      </c>
      <c r="B25" t="inlineStr">
        <is>
          <t>a.terminal_growth</t>
        </is>
      </c>
      <c r="C25" s="4" t="n">
        <v>0.04</v>
      </c>
    </row>
    <row r="26">
      <c r="A26" t="inlineStr">
        <is>
          <t>Holding-company discount to SOTP</t>
        </is>
      </c>
      <c r="B26" t="inlineStr">
        <is>
          <t>a.holdco_discount</t>
        </is>
      </c>
      <c r="C26" s="4" t="n">
        <v>0.3</v>
      </c>
    </row>
    <row r="28">
      <c r="A28" s="1" t="inlineStr">
        <is>
          <t>MODEL</t>
        </is>
      </c>
    </row>
    <row r="29">
      <c r="A29" t="inlineStr">
        <is>
          <t>Revenue</t>
        </is>
      </c>
      <c r="B29" t="inlineStr">
        <is>
          <t>revenue</t>
        </is>
      </c>
      <c r="D29" s="13" t="n">
        <v>40.237612994</v>
      </c>
      <c r="E29" s="13" t="n">
        <v>24.809591548</v>
      </c>
      <c r="F29" s="13" t="n">
        <v>19.354230679</v>
      </c>
      <c r="G29" s="13" t="n">
        <v>18.756716139</v>
      </c>
      <c r="H29" s="14">
        <f>(G29*(1+H11))</f>
        <v/>
      </c>
      <c r="I29" s="14">
        <f>(H29*(1+I11))</f>
        <v/>
      </c>
      <c r="J29" s="14">
        <f>(I29*(1+J11))</f>
        <v/>
      </c>
      <c r="K29" s="14">
        <f>(J29*(1+K11))</f>
        <v/>
      </c>
      <c r="L29" s="14">
        <f>(K29*(1+L11))</f>
        <v/>
      </c>
      <c r="M29" s="14">
        <f>(L29*(1+M11))</f>
        <v/>
      </c>
      <c r="N29" s="14">
        <f>(M29*(1+N11))</f>
        <v/>
      </c>
      <c r="O29" s="14">
        <f>(N29*(1+O11))</f>
        <v/>
      </c>
      <c r="P29" s="14">
        <f>(O29*(1+P11))</f>
        <v/>
      </c>
      <c r="Q29" s="14">
        <f>(P29*(1+Q11))</f>
        <v/>
      </c>
    </row>
    <row r="30">
      <c r="A30" t="inlineStr">
        <is>
          <t>Cost of revenue</t>
        </is>
      </c>
      <c r="B30" t="inlineStr">
        <is>
          <t>cogs</t>
        </is>
      </c>
      <c r="D30" s="13" t="n">
        <v>16.314179825</v>
      </c>
      <c r="E30" s="13" t="n">
        <v>17.752245389</v>
      </c>
      <c r="F30" s="13" t="n">
        <v>10.903159742</v>
      </c>
      <c r="G30" s="13" t="n">
        <v>8.925993711</v>
      </c>
      <c r="H30" s="14">
        <f>(H29*(1-H12))</f>
        <v/>
      </c>
      <c r="I30" s="14">
        <f>(I29*(1-I12))</f>
        <v/>
      </c>
      <c r="J30" s="14">
        <f>(J29*(1-J12))</f>
        <v/>
      </c>
      <c r="K30" s="14">
        <f>(K29*(1-K12))</f>
        <v/>
      </c>
      <c r="L30" s="14">
        <f>(L29*(1-L12))</f>
        <v/>
      </c>
      <c r="M30" s="14">
        <f>(M29*(1-M12))</f>
        <v/>
      </c>
      <c r="N30" s="14">
        <f>(N29*(1-N12))</f>
        <v/>
      </c>
      <c r="O30" s="14">
        <f>(O29*(1-O12))</f>
        <v/>
      </c>
      <c r="P30" s="14">
        <f>(P29*(1-P12))</f>
        <v/>
      </c>
      <c r="Q30" s="14">
        <f>(Q29*(1-Q12))</f>
        <v/>
      </c>
    </row>
    <row r="31">
      <c r="A31" t="inlineStr">
        <is>
          <t>Gross profit</t>
        </is>
      </c>
      <c r="B31" t="inlineStr">
        <is>
          <t>gross_profit</t>
        </is>
      </c>
      <c r="D31" s="13" t="n">
        <v>23.923433169</v>
      </c>
      <c r="E31" s="13" t="n">
        <v>7.057346159</v>
      </c>
      <c r="F31" s="13" t="n">
        <v>8.451070937000001</v>
      </c>
      <c r="G31" s="13" t="n">
        <v>9.830722428</v>
      </c>
      <c r="H31" s="14">
        <f>(H29-H30)</f>
        <v/>
      </c>
      <c r="I31" s="14">
        <f>(I29-I30)</f>
        <v/>
      </c>
      <c r="J31" s="14">
        <f>(J29-J30)</f>
        <v/>
      </c>
      <c r="K31" s="14">
        <f>(K29-K30)</f>
        <v/>
      </c>
      <c r="L31" s="14">
        <f>(L29-L30)</f>
        <v/>
      </c>
      <c r="M31" s="14">
        <f>(M29-M30)</f>
        <v/>
      </c>
      <c r="N31" s="14">
        <f>(N29-N30)</f>
        <v/>
      </c>
      <c r="O31" s="14">
        <f>(O29-O30)</f>
        <v/>
      </c>
      <c r="P31" s="14">
        <f>(P29-P30)</f>
        <v/>
      </c>
      <c r="Q31" s="14">
        <f>(Q29-Q30)</f>
        <v/>
      </c>
    </row>
    <row r="32">
      <c r="A32" t="inlineStr">
        <is>
          <t>SG&amp;A and other opex</t>
        </is>
      </c>
      <c r="B32" t="inlineStr">
        <is>
          <t>opex</t>
        </is>
      </c>
      <c r="D32" s="13" t="n">
        <v>22.710808912</v>
      </c>
      <c r="E32" s="13" t="n">
        <v>26.626909008</v>
      </c>
      <c r="F32" s="13" t="n">
        <v>28.668657176</v>
      </c>
      <c r="G32" s="13" t="n">
        <v>23.385558076</v>
      </c>
      <c r="H32" s="14">
        <f>(H29*H13)</f>
        <v/>
      </c>
      <c r="I32" s="14">
        <f>(I29*I13)</f>
        <v/>
      </c>
      <c r="J32" s="14">
        <f>(J29*J13)</f>
        <v/>
      </c>
      <c r="K32" s="14">
        <f>(K29*K13)</f>
        <v/>
      </c>
      <c r="L32" s="14">
        <f>(L29*L13)</f>
        <v/>
      </c>
      <c r="M32" s="14">
        <f>(M29*M13)</f>
        <v/>
      </c>
      <c r="N32" s="14">
        <f>(N29*N13)</f>
        <v/>
      </c>
      <c r="O32" s="14">
        <f>(O29*O13)</f>
        <v/>
      </c>
      <c r="P32" s="14">
        <f>(P29*P13)</f>
        <v/>
      </c>
      <c r="Q32" s="14">
        <f>(Q29*Q13)</f>
        <v/>
      </c>
    </row>
    <row r="33">
      <c r="A33" t="inlineStr">
        <is>
          <t>EBIT</t>
        </is>
      </c>
      <c r="B33" t="inlineStr">
        <is>
          <t>ebit</t>
        </is>
      </c>
      <c r="D33" s="13" t="n">
        <v>1.212624257</v>
      </c>
      <c r="E33" s="13" t="n">
        <v>-19.569562849</v>
      </c>
      <c r="F33" s="13" t="n">
        <v>-20.217586239</v>
      </c>
      <c r="G33" s="13" t="n">
        <v>-13.554835648</v>
      </c>
      <c r="H33" s="14">
        <f>(H31-H32)</f>
        <v/>
      </c>
      <c r="I33" s="14">
        <f>(I31-I32)</f>
        <v/>
      </c>
      <c r="J33" s="14">
        <f>(J31-J32)</f>
        <v/>
      </c>
      <c r="K33" s="14">
        <f>(K31-K32)</f>
        <v/>
      </c>
      <c r="L33" s="14">
        <f>(L31-L32)</f>
        <v/>
      </c>
      <c r="M33" s="14">
        <f>(M31-M32)</f>
        <v/>
      </c>
      <c r="N33" s="14">
        <f>(N31-N32)</f>
        <v/>
      </c>
      <c r="O33" s="14">
        <f>(O31-O32)</f>
        <v/>
      </c>
      <c r="P33" s="14">
        <f>(P31-P32)</f>
        <v/>
      </c>
      <c r="Q33" s="14">
        <f>(Q31-Q32)</f>
        <v/>
      </c>
    </row>
    <row r="34">
      <c r="A34" t="inlineStr">
        <is>
          <t>Depreciation &amp; amortisation</t>
        </is>
      </c>
      <c r="B34" t="inlineStr">
        <is>
          <t>da</t>
        </is>
      </c>
      <c r="D34" s="13" t="n">
        <v>0.897056527</v>
      </c>
      <c r="E34" s="13" t="n">
        <v>2.180238161</v>
      </c>
      <c r="F34" s="13" t="n">
        <v>3.479143834</v>
      </c>
      <c r="G34" s="13" t="n">
        <v>3.931858775</v>
      </c>
      <c r="H34" s="14">
        <f>(H29*H14)</f>
        <v/>
      </c>
      <c r="I34" s="14">
        <f>(I29*I14)</f>
        <v/>
      </c>
      <c r="J34" s="14">
        <f>(J29*J14)</f>
        <v/>
      </c>
      <c r="K34" s="14">
        <f>(K29*K14)</f>
        <v/>
      </c>
      <c r="L34" s="14">
        <f>(L29*L14)</f>
        <v/>
      </c>
      <c r="M34" s="14">
        <f>(M29*M14)</f>
        <v/>
      </c>
      <c r="N34" s="14">
        <f>(N29*N14)</f>
        <v/>
      </c>
      <c r="O34" s="14">
        <f>(O29*O14)</f>
        <v/>
      </c>
      <c r="P34" s="14">
        <f>(P29*P14)</f>
        <v/>
      </c>
      <c r="Q34" s="14">
        <f>(Q29*Q14)</f>
        <v/>
      </c>
    </row>
    <row r="35">
      <c r="A35" t="inlineStr">
        <is>
          <t>EBITDA</t>
        </is>
      </c>
      <c r="B35" t="inlineStr">
        <is>
          <t>ebitda</t>
        </is>
      </c>
      <c r="D35" s="13" t="n">
        <v>2.109680784</v>
      </c>
      <c r="E35" s="13" t="n">
        <v>-17.389324688</v>
      </c>
      <c r="F35" s="13" t="n">
        <v>-16.738442405</v>
      </c>
      <c r="G35" s="13" t="n">
        <v>-9.622976872999999</v>
      </c>
      <c r="H35" s="14">
        <f>(H33+H34)</f>
        <v/>
      </c>
      <c r="I35" s="14">
        <f>(I33+I34)</f>
        <v/>
      </c>
      <c r="J35" s="14">
        <f>(J33+J34)</f>
        <v/>
      </c>
      <c r="K35" s="14">
        <f>(K33+K34)</f>
        <v/>
      </c>
      <c r="L35" s="14">
        <f>(L33+L34)</f>
        <v/>
      </c>
      <c r="M35" s="14">
        <f>(M33+M34)</f>
        <v/>
      </c>
      <c r="N35" s="14">
        <f>(N33+N34)</f>
        <v/>
      </c>
      <c r="O35" s="14">
        <f>(O33+O34)</f>
        <v/>
      </c>
      <c r="P35" s="14">
        <f>(P33+P34)</f>
        <v/>
      </c>
      <c r="Q35" s="14">
        <f>(Q33+Q34)</f>
        <v/>
      </c>
    </row>
    <row r="36">
      <c r="A36" t="inlineStr">
        <is>
          <t>Interest expense</t>
        </is>
      </c>
      <c r="B36" t="inlineStr">
        <is>
          <t>interest_expense</t>
        </is>
      </c>
      <c r="D36" s="13" t="n">
        <v>0.096128059</v>
      </c>
      <c r="E36" s="13" t="n">
        <v>0.176015608</v>
      </c>
      <c r="F36" s="13" t="n">
        <v>0.434061945</v>
      </c>
      <c r="G36" s="13" t="n">
        <v>0.8738955980000001</v>
      </c>
      <c r="H36" s="14">
        <f>(G56*$C$18)</f>
        <v/>
      </c>
      <c r="I36" s="14">
        <f>(H56*$C$18)</f>
        <v/>
      </c>
      <c r="J36" s="14">
        <f>(I56*$C$18)</f>
        <v/>
      </c>
      <c r="K36" s="14">
        <f>(J56*$C$18)</f>
        <v/>
      </c>
      <c r="L36" s="14">
        <f>(K56*$C$18)</f>
        <v/>
      </c>
      <c r="M36" s="14">
        <f>(L56*$C$18)</f>
        <v/>
      </c>
      <c r="N36" s="14">
        <f>(M56*$C$18)</f>
        <v/>
      </c>
      <c r="O36" s="14">
        <f>(N56*$C$18)</f>
        <v/>
      </c>
      <c r="P36" s="14">
        <f>(O56*$C$18)</f>
        <v/>
      </c>
      <c r="Q36" s="14">
        <f>(P56*$C$18)</f>
        <v/>
      </c>
    </row>
    <row r="37">
      <c r="A37" t="inlineStr">
        <is>
          <t>Interest income</t>
        </is>
      </c>
      <c r="B37" t="inlineStr">
        <is>
          <t>interest_income</t>
        </is>
      </c>
      <c r="D37" s="13" t="n">
        <v>0.294466682</v>
      </c>
      <c r="E37" s="13" t="n">
        <v>0.758774293</v>
      </c>
      <c r="F37" s="13" t="n">
        <v>0.577333641</v>
      </c>
      <c r="G37" s="13" t="n">
        <v>0.861064776</v>
      </c>
      <c r="H37" s="14">
        <f>(G55*$C$19)</f>
        <v/>
      </c>
      <c r="I37" s="14">
        <f>(H55*$C$19)</f>
        <v/>
      </c>
      <c r="J37" s="14">
        <f>(I55*$C$19)</f>
        <v/>
      </c>
      <c r="K37" s="14">
        <f>(J55*$C$19)</f>
        <v/>
      </c>
      <c r="L37" s="14">
        <f>(K55*$C$19)</f>
        <v/>
      </c>
      <c r="M37" s="14">
        <f>(L55*$C$19)</f>
        <v/>
      </c>
      <c r="N37" s="14">
        <f>(M55*$C$19)</f>
        <v/>
      </c>
      <c r="O37" s="14">
        <f>(N55*$C$19)</f>
        <v/>
      </c>
      <c r="P37" s="14">
        <f>(O55*$C$19)</f>
        <v/>
      </c>
      <c r="Q37" s="14">
        <f>(P55*$C$19)</f>
        <v/>
      </c>
    </row>
    <row r="38">
      <c r="A38" t="inlineStr">
        <is>
          <t>Other non-operating</t>
        </is>
      </c>
      <c r="B38" t="inlineStr">
        <is>
          <t>other_nonop</t>
        </is>
      </c>
      <c r="D38" s="13" t="n">
        <v>3.959241911</v>
      </c>
      <c r="E38" s="13" t="n">
        <v>4.610568998</v>
      </c>
      <c r="F38" s="13" t="n">
        <v>-7.633363219</v>
      </c>
      <c r="G38" s="13" t="n">
        <v>-6.617571826000002</v>
      </c>
      <c r="H38" s="14">
        <f>H21</f>
        <v/>
      </c>
      <c r="I38" s="14">
        <f>I21</f>
        <v/>
      </c>
      <c r="J38" s="14">
        <f>J21</f>
        <v/>
      </c>
      <c r="K38" s="14">
        <f>K21</f>
        <v/>
      </c>
      <c r="L38" s="14">
        <f>L21</f>
        <v/>
      </c>
      <c r="M38" s="14">
        <f>M21</f>
        <v/>
      </c>
      <c r="N38" s="14">
        <f>N21</f>
        <v/>
      </c>
      <c r="O38" s="14">
        <f>O21</f>
        <v/>
      </c>
      <c r="P38" s="14">
        <f>P21</f>
        <v/>
      </c>
      <c r="Q38" s="14">
        <f>Q21</f>
        <v/>
      </c>
    </row>
    <row r="39">
      <c r="A39" t="inlineStr">
        <is>
          <t>Profit before tax</t>
        </is>
      </c>
      <c r="B39" t="inlineStr">
        <is>
          <t>pbt</t>
        </is>
      </c>
      <c r="D39" s="13" t="n">
        <v>5.370204791</v>
      </c>
      <c r="E39" s="13" t="n">
        <v>-14.376235166</v>
      </c>
      <c r="F39" s="13" t="n">
        <v>-27.707677762</v>
      </c>
      <c r="G39" s="13" t="n">
        <v>-20.185238296</v>
      </c>
      <c r="H39" s="14">
        <f>(((H33-H36)+H37)+H38)</f>
        <v/>
      </c>
      <c r="I39" s="14">
        <f>(((I33-I36)+I37)+I38)</f>
        <v/>
      </c>
      <c r="J39" s="14">
        <f>(((J33-J36)+J37)+J38)</f>
        <v/>
      </c>
      <c r="K39" s="14">
        <f>(((K33-K36)+K37)+K38)</f>
        <v/>
      </c>
      <c r="L39" s="14">
        <f>(((L33-L36)+L37)+L38)</f>
        <v/>
      </c>
      <c r="M39" s="14">
        <f>(((M33-M36)+M37)+M38)</f>
        <v/>
      </c>
      <c r="N39" s="14">
        <f>(((N33-N36)+N37)+N38)</f>
        <v/>
      </c>
      <c r="O39" s="14">
        <f>(((O33-O36)+O37)+O38)</f>
        <v/>
      </c>
      <c r="P39" s="14">
        <f>(((P33-P36)+P37)+P38)</f>
        <v/>
      </c>
      <c r="Q39" s="14">
        <f>(((Q33-Q36)+Q37)+Q38)</f>
        <v/>
      </c>
    </row>
    <row r="40">
      <c r="A40" t="inlineStr">
        <is>
          <t>Tax</t>
        </is>
      </c>
      <c r="B40" t="inlineStr">
        <is>
          <t>tax</t>
        </is>
      </c>
      <c r="D40" s="13" t="n">
        <v>0.168865649</v>
      </c>
      <c r="E40" s="13" t="n">
        <v>-0.03593765</v>
      </c>
      <c r="F40" s="13" t="n">
        <v>-2.025463648</v>
      </c>
      <c r="G40" s="13" t="n">
        <v>-1.417782103</v>
      </c>
      <c r="H40" s="14">
        <f>(MAX(H39,0)*H17)</f>
        <v/>
      </c>
      <c r="I40" s="14">
        <f>(MAX(I39,0)*I17)</f>
        <v/>
      </c>
      <c r="J40" s="14">
        <f>(MAX(J39,0)*J17)</f>
        <v/>
      </c>
      <c r="K40" s="14">
        <f>(MAX(K39,0)*K17)</f>
        <v/>
      </c>
      <c r="L40" s="14">
        <f>(MAX(L39,0)*L17)</f>
        <v/>
      </c>
      <c r="M40" s="14">
        <f>(MAX(M39,0)*M17)</f>
        <v/>
      </c>
      <c r="N40" s="14">
        <f>(MAX(N39,0)*N17)</f>
        <v/>
      </c>
      <c r="O40" s="14">
        <f>(MAX(O39,0)*O17)</f>
        <v/>
      </c>
      <c r="P40" s="14">
        <f>(MAX(P39,0)*P17)</f>
        <v/>
      </c>
      <c r="Q40" s="14">
        <f>(MAX(Q39,0)*Q17)</f>
        <v/>
      </c>
    </row>
    <row r="41">
      <c r="A41" t="inlineStr">
        <is>
          <t>Net profit (incl. minorities)</t>
        </is>
      </c>
      <c r="B41" t="inlineStr">
        <is>
          <t>np</t>
        </is>
      </c>
      <c r="D41" s="13" t="n">
        <v>5.201339142</v>
      </c>
      <c r="E41" s="13" t="n">
        <v>-14.340297516</v>
      </c>
      <c r="F41" s="13" t="n">
        <v>-25.682214114</v>
      </c>
      <c r="G41" s="13" t="n">
        <v>-18.767456193</v>
      </c>
      <c r="H41" s="14">
        <f>(H39-H40)</f>
        <v/>
      </c>
      <c r="I41" s="14">
        <f>(I39-I40)</f>
        <v/>
      </c>
      <c r="J41" s="14">
        <f>(J39-J40)</f>
        <v/>
      </c>
      <c r="K41" s="14">
        <f>(K39-K40)</f>
        <v/>
      </c>
      <c r="L41" s="14">
        <f>(L39-L40)</f>
        <v/>
      </c>
      <c r="M41" s="14">
        <f>(M39-M40)</f>
        <v/>
      </c>
      <c r="N41" s="14">
        <f>(N39-N40)</f>
        <v/>
      </c>
      <c r="O41" s="14">
        <f>(O39-O40)</f>
        <v/>
      </c>
      <c r="P41" s="14">
        <f>(P39-P40)</f>
        <v/>
      </c>
      <c r="Q41" s="14">
        <f>(Q39-Q40)</f>
        <v/>
      </c>
    </row>
    <row r="42">
      <c r="A42" t="inlineStr">
        <is>
          <t>Minority interests</t>
        </is>
      </c>
      <c r="B42" t="inlineStr">
        <is>
          <t>minority</t>
        </is>
      </c>
      <c r="D42" s="13" t="n">
        <v>0.1446806060000005</v>
      </c>
      <c r="E42" s="13" t="n">
        <v>-3.695613715</v>
      </c>
      <c r="F42" s="13" t="n">
        <v>-9.021017063000002</v>
      </c>
      <c r="G42" s="13" t="n">
        <v>-5.032276852000001</v>
      </c>
      <c r="H42" s="14">
        <f>(H41*H22)</f>
        <v/>
      </c>
      <c r="I42" s="14">
        <f>(I41*I22)</f>
        <v/>
      </c>
      <c r="J42" s="14">
        <f>(J41*J22)</f>
        <v/>
      </c>
      <c r="K42" s="14">
        <f>(K41*K22)</f>
        <v/>
      </c>
      <c r="L42" s="14">
        <f>(L41*L22)</f>
        <v/>
      </c>
      <c r="M42" s="14">
        <f>(M41*M22)</f>
        <v/>
      </c>
      <c r="N42" s="14">
        <f>(N41*N22)</f>
        <v/>
      </c>
      <c r="O42" s="14">
        <f>(O41*O22)</f>
        <v/>
      </c>
      <c r="P42" s="14">
        <f>(P41*P22)</f>
        <v/>
      </c>
      <c r="Q42" s="14">
        <f>(Q41*Q22)</f>
        <v/>
      </c>
    </row>
    <row r="43">
      <c r="A43" t="inlineStr">
        <is>
          <t>Net profit to parent</t>
        </is>
      </c>
      <c r="B43" t="inlineStr">
        <is>
          <t>np_parent</t>
        </is>
      </c>
      <c r="D43" s="13" t="n">
        <v>5.056658536</v>
      </c>
      <c r="E43" s="13" t="n">
        <v>-10.644683801</v>
      </c>
      <c r="F43" s="13" t="n">
        <v>-16.661197051</v>
      </c>
      <c r="G43" s="13" t="n">
        <v>-13.735179341</v>
      </c>
      <c r="H43" s="14">
        <f>(H41-H42)</f>
        <v/>
      </c>
      <c r="I43" s="14">
        <f>(I41-I42)</f>
        <v/>
      </c>
      <c r="J43" s="14">
        <f>(J41-J42)</f>
        <v/>
      </c>
      <c r="K43" s="14">
        <f>(K41-K42)</f>
        <v/>
      </c>
      <c r="L43" s="14">
        <f>(L41-L42)</f>
        <v/>
      </c>
      <c r="M43" s="14">
        <f>(M41-M42)</f>
        <v/>
      </c>
      <c r="N43" s="14">
        <f>(N41-N42)</f>
        <v/>
      </c>
      <c r="O43" s="14">
        <f>(O41-O42)</f>
        <v/>
      </c>
      <c r="P43" s="14">
        <f>(P41-P42)</f>
        <v/>
      </c>
      <c r="Q43" s="14">
        <f>(Q41-Q42)</f>
        <v/>
      </c>
    </row>
    <row r="44">
      <c r="A44" t="inlineStr">
        <is>
          <t>Shares outstanding (m)</t>
        </is>
      </c>
      <c r="B44" t="inlineStr">
        <is>
          <t>shares</t>
        </is>
      </c>
      <c r="D44" s="13" t="n">
        <v>3948.1333</v>
      </c>
      <c r="E44" s="13" t="n">
        <v>3948.1333</v>
      </c>
      <c r="F44" s="13" t="n">
        <v>3948.141464</v>
      </c>
      <c r="G44" s="13" t="n">
        <v>3948.141464</v>
      </c>
      <c r="H44" s="14">
        <f>(G44*(1+H24))</f>
        <v/>
      </c>
      <c r="I44" s="14">
        <f>(H44*(1+I24))</f>
        <v/>
      </c>
      <c r="J44" s="14">
        <f>(I44*(1+J24))</f>
        <v/>
      </c>
      <c r="K44" s="14">
        <f>(J44*(1+K24))</f>
        <v/>
      </c>
      <c r="L44" s="14">
        <f>(K44*(1+L24))</f>
        <v/>
      </c>
      <c r="M44" s="14">
        <f>(L44*(1+M24))</f>
        <v/>
      </c>
      <c r="N44" s="14">
        <f>(M44*(1+N24))</f>
        <v/>
      </c>
      <c r="O44" s="14">
        <f>(N44*(1+O24))</f>
        <v/>
      </c>
      <c r="P44" s="14">
        <f>(O44*(1+P24))</f>
        <v/>
      </c>
      <c r="Q44" s="14">
        <f>(P44*(1+Q24))</f>
        <v/>
      </c>
    </row>
    <row r="45">
      <c r="A45" t="inlineStr">
        <is>
          <t>EPS</t>
        </is>
      </c>
      <c r="B45" t="inlineStr">
        <is>
          <t>eps</t>
        </is>
      </c>
      <c r="D45" s="15" t="n">
        <v>1.280771988119043</v>
      </c>
      <c r="E45" s="15" t="n">
        <v>-2.696130802118561</v>
      </c>
      <c r="F45" s="15" t="n">
        <v>-4.220010149818684</v>
      </c>
      <c r="G45" s="15" t="n">
        <v>-3.478897467641499</v>
      </c>
      <c r="H45" s="16">
        <f>(IF(H44=0,0,H43/H44)*$C$7)</f>
        <v/>
      </c>
      <c r="I45" s="16">
        <f>(IF(I44=0,0,I43/I44)*$C$7)</f>
        <v/>
      </c>
      <c r="J45" s="16">
        <f>(IF(J44=0,0,J43/J44)*$C$7)</f>
        <v/>
      </c>
      <c r="K45" s="16">
        <f>(IF(K44=0,0,K43/K44)*$C$7)</f>
        <v/>
      </c>
      <c r="L45" s="16">
        <f>(IF(L44=0,0,L43/L44)*$C$7)</f>
        <v/>
      </c>
      <c r="M45" s="16">
        <f>(IF(M44=0,0,M43/M44)*$C$7)</f>
        <v/>
      </c>
      <c r="N45" s="16">
        <f>(IF(N44=0,0,N43/N44)*$C$7)</f>
        <v/>
      </c>
      <c r="O45" s="16">
        <f>(IF(O44=0,0,O43/O44)*$C$7)</f>
        <v/>
      </c>
      <c r="P45" s="16">
        <f>(IF(P44=0,0,P43/P44)*$C$7)</f>
        <v/>
      </c>
      <c r="Q45" s="16">
        <f>(IF(Q44=0,0,Q43/Q44)*$C$7)</f>
        <v/>
      </c>
    </row>
    <row r="46">
      <c r="A46" t="inlineStr">
        <is>
          <t>DPS (declared on the year)</t>
        </is>
      </c>
      <c r="B46" t="inlineStr">
        <is>
          <t>dps</t>
        </is>
      </c>
      <c r="D46" s="15" t="n"/>
      <c r="E46" s="15" t="n">
        <v>0</v>
      </c>
      <c r="F46" s="15" t="n">
        <v>0</v>
      </c>
      <c r="G46" s="15" t="n">
        <v>0</v>
      </c>
      <c r="H46" s="16">
        <f>(MAX(H45,0)*H23)</f>
        <v/>
      </c>
      <c r="I46" s="16">
        <f>(MAX(I45,0)*I23)</f>
        <v/>
      </c>
      <c r="J46" s="16">
        <f>(MAX(J45,0)*J23)</f>
        <v/>
      </c>
      <c r="K46" s="16">
        <f>(MAX(K45,0)*K23)</f>
        <v/>
      </c>
      <c r="L46" s="16">
        <f>(MAX(L45,0)*L23)</f>
        <v/>
      </c>
      <c r="M46" s="16">
        <f>(MAX(M45,0)*M23)</f>
        <v/>
      </c>
      <c r="N46" s="16">
        <f>(MAX(N45,0)*N23)</f>
        <v/>
      </c>
      <c r="O46" s="16">
        <f>(MAX(O45,0)*O23)</f>
        <v/>
      </c>
      <c r="P46" s="16">
        <f>(MAX(P45,0)*P23)</f>
        <v/>
      </c>
      <c r="Q46" s="16">
        <f>(MAX(Q45,0)*Q23)</f>
        <v/>
      </c>
    </row>
    <row r="47">
      <c r="A47" t="inlineStr">
        <is>
          <t>Dividends paid</t>
        </is>
      </c>
      <c r="B47" t="inlineStr">
        <is>
          <t>dividends_paid</t>
        </is>
      </c>
      <c r="D47" s="13" t="n"/>
      <c r="E47" s="13" t="n"/>
      <c r="F47" s="13" t="n"/>
      <c r="G47" s="13" t="n">
        <v>0.0015</v>
      </c>
      <c r="H47" s="14">
        <f>IF($C$7=0,0,(G46*G44)/$C$7)</f>
        <v/>
      </c>
      <c r="I47" s="14">
        <f>IF($C$7=0,0,(H46*H44)/$C$7)</f>
        <v/>
      </c>
      <c r="J47" s="14">
        <f>IF($C$7=0,0,(I46*I44)/$C$7)</f>
        <v/>
      </c>
      <c r="K47" s="14">
        <f>IF($C$7=0,0,(J46*J44)/$C$7)</f>
        <v/>
      </c>
      <c r="L47" s="14">
        <f>IF($C$7=0,0,(K46*K44)/$C$7)</f>
        <v/>
      </c>
      <c r="M47" s="14">
        <f>IF($C$7=0,0,(L46*L44)/$C$7)</f>
        <v/>
      </c>
      <c r="N47" s="14">
        <f>IF($C$7=0,0,(M46*M44)/$C$7)</f>
        <v/>
      </c>
      <c r="O47" s="14">
        <f>IF($C$7=0,0,(N46*N44)/$C$7)</f>
        <v/>
      </c>
      <c r="P47" s="14">
        <f>IF($C$7=0,0,(O46*O44)/$C$7)</f>
        <v/>
      </c>
      <c r="Q47" s="14">
        <f>IF($C$7=0,0,(P46*P44)/$C$7)</f>
        <v/>
      </c>
    </row>
    <row r="48">
      <c r="A48" t="inlineStr">
        <is>
          <t>Capital expenditure</t>
        </is>
      </c>
      <c r="B48" t="inlineStr">
        <is>
          <t>capex</t>
        </is>
      </c>
      <c r="D48" s="13" t="n">
        <v>1.663368485</v>
      </c>
      <c r="E48" s="13" t="n">
        <v>17.800438431</v>
      </c>
      <c r="F48" s="13" t="n">
        <v>0.259592886</v>
      </c>
      <c r="G48" s="13" t="n">
        <v>0.105452993</v>
      </c>
      <c r="H48" s="14">
        <f>(H29*H15)</f>
        <v/>
      </c>
      <c r="I48" s="14">
        <f>(I29*I15)</f>
        <v/>
      </c>
      <c r="J48" s="14">
        <f>(J29*J15)</f>
        <v/>
      </c>
      <c r="K48" s="14">
        <f>(K29*K15)</f>
        <v/>
      </c>
      <c r="L48" s="14">
        <f>(L29*L15)</f>
        <v/>
      </c>
      <c r="M48" s="14">
        <f>(M29*M15)</f>
        <v/>
      </c>
      <c r="N48" s="14">
        <f>(N29*N15)</f>
        <v/>
      </c>
      <c r="O48" s="14">
        <f>(O29*O15)</f>
        <v/>
      </c>
      <c r="P48" s="14">
        <f>(P29*P15)</f>
        <v/>
      </c>
      <c r="Q48" s="14">
        <f>(Q29*Q15)</f>
        <v/>
      </c>
    </row>
    <row r="49">
      <c r="A49" t="inlineStr">
        <is>
          <t>Change in working capital</t>
        </is>
      </c>
      <c r="B49" t="inlineStr">
        <is>
          <t>delta_nwc</t>
        </is>
      </c>
      <c r="D49" s="13" t="n"/>
      <c r="E49" s="13" t="n">
        <v>12.60667146299999</v>
      </c>
      <c r="F49" s="13" t="n">
        <v>-19.134818134</v>
      </c>
      <c r="G49" s="13" t="n">
        <v>-12.929656348</v>
      </c>
      <c r="H49" s="14">
        <f>(H54-G54)</f>
        <v/>
      </c>
      <c r="I49" s="14">
        <f>(I54-H54)</f>
        <v/>
      </c>
      <c r="J49" s="14">
        <f>(J54-I54)</f>
        <v/>
      </c>
      <c r="K49" s="14">
        <f>(K54-J54)</f>
        <v/>
      </c>
      <c r="L49" s="14">
        <f>(L54-K54)</f>
        <v/>
      </c>
      <c r="M49" s="14">
        <f>(M54-L54)</f>
        <v/>
      </c>
      <c r="N49" s="14">
        <f>(N54-M54)</f>
        <v/>
      </c>
      <c r="O49" s="14">
        <f>(O54-N54)</f>
        <v/>
      </c>
      <c r="P49" s="14">
        <f>(P54-O54)</f>
        <v/>
      </c>
      <c r="Q49" s="14">
        <f>(Q54-P54)</f>
        <v/>
      </c>
    </row>
    <row r="50">
      <c r="A50" t="inlineStr">
        <is>
          <t>Free cash flow to firm</t>
        </is>
      </c>
      <c r="B50" t="inlineStr">
        <is>
          <t>fcff</t>
        </is>
      </c>
      <c r="D50" s="13" t="n"/>
      <c r="E50" s="13" t="n">
        <v>-47.74751467409646</v>
      </c>
      <c r="F50" s="13" t="n">
        <v>3.614712041150296</v>
      </c>
      <c r="G50" s="13" t="n">
        <v>4.153298640328154</v>
      </c>
      <c r="H50" s="14">
        <f>((((H33*(1-H17))+H34)-H48)-H49)</f>
        <v/>
      </c>
      <c r="I50" s="14">
        <f>((((I33*(1-I17))+I34)-I48)-I49)</f>
        <v/>
      </c>
      <c r="J50" s="14">
        <f>((((J33*(1-J17))+J34)-J48)-J49)</f>
        <v/>
      </c>
      <c r="K50" s="14">
        <f>((((K33*(1-K17))+K34)-K48)-K49)</f>
        <v/>
      </c>
      <c r="L50" s="14">
        <f>((((L33*(1-L17))+L34)-L48)-L49)</f>
        <v/>
      </c>
      <c r="M50" s="14">
        <f>((((M33*(1-M17))+M34)-M48)-M49)</f>
        <v/>
      </c>
      <c r="N50" s="14">
        <f>((((N33*(1-N17))+N34)-N48)-N49)</f>
        <v/>
      </c>
      <c r="O50" s="14">
        <f>((((O33*(1-O17))+O34)-O48)-O49)</f>
        <v/>
      </c>
      <c r="P50" s="14">
        <f>((((P33*(1-P17))+P34)-P48)-P49)</f>
        <v/>
      </c>
      <c r="Q50" s="14">
        <f>((((Q33*(1-Q17))+Q34)-Q48)-Q49)</f>
        <v/>
      </c>
    </row>
    <row r="51">
      <c r="A51" t="inlineStr">
        <is>
          <t>Net borrowing</t>
        </is>
      </c>
      <c r="B51" t="inlineStr">
        <is>
          <t>net_borrowing</t>
        </is>
      </c>
      <c r="D51" s="13" t="n"/>
      <c r="E51" s="13" t="n">
        <v>0.06780570699999999</v>
      </c>
      <c r="F51" s="13" t="n">
        <v>-0.675689943</v>
      </c>
      <c r="G51" s="13" t="n">
        <v>-0.338528114</v>
      </c>
      <c r="H51" s="14">
        <f>H20</f>
        <v/>
      </c>
      <c r="I51" s="14">
        <f>I20</f>
        <v/>
      </c>
      <c r="J51" s="14">
        <f>J20</f>
        <v/>
      </c>
      <c r="K51" s="14">
        <f>K20</f>
        <v/>
      </c>
      <c r="L51" s="14">
        <f>L20</f>
        <v/>
      </c>
      <c r="M51" s="14">
        <f>M20</f>
        <v/>
      </c>
      <c r="N51" s="14">
        <f>N20</f>
        <v/>
      </c>
      <c r="O51" s="14">
        <f>O20</f>
        <v/>
      </c>
      <c r="P51" s="14">
        <f>P20</f>
        <v/>
      </c>
      <c r="Q51" s="14">
        <f>Q20</f>
        <v/>
      </c>
    </row>
    <row r="52">
      <c r="A52" t="inlineStr">
        <is>
          <t>Dividends to minorities</t>
        </is>
      </c>
      <c r="B52" t="inlineStr">
        <is>
          <t>minority_div</t>
        </is>
      </c>
      <c r="D52" s="13" t="n"/>
      <c r="E52" s="13" t="n"/>
      <c r="F52" s="13" t="n"/>
      <c r="G52" s="13" t="n"/>
      <c r="H52" s="14">
        <f>(MAX(G42,0)*H23)</f>
        <v/>
      </c>
      <c r="I52" s="14">
        <f>(MAX(H42,0)*I23)</f>
        <v/>
      </c>
      <c r="J52" s="14">
        <f>(MAX(I42,0)*J23)</f>
        <v/>
      </c>
      <c r="K52" s="14">
        <f>(MAX(J42,0)*K23)</f>
        <v/>
      </c>
      <c r="L52" s="14">
        <f>(MAX(K42,0)*L23)</f>
        <v/>
      </c>
      <c r="M52" s="14">
        <f>(MAX(L42,0)*M23)</f>
        <v/>
      </c>
      <c r="N52" s="14">
        <f>(MAX(M42,0)*N23)</f>
        <v/>
      </c>
      <c r="O52" s="14">
        <f>(MAX(N42,0)*O23)</f>
        <v/>
      </c>
      <c r="P52" s="14">
        <f>(MAX(O42,0)*P23)</f>
        <v/>
      </c>
      <c r="Q52" s="14">
        <f>(MAX(P42,0)*Q23)</f>
        <v/>
      </c>
    </row>
    <row r="53">
      <c r="A53" t="inlineStr">
        <is>
          <t>Free cash flow to equity</t>
        </is>
      </c>
      <c r="B53" t="inlineStr">
        <is>
          <t>fcfe</t>
        </is>
      </c>
      <c r="D53" s="13" t="n"/>
      <c r="E53" s="13" t="n"/>
      <c r="F53" s="13" t="n"/>
      <c r="G53" s="13" t="n"/>
      <c r="H53" s="14">
        <f>(((((H41+H34)-H48)-H49)+H51)-H52)</f>
        <v/>
      </c>
      <c r="I53" s="14">
        <f>(((((I41+I34)-I48)-I49)+I51)-I52)</f>
        <v/>
      </c>
      <c r="J53" s="14">
        <f>(((((J41+J34)-J48)-J49)+J51)-J52)</f>
        <v/>
      </c>
      <c r="K53" s="14">
        <f>(((((K41+K34)-K48)-K49)+K51)-K52)</f>
        <v/>
      </c>
      <c r="L53" s="14">
        <f>(((((L41+L34)-L48)-L49)+L51)-L52)</f>
        <v/>
      </c>
      <c r="M53" s="14">
        <f>(((((M41+M34)-M48)-M49)+M51)-M52)</f>
        <v/>
      </c>
      <c r="N53" s="14">
        <f>(((((N41+N34)-N48)-N49)+N51)-N52)</f>
        <v/>
      </c>
      <c r="O53" s="14">
        <f>(((((O41+O34)-O48)-O49)+O51)-O52)</f>
        <v/>
      </c>
      <c r="P53" s="14">
        <f>(((((P41+P34)-P48)-P49)+P51)-P52)</f>
        <v/>
      </c>
      <c r="Q53" s="14">
        <f>(((((Q41+Q34)-Q48)-Q49)+Q51)-Q52)</f>
        <v/>
      </c>
    </row>
    <row r="54">
      <c r="A54" t="inlineStr">
        <is>
          <t>Operating working capital</t>
        </is>
      </c>
      <c r="B54" t="inlineStr">
        <is>
          <t>nwc</t>
        </is>
      </c>
      <c r="D54" s="13" t="n">
        <v>17.273240841</v>
      </c>
      <c r="E54" s="13" t="n">
        <v>29.879912304</v>
      </c>
      <c r="F54" s="13" t="n">
        <v>10.74509417</v>
      </c>
      <c r="G54" s="13" t="n">
        <v>-2.184562178</v>
      </c>
      <c r="H54" s="14">
        <f>(H29*H16)</f>
        <v/>
      </c>
      <c r="I54" s="14">
        <f>(I29*I16)</f>
        <v/>
      </c>
      <c r="J54" s="14">
        <f>(J29*J16)</f>
        <v/>
      </c>
      <c r="K54" s="14">
        <f>(K29*K16)</f>
        <v/>
      </c>
      <c r="L54" s="14">
        <f>(L29*L16)</f>
        <v/>
      </c>
      <c r="M54" s="14">
        <f>(M29*M16)</f>
        <v/>
      </c>
      <c r="N54" s="14">
        <f>(N29*N16)</f>
        <v/>
      </c>
      <c r="O54" s="14">
        <f>(O29*O16)</f>
        <v/>
      </c>
      <c r="P54" s="14">
        <f>(P29*P16)</f>
        <v/>
      </c>
      <c r="Q54" s="14">
        <f>(Q29*Q16)</f>
        <v/>
      </c>
    </row>
    <row r="55">
      <c r="A55" t="inlineStr">
        <is>
          <t>Cash &amp; equivalents</t>
        </is>
      </c>
      <c r="B55" t="inlineStr">
        <is>
          <t>cash</t>
        </is>
      </c>
      <c r="D55" s="13" t="n">
        <v>19.127539901</v>
      </c>
      <c r="E55" s="13" t="n">
        <v>4.932305583</v>
      </c>
      <c r="F55" s="13" t="n">
        <v>2.065669244</v>
      </c>
      <c r="G55" s="13" t="n">
        <v>1.247372367</v>
      </c>
      <c r="H55" s="14">
        <f>(((((((G55+H41)+H34)-H48)-H49)+H51)-H47)-H52)</f>
        <v/>
      </c>
      <c r="I55" s="14">
        <f>(((((((H55+I41)+I34)-I48)-I49)+I51)-I47)-I52)</f>
        <v/>
      </c>
      <c r="J55" s="14">
        <f>(((((((I55+J41)+J34)-J48)-J49)+J51)-J47)-J52)</f>
        <v/>
      </c>
      <c r="K55" s="14">
        <f>(((((((J55+K41)+K34)-K48)-K49)+K51)-K47)-K52)</f>
        <v/>
      </c>
      <c r="L55" s="14">
        <f>(((((((K55+L41)+L34)-L48)-L49)+L51)-L47)-L52)</f>
        <v/>
      </c>
      <c r="M55" s="14">
        <f>(((((((L55+M41)+M34)-M48)-M49)+M51)-M47)-M52)</f>
        <v/>
      </c>
      <c r="N55" s="14">
        <f>(((((((M55+N41)+N34)-N48)-N49)+N51)-N47)-N52)</f>
        <v/>
      </c>
      <c r="O55" s="14">
        <f>(((((((N55+O41)+O34)-O48)-O49)+O51)-O47)-O52)</f>
        <v/>
      </c>
      <c r="P55" s="14">
        <f>(((((((O55+P41)+P34)-P48)-P49)+P51)-P47)-P52)</f>
        <v/>
      </c>
      <c r="Q55" s="14">
        <f>(((((((P55+Q41)+Q34)-Q48)-Q49)+Q51)-Q47)-Q52)</f>
        <v/>
      </c>
    </row>
    <row r="56">
      <c r="A56" t="inlineStr">
        <is>
          <t>Total debt</t>
        </is>
      </c>
      <c r="B56" t="inlineStr">
        <is>
          <t>debt</t>
        </is>
      </c>
      <c r="D56" s="13" t="n">
        <v>1.034937338</v>
      </c>
      <c r="E56" s="13" t="n">
        <v>1.102743045</v>
      </c>
      <c r="F56" s="13" t="n">
        <v>0.427053102</v>
      </c>
      <c r="G56" s="13" t="n">
        <v>0.088524988</v>
      </c>
      <c r="H56" s="14">
        <f>(G56+H51)</f>
        <v/>
      </c>
      <c r="I56" s="14">
        <f>(H56+I51)</f>
        <v/>
      </c>
      <c r="J56" s="14">
        <f>(I56+J51)</f>
        <v/>
      </c>
      <c r="K56" s="14">
        <f>(J56+K51)</f>
        <v/>
      </c>
      <c r="L56" s="14">
        <f>(K56+L51)</f>
        <v/>
      </c>
      <c r="M56" s="14">
        <f>(L56+M51)</f>
        <v/>
      </c>
      <c r="N56" s="14">
        <f>(M56+N51)</f>
        <v/>
      </c>
      <c r="O56" s="14">
        <f>(N56+O51)</f>
        <v/>
      </c>
      <c r="P56" s="14">
        <f>(O56+P51)</f>
        <v/>
      </c>
      <c r="Q56" s="14">
        <f>(P56+Q51)</f>
        <v/>
      </c>
    </row>
    <row r="57">
      <c r="A57" t="inlineStr">
        <is>
          <t>Fixed assets (net)</t>
        </is>
      </c>
      <c r="B57" t="inlineStr">
        <is>
          <t>ppe</t>
        </is>
      </c>
      <c r="D57" s="13" t="n">
        <v>3.332813943</v>
      </c>
      <c r="E57" s="13" t="n">
        <v>16.335260903</v>
      </c>
      <c r="F57" s="13" t="n">
        <v>13.850082016</v>
      </c>
      <c r="G57" s="13" t="n">
        <v>11.096150851</v>
      </c>
      <c r="H57" s="14">
        <f>((G57+H48)-H34)</f>
        <v/>
      </c>
      <c r="I57" s="14">
        <f>((H57+I48)-I34)</f>
        <v/>
      </c>
      <c r="J57" s="14">
        <f>((I57+J48)-J34)</f>
        <v/>
      </c>
      <c r="K57" s="14">
        <f>((J57+K48)-K34)</f>
        <v/>
      </c>
      <c r="L57" s="14">
        <f>((K57+L48)-L34)</f>
        <v/>
      </c>
      <c r="M57" s="14">
        <f>((L57+M48)-M34)</f>
        <v/>
      </c>
      <c r="N57" s="14">
        <f>((M57+N48)-N34)</f>
        <v/>
      </c>
      <c r="O57" s="14">
        <f>((N57+O48)-O34)</f>
        <v/>
      </c>
      <c r="P57" s="14">
        <f>((O57+P48)-P34)</f>
        <v/>
      </c>
      <c r="Q57" s="14">
        <f>((P57+Q48)-Q34)</f>
        <v/>
      </c>
    </row>
    <row r="58">
      <c r="A58" t="inlineStr">
        <is>
          <t>Parent shareholders' equity</t>
        </is>
      </c>
      <c r="B58" t="inlineStr">
        <is>
          <t>equity</t>
        </is>
      </c>
      <c r="D58" s="13" t="n">
        <v>70.464673737</v>
      </c>
      <c r="E58" s="13" t="n">
        <v>112.074417691</v>
      </c>
      <c r="F58" s="13" t="n">
        <v>95.42875848</v>
      </c>
      <c r="G58" s="13" t="n">
        <v>81.71544596299999</v>
      </c>
      <c r="H58" s="14">
        <f>((G58+H43)-H47)</f>
        <v/>
      </c>
      <c r="I58" s="14">
        <f>((H58+I43)-I47)</f>
        <v/>
      </c>
      <c r="J58" s="14">
        <f>((I58+J43)-J47)</f>
        <v/>
      </c>
      <c r="K58" s="14">
        <f>((J58+K43)-K47)</f>
        <v/>
      </c>
      <c r="L58" s="14">
        <f>((K58+L43)-L47)</f>
        <v/>
      </c>
      <c r="M58" s="14">
        <f>((L58+M43)-M47)</f>
        <v/>
      </c>
      <c r="N58" s="14">
        <f>((M58+N43)-N47)</f>
        <v/>
      </c>
      <c r="O58" s="14">
        <f>((N58+O43)-O47)</f>
        <v/>
      </c>
      <c r="P58" s="14">
        <f>((O58+P43)-P47)</f>
        <v/>
      </c>
      <c r="Q58" s="14">
        <f>((P58+Q43)-Q47)</f>
        <v/>
      </c>
    </row>
    <row r="59">
      <c r="A59" t="inlineStr">
        <is>
          <t>Minority interest (balance sheet)</t>
        </is>
      </c>
      <c r="B59" t="inlineStr">
        <is>
          <t>minority_bs</t>
        </is>
      </c>
      <c r="D59" s="13" t="n">
        <v>2.142906486</v>
      </c>
      <c r="E59" s="13" t="n">
        <v>-1.560481604</v>
      </c>
      <c r="F59" s="13" t="n">
        <v>-10.573045007</v>
      </c>
      <c r="G59" s="13" t="n">
        <v>-15.599400463</v>
      </c>
      <c r="H59" s="14">
        <f>((G59+H42)-H52)</f>
        <v/>
      </c>
      <c r="I59" s="14">
        <f>((H59+I42)-I52)</f>
        <v/>
      </c>
      <c r="J59" s="14">
        <f>((I59+J42)-J52)</f>
        <v/>
      </c>
      <c r="K59" s="14">
        <f>((J59+K42)-K52)</f>
        <v/>
      </c>
      <c r="L59" s="14">
        <f>((K59+L42)-L52)</f>
        <v/>
      </c>
      <c r="M59" s="14">
        <f>((L59+M42)-M52)</f>
        <v/>
      </c>
      <c r="N59" s="14">
        <f>((M59+N42)-N52)</f>
        <v/>
      </c>
      <c r="O59" s="14">
        <f>((N59+O42)-O52)</f>
        <v/>
      </c>
      <c r="P59" s="14">
        <f>((O59+P42)-P52)</f>
        <v/>
      </c>
      <c r="Q59" s="14">
        <f>((P59+Q42)-Q52)</f>
        <v/>
      </c>
    </row>
    <row r="60">
      <c r="A60" t="inlineStr">
        <is>
          <t>Other assets less other liabilities</t>
        </is>
      </c>
      <c r="B60" t="inlineStr">
        <is>
          <t>other_net</t>
        </is>
      </c>
      <c r="D60" s="13" t="n">
        <v>33.90892287600001</v>
      </c>
      <c r="E60" s="13" t="n">
        <v>60.46920034199998</v>
      </c>
      <c r="F60" s="13" t="n">
        <v>58.62192114499999</v>
      </c>
      <c r="G60" s="13" t="n">
        <v>56.04560944799999</v>
      </c>
      <c r="H60" s="14">
        <f>G60</f>
        <v/>
      </c>
      <c r="I60" s="14">
        <f>H60</f>
        <v/>
      </c>
      <c r="J60" s="14">
        <f>I60</f>
        <v/>
      </c>
      <c r="K60" s="14">
        <f>J60</f>
        <v/>
      </c>
      <c r="L60" s="14">
        <f>K60</f>
        <v/>
      </c>
      <c r="M60" s="14">
        <f>L60</f>
        <v/>
      </c>
      <c r="N60" s="14">
        <f>M60</f>
        <v/>
      </c>
      <c r="O60" s="14">
        <f>N60</f>
        <v/>
      </c>
      <c r="P60" s="14">
        <f>O60</f>
        <v/>
      </c>
      <c r="Q60" s="14">
        <f>P60</f>
        <v/>
      </c>
    </row>
    <row r="61">
      <c r="A61" t="inlineStr">
        <is>
          <t>Balance check (should be zero)</t>
        </is>
      </c>
      <c r="B61" t="inlineStr">
        <is>
          <t>bs_check</t>
        </is>
      </c>
      <c r="D61" s="13" t="n"/>
      <c r="E61" s="13" t="n"/>
      <c r="F61" s="13" t="n"/>
      <c r="G61" s="13" t="n"/>
      <c r="H61" s="14">
        <f>((((((H55+H54)+H57)+H60)-H56)-H58)-H59)</f>
        <v/>
      </c>
      <c r="I61" s="14">
        <f>((((((I55+I54)+I57)+I60)-I56)-I58)-I59)</f>
        <v/>
      </c>
      <c r="J61" s="14">
        <f>((((((J55+J54)+J57)+J60)-J56)-J58)-J59)</f>
        <v/>
      </c>
      <c r="K61" s="14">
        <f>((((((K55+K54)+K57)+K60)-K56)-K58)-K59)</f>
        <v/>
      </c>
      <c r="L61" s="14">
        <f>((((((L55+L54)+L57)+L60)-L56)-L58)-L59)</f>
        <v/>
      </c>
      <c r="M61" s="14">
        <f>((((((M55+M54)+M57)+M60)-M56)-M58)-M59)</f>
        <v/>
      </c>
      <c r="N61" s="14">
        <f>((((((N55+N54)+N57)+N60)-N56)-N58)-N59)</f>
        <v/>
      </c>
      <c r="O61" s="14">
        <f>((((((O55+O54)+O57)+O60)-O56)-O58)-O59)</f>
        <v/>
      </c>
      <c r="P61" s="14">
        <f>((((((P55+P54)+P57)+P60)-P56)-P58)-P59)</f>
        <v/>
      </c>
      <c r="Q61" s="14">
        <f>((((((Q55+Q54)+Q57)+Q60)-Q56)-Q58)-Q59)</f>
        <v/>
      </c>
    </row>
    <row r="62">
      <c r="A62" t="inlineStr">
        <is>
          <t>Net debt (cash)</t>
        </is>
      </c>
      <c r="B62" t="inlineStr">
        <is>
          <t>net_debt</t>
        </is>
      </c>
      <c r="D62" s="13" t="n">
        <v>-18.092602563</v>
      </c>
      <c r="E62" s="13" t="n">
        <v>-3.829562538</v>
      </c>
      <c r="F62" s="13" t="n">
        <v>-1.638616142</v>
      </c>
      <c r="G62" s="13" t="n">
        <v>-1.158847379</v>
      </c>
      <c r="H62" s="14">
        <f>(H56-H55)</f>
        <v/>
      </c>
      <c r="I62" s="14">
        <f>(I56-I55)</f>
        <v/>
      </c>
      <c r="J62" s="14">
        <f>(J56-J55)</f>
        <v/>
      </c>
      <c r="K62" s="14">
        <f>(K56-K55)</f>
        <v/>
      </c>
      <c r="L62" s="14">
        <f>(L56-L55)</f>
        <v/>
      </c>
      <c r="M62" s="14">
        <f>(M56-M55)</f>
        <v/>
      </c>
      <c r="N62" s="14">
        <f>(N56-N55)</f>
        <v/>
      </c>
      <c r="O62" s="14">
        <f>(O56-O55)</f>
        <v/>
      </c>
      <c r="P62" s="14">
        <f>(P56-P55)</f>
        <v/>
      </c>
      <c r="Q62" s="14">
        <f>(Q56-Q55)</f>
        <v/>
      </c>
    </row>
    <row r="63">
      <c r="A63" t="inlineStr">
        <is>
          <t>Book value per share</t>
        </is>
      </c>
      <c r="B63" t="inlineStr">
        <is>
          <t>bvps</t>
        </is>
      </c>
      <c r="D63" s="15" t="n">
        <v>17.84759236396603</v>
      </c>
      <c r="E63" s="15" t="n">
        <v>28.3866853459583</v>
      </c>
      <c r="F63" s="15" t="n">
        <v>24.17055197999866</v>
      </c>
      <c r="G63" s="15" t="n">
        <v>20.69719302312213</v>
      </c>
      <c r="H63" s="16">
        <f>(IF(H44=0,0,H58/H44)*$C$7)</f>
        <v/>
      </c>
      <c r="I63" s="16">
        <f>(IF(I44=0,0,I58/I44)*$C$7)</f>
        <v/>
      </c>
      <c r="J63" s="16">
        <f>(IF(J44=0,0,J58/J44)*$C$7)</f>
        <v/>
      </c>
      <c r="K63" s="16">
        <f>(IF(K44=0,0,K58/K44)*$C$7)</f>
        <v/>
      </c>
      <c r="L63" s="16">
        <f>(IF(L44=0,0,L58/L44)*$C$7)</f>
        <v/>
      </c>
      <c r="M63" s="16">
        <f>(IF(M44=0,0,M58/M44)*$C$7)</f>
        <v/>
      </c>
      <c r="N63" s="16">
        <f>(IF(N44=0,0,N58/N44)*$C$7)</f>
        <v/>
      </c>
      <c r="O63" s="16">
        <f>(IF(O44=0,0,O58/O44)*$C$7)</f>
        <v/>
      </c>
      <c r="P63" s="16">
        <f>(IF(P44=0,0,P58/P44)*$C$7)</f>
        <v/>
      </c>
      <c r="Q63" s="16">
        <f>(IF(Q44=0,0,Q58/Q44)*$C$7)</f>
        <v/>
      </c>
    </row>
    <row r="64">
      <c r="A64" t="inlineStr">
        <is>
          <t>Revenue growth</t>
        </is>
      </c>
      <c r="B64" t="inlineStr">
        <is>
          <t>revenue_growth</t>
        </is>
      </c>
      <c r="D64" s="4" t="n"/>
      <c r="E64" s="4" t="n">
        <v>-0.3834228796897207</v>
      </c>
      <c r="F64" s="4" t="n">
        <v>-0.2198891851341171</v>
      </c>
      <c r="G64" s="4" t="n">
        <v>-0.03087255442544257</v>
      </c>
      <c r="H64" s="17">
        <f>(IF(G29=0,0,H29/G29)-1)</f>
        <v/>
      </c>
      <c r="I64" s="17">
        <f>(IF(H29=0,0,I29/H29)-1)</f>
        <v/>
      </c>
      <c r="J64" s="17">
        <f>(IF(I29=0,0,J29/I29)-1)</f>
        <v/>
      </c>
      <c r="K64" s="17">
        <f>(IF(J29=0,0,K29/J29)-1)</f>
        <v/>
      </c>
      <c r="L64" s="17">
        <f>(IF(K29=0,0,L29/K29)-1)</f>
        <v/>
      </c>
      <c r="M64" s="17">
        <f>(IF(L29=0,0,M29/L29)-1)</f>
        <v/>
      </c>
      <c r="N64" s="17">
        <f>(IF(M29=0,0,N29/M29)-1)</f>
        <v/>
      </c>
      <c r="O64" s="17">
        <f>(IF(N29=0,0,O29/N29)-1)</f>
        <v/>
      </c>
      <c r="P64" s="17">
        <f>(IF(O29=0,0,P29/O29)-1)</f>
        <v/>
      </c>
      <c r="Q64" s="17">
        <f>(IF(P29=0,0,Q29/P29)-1)</f>
        <v/>
      </c>
    </row>
    <row r="65">
      <c r="A65" t="inlineStr">
        <is>
          <t>Gross margin</t>
        </is>
      </c>
      <c r="B65" t="inlineStr">
        <is>
          <t>gross_margin</t>
        </is>
      </c>
      <c r="D65" s="4" t="n">
        <v>0.5945539854107976</v>
      </c>
      <c r="E65" s="4" t="n">
        <v>0.2844603928825632</v>
      </c>
      <c r="F65" s="4" t="n">
        <v>0.436652382477269</v>
      </c>
      <c r="G65" s="4" t="n">
        <v>0.5241174603884642</v>
      </c>
      <c r="H65" s="17">
        <f>IF(H29=0,0,H31/H29)</f>
        <v/>
      </c>
      <c r="I65" s="17">
        <f>IF(I29=0,0,I31/I29)</f>
        <v/>
      </c>
      <c r="J65" s="17">
        <f>IF(J29=0,0,J31/J29)</f>
        <v/>
      </c>
      <c r="K65" s="17">
        <f>IF(K29=0,0,K31/K29)</f>
        <v/>
      </c>
      <c r="L65" s="17">
        <f>IF(L29=0,0,L31/L29)</f>
        <v/>
      </c>
      <c r="M65" s="17">
        <f>IF(M29=0,0,M31/M29)</f>
        <v/>
      </c>
      <c r="N65" s="17">
        <f>IF(N29=0,0,N31/N29)</f>
        <v/>
      </c>
      <c r="O65" s="17">
        <f>IF(O29=0,0,O31/O29)</f>
        <v/>
      </c>
      <c r="P65" s="17">
        <f>IF(P29=0,0,P31/P29)</f>
        <v/>
      </c>
      <c r="Q65" s="17">
        <f>IF(Q29=0,0,Q31/Q29)</f>
        <v/>
      </c>
    </row>
    <row r="66">
      <c r="A66" t="inlineStr">
        <is>
          <t>EBITDA margin</t>
        </is>
      </c>
      <c r="B66" t="inlineStr">
        <is>
          <t>ebitda_margin</t>
        </is>
      </c>
      <c r="D66" s="4" t="n">
        <v>0.05243056501176109</v>
      </c>
      <c r="E66" s="4" t="n">
        <v>-0.7009113654433309</v>
      </c>
      <c r="F66" s="4" t="n">
        <v>-0.8648466933465757</v>
      </c>
      <c r="G66" s="4" t="n">
        <v>-0.5130416647395635</v>
      </c>
      <c r="H66" s="17">
        <f>IF(H29=0,0,H35/H29)</f>
        <v/>
      </c>
      <c r="I66" s="17">
        <f>IF(I29=0,0,I35/I29)</f>
        <v/>
      </c>
      <c r="J66" s="17">
        <f>IF(J29=0,0,J35/J29)</f>
        <v/>
      </c>
      <c r="K66" s="17">
        <f>IF(K29=0,0,K35/K29)</f>
        <v/>
      </c>
      <c r="L66" s="17">
        <f>IF(L29=0,0,L35/L29)</f>
        <v/>
      </c>
      <c r="M66" s="17">
        <f>IF(M29=0,0,M35/M29)</f>
        <v/>
      </c>
      <c r="N66" s="17">
        <f>IF(N29=0,0,N35/N29)</f>
        <v/>
      </c>
      <c r="O66" s="17">
        <f>IF(O29=0,0,O35/O29)</f>
        <v/>
      </c>
      <c r="P66" s="17">
        <f>IF(P29=0,0,P35/P29)</f>
        <v/>
      </c>
      <c r="Q66" s="17">
        <f>IF(Q29=0,0,Q35/Q29)</f>
        <v/>
      </c>
    </row>
    <row r="67">
      <c r="A67" t="inlineStr">
        <is>
          <t>EBIT margin</t>
        </is>
      </c>
      <c r="B67" t="inlineStr">
        <is>
          <t>ebit_margin</t>
        </is>
      </c>
      <c r="D67" s="4" t="n">
        <v>0.03013658531833932</v>
      </c>
      <c r="E67" s="4" t="n">
        <v>-0.7887902068495594</v>
      </c>
      <c r="F67" s="4" t="n">
        <v>-1.044608105293318</v>
      </c>
      <c r="G67" s="4" t="n">
        <v>-0.7226657133130056</v>
      </c>
      <c r="H67" s="17">
        <f>IF(H29=0,0,H33/H29)</f>
        <v/>
      </c>
      <c r="I67" s="17">
        <f>IF(I29=0,0,I33/I29)</f>
        <v/>
      </c>
      <c r="J67" s="17">
        <f>IF(J29=0,0,J33/J29)</f>
        <v/>
      </c>
      <c r="K67" s="17">
        <f>IF(K29=0,0,K33/K29)</f>
        <v/>
      </c>
      <c r="L67" s="17">
        <f>IF(L29=0,0,L33/L29)</f>
        <v/>
      </c>
      <c r="M67" s="17">
        <f>IF(M29=0,0,M33/M29)</f>
        <v/>
      </c>
      <c r="N67" s="17">
        <f>IF(N29=0,0,N33/N29)</f>
        <v/>
      </c>
      <c r="O67" s="17">
        <f>IF(O29=0,0,O33/O29)</f>
        <v/>
      </c>
      <c r="P67" s="17">
        <f>IF(P29=0,0,P33/P29)</f>
        <v/>
      </c>
      <c r="Q67" s="17">
        <f>IF(Q29=0,0,Q33/Q29)</f>
        <v/>
      </c>
    </row>
    <row r="68">
      <c r="A68" t="inlineStr">
        <is>
          <t>Net margin</t>
        </is>
      </c>
      <c r="B68" t="inlineStr">
        <is>
          <t>np_margin</t>
        </is>
      </c>
      <c r="D68" s="4" t="n">
        <v>0.1256699431140217</v>
      </c>
      <c r="E68" s="4" t="n">
        <v>-0.4290551813561844</v>
      </c>
      <c r="F68" s="4" t="n">
        <v>-0.8608555580087182</v>
      </c>
      <c r="G68" s="4" t="n">
        <v>-0.7322805996109871</v>
      </c>
      <c r="H68" s="17">
        <f>IF(H29=0,0,H43/H29)</f>
        <v/>
      </c>
      <c r="I68" s="17">
        <f>IF(I29=0,0,I43/I29)</f>
        <v/>
      </c>
      <c r="J68" s="17">
        <f>IF(J29=0,0,J43/J29)</f>
        <v/>
      </c>
      <c r="K68" s="17">
        <f>IF(K29=0,0,K43/K29)</f>
        <v/>
      </c>
      <c r="L68" s="17">
        <f>IF(L29=0,0,L43/L29)</f>
        <v/>
      </c>
      <c r="M68" s="17">
        <f>IF(M29=0,0,M43/M29)</f>
        <v/>
      </c>
      <c r="N68" s="17">
        <f>IF(N29=0,0,N43/N29)</f>
        <v/>
      </c>
      <c r="O68" s="17">
        <f>IF(O29=0,0,O43/O29)</f>
        <v/>
      </c>
      <c r="P68" s="17">
        <f>IF(P29=0,0,P43/P29)</f>
        <v/>
      </c>
      <c r="Q68" s="17">
        <f>IF(Q29=0,0,Q43/Q29)</f>
        <v/>
      </c>
    </row>
    <row r="69">
      <c r="A69" t="inlineStr">
        <is>
          <t>EPS growth</t>
        </is>
      </c>
      <c r="B69" t="inlineStr">
        <is>
          <t>eps_growth</t>
        </is>
      </c>
      <c r="D69" s="4" t="n"/>
      <c r="E69" s="4" t="n">
        <v>-3.105082580762974</v>
      </c>
      <c r="F69" s="4" t="n">
        <v>0.5652097244327658</v>
      </c>
      <c r="G69" s="4" t="n">
        <v>-0.1756186966064589</v>
      </c>
      <c r="H69" s="17">
        <f>(IF(G45=0,0,H45/G45)-1)</f>
        <v/>
      </c>
      <c r="I69" s="17">
        <f>(IF(H45=0,0,I45/H45)-1)</f>
        <v/>
      </c>
      <c r="J69" s="17">
        <f>(IF(I45=0,0,J45/I45)-1)</f>
        <v/>
      </c>
      <c r="K69" s="17">
        <f>(IF(J45=0,0,K45/J45)-1)</f>
        <v/>
      </c>
      <c r="L69" s="17">
        <f>(IF(K45=0,0,L45/K45)-1)</f>
        <v/>
      </c>
      <c r="M69" s="17">
        <f>(IF(L45=0,0,M45/L45)-1)</f>
        <v/>
      </c>
      <c r="N69" s="17">
        <f>(IF(M45=0,0,N45/M45)-1)</f>
        <v/>
      </c>
      <c r="O69" s="17">
        <f>(IF(N45=0,0,O45/N45)-1)</f>
        <v/>
      </c>
      <c r="P69" s="17">
        <f>(IF(O45=0,0,P45/O45)-1)</f>
        <v/>
      </c>
      <c r="Q69" s="17">
        <f>(IF(P45=0,0,Q45/P45)-1)</f>
        <v/>
      </c>
    </row>
    <row r="70">
      <c r="A70" t="inlineStr">
        <is>
          <t>ROE</t>
        </is>
      </c>
      <c r="B70" t="inlineStr">
        <is>
          <t>roe</t>
        </is>
      </c>
      <c r="D70" s="4" t="n"/>
      <c r="E70" s="4" t="n">
        <v>-0.1166290871476003</v>
      </c>
      <c r="F70" s="4" t="n">
        <v>-0.1605873930071295</v>
      </c>
      <c r="G70" s="4" t="n">
        <v>-0.15507342601682</v>
      </c>
      <c r="H70" s="17">
        <f>IF(IF(2=0,0,(H58+G58)/2)=0,0,H43/IF(2=0,0,(H58+G58)/2))</f>
        <v/>
      </c>
      <c r="I70" s="17">
        <f>IF(IF(2=0,0,(I58+H58)/2)=0,0,I43/IF(2=0,0,(I58+H58)/2))</f>
        <v/>
      </c>
      <c r="J70" s="17">
        <f>IF(IF(2=0,0,(J58+I58)/2)=0,0,J43/IF(2=0,0,(J58+I58)/2))</f>
        <v/>
      </c>
      <c r="K70" s="17">
        <f>IF(IF(2=0,0,(K58+J58)/2)=0,0,K43/IF(2=0,0,(K58+J58)/2))</f>
        <v/>
      </c>
      <c r="L70" s="17">
        <f>IF(IF(2=0,0,(L58+K58)/2)=0,0,L43/IF(2=0,0,(L58+K58)/2))</f>
        <v/>
      </c>
      <c r="M70" s="17">
        <f>IF(IF(2=0,0,(M58+L58)/2)=0,0,M43/IF(2=0,0,(M58+L58)/2))</f>
        <v/>
      </c>
      <c r="N70" s="17">
        <f>IF(IF(2=0,0,(N58+M58)/2)=0,0,N43/IF(2=0,0,(N58+M58)/2))</f>
        <v/>
      </c>
      <c r="O70" s="17">
        <f>IF(IF(2=0,0,(O58+N58)/2)=0,0,O43/IF(2=0,0,(O58+N58)/2))</f>
        <v/>
      </c>
      <c r="P70" s="17">
        <f>IF(IF(2=0,0,(P58+O58)/2)=0,0,P43/IF(2=0,0,(P58+O58)/2))</f>
        <v/>
      </c>
      <c r="Q70" s="17">
        <f>IF(IF(2=0,0,(Q58+P58)/2)=0,0,Q43/IF(2=0,0,(Q58+P58)/2))</f>
        <v/>
      </c>
    </row>
    <row r="71">
      <c r="A71" t="inlineStr">
        <is>
          <t>Net debt / EBITDA</t>
        </is>
      </c>
      <c r="B71" t="inlineStr">
        <is>
          <t>net_debt_ebitda</t>
        </is>
      </c>
      <c r="D71" s="18" t="n">
        <v>-8.575990595456833</v>
      </c>
      <c r="E71" s="18" t="n">
        <v>0.2202249142338862</v>
      </c>
      <c r="F71" s="18" t="n">
        <v>0.09789537773900175</v>
      </c>
      <c r="G71" s="18" t="n">
        <v>0.1204250404312491</v>
      </c>
      <c r="H71" s="19">
        <f>IF(H35=0,0,H62/H35)</f>
        <v/>
      </c>
      <c r="I71" s="19">
        <f>IF(I35=0,0,I62/I35)</f>
        <v/>
      </c>
      <c r="J71" s="19">
        <f>IF(J35=0,0,J62/J35)</f>
        <v/>
      </c>
      <c r="K71" s="19">
        <f>IF(K35=0,0,K62/K35)</f>
        <v/>
      </c>
      <c r="L71" s="19">
        <f>IF(L35=0,0,L62/L35)</f>
        <v/>
      </c>
      <c r="M71" s="19">
        <f>IF(M35=0,0,M62/M35)</f>
        <v/>
      </c>
      <c r="N71" s="19">
        <f>IF(N35=0,0,N62/N35)</f>
        <v/>
      </c>
      <c r="O71" s="19">
        <f>IF(O35=0,0,O62/O35)</f>
        <v/>
      </c>
      <c r="P71" s="19">
        <f>IF(P35=0,0,P62/P35)</f>
        <v/>
      </c>
      <c r="Q71" s="19">
        <f>IF(Q35=0,0,Q62/Q35)</f>
        <v/>
      </c>
    </row>
    <row r="72">
      <c r="A72" t="inlineStr">
        <is>
          <t>Payout ratio</t>
        </is>
      </c>
      <c r="B72" t="inlineStr">
        <is>
          <t>payout_ratio</t>
        </is>
      </c>
      <c r="D72" s="4" t="n"/>
      <c r="E72" s="4" t="n">
        <v>-0</v>
      </c>
      <c r="F72" s="4" t="n">
        <v>-0</v>
      </c>
      <c r="G72" s="4" t="n">
        <v>-0</v>
      </c>
      <c r="H72" s="17">
        <f>IF(H45=0,0,H46/H45)</f>
        <v/>
      </c>
      <c r="I72" s="17">
        <f>IF(I45=0,0,I46/I45)</f>
        <v/>
      </c>
      <c r="J72" s="17">
        <f>IF(J45=0,0,J46/J45)</f>
        <v/>
      </c>
      <c r="K72" s="17">
        <f>IF(K45=0,0,K46/K45)</f>
        <v/>
      </c>
      <c r="L72" s="17">
        <f>IF(L45=0,0,L46/L45)</f>
        <v/>
      </c>
      <c r="M72" s="17">
        <f>IF(M45=0,0,M46/M45)</f>
        <v/>
      </c>
      <c r="N72" s="17">
        <f>IF(N45=0,0,N46/N45)</f>
        <v/>
      </c>
      <c r="O72" s="17">
        <f>IF(O45=0,0,O46/O45)</f>
        <v/>
      </c>
      <c r="P72" s="17">
        <f>IF(P45=0,0,P46/P45)</f>
        <v/>
      </c>
      <c r="Q72" s="17">
        <f>IF(Q45=0,0,Q46/Q45)</f>
        <v/>
      </c>
    </row>
    <row r="73">
      <c r="A73" t="inlineStr">
        <is>
          <t>Capex / revenue</t>
        </is>
      </c>
      <c r="B73" t="inlineStr">
        <is>
          <t>capex_revenue</t>
        </is>
      </c>
      <c r="D73" s="4" t="n">
        <v>0.04133864713217535</v>
      </c>
      <c r="E73" s="4" t="n">
        <v>0.7174821236601521</v>
      </c>
      <c r="F73" s="4" t="n">
        <v>0.01341272046951818</v>
      </c>
      <c r="G73" s="4" t="n">
        <v>0.005622145807321587</v>
      </c>
      <c r="H73" s="17">
        <f>IF(H29=0,0,H48/H29)</f>
        <v/>
      </c>
      <c r="I73" s="17">
        <f>IF(I29=0,0,I48/I29)</f>
        <v/>
      </c>
      <c r="J73" s="17">
        <f>IF(J29=0,0,J48/J29)</f>
        <v/>
      </c>
      <c r="K73" s="17">
        <f>IF(K29=0,0,K48/K29)</f>
        <v/>
      </c>
      <c r="L73" s="17">
        <f>IF(L29=0,0,L48/L29)</f>
        <v/>
      </c>
      <c r="M73" s="17">
        <f>IF(M29=0,0,M48/M29)</f>
        <v/>
      </c>
      <c r="N73" s="17">
        <f>IF(N29=0,0,N48/N29)</f>
        <v/>
      </c>
      <c r="O73" s="17">
        <f>IF(O29=0,0,O48/O29)</f>
        <v/>
      </c>
      <c r="P73" s="17">
        <f>IF(P29=0,0,P48/P29)</f>
        <v/>
      </c>
      <c r="Q73" s="17">
        <f>IF(Q29=0,0,Q48/Q29)</f>
        <v/>
      </c>
    </row>
    <row r="75">
      <c r="A75" s="1" t="inlineStr">
        <is>
          <t>VALUATION</t>
        </is>
      </c>
    </row>
    <row r="76">
      <c r="A76" t="inlineStr">
        <is>
          <t>Last price (IDR)</t>
        </is>
      </c>
      <c r="C76" s="15" t="n">
        <v>78</v>
      </c>
    </row>
    <row r="77">
      <c r="A77" t="inlineStr">
        <is>
          <t>Shares outstanding (m)</t>
        </is>
      </c>
      <c r="C77" s="13" t="n">
        <v>4091.357544</v>
      </c>
    </row>
    <row r="78">
      <c r="A78" t="inlineStr">
        <is>
          <t>IDR per USD (spot)</t>
        </is>
      </c>
      <c r="C78" s="3" t="n">
        <v>18183</v>
      </c>
    </row>
    <row r="79">
      <c r="A79" t="inlineStr">
        <is>
          <t>Debt at balance-sheet date</t>
        </is>
      </c>
      <c r="C79" s="13" t="n">
        <v>0</v>
      </c>
    </row>
    <row r="80">
      <c r="A80" t="inlineStr">
        <is>
          <t>Cash at balance-sheet date</t>
        </is>
      </c>
      <c r="C80" s="13" t="n">
        <v>45.363686212</v>
      </c>
    </row>
    <row r="81">
      <c r="A81" t="inlineStr">
        <is>
          <t>Minority interest (book)</t>
        </is>
      </c>
      <c r="C81" s="13" t="n">
        <v>-15.884506777</v>
      </c>
    </row>
    <row r="82">
      <c r="A82" t="inlineStr">
        <is>
          <t>Associates &amp; investments (book)</t>
        </is>
      </c>
      <c r="C82" s="13" t="n">
        <v>0.993189624</v>
      </c>
    </row>
    <row r="83">
      <c r="A83" t="inlineStr">
        <is>
          <t>Post-balance-sheet &amp; other items (sourced, probability-weighted)</t>
        </is>
      </c>
      <c r="C83" s="13" t="n">
        <v>0</v>
      </c>
    </row>
    <row r="84">
      <c r="A84" t="inlineStr">
        <is>
          <t>Parent equity at balance-sheet date</t>
        </is>
      </c>
      <c r="C84" s="13" t="n">
        <v>136.004113106</v>
      </c>
    </row>
    <row r="85">
      <c r="A85" t="inlineStr">
        <is>
          <t>Per-share factor</t>
        </is>
      </c>
      <c r="C85" s="20" t="n">
        <v>1000</v>
      </c>
    </row>
    <row r="86">
      <c r="A86" t="inlineStr">
        <is>
          <t>Risk-free rate</t>
        </is>
      </c>
      <c r="C86" s="8">
        <f>Drivers!$C$7</f>
        <v/>
      </c>
    </row>
    <row r="87">
      <c r="A87" t="inlineStr">
        <is>
          <t>Less: default spread (IDR only)</t>
        </is>
      </c>
      <c r="C87" s="8">
        <f>Drivers!$C$9</f>
        <v/>
      </c>
    </row>
    <row r="88">
      <c r="A88" t="inlineStr">
        <is>
          <t>Mature ERP + Indonesia CRP</t>
        </is>
      </c>
      <c r="C88" s="8">
        <f>Drivers!$C$10+Drivers!$C$11</f>
        <v/>
      </c>
    </row>
    <row r="89">
      <c r="A89" t="inlineStr">
        <is>
          <t>Tax rate</t>
        </is>
      </c>
      <c r="C89" s="8">
        <f>Drivers!$C$13</f>
        <v/>
      </c>
    </row>
    <row r="90">
      <c r="A90" t="inlineStr">
        <is>
          <t>Unlevered beta (industry default (config))</t>
        </is>
      </c>
      <c r="C90" s="21" t="n">
        <v>0.9</v>
      </c>
    </row>
    <row r="91">
      <c r="A91" t="inlineStr">
        <is>
          <t>Debt / equity (market)</t>
        </is>
      </c>
      <c r="C91" s="21" t="n">
        <v>0</v>
      </c>
    </row>
    <row r="92">
      <c r="A92" t="inlineStr">
        <is>
          <t>Levered beta</t>
        </is>
      </c>
      <c r="C92" s="22">
        <f>$C$90*(1+(1-$C$89)*$C$91)</f>
        <v/>
      </c>
    </row>
    <row r="93">
      <c r="A93" t="inlineStr">
        <is>
          <t>Explicit company premium</t>
        </is>
      </c>
      <c r="C93" s="4" t="n">
        <v>0</v>
      </c>
    </row>
    <row r="94">
      <c r="A94" t="inlineStr">
        <is>
          <t>Cost of equity</t>
        </is>
      </c>
      <c r="C94" s="10">
        <f>$C$86-$C$87+$C$92*$C$88+$C$93</f>
        <v/>
      </c>
    </row>
    <row r="95">
      <c r="A95" t="inlineStr">
        <is>
          <t>Pre-tax cost of debt</t>
        </is>
      </c>
      <c r="C95" s="10">
        <f>$C$86+Drivers!$C$12</f>
        <v/>
      </c>
    </row>
    <row r="96">
      <c r="A96" t="inlineStr">
        <is>
          <t>WACC</t>
        </is>
      </c>
      <c r="C96" s="10">
        <f>1/(1+$C$91)*$C$94+$C$91/(1+$C$91)*$C$95*(1-$C$89)</f>
        <v/>
      </c>
    </row>
    <row r="97">
      <c r="A97" t="inlineStr">
        <is>
          <t>Terminal growth (capped)</t>
        </is>
      </c>
      <c r="C97" s="4" t="n">
        <v>0.04</v>
      </c>
    </row>
    <row r="99">
      <c r="A99" s="1" t="inlineStr">
        <is>
          <t>Sum of the parts</t>
        </is>
      </c>
    </row>
    <row r="100">
      <c r="A100" t="inlineStr">
        <is>
          <t>Value per share (IDR) — Sum of the parts (engine value)</t>
        </is>
      </c>
      <c r="C100" s="15" t="n">
        <v>20.157072</v>
      </c>
    </row>
    <row r="102">
      <c r="A102" s="1" t="inlineStr">
        <is>
          <t>TARGET</t>
        </is>
      </c>
    </row>
    <row r="103">
      <c r="A103" t="inlineStr">
        <is>
          <t>Weight: Sum of the parts</t>
        </is>
      </c>
      <c r="C103" s="4" t="n">
        <v>1</v>
      </c>
    </row>
    <row r="104">
      <c r="A104" t="inlineStr">
        <is>
          <t>Value today (weighted)</t>
        </is>
      </c>
      <c r="C104" s="23">
        <f>$C$100*$C$103</f>
        <v/>
      </c>
    </row>
    <row r="105">
      <c r="A105" t="inlineStr">
        <is>
          <t>DPS expected in next 12 months (IDR)</t>
        </is>
      </c>
      <c r="C105" s="15" t="n">
        <v>0</v>
      </c>
    </row>
    <row r="106">
      <c r="A106" t="inlineStr">
        <is>
          <t>Base-case 12-month value</t>
        </is>
      </c>
      <c r="C106" s="23">
        <f>MAX(0,$C$104*(1+$C$94)-$C$105)</f>
        <v/>
      </c>
    </row>
    <row r="107">
      <c r="A107" t="inlineStr">
        <is>
          <t>Bear probability</t>
        </is>
      </c>
      <c r="C107" s="4" t="n">
        <v>0.25</v>
      </c>
    </row>
    <row r="108">
      <c r="A108" t="inlineStr">
        <is>
          <t>Bear 12-month value (engine)</t>
        </is>
      </c>
      <c r="C108" s="15" t="n">
        <v>19.32504607101395</v>
      </c>
    </row>
    <row r="109">
      <c r="A109" t="inlineStr">
        <is>
          <t>Base probability</t>
        </is>
      </c>
      <c r="C109" s="4" t="n">
        <v>0.5</v>
      </c>
    </row>
    <row r="110">
      <c r="A110" t="inlineStr">
        <is>
          <t>Bull probability</t>
        </is>
      </c>
      <c r="C110" s="4" t="n">
        <v>0.25</v>
      </c>
    </row>
    <row r="111">
      <c r="A111" t="inlineStr">
        <is>
          <t>Bull 12-month value (engine)</t>
        </is>
      </c>
      <c r="C111" s="15" t="n">
        <v>25.76672809468527</v>
      </c>
    </row>
    <row r="112">
      <c r="A112" t="inlineStr">
        <is>
          <t>Probability-weighted 12-month value</t>
        </is>
      </c>
      <c r="C112" s="23">
        <f>$C$107*$C$108+$C$109*$C$106+$C$110*$C$111</f>
        <v/>
      </c>
    </row>
    <row r="113">
      <c r="A113" t="inlineStr">
        <is>
          <t>Liquidity discount (limits.yaml)</t>
        </is>
      </c>
      <c r="C113" s="4" t="n">
        <v>0</v>
      </c>
    </row>
    <row r="114">
      <c r="A114" t="inlineStr">
        <is>
          <t>TARGET PRICE (IDR)</t>
        </is>
      </c>
      <c r="C114" s="24">
        <f>$C$112*(1-$C$113)</f>
        <v/>
      </c>
    </row>
    <row r="115">
      <c r="A115" t="inlineStr">
        <is>
          <t>Expected 12-month total return</t>
        </is>
      </c>
      <c r="C115" s="25">
        <f>($C$114+$C$105)/$C$76-1</f>
        <v/>
      </c>
    </row>
    <row r="116">
      <c r="A116" t="inlineStr">
        <is>
          <t>Rating</t>
        </is>
      </c>
      <c r="C116" s="26">
        <f>IF($C$115&gt;=0.25,"BUY",IF($C$115&gt;=0.1,"ADD",IF($C$115&lt;=-0.25,"SELL",IF($C$115&lt;=-0.1,"REDUCE","HOLD"))))</f>
        <v/>
      </c>
    </row>
    <row r="118">
      <c r="A118" s="1" t="inlineStr">
        <is>
          <t>12-month value vs holding-company discount and cost of equity (engine values)</t>
        </is>
      </c>
    </row>
    <row r="119">
      <c r="A119" s="5" t="inlineStr">
        <is>
          <t>rows: Cost of equity (+/- pp) · columns: Holdco discount (+/- pp)</t>
        </is>
      </c>
      <c r="D119" s="1" t="n">
        <v>-0.1</v>
      </c>
      <c r="E119" s="1" t="n">
        <v>-0.05</v>
      </c>
      <c r="F119" s="1" t="n">
        <v>0</v>
      </c>
      <c r="G119" s="1" t="n">
        <v>0.05</v>
      </c>
      <c r="H119" s="1" t="n">
        <v>0.1</v>
      </c>
    </row>
    <row r="120">
      <c r="C120" s="1" t="n">
        <v>-0.01</v>
      </c>
      <c r="D120" s="23" t="n">
        <v>25.536362</v>
      </c>
      <c r="E120" s="23" t="n">
        <v>23.940339</v>
      </c>
      <c r="F120" s="23" t="n">
        <v>22.344316</v>
      </c>
      <c r="G120" s="23" t="n">
        <v>20.748294</v>
      </c>
      <c r="H120" s="23" t="n">
        <v>19.152271</v>
      </c>
    </row>
    <row r="121">
      <c r="C121" s="1" t="n">
        <v>-0.005</v>
      </c>
      <c r="D121" s="23" t="n">
        <v>25.651545</v>
      </c>
      <c r="E121" s="23" t="n">
        <v>24.048323</v>
      </c>
      <c r="F121" s="23" t="n">
        <v>22.445102</v>
      </c>
      <c r="G121" s="23" t="n">
        <v>20.84188</v>
      </c>
      <c r="H121" s="23" t="n">
        <v>19.238659</v>
      </c>
    </row>
    <row r="122">
      <c r="C122" s="1" t="n">
        <v>0</v>
      </c>
      <c r="D122" s="23" t="n">
        <v>25.766728</v>
      </c>
      <c r="E122" s="23" t="n">
        <v>24.156308</v>
      </c>
      <c r="F122" s="23" t="n">
        <v>22.545887</v>
      </c>
      <c r="G122" s="23" t="n">
        <v>20.935467</v>
      </c>
      <c r="H122" s="23" t="n">
        <v>19.325046</v>
      </c>
    </row>
    <row r="123">
      <c r="C123" s="1" t="n">
        <v>0.005</v>
      </c>
      <c r="D123" s="23" t="n">
        <v>25.881911</v>
      </c>
      <c r="E123" s="23" t="n">
        <v>24.264292</v>
      </c>
      <c r="F123" s="23" t="n">
        <v>22.646672</v>
      </c>
      <c r="G123" s="23" t="n">
        <v>21.029053</v>
      </c>
      <c r="H123" s="23" t="n">
        <v>19.411434</v>
      </c>
    </row>
    <row r="124">
      <c r="C124" s="1" t="n">
        <v>0.01</v>
      </c>
      <c r="D124" s="23" t="n">
        <v>25.997095</v>
      </c>
      <c r="E124" s="23" t="n">
        <v>24.372276</v>
      </c>
      <c r="F124" s="23" t="n">
        <v>22.747458</v>
      </c>
      <c r="G124" s="23" t="n">
        <v>21.122639</v>
      </c>
      <c r="H124" s="23" t="n">
        <v>19.497821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3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1" t="inlineStr">
        <is>
          <t>PT Indomobil Multi Jasa Tbk (IMJS.JK) — Conglomerates &amp; multi-sector holdings</t>
        </is>
      </c>
    </row>
    <row r="2">
      <c r="A2" s="5" t="inlineStr">
        <is>
          <t>Units: IDR bn; per-share in IDR unless marked IDR. Model asof 2026-10-29 · data 2026-10-27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  <c r="M4" s="1" t="inlineStr">
        <is>
          <t>FY2031E</t>
        </is>
      </c>
      <c r="N4" s="1" t="inlineStr">
        <is>
          <t>FY2032E</t>
        </is>
      </c>
      <c r="O4" s="1" t="inlineStr">
        <is>
          <t>FY2033E</t>
        </is>
      </c>
      <c r="P4" s="1" t="inlineStr">
        <is>
          <t>FY2034E</t>
        </is>
      </c>
      <c r="Q4" s="1" t="inlineStr">
        <is>
          <t>FY2035E</t>
        </is>
      </c>
    </row>
    <row r="6">
      <c r="A6" s="1" t="inlineStr">
        <is>
          <t>PARAMETERS</t>
        </is>
      </c>
    </row>
    <row r="7">
      <c r="A7" t="inlineStr">
        <is>
          <t>ps_factor</t>
        </is>
      </c>
      <c r="C7" s="12" t="n">
        <v>1000</v>
      </c>
    </row>
    <row r="8">
      <c r="A8" t="inlineStr">
        <is>
          <t>vp_factor</t>
        </is>
      </c>
      <c r="C8" s="12" t="n">
        <v>1</v>
      </c>
    </row>
    <row r="10">
      <c r="A10" s="1" t="inlineStr">
        <is>
          <t>INPUTS (company assumptions)</t>
        </is>
      </c>
    </row>
    <row r="11">
      <c r="A11" t="inlineStr">
        <is>
          <t>Revenue growth</t>
        </is>
      </c>
      <c r="B11" t="inlineStr">
        <is>
          <t>a.revenue_growth</t>
        </is>
      </c>
      <c r="H11" s="4" t="n">
        <v>0.18</v>
      </c>
      <c r="I11" s="4" t="n">
        <v>0.13</v>
      </c>
      <c r="J11" s="4" t="n">
        <v>0.11</v>
      </c>
      <c r="K11" s="4" t="n">
        <v>0.1</v>
      </c>
      <c r="L11" s="4" t="n">
        <v>0.1</v>
      </c>
      <c r="M11" s="4" t="n">
        <v>0.1</v>
      </c>
      <c r="N11" s="4" t="n">
        <v>0.1</v>
      </c>
      <c r="O11" s="4" t="n">
        <v>0.1</v>
      </c>
      <c r="P11" s="4" t="n">
        <v>0.1</v>
      </c>
      <c r="Q11" s="4" t="n">
        <v>0.1</v>
      </c>
    </row>
    <row r="12">
      <c r="A12" t="inlineStr">
        <is>
          <t>Gross margin at base input costs</t>
        </is>
      </c>
      <c r="B12" t="inlineStr">
        <is>
          <t>a.gross_margin</t>
        </is>
      </c>
      <c r="H12" s="4" t="n">
        <v>0.382</v>
      </c>
      <c r="I12" s="4" t="n">
        <v>0.382</v>
      </c>
      <c r="J12" s="4" t="n">
        <v>0.382</v>
      </c>
      <c r="K12" s="4" t="n">
        <v>0.382</v>
      </c>
      <c r="L12" s="4" t="n">
        <v>0.382</v>
      </c>
      <c r="M12" s="4" t="n">
        <v>0.382</v>
      </c>
      <c r="N12" s="4" t="n">
        <v>0.382</v>
      </c>
      <c r="O12" s="4" t="n">
        <v>0.382</v>
      </c>
      <c r="P12" s="4" t="n">
        <v>0.382</v>
      </c>
      <c r="Q12" s="4" t="n">
        <v>0.382</v>
      </c>
    </row>
    <row r="13">
      <c r="A13" t="inlineStr">
        <is>
          <t>SG&amp;A / revenue</t>
        </is>
      </c>
      <c r="B13" t="inlineStr">
        <is>
          <t>a.opex_pct</t>
        </is>
      </c>
      <c r="H13" s="4" t="n">
        <v>0.205</v>
      </c>
      <c r="I13" s="4" t="n">
        <v>0.205</v>
      </c>
      <c r="J13" s="4" t="n">
        <v>0.205</v>
      </c>
      <c r="K13" s="4" t="n">
        <v>0.205</v>
      </c>
      <c r="L13" s="4" t="n">
        <v>0.205</v>
      </c>
      <c r="M13" s="4" t="n">
        <v>0.205</v>
      </c>
      <c r="N13" s="4" t="n">
        <v>0.205</v>
      </c>
      <c r="O13" s="4" t="n">
        <v>0.205</v>
      </c>
      <c r="P13" s="4" t="n">
        <v>0.205</v>
      </c>
      <c r="Q13" s="4" t="n">
        <v>0.205</v>
      </c>
    </row>
    <row r="14">
      <c r="A14" t="inlineStr">
        <is>
          <t>D&amp;A / revenue</t>
        </is>
      </c>
      <c r="B14" t="inlineStr">
        <is>
          <t>a.da_pct</t>
        </is>
      </c>
      <c r="H14" s="4" t="n">
        <v>0.163</v>
      </c>
      <c r="I14" s="4" t="n">
        <v>0.163</v>
      </c>
      <c r="J14" s="4" t="n">
        <v>0.163</v>
      </c>
      <c r="K14" s="4" t="n">
        <v>0.163</v>
      </c>
      <c r="L14" s="4" t="n">
        <v>0.163</v>
      </c>
      <c r="M14" s="4" t="n">
        <v>0.163</v>
      </c>
      <c r="N14" s="4" t="n">
        <v>0.163</v>
      </c>
      <c r="O14" s="4" t="n">
        <v>0.163</v>
      </c>
      <c r="P14" s="4" t="n">
        <v>0.163</v>
      </c>
      <c r="Q14" s="4" t="n">
        <v>0.163</v>
      </c>
    </row>
    <row r="15">
      <c r="A15" t="inlineStr">
        <is>
          <t>Capex / revenue</t>
        </is>
      </c>
      <c r="B15" t="inlineStr">
        <is>
          <t>a.capex_pct</t>
        </is>
      </c>
      <c r="H15" s="4" t="n">
        <v>0.4</v>
      </c>
      <c r="I15" s="4" t="n">
        <v>0.4</v>
      </c>
      <c r="J15" s="4" t="n">
        <v>0.4</v>
      </c>
      <c r="K15" s="4" t="n">
        <v>0.4</v>
      </c>
      <c r="L15" s="4" t="n">
        <v>0.4</v>
      </c>
      <c r="M15" s="4" t="n">
        <v>0.4</v>
      </c>
      <c r="N15" s="4" t="n">
        <v>0.4</v>
      </c>
      <c r="O15" s="4" t="n">
        <v>0.4</v>
      </c>
      <c r="P15" s="4" t="n">
        <v>0.4</v>
      </c>
      <c r="Q15" s="4" t="n">
        <v>0.4</v>
      </c>
    </row>
    <row r="16">
      <c r="A16" t="inlineStr">
        <is>
          <t>Operating working capital / revenue</t>
        </is>
      </c>
      <c r="B16" t="inlineStr">
        <is>
          <t>a.nwc_pct</t>
        </is>
      </c>
      <c r="H16" s="4" t="n">
        <v>1.370792</v>
      </c>
      <c r="I16" s="4" t="n">
        <v>1.370792</v>
      </c>
      <c r="J16" s="4" t="n">
        <v>1.370792</v>
      </c>
      <c r="K16" s="4" t="n">
        <v>1.370792</v>
      </c>
      <c r="L16" s="4" t="n">
        <v>1.370792</v>
      </c>
      <c r="M16" s="4" t="n">
        <v>1.370792</v>
      </c>
      <c r="N16" s="4" t="n">
        <v>1.370792</v>
      </c>
      <c r="O16" s="4" t="n">
        <v>1.370792</v>
      </c>
      <c r="P16" s="4" t="n">
        <v>1.370792</v>
      </c>
      <c r="Q16" s="4" t="n">
        <v>1.370792</v>
      </c>
    </row>
    <row r="17">
      <c r="A17" t="inlineStr">
        <is>
          <t>Effective tax rate</t>
        </is>
      </c>
      <c r="B17" t="inlineStr">
        <is>
          <t>a.tax_rate</t>
        </is>
      </c>
      <c r="H17" s="4" t="n">
        <v>0.42</v>
      </c>
      <c r="I17" s="4" t="n">
        <v>0.42</v>
      </c>
      <c r="J17" s="4" t="n">
        <v>0.42</v>
      </c>
      <c r="K17" s="4" t="n">
        <v>0.42</v>
      </c>
      <c r="L17" s="4" t="n">
        <v>0.42</v>
      </c>
      <c r="M17" s="4" t="n">
        <v>0.42</v>
      </c>
      <c r="N17" s="4" t="n">
        <v>0.42</v>
      </c>
      <c r="O17" s="4" t="n">
        <v>0.42</v>
      </c>
      <c r="P17" s="4" t="n">
        <v>0.42</v>
      </c>
      <c r="Q17" s="4" t="n">
        <v>0.42</v>
      </c>
    </row>
    <row r="18">
      <c r="A18" t="inlineStr">
        <is>
          <t>Cost of debt (on opening debt)</t>
        </is>
      </c>
      <c r="B18" t="inlineStr">
        <is>
          <t>a.cost_of_debt</t>
        </is>
      </c>
      <c r="C18" s="4" t="n">
        <v>0.0374</v>
      </c>
    </row>
    <row r="19">
      <c r="A19" t="inlineStr">
        <is>
          <t>Yield on opening cash</t>
        </is>
      </c>
      <c r="B19" t="inlineStr">
        <is>
          <t>a.cash_yield</t>
        </is>
      </c>
      <c r="C19" s="4" t="n">
        <v>0.021156</v>
      </c>
    </row>
    <row r="20">
      <c r="A20" t="inlineStr">
        <is>
          <t>Net new borrowing</t>
        </is>
      </c>
      <c r="B20" t="inlineStr">
        <is>
          <t>a.net_borrowing</t>
        </is>
      </c>
      <c r="H20" s="13" t="n">
        <v>2900</v>
      </c>
      <c r="I20" s="13" t="n">
        <v>2800</v>
      </c>
      <c r="J20" s="13" t="n">
        <v>2900</v>
      </c>
      <c r="K20" s="13" t="n">
        <v>3050</v>
      </c>
      <c r="L20" s="13" t="n">
        <v>3350</v>
      </c>
      <c r="M20" s="13" t="n">
        <v>3690</v>
      </c>
      <c r="N20" s="13" t="n">
        <v>3782.25</v>
      </c>
      <c r="O20" s="13" t="n">
        <v>3876.806249999999</v>
      </c>
      <c r="P20" s="13" t="n">
        <v>3973.726406249998</v>
      </c>
      <c r="Q20" s="13" t="n">
        <v>4073.069566406248</v>
      </c>
    </row>
    <row r="21">
      <c r="A21" t="inlineStr">
        <is>
          <t>Other non-operating items</t>
        </is>
      </c>
      <c r="B21" t="inlineStr">
        <is>
          <t>a.other_nonop</t>
        </is>
      </c>
      <c r="H21" s="13" t="n">
        <v>30</v>
      </c>
      <c r="I21" s="13" t="n">
        <v>30</v>
      </c>
      <c r="J21" s="13" t="n">
        <v>30</v>
      </c>
      <c r="K21" s="13" t="n">
        <v>30</v>
      </c>
      <c r="L21" s="13" t="n">
        <v>30</v>
      </c>
      <c r="M21" s="13" t="n">
        <v>30.75</v>
      </c>
      <c r="N21" s="13" t="n">
        <v>31.51875</v>
      </c>
      <c r="O21" s="13" t="n">
        <v>32.30671874999999</v>
      </c>
      <c r="P21" s="13" t="n">
        <v>33.11438671874998</v>
      </c>
      <c r="Q21" s="13" t="n">
        <v>33.94224638671874</v>
      </c>
    </row>
    <row r="22">
      <c r="A22" t="inlineStr">
        <is>
          <t>Minorities' share of net profit</t>
        </is>
      </c>
      <c r="B22" t="inlineStr">
        <is>
          <t>a.minority_pct</t>
        </is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</row>
    <row r="23">
      <c r="A23" t="inlineStr">
        <is>
          <t>Dividend payout</t>
        </is>
      </c>
      <c r="B23" t="inlineStr">
        <is>
          <t>a.payout</t>
        </is>
      </c>
      <c r="H23" s="4" t="n">
        <v>0.02269</v>
      </c>
      <c r="I23" s="4" t="n">
        <v>0.019512</v>
      </c>
      <c r="J23" s="4" t="n">
        <v>0.017233</v>
      </c>
      <c r="K23" s="4" t="n">
        <v>0.015535</v>
      </c>
      <c r="L23" s="4" t="n">
        <v>0.01388</v>
      </c>
      <c r="M23" s="4" t="n">
        <v>0.012403</v>
      </c>
      <c r="N23" s="4" t="n">
        <v>0.011103</v>
      </c>
      <c r="O23" s="4" t="n">
        <v>0.009887</v>
      </c>
      <c r="P23" s="4" t="n">
        <v>0.008768</v>
      </c>
      <c r="Q23" s="4" t="n">
        <v>0.007753</v>
      </c>
    </row>
    <row r="24">
      <c r="A24" t="inlineStr">
        <is>
          <t>Change in share count</t>
        </is>
      </c>
      <c r="B24" t="inlineStr">
        <is>
          <t>a.share_change</t>
        </is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</row>
    <row r="25">
      <c r="A25" t="inlineStr">
        <is>
          <t>Terminal growth (DCF)</t>
        </is>
      </c>
      <c r="B25" t="inlineStr">
        <is>
          <t>a.terminal_growth</t>
        </is>
      </c>
      <c r="C25" s="4" t="n">
        <v>0.04</v>
      </c>
    </row>
    <row r="26">
      <c r="A26" t="inlineStr">
        <is>
          <t>Holding-company discount to SOTP</t>
        </is>
      </c>
      <c r="B26" t="inlineStr">
        <is>
          <t>a.holdco_discount</t>
        </is>
      </c>
      <c r="C26" s="4" t="n">
        <v>0.6</v>
      </c>
    </row>
    <row r="28">
      <c r="A28" s="1" t="inlineStr">
        <is>
          <t>MODEL</t>
        </is>
      </c>
    </row>
    <row r="29">
      <c r="A29" t="inlineStr">
        <is>
          <t>Revenue</t>
        </is>
      </c>
      <c r="B29" t="inlineStr">
        <is>
          <t>revenue</t>
        </is>
      </c>
      <c r="D29" s="13" t="n">
        <v>4825.433552907</v>
      </c>
      <c r="E29" s="13" t="n">
        <v>5154.369</v>
      </c>
      <c r="F29" s="13" t="n">
        <v>5405.027</v>
      </c>
      <c r="G29" s="13" t="n">
        <v>5785.168</v>
      </c>
      <c r="H29" s="14">
        <f>(G29*(1+H11))</f>
        <v/>
      </c>
      <c r="I29" s="14">
        <f>(H29*(1+I11))</f>
        <v/>
      </c>
      <c r="J29" s="14">
        <f>(I29*(1+J11))</f>
        <v/>
      </c>
      <c r="K29" s="14">
        <f>(J29*(1+K11))</f>
        <v/>
      </c>
      <c r="L29" s="14">
        <f>(K29*(1+L11))</f>
        <v/>
      </c>
      <c r="M29" s="14">
        <f>(L29*(1+M11))</f>
        <v/>
      </c>
      <c r="N29" s="14">
        <f>(M29*(1+N11))</f>
        <v/>
      </c>
      <c r="O29" s="14">
        <f>(N29*(1+O11))</f>
        <v/>
      </c>
      <c r="P29" s="14">
        <f>(O29*(1+P11))</f>
        <v/>
      </c>
      <c r="Q29" s="14">
        <f>(P29*(1+Q11))</f>
        <v/>
      </c>
    </row>
    <row r="30">
      <c r="A30" t="inlineStr">
        <is>
          <t>Cost of revenue</t>
        </is>
      </c>
      <c r="B30" t="inlineStr">
        <is>
          <t>cogs</t>
        </is>
      </c>
      <c r="D30" s="13" t="n">
        <v>2835.276374528</v>
      </c>
      <c r="E30" s="13" t="n">
        <v>3044.639</v>
      </c>
      <c r="F30" s="13" t="n">
        <v>3301.787</v>
      </c>
      <c r="G30" s="13" t="n">
        <v>3590.973</v>
      </c>
      <c r="H30" s="14">
        <f>(H29*(1-H12))</f>
        <v/>
      </c>
      <c r="I30" s="14">
        <f>(I29*(1-I12))</f>
        <v/>
      </c>
      <c r="J30" s="14">
        <f>(J29*(1-J12))</f>
        <v/>
      </c>
      <c r="K30" s="14">
        <f>(K29*(1-K12))</f>
        <v/>
      </c>
      <c r="L30" s="14">
        <f>(L29*(1-L12))</f>
        <v/>
      </c>
      <c r="M30" s="14">
        <f>(M29*(1-M12))</f>
        <v/>
      </c>
      <c r="N30" s="14">
        <f>(N29*(1-N12))</f>
        <v/>
      </c>
      <c r="O30" s="14">
        <f>(O29*(1-O12))</f>
        <v/>
      </c>
      <c r="P30" s="14">
        <f>(P29*(1-P12))</f>
        <v/>
      </c>
      <c r="Q30" s="14">
        <f>(Q29*(1-Q12))</f>
        <v/>
      </c>
    </row>
    <row r="31">
      <c r="A31" t="inlineStr">
        <is>
          <t>Gross profit</t>
        </is>
      </c>
      <c r="B31" t="inlineStr">
        <is>
          <t>gross_profit</t>
        </is>
      </c>
      <c r="D31" s="13" t="n">
        <v>1990.157178379</v>
      </c>
      <c r="E31" s="13" t="n">
        <v>2109.73</v>
      </c>
      <c r="F31" s="13" t="n">
        <v>2103.24</v>
      </c>
      <c r="G31" s="13" t="n">
        <v>2194.195</v>
      </c>
      <c r="H31" s="14">
        <f>(H29-H30)</f>
        <v/>
      </c>
      <c r="I31" s="14">
        <f>(I29-I30)</f>
        <v/>
      </c>
      <c r="J31" s="14">
        <f>(J29-J30)</f>
        <v/>
      </c>
      <c r="K31" s="14">
        <f>(K29-K30)</f>
        <v/>
      </c>
      <c r="L31" s="14">
        <f>(L29-L30)</f>
        <v/>
      </c>
      <c r="M31" s="14">
        <f>(M29-M30)</f>
        <v/>
      </c>
      <c r="N31" s="14">
        <f>(N29-N30)</f>
        <v/>
      </c>
      <c r="O31" s="14">
        <f>(O29-O30)</f>
        <v/>
      </c>
      <c r="P31" s="14">
        <f>(P29-P30)</f>
        <v/>
      </c>
      <c r="Q31" s="14">
        <f>(Q29-Q30)</f>
        <v/>
      </c>
    </row>
    <row r="32">
      <c r="A32" t="inlineStr">
        <is>
          <t>SG&amp;A and other opex</t>
        </is>
      </c>
      <c r="B32" t="inlineStr">
        <is>
          <t>opex</t>
        </is>
      </c>
      <c r="D32" s="13" t="n">
        <v>1117.9349366</v>
      </c>
      <c r="E32" s="13" t="n">
        <v>1251.718</v>
      </c>
      <c r="F32" s="13" t="n">
        <v>1147.356</v>
      </c>
      <c r="G32" s="13" t="n">
        <v>1074.07</v>
      </c>
      <c r="H32" s="14">
        <f>(H29*H13)</f>
        <v/>
      </c>
      <c r="I32" s="14">
        <f>(I29*I13)</f>
        <v/>
      </c>
      <c r="J32" s="14">
        <f>(J29*J13)</f>
        <v/>
      </c>
      <c r="K32" s="14">
        <f>(K29*K13)</f>
        <v/>
      </c>
      <c r="L32" s="14">
        <f>(L29*L13)</f>
        <v/>
      </c>
      <c r="M32" s="14">
        <f>(M29*M13)</f>
        <v/>
      </c>
      <c r="N32" s="14">
        <f>(N29*N13)</f>
        <v/>
      </c>
      <c r="O32" s="14">
        <f>(O29*O13)</f>
        <v/>
      </c>
      <c r="P32" s="14">
        <f>(P29*P13)</f>
        <v/>
      </c>
      <c r="Q32" s="14">
        <f>(Q29*Q13)</f>
        <v/>
      </c>
    </row>
    <row r="33">
      <c r="A33" t="inlineStr">
        <is>
          <t>EBIT</t>
        </is>
      </c>
      <c r="B33" t="inlineStr">
        <is>
          <t>ebit</t>
        </is>
      </c>
      <c r="D33" s="13" t="n">
        <v>872.222241779</v>
      </c>
      <c r="E33" s="13" t="n">
        <v>858.0119999999999</v>
      </c>
      <c r="F33" s="13" t="n">
        <v>1036.743</v>
      </c>
      <c r="G33" s="13" t="n">
        <v>969.816</v>
      </c>
      <c r="H33" s="14">
        <f>(H31-H32)</f>
        <v/>
      </c>
      <c r="I33" s="14">
        <f>(I31-I32)</f>
        <v/>
      </c>
      <c r="J33" s="14">
        <f>(J31-J32)</f>
        <v/>
      </c>
      <c r="K33" s="14">
        <f>(K31-K32)</f>
        <v/>
      </c>
      <c r="L33" s="14">
        <f>(L31-L32)</f>
        <v/>
      </c>
      <c r="M33" s="14">
        <f>(M31-M32)</f>
        <v/>
      </c>
      <c r="N33" s="14">
        <f>(N31-N32)</f>
        <v/>
      </c>
      <c r="O33" s="14">
        <f>(O31-O32)</f>
        <v/>
      </c>
      <c r="P33" s="14">
        <f>(P31-P32)</f>
        <v/>
      </c>
      <c r="Q33" s="14">
        <f>(Q31-Q32)</f>
        <v/>
      </c>
    </row>
    <row r="34">
      <c r="A34" t="inlineStr">
        <is>
          <t>Depreciation &amp; amortisation</t>
        </is>
      </c>
      <c r="B34" t="inlineStr">
        <is>
          <t>da</t>
        </is>
      </c>
      <c r="D34" s="13" t="n">
        <v>85.109710363</v>
      </c>
      <c r="E34" s="13" t="n">
        <v>734.0599999999999</v>
      </c>
      <c r="F34" s="13" t="n">
        <v>808.5650000000001</v>
      </c>
      <c r="G34" s="13" t="n">
        <v>915.492</v>
      </c>
      <c r="H34" s="14">
        <f>(H29*H14)</f>
        <v/>
      </c>
      <c r="I34" s="14">
        <f>(I29*I14)</f>
        <v/>
      </c>
      <c r="J34" s="14">
        <f>(J29*J14)</f>
        <v/>
      </c>
      <c r="K34" s="14">
        <f>(K29*K14)</f>
        <v/>
      </c>
      <c r="L34" s="14">
        <f>(L29*L14)</f>
        <v/>
      </c>
      <c r="M34" s="14">
        <f>(M29*M14)</f>
        <v/>
      </c>
      <c r="N34" s="14">
        <f>(N29*N14)</f>
        <v/>
      </c>
      <c r="O34" s="14">
        <f>(O29*O14)</f>
        <v/>
      </c>
      <c r="P34" s="14">
        <f>(P29*P14)</f>
        <v/>
      </c>
      <c r="Q34" s="14">
        <f>(Q29*Q14)</f>
        <v/>
      </c>
    </row>
    <row r="35">
      <c r="A35" t="inlineStr">
        <is>
          <t>EBITDA</t>
        </is>
      </c>
      <c r="B35" t="inlineStr">
        <is>
          <t>ebitda</t>
        </is>
      </c>
      <c r="D35" s="13" t="n">
        <v>957.331952142</v>
      </c>
      <c r="E35" s="13" t="n">
        <v>1592.072</v>
      </c>
      <c r="F35" s="13" t="n">
        <v>1845.308</v>
      </c>
      <c r="G35" s="13" t="n">
        <v>1885.308</v>
      </c>
      <c r="H35" s="14">
        <f>(H33+H34)</f>
        <v/>
      </c>
      <c r="I35" s="14">
        <f>(I33+I34)</f>
        <v/>
      </c>
      <c r="J35" s="14">
        <f>(J33+J34)</f>
        <v/>
      </c>
      <c r="K35" s="14">
        <f>(K33+K34)</f>
        <v/>
      </c>
      <c r="L35" s="14">
        <f>(L33+L34)</f>
        <v/>
      </c>
      <c r="M35" s="14">
        <f>(M33+M34)</f>
        <v/>
      </c>
      <c r="N35" s="14">
        <f>(N33+N34)</f>
        <v/>
      </c>
      <c r="O35" s="14">
        <f>(O33+O34)</f>
        <v/>
      </c>
      <c r="P35" s="14">
        <f>(P33+P34)</f>
        <v/>
      </c>
      <c r="Q35" s="14">
        <f>(Q33+Q34)</f>
        <v/>
      </c>
    </row>
    <row r="36">
      <c r="A36" t="inlineStr">
        <is>
          <t>Interest expense</t>
        </is>
      </c>
      <c r="B36" t="inlineStr">
        <is>
          <t>interest_expense</t>
        </is>
      </c>
      <c r="D36" s="13" t="n">
        <v>422.40457947</v>
      </c>
      <c r="E36" s="13" t="n">
        <v>661.367</v>
      </c>
      <c r="F36" s="13" t="n">
        <v>890.597</v>
      </c>
      <c r="G36" s="13" t="n">
        <v>880.181</v>
      </c>
      <c r="H36" s="14">
        <f>(G56*$C$18)</f>
        <v/>
      </c>
      <c r="I36" s="14">
        <f>(H56*$C$18)</f>
        <v/>
      </c>
      <c r="J36" s="14">
        <f>(I56*$C$18)</f>
        <v/>
      </c>
      <c r="K36" s="14">
        <f>(J56*$C$18)</f>
        <v/>
      </c>
      <c r="L36" s="14">
        <f>(K56*$C$18)</f>
        <v/>
      </c>
      <c r="M36" s="14">
        <f>(L56*$C$18)</f>
        <v/>
      </c>
      <c r="N36" s="14">
        <f>(M56*$C$18)</f>
        <v/>
      </c>
      <c r="O36" s="14">
        <f>(N56*$C$18)</f>
        <v/>
      </c>
      <c r="P36" s="14">
        <f>(O56*$C$18)</f>
        <v/>
      </c>
      <c r="Q36" s="14">
        <f>(P56*$C$18)</f>
        <v/>
      </c>
    </row>
    <row r="37">
      <c r="A37" t="inlineStr">
        <is>
          <t>Interest income</t>
        </is>
      </c>
      <c r="B37" t="inlineStr">
        <is>
          <t>interest_income</t>
        </is>
      </c>
      <c r="D37" s="13" t="n">
        <v>17.970743381</v>
      </c>
      <c r="E37" s="13" t="n">
        <v>33.426</v>
      </c>
      <c r="F37" s="13" t="n">
        <v>53.323</v>
      </c>
      <c r="G37" s="13" t="n">
        <v>34.319</v>
      </c>
      <c r="H37" s="14">
        <f>(G55*$C$19)</f>
        <v/>
      </c>
      <c r="I37" s="14">
        <f>(H55*$C$19)</f>
        <v/>
      </c>
      <c r="J37" s="14">
        <f>(I55*$C$19)</f>
        <v/>
      </c>
      <c r="K37" s="14">
        <f>(J55*$C$19)</f>
        <v/>
      </c>
      <c r="L37" s="14">
        <f>(K55*$C$19)</f>
        <v/>
      </c>
      <c r="M37" s="14">
        <f>(L55*$C$19)</f>
        <v/>
      </c>
      <c r="N37" s="14">
        <f>(M55*$C$19)</f>
        <v/>
      </c>
      <c r="O37" s="14">
        <f>(N55*$C$19)</f>
        <v/>
      </c>
      <c r="P37" s="14">
        <f>(O55*$C$19)</f>
        <v/>
      </c>
      <c r="Q37" s="14">
        <f>(P55*$C$19)</f>
        <v/>
      </c>
    </row>
    <row r="38">
      <c r="A38" t="inlineStr">
        <is>
          <t>Other non-operating</t>
        </is>
      </c>
      <c r="B38" t="inlineStr">
        <is>
          <t>other_nonop</t>
        </is>
      </c>
      <c r="D38" s="13" t="n">
        <v>-293.571361928</v>
      </c>
      <c r="E38" s="13" t="n">
        <v>105.9319999999999</v>
      </c>
      <c r="F38" s="13" t="n">
        <v>29.624</v>
      </c>
      <c r="G38" s="13" t="n">
        <v>29.79799999999996</v>
      </c>
      <c r="H38" s="14">
        <f>H21</f>
        <v/>
      </c>
      <c r="I38" s="14">
        <f>I21</f>
        <v/>
      </c>
      <c r="J38" s="14">
        <f>J21</f>
        <v/>
      </c>
      <c r="K38" s="14">
        <f>K21</f>
        <v/>
      </c>
      <c r="L38" s="14">
        <f>L21</f>
        <v/>
      </c>
      <c r="M38" s="14">
        <f>M21</f>
        <v/>
      </c>
      <c r="N38" s="14">
        <f>N21</f>
        <v/>
      </c>
      <c r="O38" s="14">
        <f>O21</f>
        <v/>
      </c>
      <c r="P38" s="14">
        <f>P21</f>
        <v/>
      </c>
      <c r="Q38" s="14">
        <f>Q21</f>
        <v/>
      </c>
    </row>
    <row r="39">
      <c r="A39" t="inlineStr">
        <is>
          <t>Profit before tax</t>
        </is>
      </c>
      <c r="B39" t="inlineStr">
        <is>
          <t>pbt</t>
        </is>
      </c>
      <c r="D39" s="13" t="n">
        <v>174.217043762</v>
      </c>
      <c r="E39" s="13" t="n">
        <v>336.003</v>
      </c>
      <c r="F39" s="13" t="n">
        <v>229.093</v>
      </c>
      <c r="G39" s="13" t="n">
        <v>153.752</v>
      </c>
      <c r="H39" s="14">
        <f>(((H33-H36)+H37)+H38)</f>
        <v/>
      </c>
      <c r="I39" s="14">
        <f>(((I33-I36)+I37)+I38)</f>
        <v/>
      </c>
      <c r="J39" s="14">
        <f>(((J33-J36)+J37)+J38)</f>
        <v/>
      </c>
      <c r="K39" s="14">
        <f>(((K33-K36)+K37)+K38)</f>
        <v/>
      </c>
      <c r="L39" s="14">
        <f>(((L33-L36)+L37)+L38)</f>
        <v/>
      </c>
      <c r="M39" s="14">
        <f>(((M33-M36)+M37)+M38)</f>
        <v/>
      </c>
      <c r="N39" s="14">
        <f>(((N33-N36)+N37)+N38)</f>
        <v/>
      </c>
      <c r="O39" s="14">
        <f>(((O33-O36)+O37)+O38)</f>
        <v/>
      </c>
      <c r="P39" s="14">
        <f>(((P33-P36)+P37)+P38)</f>
        <v/>
      </c>
      <c r="Q39" s="14">
        <f>(((Q33-Q36)+Q37)+Q38)</f>
        <v/>
      </c>
    </row>
    <row r="40">
      <c r="A40" t="inlineStr">
        <is>
          <t>Tax</t>
        </is>
      </c>
      <c r="B40" t="inlineStr">
        <is>
          <t>tax</t>
        </is>
      </c>
      <c r="D40" s="13" t="n">
        <v>82.83621490900001</v>
      </c>
      <c r="E40" s="13" t="n">
        <v>66.402</v>
      </c>
      <c r="F40" s="13" t="n">
        <v>98.792</v>
      </c>
      <c r="G40" s="13" t="n">
        <v>134.577</v>
      </c>
      <c r="H40" s="14">
        <f>(MAX(H39,0)*H17)</f>
        <v/>
      </c>
      <c r="I40" s="14">
        <f>(MAX(I39,0)*I17)</f>
        <v/>
      </c>
      <c r="J40" s="14">
        <f>(MAX(J39,0)*J17)</f>
        <v/>
      </c>
      <c r="K40" s="14">
        <f>(MAX(K39,0)*K17)</f>
        <v/>
      </c>
      <c r="L40" s="14">
        <f>(MAX(L39,0)*L17)</f>
        <v/>
      </c>
      <c r="M40" s="14">
        <f>(MAX(M39,0)*M17)</f>
        <v/>
      </c>
      <c r="N40" s="14">
        <f>(MAX(N39,0)*N17)</f>
        <v/>
      </c>
      <c r="O40" s="14">
        <f>(MAX(O39,0)*O17)</f>
        <v/>
      </c>
      <c r="P40" s="14">
        <f>(MAX(P39,0)*P17)</f>
        <v/>
      </c>
      <c r="Q40" s="14">
        <f>(MAX(Q39,0)*Q17)</f>
        <v/>
      </c>
    </row>
    <row r="41">
      <c r="A41" t="inlineStr">
        <is>
          <t>Net profit (incl. minorities)</t>
        </is>
      </c>
      <c r="B41" t="inlineStr">
        <is>
          <t>np</t>
        </is>
      </c>
      <c r="D41" s="13" t="n">
        <v>91.380828853</v>
      </c>
      <c r="E41" s="13" t="n">
        <v>269.601</v>
      </c>
      <c r="F41" s="13" t="n">
        <v>130.301</v>
      </c>
      <c r="G41" s="13" t="n">
        <v>19.175</v>
      </c>
      <c r="H41" s="14">
        <f>(H39-H40)</f>
        <v/>
      </c>
      <c r="I41" s="14">
        <f>(I39-I40)</f>
        <v/>
      </c>
      <c r="J41" s="14">
        <f>(J39-J40)</f>
        <v/>
      </c>
      <c r="K41" s="14">
        <f>(K39-K40)</f>
        <v/>
      </c>
      <c r="L41" s="14">
        <f>(L39-L40)</f>
        <v/>
      </c>
      <c r="M41" s="14">
        <f>(M39-M40)</f>
        <v/>
      </c>
      <c r="N41" s="14">
        <f>(N39-N40)</f>
        <v/>
      </c>
      <c r="O41" s="14">
        <f>(O39-O40)</f>
        <v/>
      </c>
      <c r="P41" s="14">
        <f>(P39-P40)</f>
        <v/>
      </c>
      <c r="Q41" s="14">
        <f>(Q39-Q40)</f>
        <v/>
      </c>
    </row>
    <row r="42">
      <c r="A42" t="inlineStr">
        <is>
          <t>Minority interests</t>
        </is>
      </c>
      <c r="B42" t="inlineStr">
        <is>
          <t>minority</t>
        </is>
      </c>
      <c r="D42" s="13" t="n">
        <v>-53.62858494</v>
      </c>
      <c r="E42" s="13" t="n">
        <v>-64.09699999999998</v>
      </c>
      <c r="F42" s="13" t="n">
        <v>-98.17600000000002</v>
      </c>
      <c r="G42" s="13" t="n">
        <v>-103.68</v>
      </c>
      <c r="H42" s="14">
        <f>(H41*H22)</f>
        <v/>
      </c>
      <c r="I42" s="14">
        <f>(I41*I22)</f>
        <v/>
      </c>
      <c r="J42" s="14">
        <f>(J41*J22)</f>
        <v/>
      </c>
      <c r="K42" s="14">
        <f>(K41*K22)</f>
        <v/>
      </c>
      <c r="L42" s="14">
        <f>(L41*L22)</f>
        <v/>
      </c>
      <c r="M42" s="14">
        <f>(M41*M22)</f>
        <v/>
      </c>
      <c r="N42" s="14">
        <f>(N41*N22)</f>
        <v/>
      </c>
      <c r="O42" s="14">
        <f>(O41*O22)</f>
        <v/>
      </c>
      <c r="P42" s="14">
        <f>(P41*P22)</f>
        <v/>
      </c>
      <c r="Q42" s="14">
        <f>(Q41*Q22)</f>
        <v/>
      </c>
    </row>
    <row r="43">
      <c r="A43" t="inlineStr">
        <is>
          <t>Net profit to parent</t>
        </is>
      </c>
      <c r="B43" t="inlineStr">
        <is>
          <t>np_parent</t>
        </is>
      </c>
      <c r="D43" s="13" t="n">
        <v>145.009413793</v>
      </c>
      <c r="E43" s="13" t="n">
        <v>269.601</v>
      </c>
      <c r="F43" s="13" t="n">
        <v>130.301</v>
      </c>
      <c r="G43" s="13" t="n">
        <v>19.175</v>
      </c>
      <c r="H43" s="14">
        <f>(H41-H42)</f>
        <v/>
      </c>
      <c r="I43" s="14">
        <f>(I41-I42)</f>
        <v/>
      </c>
      <c r="J43" s="14">
        <f>(J41-J42)</f>
        <v/>
      </c>
      <c r="K43" s="14">
        <f>(K41-K42)</f>
        <v/>
      </c>
      <c r="L43" s="14">
        <f>(L41-L42)</f>
        <v/>
      </c>
      <c r="M43" s="14">
        <f>(M41-M42)</f>
        <v/>
      </c>
      <c r="N43" s="14">
        <f>(N41-N42)</f>
        <v/>
      </c>
      <c r="O43" s="14">
        <f>(O41-O42)</f>
        <v/>
      </c>
      <c r="P43" s="14">
        <f>(P41-P42)</f>
        <v/>
      </c>
      <c r="Q43" s="14">
        <f>(Q41-Q42)</f>
        <v/>
      </c>
    </row>
    <row r="44">
      <c r="A44" t="inlineStr">
        <is>
          <t>Shares outstanding (m)</t>
        </is>
      </c>
      <c r="B44" t="inlineStr">
        <is>
          <t>shares</t>
        </is>
      </c>
      <c r="D44" s="13" t="n">
        <v>9695.085638</v>
      </c>
      <c r="E44" s="13" t="n">
        <v>9695.085638</v>
      </c>
      <c r="F44" s="13" t="n">
        <v>9695.085638</v>
      </c>
      <c r="G44" s="13" t="n">
        <v>10849.2625</v>
      </c>
      <c r="H44" s="14">
        <f>(G44*(1+H24))</f>
        <v/>
      </c>
      <c r="I44" s="14">
        <f>(H44*(1+I24))</f>
        <v/>
      </c>
      <c r="J44" s="14">
        <f>(I44*(1+J24))</f>
        <v/>
      </c>
      <c r="K44" s="14">
        <f>(J44*(1+K24))</f>
        <v/>
      </c>
      <c r="L44" s="14">
        <f>(K44*(1+L24))</f>
        <v/>
      </c>
      <c r="M44" s="14">
        <f>(L44*(1+M24))</f>
        <v/>
      </c>
      <c r="N44" s="14">
        <f>(M44*(1+N24))</f>
        <v/>
      </c>
      <c r="O44" s="14">
        <f>(N44*(1+O24))</f>
        <v/>
      </c>
      <c r="P44" s="14">
        <f>(O44*(1+P24))</f>
        <v/>
      </c>
      <c r="Q44" s="14">
        <f>(P44*(1+Q24))</f>
        <v/>
      </c>
    </row>
    <row r="45">
      <c r="A45" t="inlineStr">
        <is>
          <t>EPS</t>
        </is>
      </c>
      <c r="B45" t="inlineStr">
        <is>
          <t>eps</t>
        </is>
      </c>
      <c r="D45" s="15" t="n">
        <v>14.95700184685671</v>
      </c>
      <c r="E45" s="15" t="n">
        <v>27.80800604208133</v>
      </c>
      <c r="F45" s="15" t="n">
        <v>13.43990191167407</v>
      </c>
      <c r="G45" s="15" t="n">
        <v>1.767401240406894</v>
      </c>
      <c r="H45" s="16">
        <f>(IF(H44=0,0,H43/H44)*$C$7)</f>
        <v/>
      </c>
      <c r="I45" s="16">
        <f>(IF(I44=0,0,I43/I44)*$C$7)</f>
        <v/>
      </c>
      <c r="J45" s="16">
        <f>(IF(J44=0,0,J43/J44)*$C$7)</f>
        <v/>
      </c>
      <c r="K45" s="16">
        <f>(IF(K44=0,0,K43/K44)*$C$7)</f>
        <v/>
      </c>
      <c r="L45" s="16">
        <f>(IF(L44=0,0,L43/L44)*$C$7)</f>
        <v/>
      </c>
      <c r="M45" s="16">
        <f>(IF(M44=0,0,M43/M44)*$C$7)</f>
        <v/>
      </c>
      <c r="N45" s="16">
        <f>(IF(N44=0,0,N43/N44)*$C$7)</f>
        <v/>
      </c>
      <c r="O45" s="16">
        <f>(IF(O44=0,0,O43/O44)*$C$7)</f>
        <v/>
      </c>
      <c r="P45" s="16">
        <f>(IF(P44=0,0,P43/P44)*$C$7)</f>
        <v/>
      </c>
      <c r="Q45" s="16">
        <f>(IF(Q44=0,0,Q43/Q44)*$C$7)</f>
        <v/>
      </c>
    </row>
    <row r="46">
      <c r="A46" t="inlineStr">
        <is>
          <t>DPS (declared on the year)</t>
        </is>
      </c>
      <c r="B46" t="inlineStr">
        <is>
          <t>dps</t>
        </is>
      </c>
      <c r="D46" s="15" t="n">
        <v>0.446325</v>
      </c>
      <c r="E46" s="15" t="n">
        <v>0.669488</v>
      </c>
      <c r="F46" s="15" t="n">
        <v>0.312428</v>
      </c>
      <c r="G46" s="15" t="n">
        <v>0.35</v>
      </c>
      <c r="H46" s="16">
        <f>(MAX(H45,0)*H23)</f>
        <v/>
      </c>
      <c r="I46" s="16">
        <f>(MAX(I45,0)*I23)</f>
        <v/>
      </c>
      <c r="J46" s="16">
        <f>(MAX(J45,0)*J23)</f>
        <v/>
      </c>
      <c r="K46" s="16">
        <f>(MAX(K45,0)*K23)</f>
        <v/>
      </c>
      <c r="L46" s="16">
        <f>(MAX(L45,0)*L23)</f>
        <v/>
      </c>
      <c r="M46" s="16">
        <f>(MAX(M45,0)*M23)</f>
        <v/>
      </c>
      <c r="N46" s="16">
        <f>(MAX(N45,0)*N23)</f>
        <v/>
      </c>
      <c r="O46" s="16">
        <f>(MAX(O45,0)*O23)</f>
        <v/>
      </c>
      <c r="P46" s="16">
        <f>(MAX(P45,0)*P23)</f>
        <v/>
      </c>
      <c r="Q46" s="16">
        <f>(MAX(Q45,0)*Q23)</f>
        <v/>
      </c>
    </row>
    <row r="47">
      <c r="A47" t="inlineStr">
        <is>
          <t>Dividends paid</t>
        </is>
      </c>
      <c r="B47" t="inlineStr">
        <is>
          <t>dividends_paid</t>
        </is>
      </c>
      <c r="D47" s="13" t="n">
        <v>2.16358125</v>
      </c>
      <c r="E47" s="13" t="n">
        <v>4.327</v>
      </c>
      <c r="F47" s="13" t="n">
        <v>6.491</v>
      </c>
      <c r="G47" s="13" t="n">
        <v>3.029</v>
      </c>
      <c r="H47" s="14">
        <f>IF($C$7=0,0,(G46*G44)/$C$7)</f>
        <v/>
      </c>
      <c r="I47" s="14">
        <f>IF($C$7=0,0,(H46*H44)/$C$7)</f>
        <v/>
      </c>
      <c r="J47" s="14">
        <f>IF($C$7=0,0,(I46*I44)/$C$7)</f>
        <v/>
      </c>
      <c r="K47" s="14">
        <f>IF($C$7=0,0,(J46*J44)/$C$7)</f>
        <v/>
      </c>
      <c r="L47" s="14">
        <f>IF($C$7=0,0,(K46*K44)/$C$7)</f>
        <v/>
      </c>
      <c r="M47" s="14">
        <f>IF($C$7=0,0,(L46*L44)/$C$7)</f>
        <v/>
      </c>
      <c r="N47" s="14">
        <f>IF($C$7=0,0,(M46*M44)/$C$7)</f>
        <v/>
      </c>
      <c r="O47" s="14">
        <f>IF($C$7=0,0,(N46*N44)/$C$7)</f>
        <v/>
      </c>
      <c r="P47" s="14">
        <f>IF($C$7=0,0,(O46*O44)/$C$7)</f>
        <v/>
      </c>
      <c r="Q47" s="14">
        <f>IF($C$7=0,0,(P46*P44)/$C$7)</f>
        <v/>
      </c>
    </row>
    <row r="48">
      <c r="A48" t="inlineStr">
        <is>
          <t>Capital expenditure</t>
        </is>
      </c>
      <c r="B48" t="inlineStr">
        <is>
          <t>capex</t>
        </is>
      </c>
      <c r="D48" s="13" t="n">
        <v>1371.775474307</v>
      </c>
      <c r="E48" s="13" t="n">
        <v>1681.692</v>
      </c>
      <c r="F48" s="13" t="n">
        <v>1417.619</v>
      </c>
      <c r="G48" s="13" t="n">
        <v>2362.351</v>
      </c>
      <c r="H48" s="14">
        <f>(H29*H15)</f>
        <v/>
      </c>
      <c r="I48" s="14">
        <f>(I29*I15)</f>
        <v/>
      </c>
      <c r="J48" s="14">
        <f>(J29*J15)</f>
        <v/>
      </c>
      <c r="K48" s="14">
        <f>(K29*K15)</f>
        <v/>
      </c>
      <c r="L48" s="14">
        <f>(L29*L15)</f>
        <v/>
      </c>
      <c r="M48" s="14">
        <f>(M29*M15)</f>
        <v/>
      </c>
      <c r="N48" s="14">
        <f>(N29*N15)</f>
        <v/>
      </c>
      <c r="O48" s="14">
        <f>(O29*O15)</f>
        <v/>
      </c>
      <c r="P48" s="14">
        <f>(P29*P15)</f>
        <v/>
      </c>
      <c r="Q48" s="14">
        <f>(Q29*Q15)</f>
        <v/>
      </c>
    </row>
    <row r="49">
      <c r="A49" t="inlineStr">
        <is>
          <t>Change in working capital</t>
        </is>
      </c>
      <c r="B49" t="inlineStr">
        <is>
          <t>delta_nwc</t>
        </is>
      </c>
      <c r="D49" s="13" t="n"/>
      <c r="E49" s="13" t="n">
        <v>881.3520046500007</v>
      </c>
      <c r="F49" s="13" t="n">
        <v>-210.5819999999994</v>
      </c>
      <c r="G49" s="13" t="n">
        <v>666.1289999999981</v>
      </c>
      <c r="H49" s="14">
        <f>(H54-G54)</f>
        <v/>
      </c>
      <c r="I49" s="14">
        <f>(I54-H54)</f>
        <v/>
      </c>
      <c r="J49" s="14">
        <f>(J54-I54)</f>
        <v/>
      </c>
      <c r="K49" s="14">
        <f>(K54-J54)</f>
        <v/>
      </c>
      <c r="L49" s="14">
        <f>(L54-K54)</f>
        <v/>
      </c>
      <c r="M49" s="14">
        <f>(M54-L54)</f>
        <v/>
      </c>
      <c r="N49" s="14">
        <f>(N54-M54)</f>
        <v/>
      </c>
      <c r="O49" s="14">
        <f>(O54-N54)</f>
        <v/>
      </c>
      <c r="P49" s="14">
        <f>(P54-O54)</f>
        <v/>
      </c>
      <c r="Q49" s="14">
        <f>(Q54-P54)</f>
        <v/>
      </c>
    </row>
    <row r="50">
      <c r="A50" t="inlineStr">
        <is>
          <t>Free cash flow to firm</t>
        </is>
      </c>
      <c r="B50" t="inlineStr">
        <is>
          <t>fcff</t>
        </is>
      </c>
      <c r="D50" s="13" t="n"/>
      <c r="E50" s="13" t="n">
        <v>-1140.535112193683</v>
      </c>
      <c r="F50" s="13" t="n">
        <v>191.1952951290518</v>
      </c>
      <c r="G50" s="13" t="n">
        <v>-1992.038537228782</v>
      </c>
      <c r="H50" s="14">
        <f>((((H33*(1-H17))+H34)-H48)-H49)</f>
        <v/>
      </c>
      <c r="I50" s="14">
        <f>((((I33*(1-I17))+I34)-I48)-I49)</f>
        <v/>
      </c>
      <c r="J50" s="14">
        <f>((((J33*(1-J17))+J34)-J48)-J49)</f>
        <v/>
      </c>
      <c r="K50" s="14">
        <f>((((K33*(1-K17))+K34)-K48)-K49)</f>
        <v/>
      </c>
      <c r="L50" s="14">
        <f>((((L33*(1-L17))+L34)-L48)-L49)</f>
        <v/>
      </c>
      <c r="M50" s="14">
        <f>((((M33*(1-M17))+M34)-M48)-M49)</f>
        <v/>
      </c>
      <c r="N50" s="14">
        <f>((((N33*(1-N17))+N34)-N48)-N49)</f>
        <v/>
      </c>
      <c r="O50" s="14">
        <f>((((O33*(1-O17))+O34)-O48)-O49)</f>
        <v/>
      </c>
      <c r="P50" s="14">
        <f>((((P33*(1-P17))+P34)-P48)-P49)</f>
        <v/>
      </c>
      <c r="Q50" s="14">
        <f>((((Q33*(1-Q17))+Q34)-Q48)-Q49)</f>
        <v/>
      </c>
    </row>
    <row r="51">
      <c r="A51" t="inlineStr">
        <is>
          <t>Net borrowing</t>
        </is>
      </c>
      <c r="B51" t="inlineStr">
        <is>
          <t>net_borrowing</t>
        </is>
      </c>
      <c r="D51" s="13" t="n"/>
      <c r="E51" s="13" t="n">
        <v>1923.258856070999</v>
      </c>
      <c r="F51" s="13" t="n">
        <v>632.0640000000021</v>
      </c>
      <c r="G51" s="13" t="n">
        <v>2854.645</v>
      </c>
      <c r="H51" s="14">
        <f>H20</f>
        <v/>
      </c>
      <c r="I51" s="14">
        <f>I20</f>
        <v/>
      </c>
      <c r="J51" s="14">
        <f>J20</f>
        <v/>
      </c>
      <c r="K51" s="14">
        <f>K20</f>
        <v/>
      </c>
      <c r="L51" s="14">
        <f>L20</f>
        <v/>
      </c>
      <c r="M51" s="14">
        <f>M20</f>
        <v/>
      </c>
      <c r="N51" s="14">
        <f>N20</f>
        <v/>
      </c>
      <c r="O51" s="14">
        <f>O20</f>
        <v/>
      </c>
      <c r="P51" s="14">
        <f>P20</f>
        <v/>
      </c>
      <c r="Q51" s="14">
        <f>Q20</f>
        <v/>
      </c>
    </row>
    <row r="52">
      <c r="A52" t="inlineStr">
        <is>
          <t>Dividends to minorities</t>
        </is>
      </c>
      <c r="B52" t="inlineStr">
        <is>
          <t>minority_div</t>
        </is>
      </c>
      <c r="D52" s="13" t="n"/>
      <c r="E52" s="13" t="n"/>
      <c r="F52" s="13" t="n"/>
      <c r="G52" s="13" t="n"/>
      <c r="H52" s="14">
        <f>(MAX(G42,0)*H23)</f>
        <v/>
      </c>
      <c r="I52" s="14">
        <f>(MAX(H42,0)*I23)</f>
        <v/>
      </c>
      <c r="J52" s="14">
        <f>(MAX(I42,0)*J23)</f>
        <v/>
      </c>
      <c r="K52" s="14">
        <f>(MAX(J42,0)*K23)</f>
        <v/>
      </c>
      <c r="L52" s="14">
        <f>(MAX(K42,0)*L23)</f>
        <v/>
      </c>
      <c r="M52" s="14">
        <f>(MAX(L42,0)*M23)</f>
        <v/>
      </c>
      <c r="N52" s="14">
        <f>(MAX(M42,0)*N23)</f>
        <v/>
      </c>
      <c r="O52" s="14">
        <f>(MAX(N42,0)*O23)</f>
        <v/>
      </c>
      <c r="P52" s="14">
        <f>(MAX(O42,0)*P23)</f>
        <v/>
      </c>
      <c r="Q52" s="14">
        <f>(MAX(P42,0)*Q23)</f>
        <v/>
      </c>
    </row>
    <row r="53">
      <c r="A53" t="inlineStr">
        <is>
          <t>Free cash flow to equity</t>
        </is>
      </c>
      <c r="B53" t="inlineStr">
        <is>
          <t>fcfe</t>
        </is>
      </c>
      <c r="D53" s="13" t="n"/>
      <c r="E53" s="13" t="n"/>
      <c r="F53" s="13" t="n"/>
      <c r="G53" s="13" t="n"/>
      <c r="H53" s="14">
        <f>(((((H41+H34)-H48)-H49)+H51)-H52)</f>
        <v/>
      </c>
      <c r="I53" s="14">
        <f>(((((I41+I34)-I48)-I49)+I51)-I52)</f>
        <v/>
      </c>
      <c r="J53" s="14">
        <f>(((((J41+J34)-J48)-J49)+J51)-J52)</f>
        <v/>
      </c>
      <c r="K53" s="14">
        <f>(((((K41+K34)-K48)-K49)+K51)-K52)</f>
        <v/>
      </c>
      <c r="L53" s="14">
        <f>(((((L41+L34)-L48)-L49)+L51)-L52)</f>
        <v/>
      </c>
      <c r="M53" s="14">
        <f>(((((M41+M34)-M48)-M49)+M51)-M52)</f>
        <v/>
      </c>
      <c r="N53" s="14">
        <f>(((((N41+N34)-N48)-N49)+N51)-N52)</f>
        <v/>
      </c>
      <c r="O53" s="14">
        <f>(((((O41+O34)-O48)-O49)+O51)-O52)</f>
        <v/>
      </c>
      <c r="P53" s="14">
        <f>(((((P41+P34)-P48)-P49)+P51)-P52)</f>
        <v/>
      </c>
      <c r="Q53" s="14">
        <f>(((((Q41+Q34)-Q48)-Q49)+Q51)-Q52)</f>
        <v/>
      </c>
    </row>
    <row r="54">
      <c r="A54" t="inlineStr">
        <is>
          <t>Operating working capital</t>
        </is>
      </c>
      <c r="B54" t="inlineStr">
        <is>
          <t>nwc</t>
        </is>
      </c>
      <c r="D54" s="13" t="n">
        <v>6498.15299535</v>
      </c>
      <c r="E54" s="13" t="n">
        <v>7379.505000000001</v>
      </c>
      <c r="F54" s="13" t="n">
        <v>7168.923000000002</v>
      </c>
      <c r="G54" s="13" t="n">
        <v>7835.052</v>
      </c>
      <c r="H54" s="14">
        <f>(H29*H16)</f>
        <v/>
      </c>
      <c r="I54" s="14">
        <f>(I29*I16)</f>
        <v/>
      </c>
      <c r="J54" s="14">
        <f>(J29*J16)</f>
        <v/>
      </c>
      <c r="K54" s="14">
        <f>(K29*K16)</f>
        <v/>
      </c>
      <c r="L54" s="14">
        <f>(L29*L16)</f>
        <v/>
      </c>
      <c r="M54" s="14">
        <f>(M29*M16)</f>
        <v/>
      </c>
      <c r="N54" s="14">
        <f>(N29*N16)</f>
        <v/>
      </c>
      <c r="O54" s="14">
        <f>(O29*O16)</f>
        <v/>
      </c>
      <c r="P54" s="14">
        <f>(P29*P16)</f>
        <v/>
      </c>
      <c r="Q54" s="14">
        <f>(Q29*Q16)</f>
        <v/>
      </c>
    </row>
    <row r="55">
      <c r="A55" t="inlineStr">
        <is>
          <t>Cash &amp; equivalents</t>
        </is>
      </c>
      <c r="B55" t="inlineStr">
        <is>
          <t>cash</t>
        </is>
      </c>
      <c r="D55" s="13" t="n">
        <v>2066.740880175</v>
      </c>
      <c r="E55" s="13" t="n">
        <v>1670.661</v>
      </c>
      <c r="F55" s="13" t="n">
        <v>2231.71</v>
      </c>
      <c r="G55" s="13" t="n">
        <v>2077.414</v>
      </c>
      <c r="H55" s="14">
        <f>(((((((G55+H41)+H34)-H48)-H49)+H51)-H47)-H52)</f>
        <v/>
      </c>
      <c r="I55" s="14">
        <f>(((((((H55+I41)+I34)-I48)-I49)+I51)-I47)-I52)</f>
        <v/>
      </c>
      <c r="J55" s="14">
        <f>(((((((I55+J41)+J34)-J48)-J49)+J51)-J47)-J52)</f>
        <v/>
      </c>
      <c r="K55" s="14">
        <f>(((((((J55+K41)+K34)-K48)-K49)+K51)-K47)-K52)</f>
        <v/>
      </c>
      <c r="L55" s="14">
        <f>(((((((K55+L41)+L34)-L48)-L49)+L51)-L47)-L52)</f>
        <v/>
      </c>
      <c r="M55" s="14">
        <f>(((((((L55+M41)+M34)-M48)-M49)+M51)-M47)-M52)</f>
        <v/>
      </c>
      <c r="N55" s="14">
        <f>(((((((M55+N41)+N34)-N48)-N49)+N51)-N47)-N52)</f>
        <v/>
      </c>
      <c r="O55" s="14">
        <f>(((((((N55+O41)+O34)-O48)-O49)+O51)-O47)-O52)</f>
        <v/>
      </c>
      <c r="P55" s="14">
        <f>(((((((O55+P41)+P34)-P48)-P49)+P51)-P47)-P52)</f>
        <v/>
      </c>
      <c r="Q55" s="14">
        <f>(((((((P55+Q41)+Q34)-Q48)-Q49)+Q51)-Q47)-Q52)</f>
        <v/>
      </c>
    </row>
    <row r="56">
      <c r="A56" t="inlineStr">
        <is>
          <t>Total debt</t>
        </is>
      </c>
      <c r="B56" t="inlineStr">
        <is>
          <t>debt</t>
        </is>
      </c>
      <c r="D56" s="13" t="n">
        <v>21159.536143929</v>
      </c>
      <c r="E56" s="13" t="n">
        <v>23082.795</v>
      </c>
      <c r="F56" s="13" t="n">
        <v>23714.859</v>
      </c>
      <c r="G56" s="13" t="n">
        <v>26569.504</v>
      </c>
      <c r="H56" s="14">
        <f>(G56+H51)</f>
        <v/>
      </c>
      <c r="I56" s="14">
        <f>(H56+I51)</f>
        <v/>
      </c>
      <c r="J56" s="14">
        <f>(I56+J51)</f>
        <v/>
      </c>
      <c r="K56" s="14">
        <f>(J56+K51)</f>
        <v/>
      </c>
      <c r="L56" s="14">
        <f>(K56+L51)</f>
        <v/>
      </c>
      <c r="M56" s="14">
        <f>(L56+M51)</f>
        <v/>
      </c>
      <c r="N56" s="14">
        <f>(M56+N51)</f>
        <v/>
      </c>
      <c r="O56" s="14">
        <f>(N56+O51)</f>
        <v/>
      </c>
      <c r="P56" s="14">
        <f>(O56+P51)</f>
        <v/>
      </c>
      <c r="Q56" s="14">
        <f>(P56+Q51)</f>
        <v/>
      </c>
    </row>
    <row r="57">
      <c r="A57" t="inlineStr">
        <is>
          <t>Fixed assets (net)</t>
        </is>
      </c>
      <c r="B57" t="inlineStr">
        <is>
          <t>ppe</t>
        </is>
      </c>
      <c r="D57" s="13" t="n">
        <v>9716.576462356999</v>
      </c>
      <c r="E57" s="13" t="n">
        <v>10048.888</v>
      </c>
      <c r="F57" s="13" t="n">
        <v>10197.513</v>
      </c>
      <c r="G57" s="13" t="n">
        <v>11079.765</v>
      </c>
      <c r="H57" s="14">
        <f>((G57+H48)-H34)</f>
        <v/>
      </c>
      <c r="I57" s="14">
        <f>((H57+I48)-I34)</f>
        <v/>
      </c>
      <c r="J57" s="14">
        <f>((I57+J48)-J34)</f>
        <v/>
      </c>
      <c r="K57" s="14">
        <f>((J57+K48)-K34)</f>
        <v/>
      </c>
      <c r="L57" s="14">
        <f>((K57+L48)-L34)</f>
        <v/>
      </c>
      <c r="M57" s="14">
        <f>((L57+M48)-M34)</f>
        <v/>
      </c>
      <c r="N57" s="14">
        <f>((M57+N48)-N34)</f>
        <v/>
      </c>
      <c r="O57" s="14">
        <f>((N57+O48)-O34)</f>
        <v/>
      </c>
      <c r="P57" s="14">
        <f>((O57+P48)-P34)</f>
        <v/>
      </c>
      <c r="Q57" s="14">
        <f>((P57+Q48)-Q34)</f>
        <v/>
      </c>
    </row>
    <row r="58">
      <c r="A58" t="inlineStr">
        <is>
          <t>Parent shareholders' equity</t>
        </is>
      </c>
      <c r="B58" t="inlineStr">
        <is>
          <t>equity</t>
        </is>
      </c>
      <c r="D58" s="13" t="n">
        <v>3901.71193176</v>
      </c>
      <c r="E58" s="13" t="n">
        <v>4342.553</v>
      </c>
      <c r="F58" s="13" t="n">
        <v>4521.338</v>
      </c>
      <c r="G58" s="13" t="n">
        <v>5001.59</v>
      </c>
      <c r="H58" s="14">
        <f>((G58+H43)-H47)</f>
        <v/>
      </c>
      <c r="I58" s="14">
        <f>((H58+I43)-I47)</f>
        <v/>
      </c>
      <c r="J58" s="14">
        <f>((I58+J43)-J47)</f>
        <v/>
      </c>
      <c r="K58" s="14">
        <f>((J58+K43)-K47)</f>
        <v/>
      </c>
      <c r="L58" s="14">
        <f>((K58+L43)-L47)</f>
        <v/>
      </c>
      <c r="M58" s="14">
        <f>((L58+M43)-M47)</f>
        <v/>
      </c>
      <c r="N58" s="14">
        <f>((M58+N43)-N47)</f>
        <v/>
      </c>
      <c r="O58" s="14">
        <f>((N58+O43)-O47)</f>
        <v/>
      </c>
      <c r="P58" s="14">
        <f>((O58+P43)-P47)</f>
        <v/>
      </c>
      <c r="Q58" s="14">
        <f>((P58+Q43)-Q47)</f>
        <v/>
      </c>
    </row>
    <row r="59">
      <c r="A59" t="inlineStr">
        <is>
          <t>Minority interest (balance sheet)</t>
        </is>
      </c>
      <c r="B59" t="inlineStr">
        <is>
          <t>minority_bs</t>
        </is>
      </c>
      <c r="D59" s="13" t="n">
        <v>521.319556014</v>
      </c>
      <c r="E59" s="13" t="n">
        <v>395.235</v>
      </c>
      <c r="F59" s="13" t="n">
        <v>175.594</v>
      </c>
      <c r="G59" s="13" t="n">
        <v>91.85299999999999</v>
      </c>
      <c r="H59" s="14">
        <f>((G59+H42)-H52)</f>
        <v/>
      </c>
      <c r="I59" s="14">
        <f>((H59+I42)-I52)</f>
        <v/>
      </c>
      <c r="J59" s="14">
        <f>((I59+J42)-J52)</f>
        <v/>
      </c>
      <c r="K59" s="14">
        <f>((J59+K42)-K52)</f>
        <v/>
      </c>
      <c r="L59" s="14">
        <f>((K59+L42)-L52)</f>
        <v/>
      </c>
      <c r="M59" s="14">
        <f>((L59+M42)-M52)</f>
        <v/>
      </c>
      <c r="N59" s="14">
        <f>((M59+N42)-N52)</f>
        <v/>
      </c>
      <c r="O59" s="14">
        <f>((N59+O42)-O52)</f>
        <v/>
      </c>
      <c r="P59" s="14">
        <f>((O59+P42)-P52)</f>
        <v/>
      </c>
      <c r="Q59" s="14">
        <f>((P59+Q42)-Q52)</f>
        <v/>
      </c>
    </row>
    <row r="60">
      <c r="A60" t="inlineStr">
        <is>
          <t>Other assets less other liabilities</t>
        </is>
      </c>
      <c r="B60" t="inlineStr">
        <is>
          <t>other_net</t>
        </is>
      </c>
      <c r="D60" s="13" t="n">
        <v>7301.097293821003</v>
      </c>
      <c r="E60" s="13" t="n">
        <v>8721.528999999997</v>
      </c>
      <c r="F60" s="13" t="n">
        <v>8813.644999999999</v>
      </c>
      <c r="G60" s="13" t="n">
        <v>10670.716</v>
      </c>
      <c r="H60" s="14">
        <f>G60</f>
        <v/>
      </c>
      <c r="I60" s="14">
        <f>H60</f>
        <v/>
      </c>
      <c r="J60" s="14">
        <f>I60</f>
        <v/>
      </c>
      <c r="K60" s="14">
        <f>J60</f>
        <v/>
      </c>
      <c r="L60" s="14">
        <f>K60</f>
        <v/>
      </c>
      <c r="M60" s="14">
        <f>L60</f>
        <v/>
      </c>
      <c r="N60" s="14">
        <f>M60</f>
        <v/>
      </c>
      <c r="O60" s="14">
        <f>N60</f>
        <v/>
      </c>
      <c r="P60" s="14">
        <f>O60</f>
        <v/>
      </c>
      <c r="Q60" s="14">
        <f>P60</f>
        <v/>
      </c>
    </row>
    <row r="61">
      <c r="A61" t="inlineStr">
        <is>
          <t>Balance check (should be zero)</t>
        </is>
      </c>
      <c r="B61" t="inlineStr">
        <is>
          <t>bs_check</t>
        </is>
      </c>
      <c r="D61" s="13" t="n"/>
      <c r="E61" s="13" t="n"/>
      <c r="F61" s="13" t="n"/>
      <c r="G61" s="13" t="n"/>
      <c r="H61" s="14">
        <f>((((((H55+H54)+H57)+H60)-H56)-H58)-H59)</f>
        <v/>
      </c>
      <c r="I61" s="14">
        <f>((((((I55+I54)+I57)+I60)-I56)-I58)-I59)</f>
        <v/>
      </c>
      <c r="J61" s="14">
        <f>((((((J55+J54)+J57)+J60)-J56)-J58)-J59)</f>
        <v/>
      </c>
      <c r="K61" s="14">
        <f>((((((K55+K54)+K57)+K60)-K56)-K58)-K59)</f>
        <v/>
      </c>
      <c r="L61" s="14">
        <f>((((((L55+L54)+L57)+L60)-L56)-L58)-L59)</f>
        <v/>
      </c>
      <c r="M61" s="14">
        <f>((((((M55+M54)+M57)+M60)-M56)-M58)-M59)</f>
        <v/>
      </c>
      <c r="N61" s="14">
        <f>((((((N55+N54)+N57)+N60)-N56)-N58)-N59)</f>
        <v/>
      </c>
      <c r="O61" s="14">
        <f>((((((O55+O54)+O57)+O60)-O56)-O58)-O59)</f>
        <v/>
      </c>
      <c r="P61" s="14">
        <f>((((((P55+P54)+P57)+P60)-P56)-P58)-P59)</f>
        <v/>
      </c>
      <c r="Q61" s="14">
        <f>((((((Q55+Q54)+Q57)+Q60)-Q56)-Q58)-Q59)</f>
        <v/>
      </c>
    </row>
    <row r="62">
      <c r="A62" t="inlineStr">
        <is>
          <t>Net debt (cash)</t>
        </is>
      </c>
      <c r="B62" t="inlineStr">
        <is>
          <t>net_debt</t>
        </is>
      </c>
      <c r="D62" s="13" t="n">
        <v>19092.795263754</v>
      </c>
      <c r="E62" s="13" t="n">
        <v>21412.134</v>
      </c>
      <c r="F62" s="13" t="n">
        <v>21483.149</v>
      </c>
      <c r="G62" s="13" t="n">
        <v>24492.09</v>
      </c>
      <c r="H62" s="14">
        <f>(H56-H55)</f>
        <v/>
      </c>
      <c r="I62" s="14">
        <f>(I56-I55)</f>
        <v/>
      </c>
      <c r="J62" s="14">
        <f>(J56-J55)</f>
        <v/>
      </c>
      <c r="K62" s="14">
        <f>(K56-K55)</f>
        <v/>
      </c>
      <c r="L62" s="14">
        <f>(L56-L55)</f>
        <v/>
      </c>
      <c r="M62" s="14">
        <f>(M56-M55)</f>
        <v/>
      </c>
      <c r="N62" s="14">
        <f>(N56-N55)</f>
        <v/>
      </c>
      <c r="O62" s="14">
        <f>(O56-O55)</f>
        <v/>
      </c>
      <c r="P62" s="14">
        <f>(P56-P55)</f>
        <v/>
      </c>
      <c r="Q62" s="14">
        <f>(Q56-Q55)</f>
        <v/>
      </c>
    </row>
    <row r="63">
      <c r="A63" t="inlineStr">
        <is>
          <t>Book value per share</t>
        </is>
      </c>
      <c r="B63" t="inlineStr">
        <is>
          <t>bvps</t>
        </is>
      </c>
      <c r="D63" s="15" t="n">
        <v>402.4422349058161</v>
      </c>
      <c r="E63" s="15" t="n">
        <v>447.9128047079144</v>
      </c>
      <c r="F63" s="15" t="n">
        <v>466.3535907592773</v>
      </c>
      <c r="G63" s="15" t="n">
        <v>461.00737262095</v>
      </c>
      <c r="H63" s="16">
        <f>(IF(H44=0,0,H58/H44)*$C$7)</f>
        <v/>
      </c>
      <c r="I63" s="16">
        <f>(IF(I44=0,0,I58/I44)*$C$7)</f>
        <v/>
      </c>
      <c r="J63" s="16">
        <f>(IF(J44=0,0,J58/J44)*$C$7)</f>
        <v/>
      </c>
      <c r="K63" s="16">
        <f>(IF(K44=0,0,K58/K44)*$C$7)</f>
        <v/>
      </c>
      <c r="L63" s="16">
        <f>(IF(L44=0,0,L58/L44)*$C$7)</f>
        <v/>
      </c>
      <c r="M63" s="16">
        <f>(IF(M44=0,0,M58/M44)*$C$7)</f>
        <v/>
      </c>
      <c r="N63" s="16">
        <f>(IF(N44=0,0,N58/N44)*$C$7)</f>
        <v/>
      </c>
      <c r="O63" s="16">
        <f>(IF(O44=0,0,O58/O44)*$C$7)</f>
        <v/>
      </c>
      <c r="P63" s="16">
        <f>(IF(P44=0,0,P58/P44)*$C$7)</f>
        <v/>
      </c>
      <c r="Q63" s="16">
        <f>(IF(Q44=0,0,Q58/Q44)*$C$7)</f>
        <v/>
      </c>
    </row>
    <row r="64">
      <c r="A64" t="inlineStr">
        <is>
          <t>Revenue growth</t>
        </is>
      </c>
      <c r="B64" t="inlineStr">
        <is>
          <t>revenue_growth</t>
        </is>
      </c>
      <c r="D64" s="4" t="n"/>
      <c r="E64" s="4" t="n">
        <v>0.0681670244728243</v>
      </c>
      <c r="F64" s="4" t="n">
        <v>0.04863020090335013</v>
      </c>
      <c r="G64" s="4" t="n">
        <v>0.07033100852225149</v>
      </c>
      <c r="H64" s="17">
        <f>(IF(G29=0,0,H29/G29)-1)</f>
        <v/>
      </c>
      <c r="I64" s="17">
        <f>(IF(H29=0,0,I29/H29)-1)</f>
        <v/>
      </c>
      <c r="J64" s="17">
        <f>(IF(I29=0,0,J29/I29)-1)</f>
        <v/>
      </c>
      <c r="K64" s="17">
        <f>(IF(J29=0,0,K29/J29)-1)</f>
        <v/>
      </c>
      <c r="L64" s="17">
        <f>(IF(K29=0,0,L29/K29)-1)</f>
        <v/>
      </c>
      <c r="M64" s="17">
        <f>(IF(L29=0,0,M29/L29)-1)</f>
        <v/>
      </c>
      <c r="N64" s="17">
        <f>(IF(M29=0,0,N29/M29)-1)</f>
        <v/>
      </c>
      <c r="O64" s="17">
        <f>(IF(N29=0,0,O29/N29)-1)</f>
        <v/>
      </c>
      <c r="P64" s="17">
        <f>(IF(O29=0,0,P29/O29)-1)</f>
        <v/>
      </c>
      <c r="Q64" s="17">
        <f>(IF(P29=0,0,Q29/P29)-1)</f>
        <v/>
      </c>
    </row>
    <row r="65">
      <c r="A65" t="inlineStr">
        <is>
          <t>Gross margin</t>
        </is>
      </c>
      <c r="B65" t="inlineStr">
        <is>
          <t>gross_margin</t>
        </is>
      </c>
      <c r="D65" s="4" t="n">
        <v>0.4124307498090122</v>
      </c>
      <c r="E65" s="4" t="n">
        <v>0.4093090735257798</v>
      </c>
      <c r="F65" s="4" t="n">
        <v>0.3891266408104899</v>
      </c>
      <c r="G65" s="4" t="n">
        <v>0.37927939171343</v>
      </c>
      <c r="H65" s="17">
        <f>IF(H29=0,0,H31/H29)</f>
        <v/>
      </c>
      <c r="I65" s="17">
        <f>IF(I29=0,0,I31/I29)</f>
        <v/>
      </c>
      <c r="J65" s="17">
        <f>IF(J29=0,0,J31/J29)</f>
        <v/>
      </c>
      <c r="K65" s="17">
        <f>IF(K29=0,0,K31/K29)</f>
        <v/>
      </c>
      <c r="L65" s="17">
        <f>IF(L29=0,0,L31/L29)</f>
        <v/>
      </c>
      <c r="M65" s="17">
        <f>IF(M29=0,0,M31/M29)</f>
        <v/>
      </c>
      <c r="N65" s="17">
        <f>IF(N29=0,0,N31/N29)</f>
        <v/>
      </c>
      <c r="O65" s="17">
        <f>IF(O29=0,0,O31/O29)</f>
        <v/>
      </c>
      <c r="P65" s="17">
        <f>IF(P29=0,0,P31/P29)</f>
        <v/>
      </c>
      <c r="Q65" s="17">
        <f>IF(Q29=0,0,Q31/Q29)</f>
        <v/>
      </c>
    </row>
    <row r="66">
      <c r="A66" t="inlineStr">
        <is>
          <t>EBITDA margin</t>
        </is>
      </c>
      <c r="B66" t="inlineStr">
        <is>
          <t>ebitda_margin</t>
        </is>
      </c>
      <c r="D66" s="4" t="n">
        <v>0.1983929405815301</v>
      </c>
      <c r="E66" s="4" t="n">
        <v>0.3088781575397493</v>
      </c>
      <c r="F66" s="4" t="n">
        <v>0.3414058801186377</v>
      </c>
      <c r="G66" s="4" t="n">
        <v>0.3258864738240964</v>
      </c>
      <c r="H66" s="17">
        <f>IF(H29=0,0,H35/H29)</f>
        <v/>
      </c>
      <c r="I66" s="17">
        <f>IF(I29=0,0,I35/I29)</f>
        <v/>
      </c>
      <c r="J66" s="17">
        <f>IF(J29=0,0,J35/J29)</f>
        <v/>
      </c>
      <c r="K66" s="17">
        <f>IF(K29=0,0,K35/K29)</f>
        <v/>
      </c>
      <c r="L66" s="17">
        <f>IF(L29=0,0,L35/L29)</f>
        <v/>
      </c>
      <c r="M66" s="17">
        <f>IF(M29=0,0,M35/M29)</f>
        <v/>
      </c>
      <c r="N66" s="17">
        <f>IF(N29=0,0,N35/N29)</f>
        <v/>
      </c>
      <c r="O66" s="17">
        <f>IF(O29=0,0,O35/O29)</f>
        <v/>
      </c>
      <c r="P66" s="17">
        <f>IF(P29=0,0,P35/P29)</f>
        <v/>
      </c>
      <c r="Q66" s="17">
        <f>IF(Q29=0,0,Q35/Q29)</f>
        <v/>
      </c>
    </row>
    <row r="67">
      <c r="A67" t="inlineStr">
        <is>
          <t>EBIT margin</t>
        </is>
      </c>
      <c r="B67" t="inlineStr">
        <is>
          <t>ebit_margin</t>
        </is>
      </c>
      <c r="D67" s="4" t="n">
        <v>0.1807552072193688</v>
      </c>
      <c r="E67" s="4" t="n">
        <v>0.1664630529944597</v>
      </c>
      <c r="F67" s="4" t="n">
        <v>0.1918108827208449</v>
      </c>
      <c r="G67" s="4" t="n">
        <v>0.1676383468898397</v>
      </c>
      <c r="H67" s="17">
        <f>IF(H29=0,0,H33/H29)</f>
        <v/>
      </c>
      <c r="I67" s="17">
        <f>IF(I29=0,0,I33/I29)</f>
        <v/>
      </c>
      <c r="J67" s="17">
        <f>IF(J29=0,0,J33/J29)</f>
        <v/>
      </c>
      <c r="K67" s="17">
        <f>IF(K29=0,0,K33/K29)</f>
        <v/>
      </c>
      <c r="L67" s="17">
        <f>IF(L29=0,0,L33/L29)</f>
        <v/>
      </c>
      <c r="M67" s="17">
        <f>IF(M29=0,0,M33/M29)</f>
        <v/>
      </c>
      <c r="N67" s="17">
        <f>IF(N29=0,0,N33/N29)</f>
        <v/>
      </c>
      <c r="O67" s="17">
        <f>IF(O29=0,0,O33/O29)</f>
        <v/>
      </c>
      <c r="P67" s="17">
        <f>IF(P29=0,0,P33/P29)</f>
        <v/>
      </c>
      <c r="Q67" s="17">
        <f>IF(Q29=0,0,Q33/Q29)</f>
        <v/>
      </c>
    </row>
    <row r="68">
      <c r="A68" t="inlineStr">
        <is>
          <t>Net margin</t>
        </is>
      </c>
      <c r="B68" t="inlineStr">
        <is>
          <t>np_margin</t>
        </is>
      </c>
      <c r="D68" s="4" t="n">
        <v>0.03005106426253482</v>
      </c>
      <c r="E68" s="4" t="n">
        <v>0.05230533553185657</v>
      </c>
      <c r="F68" s="4" t="n">
        <v>0.02410737263662142</v>
      </c>
      <c r="G68" s="4" t="n">
        <v>0.0033145104861259</v>
      </c>
      <c r="H68" s="17">
        <f>IF(H29=0,0,H43/H29)</f>
        <v/>
      </c>
      <c r="I68" s="17">
        <f>IF(I29=0,0,I43/I29)</f>
        <v/>
      </c>
      <c r="J68" s="17">
        <f>IF(J29=0,0,J43/J29)</f>
        <v/>
      </c>
      <c r="K68" s="17">
        <f>IF(K29=0,0,K43/K29)</f>
        <v/>
      </c>
      <c r="L68" s="17">
        <f>IF(L29=0,0,L43/L29)</f>
        <v/>
      </c>
      <c r="M68" s="17">
        <f>IF(M29=0,0,M43/M29)</f>
        <v/>
      </c>
      <c r="N68" s="17">
        <f>IF(N29=0,0,N43/N29)</f>
        <v/>
      </c>
      <c r="O68" s="17">
        <f>IF(O29=0,0,O43/O29)</f>
        <v/>
      </c>
      <c r="P68" s="17">
        <f>IF(P29=0,0,P43/P29)</f>
        <v/>
      </c>
      <c r="Q68" s="17">
        <f>IF(Q29=0,0,Q43/Q29)</f>
        <v/>
      </c>
    </row>
    <row r="69">
      <c r="A69" t="inlineStr">
        <is>
          <t>EPS growth</t>
        </is>
      </c>
      <c r="B69" t="inlineStr">
        <is>
          <t>eps_growth</t>
        </is>
      </c>
      <c r="D69" s="4" t="n"/>
      <c r="E69" s="4" t="n">
        <v>0.8591965373010451</v>
      </c>
      <c r="F69" s="4" t="n">
        <v>-0.5166894781547546</v>
      </c>
      <c r="G69" s="4" t="n">
        <v>-0.8684959717695776</v>
      </c>
      <c r="H69" s="17">
        <f>(IF(G45=0,0,H45/G45)-1)</f>
        <v/>
      </c>
      <c r="I69" s="17">
        <f>(IF(H45=0,0,I45/H45)-1)</f>
        <v/>
      </c>
      <c r="J69" s="17">
        <f>(IF(I45=0,0,J45/I45)-1)</f>
        <v/>
      </c>
      <c r="K69" s="17">
        <f>(IF(J45=0,0,K45/J45)-1)</f>
        <v/>
      </c>
      <c r="L69" s="17">
        <f>(IF(K45=0,0,L45/K45)-1)</f>
        <v/>
      </c>
      <c r="M69" s="17">
        <f>(IF(L45=0,0,M45/L45)-1)</f>
        <v/>
      </c>
      <c r="N69" s="17">
        <f>(IF(M45=0,0,N45/M45)-1)</f>
        <v/>
      </c>
      <c r="O69" s="17">
        <f>(IF(N45=0,0,O45/N45)-1)</f>
        <v/>
      </c>
      <c r="P69" s="17">
        <f>(IF(O45=0,0,P45/O45)-1)</f>
        <v/>
      </c>
      <c r="Q69" s="17">
        <f>(IF(P45=0,0,Q45/P45)-1)</f>
        <v/>
      </c>
    </row>
    <row r="70">
      <c r="A70" t="inlineStr">
        <is>
          <t>ROE</t>
        </is>
      </c>
      <c r="B70" t="inlineStr">
        <is>
          <t>roe</t>
        </is>
      </c>
      <c r="D70" s="4" t="n"/>
      <c r="E70" s="4" t="n">
        <v>0.06540328391471163</v>
      </c>
      <c r="F70" s="4" t="n">
        <v>0.02940040666113787</v>
      </c>
      <c r="G70" s="4" t="n">
        <v>0.004027122750481785</v>
      </c>
      <c r="H70" s="17">
        <f>IF(IF(2=0,0,(H58+G58)/2)=0,0,H43/IF(2=0,0,(H58+G58)/2))</f>
        <v/>
      </c>
      <c r="I70" s="17">
        <f>IF(IF(2=0,0,(I58+H58)/2)=0,0,I43/IF(2=0,0,(I58+H58)/2))</f>
        <v/>
      </c>
      <c r="J70" s="17">
        <f>IF(IF(2=0,0,(J58+I58)/2)=0,0,J43/IF(2=0,0,(J58+I58)/2))</f>
        <v/>
      </c>
      <c r="K70" s="17">
        <f>IF(IF(2=0,0,(K58+J58)/2)=0,0,K43/IF(2=0,0,(K58+J58)/2))</f>
        <v/>
      </c>
      <c r="L70" s="17">
        <f>IF(IF(2=0,0,(L58+K58)/2)=0,0,L43/IF(2=0,0,(L58+K58)/2))</f>
        <v/>
      </c>
      <c r="M70" s="17">
        <f>IF(IF(2=0,0,(M58+L58)/2)=0,0,M43/IF(2=0,0,(M58+L58)/2))</f>
        <v/>
      </c>
      <c r="N70" s="17">
        <f>IF(IF(2=0,0,(N58+M58)/2)=0,0,N43/IF(2=0,0,(N58+M58)/2))</f>
        <v/>
      </c>
      <c r="O70" s="17">
        <f>IF(IF(2=0,0,(O58+N58)/2)=0,0,O43/IF(2=0,0,(O58+N58)/2))</f>
        <v/>
      </c>
      <c r="P70" s="17">
        <f>IF(IF(2=0,0,(P58+O58)/2)=0,0,P43/IF(2=0,0,(P58+O58)/2))</f>
        <v/>
      </c>
      <c r="Q70" s="17">
        <f>IF(IF(2=0,0,(Q58+P58)/2)=0,0,Q43/IF(2=0,0,(Q58+P58)/2))</f>
        <v/>
      </c>
    </row>
    <row r="71">
      <c r="A71" t="inlineStr">
        <is>
          <t>Net debt / EBITDA</t>
        </is>
      </c>
      <c r="B71" t="inlineStr">
        <is>
          <t>net_debt_ebitda</t>
        </is>
      </c>
      <c r="D71" s="18" t="n">
        <v>19.94375641702387</v>
      </c>
      <c r="E71" s="18" t="n">
        <v>13.44922465818129</v>
      </c>
      <c r="F71" s="18" t="n">
        <v>11.64203970285719</v>
      </c>
      <c r="G71" s="18" t="n">
        <v>12.99102852159965</v>
      </c>
      <c r="H71" s="19">
        <f>IF(H35=0,0,H62/H35)</f>
        <v/>
      </c>
      <c r="I71" s="19">
        <f>IF(I35=0,0,I62/I35)</f>
        <v/>
      </c>
      <c r="J71" s="19">
        <f>IF(J35=0,0,J62/J35)</f>
        <v/>
      </c>
      <c r="K71" s="19">
        <f>IF(K35=0,0,K62/K35)</f>
        <v/>
      </c>
      <c r="L71" s="19">
        <f>IF(L35=0,0,L62/L35)</f>
        <v/>
      </c>
      <c r="M71" s="19">
        <f>IF(M35=0,0,M62/M35)</f>
        <v/>
      </c>
      <c r="N71" s="19">
        <f>IF(N35=0,0,N62/N35)</f>
        <v/>
      </c>
      <c r="O71" s="19">
        <f>IF(O35=0,0,O62/O35)</f>
        <v/>
      </c>
      <c r="P71" s="19">
        <f>IF(P35=0,0,P62/P35)</f>
        <v/>
      </c>
      <c r="Q71" s="19">
        <f>IF(Q35=0,0,Q62/Q35)</f>
        <v/>
      </c>
    </row>
    <row r="72">
      <c r="A72" t="inlineStr">
        <is>
          <t>Payout ratio</t>
        </is>
      </c>
      <c r="B72" t="inlineStr">
        <is>
          <t>payout_ratio</t>
        </is>
      </c>
      <c r="D72" s="4" t="n">
        <v>0.02984053920497425</v>
      </c>
      <c r="E72" s="4" t="n">
        <v>0.0240753687620348</v>
      </c>
      <c r="F72" s="4" t="n">
        <v>0.02324630060942789</v>
      </c>
      <c r="G72" s="4" t="n">
        <v>0.1980308670143416</v>
      </c>
      <c r="H72" s="17">
        <f>IF(H45=0,0,H46/H45)</f>
        <v/>
      </c>
      <c r="I72" s="17">
        <f>IF(I45=0,0,I46/I45)</f>
        <v/>
      </c>
      <c r="J72" s="17">
        <f>IF(J45=0,0,J46/J45)</f>
        <v/>
      </c>
      <c r="K72" s="17">
        <f>IF(K45=0,0,K46/K45)</f>
        <v/>
      </c>
      <c r="L72" s="17">
        <f>IF(L45=0,0,L46/L45)</f>
        <v/>
      </c>
      <c r="M72" s="17">
        <f>IF(M45=0,0,M46/M45)</f>
        <v/>
      </c>
      <c r="N72" s="17">
        <f>IF(N45=0,0,N46/N45)</f>
        <v/>
      </c>
      <c r="O72" s="17">
        <f>IF(O45=0,0,O46/O45)</f>
        <v/>
      </c>
      <c r="P72" s="17">
        <f>IF(P45=0,0,P46/P45)</f>
        <v/>
      </c>
      <c r="Q72" s="17">
        <f>IF(Q45=0,0,Q46/Q45)</f>
        <v/>
      </c>
    </row>
    <row r="73">
      <c r="A73" t="inlineStr">
        <is>
          <t>Capex / revenue</t>
        </is>
      </c>
      <c r="B73" t="inlineStr">
        <is>
          <t>capex_revenue</t>
        </is>
      </c>
      <c r="D73" s="4" t="n">
        <v>0.2842802536324632</v>
      </c>
      <c r="E73" s="4" t="n">
        <v>0.3262653488719958</v>
      </c>
      <c r="F73" s="4" t="n">
        <v>0.2622778757626927</v>
      </c>
      <c r="G73" s="4" t="n">
        <v>0.4083461361882663</v>
      </c>
      <c r="H73" s="17">
        <f>IF(H29=0,0,H48/H29)</f>
        <v/>
      </c>
      <c r="I73" s="17">
        <f>IF(I29=0,0,I48/I29)</f>
        <v/>
      </c>
      <c r="J73" s="17">
        <f>IF(J29=0,0,J48/J29)</f>
        <v/>
      </c>
      <c r="K73" s="17">
        <f>IF(K29=0,0,K48/K29)</f>
        <v/>
      </c>
      <c r="L73" s="17">
        <f>IF(L29=0,0,L48/L29)</f>
        <v/>
      </c>
      <c r="M73" s="17">
        <f>IF(M29=0,0,M48/M29)</f>
        <v/>
      </c>
      <c r="N73" s="17">
        <f>IF(N29=0,0,N48/N29)</f>
        <v/>
      </c>
      <c r="O73" s="17">
        <f>IF(O29=0,0,O48/O29)</f>
        <v/>
      </c>
      <c r="P73" s="17">
        <f>IF(P29=0,0,P48/P29)</f>
        <v/>
      </c>
      <c r="Q73" s="17">
        <f>IF(Q29=0,0,Q48/Q29)</f>
        <v/>
      </c>
    </row>
    <row r="75">
      <c r="A75" s="1" t="inlineStr">
        <is>
          <t>VALUATION</t>
        </is>
      </c>
    </row>
    <row r="76">
      <c r="A76" t="inlineStr">
        <is>
          <t>Last price (IDR)</t>
        </is>
      </c>
      <c r="C76" s="15" t="n">
        <v>150</v>
      </c>
    </row>
    <row r="77">
      <c r="A77" t="inlineStr">
        <is>
          <t>Shares outstanding (m)</t>
        </is>
      </c>
      <c r="C77" s="13" t="n">
        <v>10849.2625</v>
      </c>
    </row>
    <row r="78">
      <c r="A78" t="inlineStr">
        <is>
          <t>IDR per USD (spot)</t>
        </is>
      </c>
      <c r="C78" s="3" t="n">
        <v>18183</v>
      </c>
    </row>
    <row r="79">
      <c r="A79" t="inlineStr">
        <is>
          <t>Debt at balance-sheet date</t>
        </is>
      </c>
      <c r="C79" s="13" t="n">
        <v>26948.708</v>
      </c>
    </row>
    <row r="80">
      <c r="A80" t="inlineStr">
        <is>
          <t>Cash at balance-sheet date</t>
        </is>
      </c>
      <c r="C80" s="13" t="n">
        <v>1551.543</v>
      </c>
    </row>
    <row r="81">
      <c r="A81" t="inlineStr">
        <is>
          <t>Minority interest (book)</t>
        </is>
      </c>
      <c r="C81" s="13" t="n">
        <v>43.254</v>
      </c>
    </row>
    <row r="82">
      <c r="A82" t="inlineStr">
        <is>
          <t>Associates &amp; investments (book)</t>
        </is>
      </c>
      <c r="C82" s="13" t="n">
        <v>628.606</v>
      </c>
    </row>
    <row r="83">
      <c r="A83" t="inlineStr">
        <is>
          <t>Post-balance-sheet &amp; other items (sourced, probability-weighted)</t>
        </is>
      </c>
      <c r="C83" s="13" t="n">
        <v>0</v>
      </c>
    </row>
    <row r="84">
      <c r="A84" t="inlineStr">
        <is>
          <t>Parent equity at balance-sheet date</t>
        </is>
      </c>
      <c r="C84" s="13" t="n">
        <v>5501.129</v>
      </c>
    </row>
    <row r="85">
      <c r="A85" t="inlineStr">
        <is>
          <t>Per-share factor</t>
        </is>
      </c>
      <c r="C85" s="20" t="n">
        <v>1000</v>
      </c>
    </row>
    <row r="86">
      <c r="A86" t="inlineStr">
        <is>
          <t>Risk-free rate</t>
        </is>
      </c>
      <c r="C86" s="8">
        <f>Drivers!$C$7</f>
        <v/>
      </c>
    </row>
    <row r="87">
      <c r="A87" t="inlineStr">
        <is>
          <t>Less: default spread (IDR only)</t>
        </is>
      </c>
      <c r="C87" s="8">
        <f>Drivers!$C$9</f>
        <v/>
      </c>
    </row>
    <row r="88">
      <c r="A88" t="inlineStr">
        <is>
          <t>Mature ERP + Indonesia CRP</t>
        </is>
      </c>
      <c r="C88" s="8">
        <f>Drivers!$C$10+Drivers!$C$11</f>
        <v/>
      </c>
    </row>
    <row r="89">
      <c r="A89" t="inlineStr">
        <is>
          <t>Tax rate</t>
        </is>
      </c>
      <c r="C89" s="8">
        <f>Drivers!$C$13</f>
        <v/>
      </c>
    </row>
    <row r="90">
      <c r="A90" t="inlineStr">
        <is>
          <t>Unlevered beta (industry default (config))</t>
        </is>
      </c>
      <c r="C90" s="21" t="n">
        <v>0.9</v>
      </c>
    </row>
    <row r="91">
      <c r="A91" t="inlineStr">
        <is>
          <t>Debt / equity (market)</t>
        </is>
      </c>
      <c r="C91" s="21" t="n">
        <v>2</v>
      </c>
    </row>
    <row r="92">
      <c r="A92" t="inlineStr">
        <is>
          <t>Levered beta</t>
        </is>
      </c>
      <c r="C92" s="22">
        <f>$C$90*(1+(1-$C$89)*$C$91)</f>
        <v/>
      </c>
    </row>
    <row r="93">
      <c r="A93" t="inlineStr">
        <is>
          <t>Explicit company premium</t>
        </is>
      </c>
      <c r="C93" s="4" t="n">
        <v>0</v>
      </c>
    </row>
    <row r="94">
      <c r="A94" t="inlineStr">
        <is>
          <t>Cost of equity</t>
        </is>
      </c>
      <c r="C94" s="10">
        <f>$C$86-$C$87+$C$92*$C$88+$C$93</f>
        <v/>
      </c>
    </row>
    <row r="95">
      <c r="A95" t="inlineStr">
        <is>
          <t>Pre-tax cost of debt</t>
        </is>
      </c>
      <c r="C95" s="10">
        <f>$C$86+Drivers!$C$12</f>
        <v/>
      </c>
    </row>
    <row r="96">
      <c r="A96" t="inlineStr">
        <is>
          <t>WACC</t>
        </is>
      </c>
      <c r="C96" s="10">
        <f>1/(1+$C$91)*$C$94+$C$91/(1+$C$91)*$C$95*(1-$C$89)</f>
        <v/>
      </c>
    </row>
    <row r="97">
      <c r="A97" t="inlineStr">
        <is>
          <t>Terminal growth (capped)</t>
        </is>
      </c>
      <c r="C97" s="4" t="n">
        <v>0.04</v>
      </c>
    </row>
    <row r="99">
      <c r="A99" s="1" t="inlineStr">
        <is>
          <t>Sum of the parts</t>
        </is>
      </c>
    </row>
    <row r="100">
      <c r="A100" t="inlineStr">
        <is>
          <t>Value per share (IDR) — Sum of the parts (engine value)</t>
        </is>
      </c>
      <c r="C100" s="15" t="n">
        <v>159.72765</v>
      </c>
    </row>
    <row r="102">
      <c r="A102" s="1" t="inlineStr">
        <is>
          <t>P/E</t>
        </is>
      </c>
    </row>
    <row r="103">
      <c r="A103" t="inlineStr">
        <is>
          <t>Target multiple (own five-year average)</t>
        </is>
      </c>
      <c r="C103" s="18" t="n">
        <v>15.122018</v>
      </c>
    </row>
    <row r="104">
      <c r="A104" t="inlineStr">
        <is>
          <t>Metric (LTM, or next-12m DPS for yield)</t>
        </is>
      </c>
      <c r="C104" s="13" t="n">
        <v>19.175</v>
      </c>
    </row>
    <row r="105">
      <c r="A105" t="inlineStr">
        <is>
          <t>Value per share (IDR) — P/E</t>
        </is>
      </c>
      <c r="C105" s="23">
        <f>MAX(0,$C$103*$C$104/$C$77*$C$85*1)</f>
        <v/>
      </c>
    </row>
    <row r="107">
      <c r="A107" s="1" t="inlineStr">
        <is>
          <t>TARGET</t>
        </is>
      </c>
    </row>
    <row r="108">
      <c r="A108" t="inlineStr">
        <is>
          <t>Weight: Sum of the parts</t>
        </is>
      </c>
      <c r="C108" s="4" t="n">
        <v>0.75</v>
      </c>
    </row>
    <row r="109">
      <c r="A109" t="inlineStr">
        <is>
          <t>Weight: P/E</t>
        </is>
      </c>
      <c r="C109" s="4" t="n">
        <v>0.25</v>
      </c>
    </row>
    <row r="110">
      <c r="A110" t="inlineStr">
        <is>
          <t>Value today (weighted)</t>
        </is>
      </c>
      <c r="C110" s="23">
        <f>$C$100*$C$108+$C$105*$C$109</f>
        <v/>
      </c>
    </row>
    <row r="111">
      <c r="A111" t="inlineStr">
        <is>
          <t>DPS expected in next 12 months (IDR)</t>
        </is>
      </c>
      <c r="C111" s="15" t="n">
        <v>0.3500008238023672</v>
      </c>
    </row>
    <row r="112">
      <c r="A112" t="inlineStr">
        <is>
          <t>Base-case 12-month value</t>
        </is>
      </c>
      <c r="C112" s="23">
        <f>MAX(0,$C$110*(1+$C$94)-$C$111)</f>
        <v/>
      </c>
    </row>
    <row r="113">
      <c r="A113" t="inlineStr">
        <is>
          <t>Bear probability</t>
        </is>
      </c>
      <c r="C113" s="4" t="n">
        <v>0.25</v>
      </c>
    </row>
    <row r="114">
      <c r="A114" t="inlineStr">
        <is>
          <t>Bear 12-month value (engine)</t>
        </is>
      </c>
      <c r="C114" s="15" t="n">
        <v>116.8834109543646</v>
      </c>
    </row>
    <row r="115">
      <c r="A115" t="inlineStr">
        <is>
          <t>Base probability</t>
        </is>
      </c>
      <c r="C115" s="4" t="n">
        <v>0.5</v>
      </c>
    </row>
    <row r="116">
      <c r="A116" t="inlineStr">
        <is>
          <t>Bull probability</t>
        </is>
      </c>
      <c r="C116" s="4" t="n">
        <v>0.25</v>
      </c>
    </row>
    <row r="117">
      <c r="A117" t="inlineStr">
        <is>
          <t>Bull 12-month value (engine)</t>
        </is>
      </c>
      <c r="C117" s="15" t="n">
        <v>189.1000910954115</v>
      </c>
    </row>
    <row r="118">
      <c r="A118" t="inlineStr">
        <is>
          <t>Probability-weighted 12-month value</t>
        </is>
      </c>
      <c r="C118" s="23">
        <f>$C$113*$C$114+$C$115*$C$112+$C$116*$C$117</f>
        <v/>
      </c>
    </row>
    <row r="119">
      <c r="A119" t="inlineStr">
        <is>
          <t>Liquidity discount (limits.yaml)</t>
        </is>
      </c>
      <c r="C119" s="4" t="n">
        <v>0.1</v>
      </c>
    </row>
    <row r="120">
      <c r="A120" t="inlineStr">
        <is>
          <t>TARGET PRICE (IDR)</t>
        </is>
      </c>
      <c r="C120" s="24">
        <f>$C$118*(1-$C$119)</f>
        <v/>
      </c>
    </row>
    <row r="121">
      <c r="A121" t="inlineStr">
        <is>
          <t>Expected 12-month total return</t>
        </is>
      </c>
      <c r="C121" s="25">
        <f>($C$120+$C$111)/$C$76-1</f>
        <v/>
      </c>
    </row>
    <row r="122">
      <c r="A122" t="inlineStr">
        <is>
          <t>Rating</t>
        </is>
      </c>
      <c r="C122" s="26">
        <f>IF($C$121&gt;=0.25,"BUY",IF($C$121&gt;=0.1,"ADD",IF($C$121&lt;=-0.25,"SELL",IF($C$121&lt;=-0.1,"REDUCE","HOLD"))))</f>
        <v/>
      </c>
    </row>
    <row r="124">
      <c r="A124" s="1" t="inlineStr">
        <is>
          <t>12-month value vs holding-company discount and cost of equity (engine values)</t>
        </is>
      </c>
    </row>
    <row r="125">
      <c r="A125" s="5" t="inlineStr">
        <is>
          <t>rows: Cost of equity (+/- pp) · columns: Holdco discount (+/- pp)</t>
        </is>
      </c>
      <c r="D125" s="1" t="n">
        <v>-0.1</v>
      </c>
      <c r="E125" s="1" t="n">
        <v>-0.05</v>
      </c>
      <c r="F125" s="1" t="n">
        <v>0</v>
      </c>
      <c r="G125" s="1" t="n">
        <v>0.05</v>
      </c>
      <c r="H125" s="1" t="n">
        <v>0.1</v>
      </c>
    </row>
    <row r="126">
      <c r="C126" s="1" t="n">
        <v>-0.01</v>
      </c>
      <c r="D126" s="23" t="n">
        <v>187.742912</v>
      </c>
      <c r="E126" s="23" t="n">
        <v>169.73705</v>
      </c>
      <c r="F126" s="23" t="n">
        <v>151.731187</v>
      </c>
      <c r="G126" s="23" t="n">
        <v>133.725325</v>
      </c>
      <c r="H126" s="23" t="n">
        <v>115.719463</v>
      </c>
    </row>
    <row r="127">
      <c r="C127" s="1" t="n">
        <v>-0.005</v>
      </c>
      <c r="D127" s="23" t="n">
        <v>188.525044</v>
      </c>
      <c r="E127" s="23" t="n">
        <v>170.444309</v>
      </c>
      <c r="F127" s="23" t="n">
        <v>152.363574</v>
      </c>
      <c r="G127" s="23" t="n">
        <v>134.28284</v>
      </c>
      <c r="H127" s="23" t="n">
        <v>116.202105</v>
      </c>
    </row>
    <row r="128">
      <c r="C128" s="1" t="n">
        <v>0</v>
      </c>
      <c r="D128" s="23" t="n">
        <v>189.307176</v>
      </c>
      <c r="E128" s="23" t="n">
        <v>171.151569</v>
      </c>
      <c r="F128" s="23" t="n">
        <v>152.995961</v>
      </c>
      <c r="G128" s="23" t="n">
        <v>134.840354</v>
      </c>
      <c r="H128" s="23" t="n">
        <v>116.684747</v>
      </c>
    </row>
    <row r="129">
      <c r="C129" s="1" t="n">
        <v>0.005</v>
      </c>
      <c r="D129" s="23" t="n">
        <v>190.089307</v>
      </c>
      <c r="E129" s="23" t="n">
        <v>171.858828</v>
      </c>
      <c r="F129" s="23" t="n">
        <v>153.628349</v>
      </c>
      <c r="G129" s="23" t="n">
        <v>135.397869</v>
      </c>
      <c r="H129" s="23" t="n">
        <v>117.16739</v>
      </c>
    </row>
    <row r="130">
      <c r="C130" s="1" t="n">
        <v>0.01</v>
      </c>
      <c r="D130" s="23" t="n">
        <v>190.871439</v>
      </c>
      <c r="E130" s="23" t="n">
        <v>172.566087</v>
      </c>
      <c r="F130" s="23" t="n">
        <v>154.260736</v>
      </c>
      <c r="G130" s="23" t="n">
        <v>135.955384</v>
      </c>
      <c r="H130" s="23" t="n">
        <v>117.650032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3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1" t="inlineStr">
        <is>
          <t>PT TBS Energi Utama Tbk (TOBA.JK) — Conglomerates &amp; multi-sector holdings</t>
        </is>
      </c>
    </row>
    <row r="2">
      <c r="A2" s="5" t="inlineStr">
        <is>
          <t>Units: USD m; per-share in USD unless marked IDR. Model asof 2026-10-29 · data 2026-10-26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  <c r="M4" s="1" t="inlineStr">
        <is>
          <t>FY2031E</t>
        </is>
      </c>
      <c r="N4" s="1" t="inlineStr">
        <is>
          <t>FY2032E</t>
        </is>
      </c>
      <c r="O4" s="1" t="inlineStr">
        <is>
          <t>FY2033E</t>
        </is>
      </c>
      <c r="P4" s="1" t="inlineStr">
        <is>
          <t>FY2034E</t>
        </is>
      </c>
      <c r="Q4" s="1" t="inlineStr">
        <is>
          <t>FY2035E</t>
        </is>
      </c>
    </row>
    <row r="6">
      <c r="A6" s="1" t="inlineStr">
        <is>
          <t>PARAMETERS</t>
        </is>
      </c>
    </row>
    <row r="7">
      <c r="A7" t="inlineStr">
        <is>
          <t>ps_factor</t>
        </is>
      </c>
      <c r="C7" s="12" t="n">
        <v>1</v>
      </c>
    </row>
    <row r="8">
      <c r="A8" t="inlineStr">
        <is>
          <t>vp_factor</t>
        </is>
      </c>
      <c r="C8" s="12" t="n">
        <v>1</v>
      </c>
    </row>
    <row r="10">
      <c r="A10" s="1" t="inlineStr">
        <is>
          <t>INPUTS (company assumptions)</t>
        </is>
      </c>
    </row>
    <row r="11">
      <c r="A11" t="inlineStr">
        <is>
          <t>Revenue growth</t>
        </is>
      </c>
      <c r="B11" t="inlineStr">
        <is>
          <t>a.revenue_growth</t>
        </is>
      </c>
      <c r="H11" s="4" t="n">
        <v>0.015</v>
      </c>
      <c r="I11" s="4" t="n">
        <v>0.06</v>
      </c>
      <c r="J11" s="4" t="n">
        <v>0.05</v>
      </c>
      <c r="K11" s="4" t="n">
        <v>0.04</v>
      </c>
      <c r="L11" s="4" t="n">
        <v>0.03</v>
      </c>
      <c r="M11" s="4" t="n">
        <v>0.025</v>
      </c>
      <c r="N11" s="4" t="n">
        <v>0.025</v>
      </c>
      <c r="O11" s="4" t="n">
        <v>0.025</v>
      </c>
      <c r="P11" s="4" t="n">
        <v>0.025</v>
      </c>
      <c r="Q11" s="4" t="n">
        <v>0.025</v>
      </c>
    </row>
    <row r="12">
      <c r="A12" t="inlineStr">
        <is>
          <t>Gross margin at base input costs</t>
        </is>
      </c>
      <c r="B12" t="inlineStr">
        <is>
          <t>a.gross_margin</t>
        </is>
      </c>
      <c r="H12" s="4" t="n">
        <v>0.163</v>
      </c>
      <c r="I12" s="4" t="n">
        <v>0.163</v>
      </c>
      <c r="J12" s="4" t="n">
        <v>0.16</v>
      </c>
      <c r="K12" s="4" t="n">
        <v>0.16</v>
      </c>
      <c r="L12" s="4" t="n">
        <v>0.16</v>
      </c>
      <c r="M12" s="4" t="n">
        <v>0.16</v>
      </c>
      <c r="N12" s="4" t="n">
        <v>0.16</v>
      </c>
      <c r="O12" s="4" t="n">
        <v>0.16</v>
      </c>
      <c r="P12" s="4" t="n">
        <v>0.16</v>
      </c>
      <c r="Q12" s="4" t="n">
        <v>0.16</v>
      </c>
    </row>
    <row r="13">
      <c r="A13" t="inlineStr">
        <is>
          <t>SG&amp;A / revenue</t>
        </is>
      </c>
      <c r="B13" t="inlineStr">
        <is>
          <t>a.opex_pct</t>
        </is>
      </c>
      <c r="H13" s="4" t="n">
        <v>0.192</v>
      </c>
      <c r="I13" s="4" t="n">
        <v>0.192</v>
      </c>
      <c r="J13" s="4" t="n">
        <v>0.192</v>
      </c>
      <c r="K13" s="4" t="n">
        <v>0.192</v>
      </c>
      <c r="L13" s="4" t="n">
        <v>0.192</v>
      </c>
      <c r="M13" s="4" t="n">
        <v>0.192</v>
      </c>
      <c r="N13" s="4" t="n">
        <v>0.192</v>
      </c>
      <c r="O13" s="4" t="n">
        <v>0.192</v>
      </c>
      <c r="P13" s="4" t="n">
        <v>0.192</v>
      </c>
      <c r="Q13" s="4" t="n">
        <v>0.192</v>
      </c>
    </row>
    <row r="14">
      <c r="A14" t="inlineStr">
        <is>
          <t>D&amp;A / revenue</t>
        </is>
      </c>
      <c r="B14" t="inlineStr">
        <is>
          <t>a.da_pct</t>
        </is>
      </c>
      <c r="H14" s="4" t="n">
        <v>0.176</v>
      </c>
      <c r="I14" s="4" t="n">
        <v>0.176</v>
      </c>
      <c r="J14" s="4" t="n">
        <v>0.176</v>
      </c>
      <c r="K14" s="4" t="n">
        <v>0.176</v>
      </c>
      <c r="L14" s="4" t="n">
        <v>0.176</v>
      </c>
      <c r="M14" s="4" t="n">
        <v>0.176</v>
      </c>
      <c r="N14" s="4" t="n">
        <v>0.176</v>
      </c>
      <c r="O14" s="4" t="n">
        <v>0.176</v>
      </c>
      <c r="P14" s="4" t="n">
        <v>0.176</v>
      </c>
      <c r="Q14" s="4" t="n">
        <v>0.176</v>
      </c>
    </row>
    <row r="15">
      <c r="A15" t="inlineStr">
        <is>
          <t>Capex / revenue</t>
        </is>
      </c>
      <c r="B15" t="inlineStr">
        <is>
          <t>a.capex_pct</t>
        </is>
      </c>
      <c r="H15" s="4" t="n">
        <v>0.1</v>
      </c>
      <c r="I15" s="4" t="n">
        <v>0.09</v>
      </c>
      <c r="J15" s="4" t="n">
        <v>0.08</v>
      </c>
      <c r="K15" s="4" t="n">
        <v>0.08</v>
      </c>
      <c r="L15" s="4" t="n">
        <v>0.08</v>
      </c>
      <c r="M15" s="4" t="n">
        <v>0.08</v>
      </c>
      <c r="N15" s="4" t="n">
        <v>0.08</v>
      </c>
      <c r="O15" s="4" t="n">
        <v>0.08</v>
      </c>
      <c r="P15" s="4" t="n">
        <v>0.08</v>
      </c>
      <c r="Q15" s="4" t="n">
        <v>0.08</v>
      </c>
    </row>
    <row r="16">
      <c r="A16" t="inlineStr">
        <is>
          <t>Operating working capital / revenue</t>
        </is>
      </c>
      <c r="B16" t="inlineStr">
        <is>
          <t>a.nwc_pct</t>
        </is>
      </c>
      <c r="H16" s="4" t="n">
        <v>0.03</v>
      </c>
      <c r="I16" s="4" t="n">
        <v>0.03</v>
      </c>
      <c r="J16" s="4" t="n">
        <v>0.03</v>
      </c>
      <c r="K16" s="4" t="n">
        <v>0.03</v>
      </c>
      <c r="L16" s="4" t="n">
        <v>0.03</v>
      </c>
      <c r="M16" s="4" t="n">
        <v>0.03</v>
      </c>
      <c r="N16" s="4" t="n">
        <v>0.03</v>
      </c>
      <c r="O16" s="4" t="n">
        <v>0.03</v>
      </c>
      <c r="P16" s="4" t="n">
        <v>0.03</v>
      </c>
      <c r="Q16" s="4" t="n">
        <v>0.03</v>
      </c>
    </row>
    <row r="17">
      <c r="A17" t="inlineStr">
        <is>
          <t>Effective tax rate</t>
        </is>
      </c>
      <c r="B17" t="inlineStr">
        <is>
          <t>a.tax_rate</t>
        </is>
      </c>
      <c r="H17" s="4" t="n">
        <v>0.22</v>
      </c>
      <c r="I17" s="4" t="n">
        <v>0.22</v>
      </c>
      <c r="J17" s="4" t="n">
        <v>0.22</v>
      </c>
      <c r="K17" s="4" t="n">
        <v>0.22</v>
      </c>
      <c r="L17" s="4" t="n">
        <v>0.22</v>
      </c>
      <c r="M17" s="4" t="n">
        <v>0.22</v>
      </c>
      <c r="N17" s="4" t="n">
        <v>0.22</v>
      </c>
      <c r="O17" s="4" t="n">
        <v>0.22</v>
      </c>
      <c r="P17" s="4" t="n">
        <v>0.22</v>
      </c>
      <c r="Q17" s="4" t="n">
        <v>0.22</v>
      </c>
    </row>
    <row r="18">
      <c r="A18" t="inlineStr">
        <is>
          <t>Cost of debt (on opening debt)</t>
        </is>
      </c>
      <c r="B18" t="inlineStr">
        <is>
          <t>a.cost_of_debt</t>
        </is>
      </c>
      <c r="C18" s="4" t="n">
        <v>0.075</v>
      </c>
    </row>
    <row r="19">
      <c r="A19" t="inlineStr">
        <is>
          <t>Yield on opening cash</t>
        </is>
      </c>
      <c r="B19" t="inlineStr">
        <is>
          <t>a.cash_yield</t>
        </is>
      </c>
      <c r="C19" s="4" t="n">
        <v>0.055</v>
      </c>
    </row>
    <row r="20">
      <c r="A20" t="inlineStr">
        <is>
          <t>Net new borrowing</t>
        </is>
      </c>
      <c r="B20" t="inlineStr">
        <is>
          <t>a.net_borrowing</t>
        </is>
      </c>
      <c r="H20" s="13" t="n">
        <v>15</v>
      </c>
      <c r="I20" s="13" t="n">
        <v>10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</row>
    <row r="21">
      <c r="A21" t="inlineStr">
        <is>
          <t>Other non-operating items</t>
        </is>
      </c>
      <c r="B21" t="inlineStr">
        <is>
          <t>a.other_nonop</t>
        </is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</row>
    <row r="22">
      <c r="A22" t="inlineStr">
        <is>
          <t>Minorities' share of net profit</t>
        </is>
      </c>
      <c r="B22" t="inlineStr">
        <is>
          <t>a.minority_pct</t>
        </is>
      </c>
      <c r="H22" s="4" t="n">
        <v>0.25</v>
      </c>
      <c r="I22" s="4" t="n">
        <v>0.25</v>
      </c>
      <c r="J22" s="4" t="n">
        <v>0.25</v>
      </c>
      <c r="K22" s="4" t="n">
        <v>0.25</v>
      </c>
      <c r="L22" s="4" t="n">
        <v>0.25</v>
      </c>
      <c r="M22" s="4" t="n">
        <v>0.25</v>
      </c>
      <c r="N22" s="4" t="n">
        <v>0.25</v>
      </c>
      <c r="O22" s="4" t="n">
        <v>0.25</v>
      </c>
      <c r="P22" s="4" t="n">
        <v>0.25</v>
      </c>
      <c r="Q22" s="4" t="n">
        <v>0.25</v>
      </c>
    </row>
    <row r="23">
      <c r="A23" t="inlineStr">
        <is>
          <t>Dividend payout</t>
        </is>
      </c>
      <c r="B23" t="inlineStr">
        <is>
          <t>a.payout</t>
        </is>
      </c>
      <c r="H23" s="4" t="n">
        <v>0.3</v>
      </c>
      <c r="I23" s="4" t="n">
        <v>0.3</v>
      </c>
      <c r="J23" s="4" t="n">
        <v>0.3</v>
      </c>
      <c r="K23" s="4" t="n">
        <v>0.3</v>
      </c>
      <c r="L23" s="4" t="n">
        <v>0.3</v>
      </c>
      <c r="M23" s="4" t="n">
        <v>0.3</v>
      </c>
      <c r="N23" s="4" t="n">
        <v>0.3</v>
      </c>
      <c r="O23" s="4" t="n">
        <v>0.3</v>
      </c>
      <c r="P23" s="4" t="n">
        <v>0.3</v>
      </c>
      <c r="Q23" s="4" t="n">
        <v>0.3</v>
      </c>
    </row>
    <row r="24">
      <c r="A24" t="inlineStr">
        <is>
          <t>Change in share count</t>
        </is>
      </c>
      <c r="B24" t="inlineStr">
        <is>
          <t>a.share_change</t>
        </is>
      </c>
      <c r="H24" s="4" t="n">
        <v>0.005</v>
      </c>
      <c r="I24" s="4" t="n">
        <v>0.005</v>
      </c>
      <c r="J24" s="4" t="n">
        <v>0.005</v>
      </c>
      <c r="K24" s="4" t="n">
        <v>0.005</v>
      </c>
      <c r="L24" s="4" t="n">
        <v>0.005</v>
      </c>
      <c r="M24" s="4" t="n">
        <v>0.005</v>
      </c>
      <c r="N24" s="4" t="n">
        <v>0.005</v>
      </c>
      <c r="O24" s="4" t="n">
        <v>0.005</v>
      </c>
      <c r="P24" s="4" t="n">
        <v>0.005</v>
      </c>
      <c r="Q24" s="4" t="n">
        <v>0.005</v>
      </c>
    </row>
    <row r="25">
      <c r="A25" t="inlineStr">
        <is>
          <t>Terminal growth (DCF)</t>
        </is>
      </c>
      <c r="B25" t="inlineStr">
        <is>
          <t>a.terminal_growth</t>
        </is>
      </c>
      <c r="C25" s="4" t="n">
        <v>0.02</v>
      </c>
    </row>
    <row r="26">
      <c r="A26" t="inlineStr">
        <is>
          <t>Holding-company discount to SOTP</t>
        </is>
      </c>
      <c r="B26" t="inlineStr">
        <is>
          <t>a.holdco_discount</t>
        </is>
      </c>
      <c r="C26" s="4" t="n">
        <v>0.3</v>
      </c>
    </row>
    <row r="28">
      <c r="A28" s="1" t="inlineStr">
        <is>
          <t>MODEL</t>
        </is>
      </c>
    </row>
    <row r="29">
      <c r="A29" t="inlineStr">
        <is>
          <t>Revenue</t>
        </is>
      </c>
      <c r="B29" t="inlineStr">
        <is>
          <t>revenue</t>
        </is>
      </c>
      <c r="D29" s="13" t="n">
        <v>635.79044</v>
      </c>
      <c r="E29" s="13" t="n">
        <v>501.262751</v>
      </c>
      <c r="F29" s="13" t="n">
        <v>385.785086</v>
      </c>
      <c r="G29" s="13" t="n">
        <v>365.860452</v>
      </c>
      <c r="H29" s="14">
        <f>(G29*(1+H11))</f>
        <v/>
      </c>
      <c r="I29" s="14">
        <f>(H29*(1+I11))</f>
        <v/>
      </c>
      <c r="J29" s="14">
        <f>(I29*(1+J11))</f>
        <v/>
      </c>
      <c r="K29" s="14">
        <f>(J29*(1+K11))</f>
        <v/>
      </c>
      <c r="L29" s="14">
        <f>(K29*(1+L11))</f>
        <v/>
      </c>
      <c r="M29" s="14">
        <f>(L29*(1+M11))</f>
        <v/>
      </c>
      <c r="N29" s="14">
        <f>(M29*(1+N11))</f>
        <v/>
      </c>
      <c r="O29" s="14">
        <f>(N29*(1+O11))</f>
        <v/>
      </c>
      <c r="P29" s="14">
        <f>(O29*(1+P11))</f>
        <v/>
      </c>
      <c r="Q29" s="14">
        <f>(P29*(1+Q11))</f>
        <v/>
      </c>
    </row>
    <row r="30">
      <c r="A30" t="inlineStr">
        <is>
          <t>Cost of revenue</t>
        </is>
      </c>
      <c r="B30" t="inlineStr">
        <is>
          <t>cogs</t>
        </is>
      </c>
      <c r="D30" s="13" t="n">
        <v>499.774421</v>
      </c>
      <c r="E30" s="13" t="n">
        <v>437.43594</v>
      </c>
      <c r="F30" s="13" t="n">
        <v>309.214727</v>
      </c>
      <c r="G30" s="13" t="n">
        <v>336.170789</v>
      </c>
      <c r="H30" s="14">
        <f>(H29*(1-H12))</f>
        <v/>
      </c>
      <c r="I30" s="14">
        <f>(I29*(1-I12))</f>
        <v/>
      </c>
      <c r="J30" s="14">
        <f>(J29*(1-J12))</f>
        <v/>
      </c>
      <c r="K30" s="14">
        <f>(K29*(1-K12))</f>
        <v/>
      </c>
      <c r="L30" s="14">
        <f>(L29*(1-L12))</f>
        <v/>
      </c>
      <c r="M30" s="14">
        <f>(M29*(1-M12))</f>
        <v/>
      </c>
      <c r="N30" s="14">
        <f>(N29*(1-N12))</f>
        <v/>
      </c>
      <c r="O30" s="14">
        <f>(O29*(1-O12))</f>
        <v/>
      </c>
      <c r="P30" s="14">
        <f>(P29*(1-P12))</f>
        <v/>
      </c>
      <c r="Q30" s="14">
        <f>(Q29*(1-Q12))</f>
        <v/>
      </c>
    </row>
    <row r="31">
      <c r="A31" t="inlineStr">
        <is>
          <t>Gross profit</t>
        </is>
      </c>
      <c r="B31" t="inlineStr">
        <is>
          <t>gross_profit</t>
        </is>
      </c>
      <c r="D31" s="13" t="n">
        <v>136.016019</v>
      </c>
      <c r="E31" s="13" t="n">
        <v>63.826811</v>
      </c>
      <c r="F31" s="13" t="n">
        <v>76.570359</v>
      </c>
      <c r="G31" s="13" t="n">
        <v>29.689663</v>
      </c>
      <c r="H31" s="14">
        <f>(H29-H30)</f>
        <v/>
      </c>
      <c r="I31" s="14">
        <f>(I29-I30)</f>
        <v/>
      </c>
      <c r="J31" s="14">
        <f>(J29-J30)</f>
        <v/>
      </c>
      <c r="K31" s="14">
        <f>(K29-K30)</f>
        <v/>
      </c>
      <c r="L31" s="14">
        <f>(L29-L30)</f>
        <v/>
      </c>
      <c r="M31" s="14">
        <f>(M29-M30)</f>
        <v/>
      </c>
      <c r="N31" s="14">
        <f>(N29-N30)</f>
        <v/>
      </c>
      <c r="O31" s="14">
        <f>(O29-O30)</f>
        <v/>
      </c>
      <c r="P31" s="14">
        <f>(P29-P30)</f>
        <v/>
      </c>
      <c r="Q31" s="14">
        <f>(Q29-Q30)</f>
        <v/>
      </c>
    </row>
    <row r="32">
      <c r="A32" t="inlineStr">
        <is>
          <t>SG&amp;A and other opex</t>
        </is>
      </c>
      <c r="B32" t="inlineStr">
        <is>
          <t>opex</t>
        </is>
      </c>
      <c r="D32" s="13" t="n">
        <v>33.68404700000001</v>
      </c>
      <c r="E32" s="13" t="n">
        <v>52.186766</v>
      </c>
      <c r="F32" s="13" t="n">
        <v>30.03380499999999</v>
      </c>
      <c r="G32" s="13" t="n">
        <v>58.587121</v>
      </c>
      <c r="H32" s="14">
        <f>(H29*H13)</f>
        <v/>
      </c>
      <c r="I32" s="14">
        <f>(I29*I13)</f>
        <v/>
      </c>
      <c r="J32" s="14">
        <f>(J29*J13)</f>
        <v/>
      </c>
      <c r="K32" s="14">
        <f>(K29*K13)</f>
        <v/>
      </c>
      <c r="L32" s="14">
        <f>(L29*L13)</f>
        <v/>
      </c>
      <c r="M32" s="14">
        <f>(M29*M13)</f>
        <v/>
      </c>
      <c r="N32" s="14">
        <f>(N29*N13)</f>
        <v/>
      </c>
      <c r="O32" s="14">
        <f>(O29*O13)</f>
        <v/>
      </c>
      <c r="P32" s="14">
        <f>(P29*P13)</f>
        <v/>
      </c>
      <c r="Q32" s="14">
        <f>(Q29*Q13)</f>
        <v/>
      </c>
    </row>
    <row r="33">
      <c r="A33" t="inlineStr">
        <is>
          <t>EBIT</t>
        </is>
      </c>
      <c r="B33" t="inlineStr">
        <is>
          <t>ebit</t>
        </is>
      </c>
      <c r="D33" s="13" t="n">
        <v>102.331972</v>
      </c>
      <c r="E33" s="13" t="n">
        <v>11.640045</v>
      </c>
      <c r="F33" s="13" t="n">
        <v>46.536554</v>
      </c>
      <c r="G33" s="13" t="n">
        <v>-30.953063</v>
      </c>
      <c r="H33" s="14">
        <f>(H31-H32)</f>
        <v/>
      </c>
      <c r="I33" s="14">
        <f>(I31-I32)</f>
        <v/>
      </c>
      <c r="J33" s="14">
        <f>(J31-J32)</f>
        <v/>
      </c>
      <c r="K33" s="14">
        <f>(K31-K32)</f>
        <v/>
      </c>
      <c r="L33" s="14">
        <f>(L31-L32)</f>
        <v/>
      </c>
      <c r="M33" s="14">
        <f>(M31-M32)</f>
        <v/>
      </c>
      <c r="N33" s="14">
        <f>(N31-N32)</f>
        <v/>
      </c>
      <c r="O33" s="14">
        <f>(O31-O32)</f>
        <v/>
      </c>
      <c r="P33" s="14">
        <f>(P31-P32)</f>
        <v/>
      </c>
      <c r="Q33" s="14">
        <f>(Q31-Q32)</f>
        <v/>
      </c>
    </row>
    <row r="34">
      <c r="A34" t="inlineStr">
        <is>
          <t>Depreciation &amp; amortisation</t>
        </is>
      </c>
      <c r="B34" t="inlineStr">
        <is>
          <t>da</t>
        </is>
      </c>
      <c r="D34" s="13" t="n">
        <v>2.110986</v>
      </c>
      <c r="E34" s="13" t="n">
        <v>3.222409</v>
      </c>
      <c r="F34" s="13" t="n">
        <v>37.915051</v>
      </c>
      <c r="G34" s="13" t="n">
        <v>74.121386</v>
      </c>
      <c r="H34" s="14">
        <f>(H29*H14)</f>
        <v/>
      </c>
      <c r="I34" s="14">
        <f>(I29*I14)</f>
        <v/>
      </c>
      <c r="J34" s="14">
        <f>(J29*J14)</f>
        <v/>
      </c>
      <c r="K34" s="14">
        <f>(K29*K14)</f>
        <v/>
      </c>
      <c r="L34" s="14">
        <f>(L29*L14)</f>
        <v/>
      </c>
      <c r="M34" s="14">
        <f>(M29*M14)</f>
        <v/>
      </c>
      <c r="N34" s="14">
        <f>(N29*N14)</f>
        <v/>
      </c>
      <c r="O34" s="14">
        <f>(O29*O14)</f>
        <v/>
      </c>
      <c r="P34" s="14">
        <f>(P29*P14)</f>
        <v/>
      </c>
      <c r="Q34" s="14">
        <f>(Q29*Q14)</f>
        <v/>
      </c>
    </row>
    <row r="35">
      <c r="A35" t="inlineStr">
        <is>
          <t>EBITDA</t>
        </is>
      </c>
      <c r="B35" t="inlineStr">
        <is>
          <t>ebitda</t>
        </is>
      </c>
      <c r="D35" s="13" t="n">
        <v>104.442958</v>
      </c>
      <c r="E35" s="13" t="n">
        <v>14.862454</v>
      </c>
      <c r="F35" s="13" t="n">
        <v>84.451605</v>
      </c>
      <c r="G35" s="13" t="n">
        <v>43.168323</v>
      </c>
      <c r="H35" s="14">
        <f>(H33+H34)</f>
        <v/>
      </c>
      <c r="I35" s="14">
        <f>(I33+I34)</f>
        <v/>
      </c>
      <c r="J35" s="14">
        <f>(J33+J34)</f>
        <v/>
      </c>
      <c r="K35" s="14">
        <f>(K33+K34)</f>
        <v/>
      </c>
      <c r="L35" s="14">
        <f>(L33+L34)</f>
        <v/>
      </c>
      <c r="M35" s="14">
        <f>(M33+M34)</f>
        <v/>
      </c>
      <c r="N35" s="14">
        <f>(N33+N34)</f>
        <v/>
      </c>
      <c r="O35" s="14">
        <f>(O33+O34)</f>
        <v/>
      </c>
      <c r="P35" s="14">
        <f>(P33+P34)</f>
        <v/>
      </c>
      <c r="Q35" s="14">
        <f>(Q33+Q34)</f>
        <v/>
      </c>
    </row>
    <row r="36">
      <c r="A36" t="inlineStr">
        <is>
          <t>Interest expense</t>
        </is>
      </c>
      <c r="B36" t="inlineStr">
        <is>
          <t>interest_expense</t>
        </is>
      </c>
      <c r="D36" s="13" t="n">
        <v>27.639834</v>
      </c>
      <c r="E36" s="13" t="n">
        <v>37.285575</v>
      </c>
      <c r="F36" s="13" t="n">
        <v>11.027625</v>
      </c>
      <c r="G36" s="13" t="n">
        <v>20.673733</v>
      </c>
      <c r="H36" s="14">
        <f>(G56*$C$18)</f>
        <v/>
      </c>
      <c r="I36" s="14">
        <f>(H56*$C$18)</f>
        <v/>
      </c>
      <c r="J36" s="14">
        <f>(I56*$C$18)</f>
        <v/>
      </c>
      <c r="K36" s="14">
        <f>(J56*$C$18)</f>
        <v/>
      </c>
      <c r="L36" s="14">
        <f>(K56*$C$18)</f>
        <v/>
      </c>
      <c r="M36" s="14">
        <f>(L56*$C$18)</f>
        <v/>
      </c>
      <c r="N36" s="14">
        <f>(M56*$C$18)</f>
        <v/>
      </c>
      <c r="O36" s="14">
        <f>(N56*$C$18)</f>
        <v/>
      </c>
      <c r="P36" s="14">
        <f>(O56*$C$18)</f>
        <v/>
      </c>
      <c r="Q36" s="14">
        <f>(P56*$C$18)</f>
        <v/>
      </c>
    </row>
    <row r="37">
      <c r="A37" t="inlineStr">
        <is>
          <t>Interest income</t>
        </is>
      </c>
      <c r="B37" t="inlineStr">
        <is>
          <t>interest_income</t>
        </is>
      </c>
      <c r="D37" s="13" t="n">
        <v>58.519707</v>
      </c>
      <c r="E37" s="13" t="n">
        <v>56.92771</v>
      </c>
      <c r="F37" s="13" t="n">
        <v>2.892319</v>
      </c>
      <c r="G37" s="13" t="n">
        <v>3.91329</v>
      </c>
      <c r="H37" s="14">
        <f>(G55*$C$19)</f>
        <v/>
      </c>
      <c r="I37" s="14">
        <f>(H55*$C$19)</f>
        <v/>
      </c>
      <c r="J37" s="14">
        <f>(I55*$C$19)</f>
        <v/>
      </c>
      <c r="K37" s="14">
        <f>(J55*$C$19)</f>
        <v/>
      </c>
      <c r="L37" s="14">
        <f>(K55*$C$19)</f>
        <v/>
      </c>
      <c r="M37" s="14">
        <f>(L55*$C$19)</f>
        <v/>
      </c>
      <c r="N37" s="14">
        <f>(M55*$C$19)</f>
        <v/>
      </c>
      <c r="O37" s="14">
        <f>(N55*$C$19)</f>
        <v/>
      </c>
      <c r="P37" s="14">
        <f>(O55*$C$19)</f>
        <v/>
      </c>
      <c r="Q37" s="14">
        <f>(P55*$C$19)</f>
        <v/>
      </c>
    </row>
    <row r="38">
      <c r="A38" t="inlineStr">
        <is>
          <t>Other non-operating</t>
        </is>
      </c>
      <c r="B38" t="inlineStr">
        <is>
          <t>other_nonop</t>
        </is>
      </c>
      <c r="D38" s="13" t="n">
        <v>-18.52620299999999</v>
      </c>
      <c r="E38" s="13" t="n">
        <v>1.569433000000004</v>
      </c>
      <c r="F38" s="13" t="n">
        <v>-1.475847000000001</v>
      </c>
      <c r="G38" s="13" t="n">
        <v>-121.2749</v>
      </c>
      <c r="H38" s="14">
        <f>H21</f>
        <v/>
      </c>
      <c r="I38" s="14">
        <f>I21</f>
        <v/>
      </c>
      <c r="J38" s="14">
        <f>J21</f>
        <v/>
      </c>
      <c r="K38" s="14">
        <f>K21</f>
        <v/>
      </c>
      <c r="L38" s="14">
        <f>L21</f>
        <v/>
      </c>
      <c r="M38" s="14">
        <f>M21</f>
        <v/>
      </c>
      <c r="N38" s="14">
        <f>N21</f>
        <v/>
      </c>
      <c r="O38" s="14">
        <f>O21</f>
        <v/>
      </c>
      <c r="P38" s="14">
        <f>P21</f>
        <v/>
      </c>
      <c r="Q38" s="14">
        <f>Q21</f>
        <v/>
      </c>
    </row>
    <row r="39">
      <c r="A39" t="inlineStr">
        <is>
          <t>Profit before tax</t>
        </is>
      </c>
      <c r="B39" t="inlineStr">
        <is>
          <t>pbt</t>
        </is>
      </c>
      <c r="D39" s="13" t="n">
        <v>114.685642</v>
      </c>
      <c r="E39" s="13" t="n">
        <v>32.851613</v>
      </c>
      <c r="F39" s="13" t="n">
        <v>36.925401</v>
      </c>
      <c r="G39" s="13" t="n">
        <v>-168.988406</v>
      </c>
      <c r="H39" s="14">
        <f>(((H33-H36)+H37)+H38)</f>
        <v/>
      </c>
      <c r="I39" s="14">
        <f>(((I33-I36)+I37)+I38)</f>
        <v/>
      </c>
      <c r="J39" s="14">
        <f>(((J33-J36)+J37)+J38)</f>
        <v/>
      </c>
      <c r="K39" s="14">
        <f>(((K33-K36)+K37)+K38)</f>
        <v/>
      </c>
      <c r="L39" s="14">
        <f>(((L33-L36)+L37)+L38)</f>
        <v/>
      </c>
      <c r="M39" s="14">
        <f>(((M33-M36)+M37)+M38)</f>
        <v/>
      </c>
      <c r="N39" s="14">
        <f>(((N33-N36)+N37)+N38)</f>
        <v/>
      </c>
      <c r="O39" s="14">
        <f>(((O33-O36)+O37)+O38)</f>
        <v/>
      </c>
      <c r="P39" s="14">
        <f>(((P33-P36)+P37)+P38)</f>
        <v/>
      </c>
      <c r="Q39" s="14">
        <f>(((Q33-Q36)+Q37)+Q38)</f>
        <v/>
      </c>
    </row>
    <row r="40">
      <c r="A40" t="inlineStr">
        <is>
          <t>Tax</t>
        </is>
      </c>
      <c r="B40" t="inlineStr">
        <is>
          <t>tax</t>
        </is>
      </c>
      <c r="D40" s="13" t="n">
        <v>20.800288</v>
      </c>
      <c r="E40" s="13" t="n">
        <v>12.005343</v>
      </c>
      <c r="F40" s="13" t="n">
        <v>14.096239</v>
      </c>
      <c r="G40" s="13" t="n">
        <v>1.868331</v>
      </c>
      <c r="H40" s="14">
        <f>(MAX(H39,0)*H17)</f>
        <v/>
      </c>
      <c r="I40" s="14">
        <f>(MAX(I39,0)*I17)</f>
        <v/>
      </c>
      <c r="J40" s="14">
        <f>(MAX(J39,0)*J17)</f>
        <v/>
      </c>
      <c r="K40" s="14">
        <f>(MAX(K39,0)*K17)</f>
        <v/>
      </c>
      <c r="L40" s="14">
        <f>(MAX(L39,0)*L17)</f>
        <v/>
      </c>
      <c r="M40" s="14">
        <f>(MAX(M39,0)*M17)</f>
        <v/>
      </c>
      <c r="N40" s="14">
        <f>(MAX(N39,0)*N17)</f>
        <v/>
      </c>
      <c r="O40" s="14">
        <f>(MAX(O39,0)*O17)</f>
        <v/>
      </c>
      <c r="P40" s="14">
        <f>(MAX(P39,0)*P17)</f>
        <v/>
      </c>
      <c r="Q40" s="14">
        <f>(MAX(Q39,0)*Q17)</f>
        <v/>
      </c>
    </row>
    <row r="41">
      <c r="A41" t="inlineStr">
        <is>
          <t>Net profit (incl. minorities)</t>
        </is>
      </c>
      <c r="B41" t="inlineStr">
        <is>
          <t>np</t>
        </is>
      </c>
      <c r="D41" s="13" t="n">
        <v>93.88535400000001</v>
      </c>
      <c r="E41" s="13" t="n">
        <v>20.84627</v>
      </c>
      <c r="F41" s="13" t="n">
        <v>47.976127</v>
      </c>
      <c r="G41" s="13" t="n">
        <v>-161.949908</v>
      </c>
      <c r="H41" s="14">
        <f>(H39-H40)</f>
        <v/>
      </c>
      <c r="I41" s="14">
        <f>(I39-I40)</f>
        <v/>
      </c>
      <c r="J41" s="14">
        <f>(J39-J40)</f>
        <v/>
      </c>
      <c r="K41" s="14">
        <f>(K39-K40)</f>
        <v/>
      </c>
      <c r="L41" s="14">
        <f>(L39-L40)</f>
        <v/>
      </c>
      <c r="M41" s="14">
        <f>(M39-M40)</f>
        <v/>
      </c>
      <c r="N41" s="14">
        <f>(N39-N40)</f>
        <v/>
      </c>
      <c r="O41" s="14">
        <f>(O39-O40)</f>
        <v/>
      </c>
      <c r="P41" s="14">
        <f>(P39-P40)</f>
        <v/>
      </c>
      <c r="Q41" s="14">
        <f>(Q39-Q40)</f>
        <v/>
      </c>
    </row>
    <row r="42">
      <c r="A42" t="inlineStr">
        <is>
          <t>Minority interests</t>
        </is>
      </c>
      <c r="B42" t="inlineStr">
        <is>
          <t>minority</t>
        </is>
      </c>
      <c r="D42" s="13" t="n">
        <v>36.06529500000001</v>
      </c>
      <c r="E42" s="13" t="n">
        <v>12.939754</v>
      </c>
      <c r="F42" s="13" t="n">
        <v>19.506093</v>
      </c>
      <c r="G42" s="13" t="n">
        <v>-0.7030369999999948</v>
      </c>
      <c r="H42" s="14">
        <f>(H41*H22)</f>
        <v/>
      </c>
      <c r="I42" s="14">
        <f>(I41*I22)</f>
        <v/>
      </c>
      <c r="J42" s="14">
        <f>(J41*J22)</f>
        <v/>
      </c>
      <c r="K42" s="14">
        <f>(K41*K22)</f>
        <v/>
      </c>
      <c r="L42" s="14">
        <f>(L41*L22)</f>
        <v/>
      </c>
      <c r="M42" s="14">
        <f>(M41*M22)</f>
        <v/>
      </c>
      <c r="N42" s="14">
        <f>(N41*N22)</f>
        <v/>
      </c>
      <c r="O42" s="14">
        <f>(O41*O22)</f>
        <v/>
      </c>
      <c r="P42" s="14">
        <f>(P41*P22)</f>
        <v/>
      </c>
      <c r="Q42" s="14">
        <f>(Q41*Q22)</f>
        <v/>
      </c>
    </row>
    <row r="43">
      <c r="A43" t="inlineStr">
        <is>
          <t>Net profit to parent</t>
        </is>
      </c>
      <c r="B43" t="inlineStr">
        <is>
          <t>np_parent</t>
        </is>
      </c>
      <c r="D43" s="13" t="n">
        <v>57.820059</v>
      </c>
      <c r="E43" s="13" t="n">
        <v>7.906516</v>
      </c>
      <c r="F43" s="13" t="n">
        <v>28.470034</v>
      </c>
      <c r="G43" s="13" t="n">
        <v>-161.246871</v>
      </c>
      <c r="H43" s="14">
        <f>(H41-H42)</f>
        <v/>
      </c>
      <c r="I43" s="14">
        <f>(I41-I42)</f>
        <v/>
      </c>
      <c r="J43" s="14">
        <f>(J41-J42)</f>
        <v/>
      </c>
      <c r="K43" s="14">
        <f>(K41-K42)</f>
        <v/>
      </c>
      <c r="L43" s="14">
        <f>(L41-L42)</f>
        <v/>
      </c>
      <c r="M43" s="14">
        <f>(M41-M42)</f>
        <v/>
      </c>
      <c r="N43" s="14">
        <f>(N41-N42)</f>
        <v/>
      </c>
      <c r="O43" s="14">
        <f>(O41-O42)</f>
        <v/>
      </c>
      <c r="P43" s="14">
        <f>(P41-P42)</f>
        <v/>
      </c>
      <c r="Q43" s="14">
        <f>(Q41-Q42)</f>
        <v/>
      </c>
    </row>
    <row r="44">
      <c r="A44" t="inlineStr">
        <is>
          <t>Shares outstanding (m)</t>
        </is>
      </c>
      <c r="B44" t="inlineStr">
        <is>
          <t>shares</t>
        </is>
      </c>
      <c r="D44" s="13" t="n">
        <v>8049.964</v>
      </c>
      <c r="E44" s="13" t="n">
        <v>8106.700622</v>
      </c>
      <c r="F44" s="13" t="n">
        <v>8167.82697</v>
      </c>
      <c r="G44" s="13" t="n">
        <v>8249.360331</v>
      </c>
      <c r="H44" s="14">
        <f>(G44*(1+H24))</f>
        <v/>
      </c>
      <c r="I44" s="14">
        <f>(H44*(1+I24))</f>
        <v/>
      </c>
      <c r="J44" s="14">
        <f>(I44*(1+J24))</f>
        <v/>
      </c>
      <c r="K44" s="14">
        <f>(J44*(1+K24))</f>
        <v/>
      </c>
      <c r="L44" s="14">
        <f>(K44*(1+L24))</f>
        <v/>
      </c>
      <c r="M44" s="14">
        <f>(L44*(1+M24))</f>
        <v/>
      </c>
      <c r="N44" s="14">
        <f>(M44*(1+N24))</f>
        <v/>
      </c>
      <c r="O44" s="14">
        <f>(N44*(1+O24))</f>
        <v/>
      </c>
      <c r="P44" s="14">
        <f>(O44*(1+P24))</f>
        <v/>
      </c>
      <c r="Q44" s="14">
        <f>(P44*(1+Q24))</f>
        <v/>
      </c>
    </row>
    <row r="45">
      <c r="A45" t="inlineStr">
        <is>
          <t>EPS</t>
        </is>
      </c>
      <c r="B45" t="inlineStr">
        <is>
          <t>eps</t>
        </is>
      </c>
      <c r="D45" s="15" t="n">
        <v>0.007182648146004131</v>
      </c>
      <c r="E45" s="15" t="n">
        <v>0.0009753062767043921</v>
      </c>
      <c r="F45" s="15" t="n">
        <v>0.00348563138085184</v>
      </c>
      <c r="G45" s="15" t="n">
        <v>-0.01954659083008602</v>
      </c>
      <c r="H45" s="16">
        <f>(IF(H44=0,0,H43/H44)*$C$7)</f>
        <v/>
      </c>
      <c r="I45" s="16">
        <f>(IF(I44=0,0,I43/I44)*$C$7)</f>
        <v/>
      </c>
      <c r="J45" s="16">
        <f>(IF(J44=0,0,J43/J44)*$C$7)</f>
        <v/>
      </c>
      <c r="K45" s="16">
        <f>(IF(K44=0,0,K43/K44)*$C$7)</f>
        <v/>
      </c>
      <c r="L45" s="16">
        <f>(IF(L44=0,0,L43/L44)*$C$7)</f>
        <v/>
      </c>
      <c r="M45" s="16">
        <f>(IF(M44=0,0,M43/M44)*$C$7)</f>
        <v/>
      </c>
      <c r="N45" s="16">
        <f>(IF(N44=0,0,N43/N44)*$C$7)</f>
        <v/>
      </c>
      <c r="O45" s="16">
        <f>(IF(O44=0,0,O43/O44)*$C$7)</f>
        <v/>
      </c>
      <c r="P45" s="16">
        <f>(IF(P44=0,0,P43/P44)*$C$7)</f>
        <v/>
      </c>
      <c r="Q45" s="16">
        <f>(IF(Q44=0,0,Q43/Q44)*$C$7)</f>
        <v/>
      </c>
    </row>
    <row r="46">
      <c r="A46" t="inlineStr">
        <is>
          <t>DPS (declared on the year)</t>
        </is>
      </c>
      <c r="B46" t="inlineStr">
        <is>
          <t>dps</t>
        </is>
      </c>
      <c r="D46" s="15" t="n">
        <v>0.0008471926447158789</v>
      </c>
      <c r="E46" s="15" t="n">
        <v>0</v>
      </c>
      <c r="F46" s="15" t="n">
        <v>0.001343431953985155</v>
      </c>
      <c r="G46" s="15" t="n">
        <v>0.001070995536956725</v>
      </c>
      <c r="H46" s="16">
        <f>(MAX(H45,0)*H23)</f>
        <v/>
      </c>
      <c r="I46" s="16">
        <f>(MAX(I45,0)*I23)</f>
        <v/>
      </c>
      <c r="J46" s="16">
        <f>(MAX(J45,0)*J23)</f>
        <v/>
      </c>
      <c r="K46" s="16">
        <f>(MAX(K45,0)*K23)</f>
        <v/>
      </c>
      <c r="L46" s="16">
        <f>(MAX(L45,0)*L23)</f>
        <v/>
      </c>
      <c r="M46" s="16">
        <f>(MAX(M45,0)*M23)</f>
        <v/>
      </c>
      <c r="N46" s="16">
        <f>(MAX(N45,0)*N23)</f>
        <v/>
      </c>
      <c r="O46" s="16">
        <f>(MAX(O45,0)*O23)</f>
        <v/>
      </c>
      <c r="P46" s="16">
        <f>(MAX(P45,0)*P23)</f>
        <v/>
      </c>
      <c r="Q46" s="16">
        <f>(MAX(Q45,0)*Q23)</f>
        <v/>
      </c>
    </row>
    <row r="47">
      <c r="A47" t="inlineStr">
        <is>
          <t>Dividends paid</t>
        </is>
      </c>
      <c r="B47" t="inlineStr">
        <is>
          <t>dividends_paid</t>
        </is>
      </c>
      <c r="D47" s="13" t="n">
        <v>0</v>
      </c>
      <c r="E47" s="13" t="n">
        <v>6.849162</v>
      </c>
      <c r="F47" s="13" t="n">
        <v>0</v>
      </c>
      <c r="G47" s="13" t="n">
        <v>9.351333</v>
      </c>
      <c r="H47" s="14">
        <f>IF($C$7=0,0,(G46*G44)/$C$7)</f>
        <v/>
      </c>
      <c r="I47" s="14">
        <f>IF($C$7=0,0,(H46*H44)/$C$7)</f>
        <v/>
      </c>
      <c r="J47" s="14">
        <f>IF($C$7=0,0,(I46*I44)/$C$7)</f>
        <v/>
      </c>
      <c r="K47" s="14">
        <f>IF($C$7=0,0,(J46*J44)/$C$7)</f>
        <v/>
      </c>
      <c r="L47" s="14">
        <f>IF($C$7=0,0,(K46*K44)/$C$7)</f>
        <v/>
      </c>
      <c r="M47" s="14">
        <f>IF($C$7=0,0,(L46*L44)/$C$7)</f>
        <v/>
      </c>
      <c r="N47" s="14">
        <f>IF($C$7=0,0,(M46*M44)/$C$7)</f>
        <v/>
      </c>
      <c r="O47" s="14">
        <f>IF($C$7=0,0,(N46*N44)/$C$7)</f>
        <v/>
      </c>
      <c r="P47" s="14">
        <f>IF($C$7=0,0,(O46*O44)/$C$7)</f>
        <v/>
      </c>
      <c r="Q47" s="14">
        <f>IF($C$7=0,0,(P46*P44)/$C$7)</f>
        <v/>
      </c>
    </row>
    <row r="48">
      <c r="A48" t="inlineStr">
        <is>
          <t>Capital expenditure</t>
        </is>
      </c>
      <c r="B48" t="inlineStr">
        <is>
          <t>capex</t>
        </is>
      </c>
      <c r="D48" s="13" t="n">
        <v>22.222611</v>
      </c>
      <c r="E48" s="13" t="n">
        <v>29.019167</v>
      </c>
      <c r="F48" s="13" t="n">
        <v>21.15415</v>
      </c>
      <c r="G48" s="13" t="n">
        <v>47.119136</v>
      </c>
      <c r="H48" s="14">
        <f>(H29*H15)</f>
        <v/>
      </c>
      <c r="I48" s="14">
        <f>(I29*I15)</f>
        <v/>
      </c>
      <c r="J48" s="14">
        <f>(J29*J15)</f>
        <v/>
      </c>
      <c r="K48" s="14">
        <f>(K29*K15)</f>
        <v/>
      </c>
      <c r="L48" s="14">
        <f>(L29*L15)</f>
        <v/>
      </c>
      <c r="M48" s="14">
        <f>(M29*M15)</f>
        <v/>
      </c>
      <c r="N48" s="14">
        <f>(N29*N15)</f>
        <v/>
      </c>
      <c r="O48" s="14">
        <f>(O29*O15)</f>
        <v/>
      </c>
      <c r="P48" s="14">
        <f>(P29*P15)</f>
        <v/>
      </c>
      <c r="Q48" s="14">
        <f>(Q29*Q15)</f>
        <v/>
      </c>
    </row>
    <row r="49">
      <c r="A49" t="inlineStr">
        <is>
          <t>Change in working capital</t>
        </is>
      </c>
      <c r="B49" t="inlineStr">
        <is>
          <t>delta_nwc</t>
        </is>
      </c>
      <c r="D49" s="13" t="n"/>
      <c r="E49" s="13" t="n">
        <v>31.09209799999991</v>
      </c>
      <c r="F49" s="13" t="n">
        <v>-20.18938299999996</v>
      </c>
      <c r="G49" s="13" t="n">
        <v>-83.82628899999997</v>
      </c>
      <c r="H49" s="14">
        <f>(H54-G54)</f>
        <v/>
      </c>
      <c r="I49" s="14">
        <f>(I54-H54)</f>
        <v/>
      </c>
      <c r="J49" s="14">
        <f>(J54-I54)</f>
        <v/>
      </c>
      <c r="K49" s="14">
        <f>(K54-J54)</f>
        <v/>
      </c>
      <c r="L49" s="14">
        <f>(L54-K54)</f>
        <v/>
      </c>
      <c r="M49" s="14">
        <f>(M54-L54)</f>
        <v/>
      </c>
      <c r="N49" s="14">
        <f>(N54-M54)</f>
        <v/>
      </c>
      <c r="O49" s="14">
        <f>(O54-N54)</f>
        <v/>
      </c>
      <c r="P49" s="14">
        <f>(P54-O54)</f>
        <v/>
      </c>
      <c r="Q49" s="14">
        <f>(Q54-P54)</f>
        <v/>
      </c>
    </row>
    <row r="50">
      <c r="A50" t="inlineStr">
        <is>
          <t>Free cash flow to firm</t>
        </is>
      </c>
      <c r="B50" t="inlineStr">
        <is>
          <t>fcff</t>
        </is>
      </c>
      <c r="D50" s="13" t="n"/>
      <c r="E50" s="13" t="n">
        <v>-49.50256659977624</v>
      </c>
      <c r="F50" s="13" t="n">
        <v>65.72154988788424</v>
      </c>
      <c r="G50" s="13" t="n">
        <v>79.53325981773803</v>
      </c>
      <c r="H50" s="14">
        <f>((((H33*(1-H17))+H34)-H48)-H49)</f>
        <v/>
      </c>
      <c r="I50" s="14">
        <f>((((I33*(1-I17))+I34)-I48)-I49)</f>
        <v/>
      </c>
      <c r="J50" s="14">
        <f>((((J33*(1-J17))+J34)-J48)-J49)</f>
        <v/>
      </c>
      <c r="K50" s="14">
        <f>((((K33*(1-K17))+K34)-K48)-K49)</f>
        <v/>
      </c>
      <c r="L50" s="14">
        <f>((((L33*(1-L17))+L34)-L48)-L49)</f>
        <v/>
      </c>
      <c r="M50" s="14">
        <f>((((M33*(1-M17))+M34)-M48)-M49)</f>
        <v/>
      </c>
      <c r="N50" s="14">
        <f>((((N33*(1-N17))+N34)-N48)-N49)</f>
        <v/>
      </c>
      <c r="O50" s="14">
        <f>((((O33*(1-O17))+O34)-O48)-O49)</f>
        <v/>
      </c>
      <c r="P50" s="14">
        <f>((((P33*(1-P17))+P34)-P48)-P49)</f>
        <v/>
      </c>
      <c r="Q50" s="14">
        <f>((((Q33*(1-Q17))+Q34)-Q48)-Q49)</f>
        <v/>
      </c>
    </row>
    <row r="51">
      <c r="A51" t="inlineStr">
        <is>
          <t>Net borrowing</t>
        </is>
      </c>
      <c r="B51" t="inlineStr">
        <is>
          <t>net_borrowing</t>
        </is>
      </c>
      <c r="D51" s="13" t="n"/>
      <c r="E51" s="13" t="n">
        <v>35.36014299999999</v>
      </c>
      <c r="F51" s="13" t="n">
        <v>-61.08946599999996</v>
      </c>
      <c r="G51" s="13" t="n">
        <v>51.00127900000001</v>
      </c>
      <c r="H51" s="14">
        <f>H20</f>
        <v/>
      </c>
      <c r="I51" s="14">
        <f>I20</f>
        <v/>
      </c>
      <c r="J51" s="14">
        <f>J20</f>
        <v/>
      </c>
      <c r="K51" s="14">
        <f>K20</f>
        <v/>
      </c>
      <c r="L51" s="14">
        <f>L20</f>
        <v/>
      </c>
      <c r="M51" s="14">
        <f>M20</f>
        <v/>
      </c>
      <c r="N51" s="14">
        <f>N20</f>
        <v/>
      </c>
      <c r="O51" s="14">
        <f>O20</f>
        <v/>
      </c>
      <c r="P51" s="14">
        <f>P20</f>
        <v/>
      </c>
      <c r="Q51" s="14">
        <f>Q20</f>
        <v/>
      </c>
    </row>
    <row r="52">
      <c r="A52" t="inlineStr">
        <is>
          <t>Dividends to minorities</t>
        </is>
      </c>
      <c r="B52" t="inlineStr">
        <is>
          <t>minority_div</t>
        </is>
      </c>
      <c r="D52" s="13" t="n"/>
      <c r="E52" s="13" t="n"/>
      <c r="F52" s="13" t="n"/>
      <c r="G52" s="13" t="n"/>
      <c r="H52" s="14">
        <f>(MAX(G42,0)*H23)</f>
        <v/>
      </c>
      <c r="I52" s="14">
        <f>(MAX(H42,0)*I23)</f>
        <v/>
      </c>
      <c r="J52" s="14">
        <f>(MAX(I42,0)*J23)</f>
        <v/>
      </c>
      <c r="K52" s="14">
        <f>(MAX(J42,0)*K23)</f>
        <v/>
      </c>
      <c r="L52" s="14">
        <f>(MAX(K42,0)*L23)</f>
        <v/>
      </c>
      <c r="M52" s="14">
        <f>(MAX(L42,0)*M23)</f>
        <v/>
      </c>
      <c r="N52" s="14">
        <f>(MAX(M42,0)*N23)</f>
        <v/>
      </c>
      <c r="O52" s="14">
        <f>(MAX(N42,0)*O23)</f>
        <v/>
      </c>
      <c r="P52" s="14">
        <f>(MAX(O42,0)*P23)</f>
        <v/>
      </c>
      <c r="Q52" s="14">
        <f>(MAX(P42,0)*Q23)</f>
        <v/>
      </c>
    </row>
    <row r="53">
      <c r="A53" t="inlineStr">
        <is>
          <t>Free cash flow to equity</t>
        </is>
      </c>
      <c r="B53" t="inlineStr">
        <is>
          <t>fcfe</t>
        </is>
      </c>
      <c r="D53" s="13" t="n"/>
      <c r="E53" s="13" t="n"/>
      <c r="F53" s="13" t="n"/>
      <c r="G53" s="13" t="n"/>
      <c r="H53" s="14">
        <f>(((((H41+H34)-H48)-H49)+H51)-H52)</f>
        <v/>
      </c>
      <c r="I53" s="14">
        <f>(((((I41+I34)-I48)-I49)+I51)-I52)</f>
        <v/>
      </c>
      <c r="J53" s="14">
        <f>(((((J41+J34)-J48)-J49)+J51)-J52)</f>
        <v/>
      </c>
      <c r="K53" s="14">
        <f>(((((K41+K34)-K48)-K49)+K51)-K52)</f>
        <v/>
      </c>
      <c r="L53" s="14">
        <f>(((((L41+L34)-L48)-L49)+L51)-L52)</f>
        <v/>
      </c>
      <c r="M53" s="14">
        <f>(((((M41+M34)-M48)-M49)+M51)-M52)</f>
        <v/>
      </c>
      <c r="N53" s="14">
        <f>(((((N41+N34)-N48)-N49)+N51)-N52)</f>
        <v/>
      </c>
      <c r="O53" s="14">
        <f>(((((O41+O34)-O48)-O49)+O51)-O52)</f>
        <v/>
      </c>
      <c r="P53" s="14">
        <f>(((((P41+P34)-P48)-P49)+P51)-P52)</f>
        <v/>
      </c>
      <c r="Q53" s="14">
        <f>(((((Q41+Q34)-Q48)-Q49)+Q51)-Q52)</f>
        <v/>
      </c>
    </row>
    <row r="54">
      <c r="A54" t="inlineStr">
        <is>
          <t>Operating working capital</t>
        </is>
      </c>
      <c r="B54" t="inlineStr">
        <is>
          <t>nwc</t>
        </is>
      </c>
      <c r="D54" s="13" t="n">
        <v>82.04047100000005</v>
      </c>
      <c r="E54" s="13" t="n">
        <v>113.132569</v>
      </c>
      <c r="F54" s="13" t="n">
        <v>92.943186</v>
      </c>
      <c r="G54" s="13" t="n">
        <v>9.116897000000023</v>
      </c>
      <c r="H54" s="14">
        <f>(H29*H16)</f>
        <v/>
      </c>
      <c r="I54" s="14">
        <f>(I29*I16)</f>
        <v/>
      </c>
      <c r="J54" s="14">
        <f>(J29*J16)</f>
        <v/>
      </c>
      <c r="K54" s="14">
        <f>(K29*K16)</f>
        <v/>
      </c>
      <c r="L54" s="14">
        <f>(L29*L16)</f>
        <v/>
      </c>
      <c r="M54" s="14">
        <f>(M29*M16)</f>
        <v/>
      </c>
      <c r="N54" s="14">
        <f>(N29*N16)</f>
        <v/>
      </c>
      <c r="O54" s="14">
        <f>(O29*O16)</f>
        <v/>
      </c>
      <c r="P54" s="14">
        <f>(P29*P16)</f>
        <v/>
      </c>
      <c r="Q54" s="14">
        <f>(Q29*Q16)</f>
        <v/>
      </c>
    </row>
    <row r="55">
      <c r="A55" t="inlineStr">
        <is>
          <t>Cash &amp; equivalents</t>
        </is>
      </c>
      <c r="B55" t="inlineStr">
        <is>
          <t>cash</t>
        </is>
      </c>
      <c r="D55" s="13" t="n">
        <v>105.294404</v>
      </c>
      <c r="E55" s="13" t="n">
        <v>50.275131</v>
      </c>
      <c r="F55" s="13" t="n">
        <v>67.831883</v>
      </c>
      <c r="G55" s="13" t="n">
        <v>85.612709</v>
      </c>
      <c r="H55" s="14">
        <f>(((((((G55+H41)+H34)-H48)-H49)+H51)-H47)-H52)</f>
        <v/>
      </c>
      <c r="I55" s="14">
        <f>(((((((H55+I41)+I34)-I48)-I49)+I51)-I47)-I52)</f>
        <v/>
      </c>
      <c r="J55" s="14">
        <f>(((((((I55+J41)+J34)-J48)-J49)+J51)-J47)-J52)</f>
        <v/>
      </c>
      <c r="K55" s="14">
        <f>(((((((J55+K41)+K34)-K48)-K49)+K51)-K47)-K52)</f>
        <v/>
      </c>
      <c r="L55" s="14">
        <f>(((((((K55+L41)+L34)-L48)-L49)+L51)-L47)-L52)</f>
        <v/>
      </c>
      <c r="M55" s="14">
        <f>(((((((L55+M41)+M34)-M48)-M49)+M51)-M47)-M52)</f>
        <v/>
      </c>
      <c r="N55" s="14">
        <f>(((((((M55+N41)+N34)-N48)-N49)+N51)-N47)-N52)</f>
        <v/>
      </c>
      <c r="O55" s="14">
        <f>(((((((N55+O41)+O34)-O48)-O49)+O51)-O47)-O52)</f>
        <v/>
      </c>
      <c r="P55" s="14">
        <f>(((((((O55+P41)+P34)-P48)-P49)+P51)-P47)-P52)</f>
        <v/>
      </c>
      <c r="Q55" s="14">
        <f>(((((((P55+Q41)+Q34)-Q48)-Q49)+Q51)-Q47)-Q52)</f>
        <v/>
      </c>
    </row>
    <row r="56">
      <c r="A56" t="inlineStr">
        <is>
          <t>Total debt</t>
        </is>
      </c>
      <c r="B56" t="inlineStr">
        <is>
          <t>debt</t>
        </is>
      </c>
      <c r="D56" s="13" t="n">
        <v>367.675124</v>
      </c>
      <c r="E56" s="13" t="n">
        <v>403.035267</v>
      </c>
      <c r="F56" s="13" t="n">
        <v>341.945801</v>
      </c>
      <c r="G56" s="13" t="n">
        <v>392.94708</v>
      </c>
      <c r="H56" s="14">
        <f>(G56+H51)</f>
        <v/>
      </c>
      <c r="I56" s="14">
        <f>(H56+I51)</f>
        <v/>
      </c>
      <c r="J56" s="14">
        <f>(I56+J51)</f>
        <v/>
      </c>
      <c r="K56" s="14">
        <f>(J56+K51)</f>
        <v/>
      </c>
      <c r="L56" s="14">
        <f>(K56+L51)</f>
        <v/>
      </c>
      <c r="M56" s="14">
        <f>(L56+M51)</f>
        <v/>
      </c>
      <c r="N56" s="14">
        <f>(M56+N51)</f>
        <v/>
      </c>
      <c r="O56" s="14">
        <f>(N56+O51)</f>
        <v/>
      </c>
      <c r="P56" s="14">
        <f>(O56+P51)</f>
        <v/>
      </c>
      <c r="Q56" s="14">
        <f>(P56+Q51)</f>
        <v/>
      </c>
    </row>
    <row r="57">
      <c r="A57" t="inlineStr">
        <is>
          <t>Fixed assets (net)</t>
        </is>
      </c>
      <c r="B57" t="inlineStr">
        <is>
          <t>ppe</t>
        </is>
      </c>
      <c r="D57" s="13" t="n">
        <v>84.90246500000001</v>
      </c>
      <c r="E57" s="13" t="n">
        <v>105.449212</v>
      </c>
      <c r="F57" s="13" t="n">
        <v>91.98756899999999</v>
      </c>
      <c r="G57" s="13" t="n">
        <v>375.023881</v>
      </c>
      <c r="H57" s="14">
        <f>((G57+H48)-H34)</f>
        <v/>
      </c>
      <c r="I57" s="14">
        <f>((H57+I48)-I34)</f>
        <v/>
      </c>
      <c r="J57" s="14">
        <f>((I57+J48)-J34)</f>
        <v/>
      </c>
      <c r="K57" s="14">
        <f>((J57+K48)-K34)</f>
        <v/>
      </c>
      <c r="L57" s="14">
        <f>((K57+L48)-L34)</f>
        <v/>
      </c>
      <c r="M57" s="14">
        <f>((L57+M48)-M34)</f>
        <v/>
      </c>
      <c r="N57" s="14">
        <f>((M57+N48)-N34)</f>
        <v/>
      </c>
      <c r="O57" s="14">
        <f>((N57+O48)-O34)</f>
        <v/>
      </c>
      <c r="P57" s="14">
        <f>((O57+P48)-P34)</f>
        <v/>
      </c>
      <c r="Q57" s="14">
        <f>((P57+Q48)-Q34)</f>
        <v/>
      </c>
    </row>
    <row r="58">
      <c r="A58" t="inlineStr">
        <is>
          <t>Parent shareholders' equity</t>
        </is>
      </c>
      <c r="B58" t="inlineStr">
        <is>
          <t>equity</t>
        </is>
      </c>
      <c r="D58" s="13" t="n">
        <v>338.01759</v>
      </c>
      <c r="E58" s="13" t="n">
        <v>327.803704</v>
      </c>
      <c r="F58" s="13" t="n">
        <v>357.353398</v>
      </c>
      <c r="G58" s="13" t="n">
        <v>194.114131</v>
      </c>
      <c r="H58" s="14">
        <f>((G58+H43)-H47)</f>
        <v/>
      </c>
      <c r="I58" s="14">
        <f>((H58+I43)-I47)</f>
        <v/>
      </c>
      <c r="J58" s="14">
        <f>((I58+J43)-J47)</f>
        <v/>
      </c>
      <c r="K58" s="14">
        <f>((J58+K43)-K47)</f>
        <v/>
      </c>
      <c r="L58" s="14">
        <f>((K58+L43)-L47)</f>
        <v/>
      </c>
      <c r="M58" s="14">
        <f>((L58+M43)-M47)</f>
        <v/>
      </c>
      <c r="N58" s="14">
        <f>((M58+N43)-N47)</f>
        <v/>
      </c>
      <c r="O58" s="14">
        <f>((N58+O43)-O47)</f>
        <v/>
      </c>
      <c r="P58" s="14">
        <f>((O58+P43)-P47)</f>
        <v/>
      </c>
      <c r="Q58" s="14">
        <f>((P58+Q43)-Q47)</f>
        <v/>
      </c>
    </row>
    <row r="59">
      <c r="A59" t="inlineStr">
        <is>
          <t>Minority interest (balance sheet)</t>
        </is>
      </c>
      <c r="B59" t="inlineStr">
        <is>
          <t>minority_bs</t>
        </is>
      </c>
      <c r="D59" s="13" t="n">
        <v>85.69270299999999</v>
      </c>
      <c r="E59" s="13" t="n">
        <v>95.88394099999999</v>
      </c>
      <c r="F59" s="13" t="n">
        <v>79.306832</v>
      </c>
      <c r="G59" s="13" t="n">
        <v>21.207129</v>
      </c>
      <c r="H59" s="14">
        <f>((G59+H42)-H52)</f>
        <v/>
      </c>
      <c r="I59" s="14">
        <f>((H59+I42)-I52)</f>
        <v/>
      </c>
      <c r="J59" s="14">
        <f>((I59+J42)-J52)</f>
        <v/>
      </c>
      <c r="K59" s="14">
        <f>((J59+K42)-K52)</f>
        <v/>
      </c>
      <c r="L59" s="14">
        <f>((K59+L42)-L52)</f>
        <v/>
      </c>
      <c r="M59" s="14">
        <f>((L59+M42)-M52)</f>
        <v/>
      </c>
      <c r="N59" s="14">
        <f>((M59+N42)-N52)</f>
        <v/>
      </c>
      <c r="O59" s="14">
        <f>((N59+O42)-O52)</f>
        <v/>
      </c>
      <c r="P59" s="14">
        <f>((O59+P42)-P52)</f>
        <v/>
      </c>
      <c r="Q59" s="14">
        <f>((P59+Q42)-Q52)</f>
        <v/>
      </c>
    </row>
    <row r="60">
      <c r="A60" t="inlineStr">
        <is>
          <t>Other assets less other liabilities</t>
        </is>
      </c>
      <c r="B60" t="inlineStr">
        <is>
          <t>other_net</t>
        </is>
      </c>
      <c r="D60" s="13" t="n">
        <v>519.1480769999999</v>
      </c>
      <c r="E60" s="13" t="n">
        <v>557.866</v>
      </c>
      <c r="F60" s="13" t="n">
        <v>525.843393</v>
      </c>
      <c r="G60" s="13" t="n">
        <v>138.514853</v>
      </c>
      <c r="H60" s="14">
        <f>G60</f>
        <v/>
      </c>
      <c r="I60" s="14">
        <f>H60</f>
        <v/>
      </c>
      <c r="J60" s="14">
        <f>I60</f>
        <v/>
      </c>
      <c r="K60" s="14">
        <f>J60</f>
        <v/>
      </c>
      <c r="L60" s="14">
        <f>K60</f>
        <v/>
      </c>
      <c r="M60" s="14">
        <f>L60</f>
        <v/>
      </c>
      <c r="N60" s="14">
        <f>M60</f>
        <v/>
      </c>
      <c r="O60" s="14">
        <f>N60</f>
        <v/>
      </c>
      <c r="P60" s="14">
        <f>O60</f>
        <v/>
      </c>
      <c r="Q60" s="14">
        <f>P60</f>
        <v/>
      </c>
    </row>
    <row r="61">
      <c r="A61" t="inlineStr">
        <is>
          <t>Balance check (should be zero)</t>
        </is>
      </c>
      <c r="B61" t="inlineStr">
        <is>
          <t>bs_check</t>
        </is>
      </c>
      <c r="D61" s="13" t="n"/>
      <c r="E61" s="13" t="n"/>
      <c r="F61" s="13" t="n"/>
      <c r="G61" s="13" t="n"/>
      <c r="H61" s="14">
        <f>((((((H55+H54)+H57)+H60)-H56)-H58)-H59)</f>
        <v/>
      </c>
      <c r="I61" s="14">
        <f>((((((I55+I54)+I57)+I60)-I56)-I58)-I59)</f>
        <v/>
      </c>
      <c r="J61" s="14">
        <f>((((((J55+J54)+J57)+J60)-J56)-J58)-J59)</f>
        <v/>
      </c>
      <c r="K61" s="14">
        <f>((((((K55+K54)+K57)+K60)-K56)-K58)-K59)</f>
        <v/>
      </c>
      <c r="L61" s="14">
        <f>((((((L55+L54)+L57)+L60)-L56)-L58)-L59)</f>
        <v/>
      </c>
      <c r="M61" s="14">
        <f>((((((M55+M54)+M57)+M60)-M56)-M58)-M59)</f>
        <v/>
      </c>
      <c r="N61" s="14">
        <f>((((((N55+N54)+N57)+N60)-N56)-N58)-N59)</f>
        <v/>
      </c>
      <c r="O61" s="14">
        <f>((((((O55+O54)+O57)+O60)-O56)-O58)-O59)</f>
        <v/>
      </c>
      <c r="P61" s="14">
        <f>((((((P55+P54)+P57)+P60)-P56)-P58)-P59)</f>
        <v/>
      </c>
      <c r="Q61" s="14">
        <f>((((((Q55+Q54)+Q57)+Q60)-Q56)-Q58)-Q59)</f>
        <v/>
      </c>
    </row>
    <row r="62">
      <c r="A62" t="inlineStr">
        <is>
          <t>Net debt (cash)</t>
        </is>
      </c>
      <c r="B62" t="inlineStr">
        <is>
          <t>net_debt</t>
        </is>
      </c>
      <c r="D62" s="13" t="n">
        <v>262.38072</v>
      </c>
      <c r="E62" s="13" t="n">
        <v>352.760136</v>
      </c>
      <c r="F62" s="13" t="n">
        <v>274.113918</v>
      </c>
      <c r="G62" s="13" t="n">
        <v>307.334371</v>
      </c>
      <c r="H62" s="14">
        <f>(H56-H55)</f>
        <v/>
      </c>
      <c r="I62" s="14">
        <f>(I56-I55)</f>
        <v/>
      </c>
      <c r="J62" s="14">
        <f>(J56-J55)</f>
        <v/>
      </c>
      <c r="K62" s="14">
        <f>(K56-K55)</f>
        <v/>
      </c>
      <c r="L62" s="14">
        <f>(L56-L55)</f>
        <v/>
      </c>
      <c r="M62" s="14">
        <f>(M56-M55)</f>
        <v/>
      </c>
      <c r="N62" s="14">
        <f>(N56-N55)</f>
        <v/>
      </c>
      <c r="O62" s="14">
        <f>(O56-O55)</f>
        <v/>
      </c>
      <c r="P62" s="14">
        <f>(P56-P55)</f>
        <v/>
      </c>
      <c r="Q62" s="14">
        <f>(Q56-Q55)</f>
        <v/>
      </c>
    </row>
    <row r="63">
      <c r="A63" t="inlineStr">
        <is>
          <t>Book value per share</t>
        </is>
      </c>
      <c r="B63" t="inlineStr">
        <is>
          <t>bvps</t>
        </is>
      </c>
      <c r="D63" s="15" t="n">
        <v>0.04198995051406441</v>
      </c>
      <c r="E63" s="15" t="n">
        <v>0.04043614280147522</v>
      </c>
      <c r="F63" s="15" t="n">
        <v>0.04375134283727364</v>
      </c>
      <c r="G63" s="15" t="n">
        <v>0.02353081005208911</v>
      </c>
      <c r="H63" s="16">
        <f>(IF(H44=0,0,H58/H44)*$C$7)</f>
        <v/>
      </c>
      <c r="I63" s="16">
        <f>(IF(I44=0,0,I58/I44)*$C$7)</f>
        <v/>
      </c>
      <c r="J63" s="16">
        <f>(IF(J44=0,0,J58/J44)*$C$7)</f>
        <v/>
      </c>
      <c r="K63" s="16">
        <f>(IF(K44=0,0,K58/K44)*$C$7)</f>
        <v/>
      </c>
      <c r="L63" s="16">
        <f>(IF(L44=0,0,L58/L44)*$C$7)</f>
        <v/>
      </c>
      <c r="M63" s="16">
        <f>(IF(M44=0,0,M58/M44)*$C$7)</f>
        <v/>
      </c>
      <c r="N63" s="16">
        <f>(IF(N44=0,0,N58/N44)*$C$7)</f>
        <v/>
      </c>
      <c r="O63" s="16">
        <f>(IF(O44=0,0,O58/O44)*$C$7)</f>
        <v/>
      </c>
      <c r="P63" s="16">
        <f>(IF(P44=0,0,P58/P44)*$C$7)</f>
        <v/>
      </c>
      <c r="Q63" s="16">
        <f>(IF(Q44=0,0,Q58/Q44)*$C$7)</f>
        <v/>
      </c>
    </row>
    <row r="64">
      <c r="A64" t="inlineStr">
        <is>
          <t>Revenue growth</t>
        </is>
      </c>
      <c r="B64" t="inlineStr">
        <is>
          <t>revenue_growth</t>
        </is>
      </c>
      <c r="D64" s="4" t="n"/>
      <c r="E64" s="4" t="n">
        <v>-0.2115912422338405</v>
      </c>
      <c r="F64" s="4" t="n">
        <v>-0.2303735212114335</v>
      </c>
      <c r="G64" s="4" t="n">
        <v>-0.05164697839045018</v>
      </c>
      <c r="H64" s="17">
        <f>(IF(G29=0,0,H29/G29)-1)</f>
        <v/>
      </c>
      <c r="I64" s="17">
        <f>(IF(H29=0,0,I29/H29)-1)</f>
        <v/>
      </c>
      <c r="J64" s="17">
        <f>(IF(I29=0,0,J29/I29)-1)</f>
        <v/>
      </c>
      <c r="K64" s="17">
        <f>(IF(J29=0,0,K29/J29)-1)</f>
        <v/>
      </c>
      <c r="L64" s="17">
        <f>(IF(K29=0,0,L29/K29)-1)</f>
        <v/>
      </c>
      <c r="M64" s="17">
        <f>(IF(L29=0,0,M29/L29)-1)</f>
        <v/>
      </c>
      <c r="N64" s="17">
        <f>(IF(M29=0,0,N29/M29)-1)</f>
        <v/>
      </c>
      <c r="O64" s="17">
        <f>(IF(N29=0,0,O29/N29)-1)</f>
        <v/>
      </c>
      <c r="P64" s="17">
        <f>(IF(O29=0,0,P29/O29)-1)</f>
        <v/>
      </c>
      <c r="Q64" s="17">
        <f>(IF(P29=0,0,Q29/P29)-1)</f>
        <v/>
      </c>
    </row>
    <row r="65">
      <c r="A65" t="inlineStr">
        <is>
          <t>Gross margin</t>
        </is>
      </c>
      <c r="B65" t="inlineStr">
        <is>
          <t>gross_margin</t>
        </is>
      </c>
      <c r="D65" s="4" t="n">
        <v>0.2139321550666915</v>
      </c>
      <c r="E65" s="4" t="n">
        <v>0.1273320446665306</v>
      </c>
      <c r="F65" s="4" t="n">
        <v>0.1984793134278913</v>
      </c>
      <c r="G65" s="4" t="n">
        <v>0.0811502386707815</v>
      </c>
      <c r="H65" s="17">
        <f>IF(H29=0,0,H31/H29)</f>
        <v/>
      </c>
      <c r="I65" s="17">
        <f>IF(I29=0,0,I31/I29)</f>
        <v/>
      </c>
      <c r="J65" s="17">
        <f>IF(J29=0,0,J31/J29)</f>
        <v/>
      </c>
      <c r="K65" s="17">
        <f>IF(K29=0,0,K31/K29)</f>
        <v/>
      </c>
      <c r="L65" s="17">
        <f>IF(L29=0,0,L31/L29)</f>
        <v/>
      </c>
      <c r="M65" s="17">
        <f>IF(M29=0,0,M31/M29)</f>
        <v/>
      </c>
      <c r="N65" s="17">
        <f>IF(N29=0,0,N31/N29)</f>
        <v/>
      </c>
      <c r="O65" s="17">
        <f>IF(O29=0,0,O31/O29)</f>
        <v/>
      </c>
      <c r="P65" s="17">
        <f>IF(P29=0,0,P31/P29)</f>
        <v/>
      </c>
      <c r="Q65" s="17">
        <f>IF(Q29=0,0,Q31/Q29)</f>
        <v/>
      </c>
    </row>
    <row r="66">
      <c r="A66" t="inlineStr">
        <is>
          <t>EBITDA margin</t>
        </is>
      </c>
      <c r="B66" t="inlineStr">
        <is>
          <t>ebitda_margin</t>
        </is>
      </c>
      <c r="D66" s="4" t="n">
        <v>0.1642726147313571</v>
      </c>
      <c r="E66" s="4" t="n">
        <v>0.02965002679802154</v>
      </c>
      <c r="F66" s="4" t="n">
        <v>0.2189084235361032</v>
      </c>
      <c r="G66" s="4" t="n">
        <v>0.1179912252445367</v>
      </c>
      <c r="H66" s="17">
        <f>IF(H29=0,0,H35/H29)</f>
        <v/>
      </c>
      <c r="I66" s="17">
        <f>IF(I29=0,0,I35/I29)</f>
        <v/>
      </c>
      <c r="J66" s="17">
        <f>IF(J29=0,0,J35/J29)</f>
        <v/>
      </c>
      <c r="K66" s="17">
        <f>IF(K29=0,0,K35/K29)</f>
        <v/>
      </c>
      <c r="L66" s="17">
        <f>IF(L29=0,0,L35/L29)</f>
        <v/>
      </c>
      <c r="M66" s="17">
        <f>IF(M29=0,0,M35/M29)</f>
        <v/>
      </c>
      <c r="N66" s="17">
        <f>IF(N29=0,0,N35/N29)</f>
        <v/>
      </c>
      <c r="O66" s="17">
        <f>IF(O29=0,0,O35/O29)</f>
        <v/>
      </c>
      <c r="P66" s="17">
        <f>IF(P29=0,0,P35/P29)</f>
        <v/>
      </c>
      <c r="Q66" s="17">
        <f>IF(Q29=0,0,Q35/Q29)</f>
        <v/>
      </c>
    </row>
    <row r="67">
      <c r="A67" t="inlineStr">
        <is>
          <t>EBIT margin</t>
        </is>
      </c>
      <c r="B67" t="inlineStr">
        <is>
          <t>ebit_margin</t>
        </is>
      </c>
      <c r="D67" s="4" t="n">
        <v>0.1609523603406179</v>
      </c>
      <c r="E67" s="4" t="n">
        <v>0.02322144419623951</v>
      </c>
      <c r="F67" s="4" t="n">
        <v>0.1206281831226623</v>
      </c>
      <c r="G67" s="4" t="n">
        <v>-0.08460346788179227</v>
      </c>
      <c r="H67" s="17">
        <f>IF(H29=0,0,H33/H29)</f>
        <v/>
      </c>
      <c r="I67" s="17">
        <f>IF(I29=0,0,I33/I29)</f>
        <v/>
      </c>
      <c r="J67" s="17">
        <f>IF(J29=0,0,J33/J29)</f>
        <v/>
      </c>
      <c r="K67" s="17">
        <f>IF(K29=0,0,K33/K29)</f>
        <v/>
      </c>
      <c r="L67" s="17">
        <f>IF(L29=0,0,L33/L29)</f>
        <v/>
      </c>
      <c r="M67" s="17">
        <f>IF(M29=0,0,M33/M29)</f>
        <v/>
      </c>
      <c r="N67" s="17">
        <f>IF(N29=0,0,N33/N29)</f>
        <v/>
      </c>
      <c r="O67" s="17">
        <f>IF(O29=0,0,O33/O29)</f>
        <v/>
      </c>
      <c r="P67" s="17">
        <f>IF(P29=0,0,P33/P29)</f>
        <v/>
      </c>
      <c r="Q67" s="17">
        <f>IF(Q29=0,0,Q33/Q29)</f>
        <v/>
      </c>
    </row>
    <row r="68">
      <c r="A68" t="inlineStr">
        <is>
          <t>Net margin</t>
        </is>
      </c>
      <c r="B68" t="inlineStr">
        <is>
          <t>np_margin</t>
        </is>
      </c>
      <c r="D68" s="4" t="n">
        <v>0.0909420075583395</v>
      </c>
      <c r="E68" s="4" t="n">
        <v>0.01577319676003613</v>
      </c>
      <c r="F68" s="4" t="n">
        <v>0.07379765323535602</v>
      </c>
      <c r="G68" s="4" t="n">
        <v>-0.4407332635121765</v>
      </c>
      <c r="H68" s="17">
        <f>IF(H29=0,0,H43/H29)</f>
        <v/>
      </c>
      <c r="I68" s="17">
        <f>IF(I29=0,0,I43/I29)</f>
        <v/>
      </c>
      <c r="J68" s="17">
        <f>IF(J29=0,0,J43/J29)</f>
        <v/>
      </c>
      <c r="K68" s="17">
        <f>IF(K29=0,0,K43/K29)</f>
        <v/>
      </c>
      <c r="L68" s="17">
        <f>IF(L29=0,0,L43/L29)</f>
        <v/>
      </c>
      <c r="M68" s="17">
        <f>IF(M29=0,0,M43/M29)</f>
        <v/>
      </c>
      <c r="N68" s="17">
        <f>IF(N29=0,0,N43/N29)</f>
        <v/>
      </c>
      <c r="O68" s="17">
        <f>IF(O29=0,0,O43/O29)</f>
        <v/>
      </c>
      <c r="P68" s="17">
        <f>IF(P29=0,0,P43/P29)</f>
        <v/>
      </c>
      <c r="Q68" s="17">
        <f>IF(Q29=0,0,Q43/Q29)</f>
        <v/>
      </c>
    </row>
    <row r="69">
      <c r="A69" t="inlineStr">
        <is>
          <t>EPS growth</t>
        </is>
      </c>
      <c r="B69" t="inlineStr">
        <is>
          <t>eps_growth</t>
        </is>
      </c>
      <c r="D69" s="4" t="n"/>
      <c r="E69" s="4" t="n">
        <v>-0.8642135523167765</v>
      </c>
      <c r="F69" s="4" t="n">
        <v>2.573883880487224</v>
      </c>
      <c r="G69" s="4" t="n">
        <v>-6.607761892856585</v>
      </c>
      <c r="H69" s="17">
        <f>(IF(G45=0,0,H45/G45)-1)</f>
        <v/>
      </c>
      <c r="I69" s="17">
        <f>(IF(H45=0,0,I45/H45)-1)</f>
        <v/>
      </c>
      <c r="J69" s="17">
        <f>(IF(I45=0,0,J45/I45)-1)</f>
        <v/>
      </c>
      <c r="K69" s="17">
        <f>(IF(J45=0,0,K45/J45)-1)</f>
        <v/>
      </c>
      <c r="L69" s="17">
        <f>(IF(K45=0,0,L45/K45)-1)</f>
        <v/>
      </c>
      <c r="M69" s="17">
        <f>(IF(L45=0,0,M45/L45)-1)</f>
        <v/>
      </c>
      <c r="N69" s="17">
        <f>(IF(M45=0,0,N45/M45)-1)</f>
        <v/>
      </c>
      <c r="O69" s="17">
        <f>(IF(N45=0,0,O45/N45)-1)</f>
        <v/>
      </c>
      <c r="P69" s="17">
        <f>(IF(O45=0,0,P45/O45)-1)</f>
        <v/>
      </c>
      <c r="Q69" s="17">
        <f>(IF(P45=0,0,Q45/P45)-1)</f>
        <v/>
      </c>
    </row>
    <row r="70">
      <c r="A70" t="inlineStr">
        <is>
          <t>ROE</t>
        </is>
      </c>
      <c r="B70" t="inlineStr">
        <is>
          <t>roe</t>
        </is>
      </c>
      <c r="D70" s="4" t="n"/>
      <c r="E70" s="4" t="n">
        <v>0.02374966397515067</v>
      </c>
      <c r="F70" s="4" t="n">
        <v>0.08310512703406232</v>
      </c>
      <c r="G70" s="4" t="n">
        <v>-0.5847918962423624</v>
      </c>
      <c r="H70" s="17">
        <f>IF(IF(2=0,0,(H58+G58)/2)=0,0,H43/IF(2=0,0,(H58+G58)/2))</f>
        <v/>
      </c>
      <c r="I70" s="17">
        <f>IF(IF(2=0,0,(I58+H58)/2)=0,0,I43/IF(2=0,0,(I58+H58)/2))</f>
        <v/>
      </c>
      <c r="J70" s="17">
        <f>IF(IF(2=0,0,(J58+I58)/2)=0,0,J43/IF(2=0,0,(J58+I58)/2))</f>
        <v/>
      </c>
      <c r="K70" s="17">
        <f>IF(IF(2=0,0,(K58+J58)/2)=0,0,K43/IF(2=0,0,(K58+J58)/2))</f>
        <v/>
      </c>
      <c r="L70" s="17">
        <f>IF(IF(2=0,0,(L58+K58)/2)=0,0,L43/IF(2=0,0,(L58+K58)/2))</f>
        <v/>
      </c>
      <c r="M70" s="17">
        <f>IF(IF(2=0,0,(M58+L58)/2)=0,0,M43/IF(2=0,0,(M58+L58)/2))</f>
        <v/>
      </c>
      <c r="N70" s="17">
        <f>IF(IF(2=0,0,(N58+M58)/2)=0,0,N43/IF(2=0,0,(N58+M58)/2))</f>
        <v/>
      </c>
      <c r="O70" s="17">
        <f>IF(IF(2=0,0,(O58+N58)/2)=0,0,O43/IF(2=0,0,(O58+N58)/2))</f>
        <v/>
      </c>
      <c r="P70" s="17">
        <f>IF(IF(2=0,0,(P58+O58)/2)=0,0,P43/IF(2=0,0,(P58+O58)/2))</f>
        <v/>
      </c>
      <c r="Q70" s="17">
        <f>IF(IF(2=0,0,(Q58+P58)/2)=0,0,Q43/IF(2=0,0,(Q58+P58)/2))</f>
        <v/>
      </c>
    </row>
    <row r="71">
      <c r="A71" t="inlineStr">
        <is>
          <t>Net debt / EBITDA</t>
        </is>
      </c>
      <c r="B71" t="inlineStr">
        <is>
          <t>net_debt_ebitda</t>
        </is>
      </c>
      <c r="D71" s="18" t="n">
        <v>2.512191583084041</v>
      </c>
      <c r="E71" s="18" t="n">
        <v>23.73498589129359</v>
      </c>
      <c r="F71" s="18" t="n">
        <v>3.245810639122845</v>
      </c>
      <c r="G71" s="18" t="n">
        <v>7.119441980639369</v>
      </c>
      <c r="H71" s="19">
        <f>IF(H35=0,0,H62/H35)</f>
        <v/>
      </c>
      <c r="I71" s="19">
        <f>IF(I35=0,0,I62/I35)</f>
        <v/>
      </c>
      <c r="J71" s="19">
        <f>IF(J35=0,0,J62/J35)</f>
        <v/>
      </c>
      <c r="K71" s="19">
        <f>IF(K35=0,0,K62/K35)</f>
        <v/>
      </c>
      <c r="L71" s="19">
        <f>IF(L35=0,0,L62/L35)</f>
        <v/>
      </c>
      <c r="M71" s="19">
        <f>IF(M35=0,0,M62/M35)</f>
        <v/>
      </c>
      <c r="N71" s="19">
        <f>IF(N35=0,0,N62/N35)</f>
        <v/>
      </c>
      <c r="O71" s="19">
        <f>IF(O35=0,0,O62/O35)</f>
        <v/>
      </c>
      <c r="P71" s="19">
        <f>IF(P35=0,0,P62/P35)</f>
        <v/>
      </c>
      <c r="Q71" s="19">
        <f>IF(Q35=0,0,Q62/Q35)</f>
        <v/>
      </c>
    </row>
    <row r="72">
      <c r="A72" t="inlineStr">
        <is>
          <t>Payout ratio</t>
        </is>
      </c>
      <c r="B72" t="inlineStr">
        <is>
          <t>payout_ratio</t>
        </is>
      </c>
      <c r="D72" s="4" t="n">
        <v>0.117949901971349</v>
      </c>
      <c r="E72" s="4" t="n">
        <v>0</v>
      </c>
      <c r="F72" s="4" t="n">
        <v>0.3854199733698861</v>
      </c>
      <c r="G72" s="4" t="n">
        <v>-0.05479193513931103</v>
      </c>
      <c r="H72" s="17">
        <f>IF(H45=0,0,H46/H45)</f>
        <v/>
      </c>
      <c r="I72" s="17">
        <f>IF(I45=0,0,I46/I45)</f>
        <v/>
      </c>
      <c r="J72" s="17">
        <f>IF(J45=0,0,J46/J45)</f>
        <v/>
      </c>
      <c r="K72" s="17">
        <f>IF(K45=0,0,K46/K45)</f>
        <v/>
      </c>
      <c r="L72" s="17">
        <f>IF(L45=0,0,L46/L45)</f>
        <v/>
      </c>
      <c r="M72" s="17">
        <f>IF(M45=0,0,M46/M45)</f>
        <v/>
      </c>
      <c r="N72" s="17">
        <f>IF(N45=0,0,N46/N45)</f>
        <v/>
      </c>
      <c r="O72" s="17">
        <f>IF(O45=0,0,O46/O45)</f>
        <v/>
      </c>
      <c r="P72" s="17">
        <f>IF(P45=0,0,P46/P45)</f>
        <v/>
      </c>
      <c r="Q72" s="17">
        <f>IF(Q45=0,0,Q46/Q45)</f>
        <v/>
      </c>
    </row>
    <row r="73">
      <c r="A73" t="inlineStr">
        <is>
          <t>Capex / revenue</t>
        </is>
      </c>
      <c r="B73" t="inlineStr">
        <is>
          <t>capex_revenue</t>
        </is>
      </c>
      <c r="D73" s="4" t="n">
        <v>0.03495272907846806</v>
      </c>
      <c r="E73" s="4" t="n">
        <v>0.05789212731667748</v>
      </c>
      <c r="F73" s="4" t="n">
        <v>0.05483402746160074</v>
      </c>
      <c r="G73" s="4" t="n">
        <v>0.1287899135925192</v>
      </c>
      <c r="H73" s="17">
        <f>IF(H29=0,0,H48/H29)</f>
        <v/>
      </c>
      <c r="I73" s="17">
        <f>IF(I29=0,0,I48/I29)</f>
        <v/>
      </c>
      <c r="J73" s="17">
        <f>IF(J29=0,0,J48/J29)</f>
        <v/>
      </c>
      <c r="K73" s="17">
        <f>IF(K29=0,0,K48/K29)</f>
        <v/>
      </c>
      <c r="L73" s="17">
        <f>IF(L29=0,0,L48/L29)</f>
        <v/>
      </c>
      <c r="M73" s="17">
        <f>IF(M29=0,0,M48/M29)</f>
        <v/>
      </c>
      <c r="N73" s="17">
        <f>IF(N29=0,0,N48/N29)</f>
        <v/>
      </c>
      <c r="O73" s="17">
        <f>IF(O29=0,0,O48/O29)</f>
        <v/>
      </c>
      <c r="P73" s="17">
        <f>IF(P29=0,0,P48/P29)</f>
        <v/>
      </c>
      <c r="Q73" s="17">
        <f>IF(Q29=0,0,Q48/Q29)</f>
        <v/>
      </c>
    </row>
    <row r="75">
      <c r="A75" s="1" t="inlineStr">
        <is>
          <t>VALUATION</t>
        </is>
      </c>
    </row>
    <row r="76">
      <c r="A76" t="inlineStr">
        <is>
          <t>Last price (IDR)</t>
        </is>
      </c>
      <c r="C76" s="15" t="n">
        <v>520</v>
      </c>
    </row>
    <row r="77">
      <c r="A77" t="inlineStr">
        <is>
          <t>Shares outstanding (m)</t>
        </is>
      </c>
      <c r="C77" s="13" t="n">
        <v>8309.574774999999</v>
      </c>
    </row>
    <row r="78">
      <c r="A78" t="inlineStr">
        <is>
          <t>IDR per USD (spot)</t>
        </is>
      </c>
      <c r="C78" s="3" t="n">
        <v>18183</v>
      </c>
    </row>
    <row r="79">
      <c r="A79" t="inlineStr">
        <is>
          <t>Debt at balance-sheet date</t>
        </is>
      </c>
      <c r="C79" s="13" t="n">
        <v>399.255165</v>
      </c>
    </row>
    <row r="80">
      <c r="A80" t="inlineStr">
        <is>
          <t>Cash at balance-sheet date</t>
        </is>
      </c>
      <c r="C80" s="13" t="n">
        <v>85.09519</v>
      </c>
    </row>
    <row r="81">
      <c r="A81" t="inlineStr">
        <is>
          <t>Minority interest (book)</t>
        </is>
      </c>
      <c r="C81" s="13" t="n">
        <v>21.751102</v>
      </c>
    </row>
    <row r="82">
      <c r="A82" t="inlineStr">
        <is>
          <t>Associates &amp; investments (book)</t>
        </is>
      </c>
      <c r="C82" s="13" t="n">
        <v>4.911794</v>
      </c>
    </row>
    <row r="83">
      <c r="A83" t="inlineStr">
        <is>
          <t>Post-balance-sheet &amp; other items (sourced, probability-weighted)</t>
        </is>
      </c>
      <c r="C83" s="13" t="n">
        <v>0</v>
      </c>
    </row>
    <row r="84">
      <c r="A84" t="inlineStr">
        <is>
          <t>Parent equity at balance-sheet date</t>
        </is>
      </c>
      <c r="C84" s="13" t="n">
        <v>167.169365</v>
      </c>
    </row>
    <row r="85">
      <c r="A85" t="inlineStr">
        <is>
          <t>Per-share factor</t>
        </is>
      </c>
      <c r="C85" s="20" t="n">
        <v>1</v>
      </c>
    </row>
    <row r="86">
      <c r="A86" t="inlineStr">
        <is>
          <t>Risk-free rate</t>
        </is>
      </c>
      <c r="C86" s="8">
        <f>Drivers!$C$8</f>
        <v/>
      </c>
    </row>
    <row r="87">
      <c r="A87" t="inlineStr">
        <is>
          <t>Less: default spread (IDR only)</t>
        </is>
      </c>
      <c r="C87" s="8" t="n">
        <v>0</v>
      </c>
    </row>
    <row r="88">
      <c r="A88" t="inlineStr">
        <is>
          <t>Mature ERP + Indonesia CRP</t>
        </is>
      </c>
      <c r="C88" s="8">
        <f>Drivers!$C$10+Drivers!$C$11</f>
        <v/>
      </c>
    </row>
    <row r="89">
      <c r="A89" t="inlineStr">
        <is>
          <t>Tax rate</t>
        </is>
      </c>
      <c r="C89" s="8">
        <f>Drivers!$C$13</f>
        <v/>
      </c>
    </row>
    <row r="90">
      <c r="A90" t="inlineStr">
        <is>
          <t>Unlevered beta (industry default (config))</t>
        </is>
      </c>
      <c r="C90" s="21" t="n">
        <v>0.9</v>
      </c>
    </row>
    <row r="91">
      <c r="A91" t="inlineStr">
        <is>
          <t>Debt / equity (market)</t>
        </is>
      </c>
      <c r="C91" s="21" t="n">
        <v>1.680095381571204</v>
      </c>
    </row>
    <row r="92">
      <c r="A92" t="inlineStr">
        <is>
          <t>Levered beta</t>
        </is>
      </c>
      <c r="C92" s="22">
        <f>$C$90*(1+(1-$C$89)*$C$91)</f>
        <v/>
      </c>
    </row>
    <row r="93">
      <c r="A93" t="inlineStr">
        <is>
          <t>Explicit company premium</t>
        </is>
      </c>
      <c r="C93" s="4" t="n">
        <v>0</v>
      </c>
    </row>
    <row r="94">
      <c r="A94" t="inlineStr">
        <is>
          <t>Cost of equity</t>
        </is>
      </c>
      <c r="C94" s="10">
        <f>$C$86-$C$87+$C$92*$C$88+$C$93</f>
        <v/>
      </c>
    </row>
    <row r="95">
      <c r="A95" t="inlineStr">
        <is>
          <t>Pre-tax cost of debt</t>
        </is>
      </c>
      <c r="C95" s="10">
        <f>$C$86+Drivers!$C$12</f>
        <v/>
      </c>
    </row>
    <row r="96">
      <c r="A96" t="inlineStr">
        <is>
          <t>WACC</t>
        </is>
      </c>
      <c r="C96" s="10">
        <f>1/(1+$C$91)*$C$94+$C$91/(1+$C$91)*$C$95*(1-$C$89)</f>
        <v/>
      </c>
    </row>
    <row r="97">
      <c r="A97" t="inlineStr">
        <is>
          <t>Terminal growth (capped)</t>
        </is>
      </c>
      <c r="C97" s="4" t="n">
        <v>0.02</v>
      </c>
    </row>
    <row r="99">
      <c r="A99" s="1" t="inlineStr">
        <is>
          <t>Sum of the parts</t>
        </is>
      </c>
    </row>
    <row r="100">
      <c r="A100" t="inlineStr">
        <is>
          <t>Value per share (IDR) — Sum of the parts (engine value)</t>
        </is>
      </c>
      <c r="C100" s="15" t="n">
        <v>150.551704</v>
      </c>
    </row>
    <row r="102">
      <c r="A102" s="1" t="inlineStr">
        <is>
          <t>P/BV</t>
        </is>
      </c>
    </row>
    <row r="103">
      <c r="A103" t="inlineStr">
        <is>
          <t>Target multiple (peer median)</t>
        </is>
      </c>
      <c r="C103" s="18" t="n">
        <v>0.845401</v>
      </c>
    </row>
    <row r="104">
      <c r="A104" t="inlineStr">
        <is>
          <t>Metric (LTM, or next-12m DPS for yield)</t>
        </is>
      </c>
      <c r="C104" s="13" t="n">
        <v>167.169365</v>
      </c>
    </row>
    <row r="105">
      <c r="A105" t="inlineStr">
        <is>
          <t>Value per share (IDR) — P/BV</t>
        </is>
      </c>
      <c r="C105" s="23">
        <f>MAX(0,$C$103*$C$104/$C$77*$C$85*$C$78)</f>
        <v/>
      </c>
    </row>
    <row r="107">
      <c r="A107" s="1" t="inlineStr">
        <is>
          <t>EV/EBITDA</t>
        </is>
      </c>
    </row>
    <row r="108">
      <c r="A108" t="inlineStr">
        <is>
          <t>Target multiple (peer median)</t>
        </is>
      </c>
      <c r="C108" s="18" t="n">
        <v>15.439976</v>
      </c>
    </row>
    <row r="109">
      <c r="A109" t="inlineStr">
        <is>
          <t>Metric (LTM, or next-12m DPS for yield)</t>
        </is>
      </c>
      <c r="C109" s="13" t="n">
        <v>43.168323</v>
      </c>
    </row>
    <row r="110">
      <c r="A110" t="inlineStr">
        <is>
          <t>Value per share (IDR) — EV/EBITDA</t>
        </is>
      </c>
      <c r="C110" s="23">
        <f>MAX(0,($C$108*$C$109-($C$79-$C$80)-$C$81+$C$82+$C$83)/$C$77*$C$85*$C$78)</f>
        <v/>
      </c>
    </row>
    <row r="112">
      <c r="A112" s="1" t="inlineStr">
        <is>
          <t>TARGET</t>
        </is>
      </c>
    </row>
    <row r="113">
      <c r="A113" t="inlineStr">
        <is>
          <t>Weight: Sum of the parts</t>
        </is>
      </c>
      <c r="C113" s="4" t="n">
        <v>0.6</v>
      </c>
    </row>
    <row r="114">
      <c r="A114" t="inlineStr">
        <is>
          <t>Weight: P/BV</t>
        </is>
      </c>
      <c r="C114" s="4" t="n">
        <v>0.3</v>
      </c>
    </row>
    <row r="115">
      <c r="A115" t="inlineStr">
        <is>
          <t>Weight: EV/EBITDA</t>
        </is>
      </c>
      <c r="C115" s="4" t="n">
        <v>0.1</v>
      </c>
    </row>
    <row r="116">
      <c r="A116" t="inlineStr">
        <is>
          <t>Value today (weighted)</t>
        </is>
      </c>
      <c r="C116" s="23">
        <f>$C$100*$C$113+$C$105*$C$114+$C$110*$C$115</f>
        <v/>
      </c>
    </row>
    <row r="117">
      <c r="A117" t="inlineStr">
        <is>
          <t>DPS expected in next 12 months (IDR)</t>
        </is>
      </c>
      <c r="C117" s="15" t="n">
        <v>0</v>
      </c>
    </row>
    <row r="118">
      <c r="A118" t="inlineStr">
        <is>
          <t>Base-case 12-month value</t>
        </is>
      </c>
      <c r="C118" s="23">
        <f>MAX(0,$C$116*(1+$C$94)-$C$117)</f>
        <v/>
      </c>
    </row>
    <row r="119">
      <c r="A119" t="inlineStr">
        <is>
          <t>Bear probability</t>
        </is>
      </c>
      <c r="C119" s="4" t="n">
        <v>0.25</v>
      </c>
    </row>
    <row r="120">
      <c r="A120" t="inlineStr">
        <is>
          <t>Bear 12-month value (engine)</t>
        </is>
      </c>
      <c r="C120" s="15" t="n">
        <v>289.8002322682146</v>
      </c>
    </row>
    <row r="121">
      <c r="A121" t="inlineStr">
        <is>
          <t>Base probability</t>
        </is>
      </c>
      <c r="C121" s="4" t="n">
        <v>0.5</v>
      </c>
    </row>
    <row r="122">
      <c r="A122" t="inlineStr">
        <is>
          <t>Bull probability</t>
        </is>
      </c>
      <c r="C122" s="4" t="n">
        <v>0.25</v>
      </c>
    </row>
    <row r="123">
      <c r="A123" t="inlineStr">
        <is>
          <t>Bull 12-month value (engine)</t>
        </is>
      </c>
      <c r="C123" s="15" t="n">
        <v>320.5015184471065</v>
      </c>
    </row>
    <row r="124">
      <c r="A124" t="inlineStr">
        <is>
          <t>Probability-weighted 12-month value</t>
        </is>
      </c>
      <c r="C124" s="23">
        <f>$C$119*$C$120+$C$121*$C$118+$C$122*$C$123</f>
        <v/>
      </c>
    </row>
    <row r="125">
      <c r="A125" t="inlineStr">
        <is>
          <t>Liquidity discount (limits.yaml)</t>
        </is>
      </c>
      <c r="C125" s="4" t="n">
        <v>0</v>
      </c>
    </row>
    <row r="126">
      <c r="A126" t="inlineStr">
        <is>
          <t>TARGET PRICE (IDR)</t>
        </is>
      </c>
      <c r="C126" s="24">
        <f>$C$124*(1-$C$125)</f>
        <v/>
      </c>
    </row>
    <row r="127">
      <c r="A127" t="inlineStr">
        <is>
          <t>Expected 12-month total return</t>
        </is>
      </c>
      <c r="C127" s="25">
        <f>($C$126+$C$117)/$C$76-1</f>
        <v/>
      </c>
    </row>
    <row r="128">
      <c r="A128" t="inlineStr">
        <is>
          <t>Rating</t>
        </is>
      </c>
      <c r="C128" s="26">
        <f>IF($C$127&gt;=0.25,"BUY",IF($C$127&gt;=0.1,"ADD",IF($C$127&lt;=-0.25,"SELL",IF($C$127&lt;=-0.1,"REDUCE","HOLD"))))</f>
        <v/>
      </c>
    </row>
    <row r="130">
      <c r="A130" s="1" t="inlineStr">
        <is>
          <t>12-month value vs holding-company discount and cost of equity (engine values)</t>
        </is>
      </c>
    </row>
    <row r="131">
      <c r="A131" s="5" t="inlineStr">
        <is>
          <t>rows: Cost of equity (+/- pp) · columns: Holdco discount (+/- pp)</t>
        </is>
      </c>
      <c r="D131" s="1" t="n">
        <v>-0.1</v>
      </c>
      <c r="E131" s="1" t="n">
        <v>-0.05</v>
      </c>
      <c r="F131" s="1" t="n">
        <v>0</v>
      </c>
      <c r="G131" s="1" t="n">
        <v>0.05</v>
      </c>
      <c r="H131" s="1" t="n">
        <v>0.1</v>
      </c>
    </row>
    <row r="132">
      <c r="C132" s="1" t="n">
        <v>-0.01</v>
      </c>
      <c r="D132" s="23" t="n">
        <v>317.80724</v>
      </c>
      <c r="E132" s="23" t="n">
        <v>310.196441</v>
      </c>
      <c r="F132" s="23" t="n">
        <v>302.585642</v>
      </c>
      <c r="G132" s="23" t="n">
        <v>294.974842</v>
      </c>
      <c r="H132" s="23" t="n">
        <v>287.364043</v>
      </c>
    </row>
    <row r="133">
      <c r="C133" s="1" t="n">
        <v>-0.005</v>
      </c>
      <c r="D133" s="23" t="n">
        <v>319.154379</v>
      </c>
      <c r="E133" s="23" t="n">
        <v>311.511319</v>
      </c>
      <c r="F133" s="23" t="n">
        <v>303.868259</v>
      </c>
      <c r="G133" s="23" t="n">
        <v>296.225198</v>
      </c>
      <c r="H133" s="23" t="n">
        <v>288.582138</v>
      </c>
    </row>
    <row r="134">
      <c r="C134" s="1" t="n">
        <v>0</v>
      </c>
      <c r="D134" s="23" t="n">
        <v>320.501518</v>
      </c>
      <c r="E134" s="23" t="n">
        <v>312.826197</v>
      </c>
      <c r="F134" s="23" t="n">
        <v>305.150875</v>
      </c>
      <c r="G134" s="23" t="n">
        <v>297.475554</v>
      </c>
      <c r="H134" s="23" t="n">
        <v>289.800232</v>
      </c>
    </row>
    <row r="135">
      <c r="C135" s="1" t="n">
        <v>0.005</v>
      </c>
      <c r="D135" s="23" t="n">
        <v>321.848657</v>
      </c>
      <c r="E135" s="23" t="n">
        <v>314.141075</v>
      </c>
      <c r="F135" s="23" t="n">
        <v>306.433492</v>
      </c>
      <c r="G135" s="23" t="n">
        <v>298.72591</v>
      </c>
      <c r="H135" s="23" t="n">
        <v>291.018327</v>
      </c>
    </row>
    <row r="136">
      <c r="C136" s="1" t="n">
        <v>0.01</v>
      </c>
      <c r="D136" s="23" t="n">
        <v>323.195796</v>
      </c>
      <c r="E136" s="23" t="n">
        <v>315.455953</v>
      </c>
      <c r="F136" s="23" t="n">
        <v>307.716109</v>
      </c>
      <c r="G136" s="23" t="n">
        <v>299.976265</v>
      </c>
      <c r="H136" s="23" t="n">
        <v>292.236422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1" t="inlineStr">
        <is>
          <t>PT Dosni Roha Indonesia Tbk (ZBRA.JK) — Conglomerates &amp; multi-sector holdings</t>
        </is>
      </c>
    </row>
    <row r="2">
      <c r="A2" s="5" t="inlineStr">
        <is>
          <t>Units: IDR bn; per-share in IDR unless marked IDR. Model asof 2026-10-29 · data 2026-10-27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FY2021A</t>
        </is>
      </c>
      <c r="E4" s="1" t="inlineStr">
        <is>
          <t>FY2022A</t>
        </is>
      </c>
      <c r="F4" s="1" t="inlineStr">
        <is>
          <t>FY2023A</t>
        </is>
      </c>
      <c r="G4" s="1" t="inlineStr">
        <is>
          <t>FY2024E</t>
        </is>
      </c>
      <c r="H4" s="1" t="inlineStr">
        <is>
          <t>FY2025E</t>
        </is>
      </c>
      <c r="I4" s="1" t="inlineStr">
        <is>
          <t>FY2026E</t>
        </is>
      </c>
      <c r="J4" s="1" t="inlineStr">
        <is>
          <t>FY2027E</t>
        </is>
      </c>
      <c r="K4" s="1" t="inlineStr">
        <is>
          <t>FY2028E</t>
        </is>
      </c>
      <c r="L4" s="1" t="inlineStr">
        <is>
          <t>FY2029E</t>
        </is>
      </c>
      <c r="M4" s="1" t="inlineStr">
        <is>
          <t>FY2030E</t>
        </is>
      </c>
      <c r="N4" s="1" t="inlineStr">
        <is>
          <t>FY2031E</t>
        </is>
      </c>
      <c r="O4" s="1" t="inlineStr">
        <is>
          <t>FY2032E</t>
        </is>
      </c>
      <c r="P4" s="1" t="inlineStr">
        <is>
          <t>FY2033E</t>
        </is>
      </c>
    </row>
    <row r="6">
      <c r="A6" s="1" t="inlineStr">
        <is>
          <t>PARAMETERS</t>
        </is>
      </c>
    </row>
    <row r="7">
      <c r="A7" t="inlineStr">
        <is>
          <t>ps_factor</t>
        </is>
      </c>
      <c r="C7" s="12" t="n">
        <v>1000</v>
      </c>
    </row>
    <row r="8">
      <c r="A8" t="inlineStr">
        <is>
          <t>vp_factor</t>
        </is>
      </c>
      <c r="C8" s="12" t="n">
        <v>1</v>
      </c>
    </row>
    <row r="10">
      <c r="A10" s="1" t="inlineStr">
        <is>
          <t>INPUTS (company assumptions)</t>
        </is>
      </c>
    </row>
    <row r="11">
      <c r="A11" t="inlineStr">
        <is>
          <t>Revenue growth</t>
        </is>
      </c>
      <c r="B11" t="inlineStr">
        <is>
          <t>a.revenue_growth</t>
        </is>
      </c>
      <c r="G11" s="4" t="n">
        <v>-0.619513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</row>
    <row r="12">
      <c r="A12" t="inlineStr">
        <is>
          <t>Gross margin at base input costs</t>
        </is>
      </c>
      <c r="B12" t="inlineStr">
        <is>
          <t>a.gross_margin</t>
        </is>
      </c>
      <c r="G12" s="4" t="n">
        <v>0.206501</v>
      </c>
      <c r="H12" s="4" t="n">
        <v>0.206501</v>
      </c>
      <c r="I12" s="4" t="n">
        <v>0.206501</v>
      </c>
      <c r="J12" s="4" t="n">
        <v>0.206501</v>
      </c>
      <c r="K12" s="4" t="n">
        <v>0.206501</v>
      </c>
      <c r="L12" s="4" t="n">
        <v>0.206501</v>
      </c>
      <c r="M12" s="4" t="n">
        <v>0.206501</v>
      </c>
      <c r="N12" s="4" t="n">
        <v>0.206501</v>
      </c>
      <c r="O12" s="4" t="n">
        <v>0.206501</v>
      </c>
      <c r="P12" s="4" t="n">
        <v>0.206501</v>
      </c>
    </row>
    <row r="13">
      <c r="A13" t="inlineStr">
        <is>
          <t>SG&amp;A / revenue</t>
        </is>
      </c>
      <c r="B13" t="inlineStr">
        <is>
          <t>a.opex_pct</t>
        </is>
      </c>
      <c r="G13" s="4" t="n">
        <v>0.208052</v>
      </c>
      <c r="H13" s="4" t="n">
        <v>0.208052</v>
      </c>
      <c r="I13" s="4" t="n">
        <v>0.208052</v>
      </c>
      <c r="J13" s="4" t="n">
        <v>0.208052</v>
      </c>
      <c r="K13" s="4" t="n">
        <v>0.208052</v>
      </c>
      <c r="L13" s="4" t="n">
        <v>0.208052</v>
      </c>
      <c r="M13" s="4" t="n">
        <v>0.208052</v>
      </c>
      <c r="N13" s="4" t="n">
        <v>0.208052</v>
      </c>
      <c r="O13" s="4" t="n">
        <v>0.208052</v>
      </c>
      <c r="P13" s="4" t="n">
        <v>0.208052</v>
      </c>
    </row>
    <row r="14">
      <c r="A14" t="inlineStr">
        <is>
          <t>D&amp;A / revenue</t>
        </is>
      </c>
      <c r="B14" t="inlineStr">
        <is>
          <t>a.da_pct</t>
        </is>
      </c>
      <c r="G14" s="4" t="n">
        <v>0.043317</v>
      </c>
      <c r="H14" s="4" t="n">
        <v>0.043317</v>
      </c>
      <c r="I14" s="4" t="n">
        <v>0.043317</v>
      </c>
      <c r="J14" s="4" t="n">
        <v>0.043317</v>
      </c>
      <c r="K14" s="4" t="n">
        <v>0.043317</v>
      </c>
      <c r="L14" s="4" t="n">
        <v>0.043317</v>
      </c>
      <c r="M14" s="4" t="n">
        <v>0.043317</v>
      </c>
      <c r="N14" s="4" t="n">
        <v>0.043317</v>
      </c>
      <c r="O14" s="4" t="n">
        <v>0.043317</v>
      </c>
      <c r="P14" s="4" t="n">
        <v>0.043317</v>
      </c>
    </row>
    <row r="15">
      <c r="A15" t="inlineStr">
        <is>
          <t>Capex / revenue</t>
        </is>
      </c>
      <c r="B15" t="inlineStr">
        <is>
          <t>a.capex_pct</t>
        </is>
      </c>
      <c r="G15" s="4" t="n">
        <v>0.002658</v>
      </c>
      <c r="H15" s="4" t="n">
        <v>0.002658</v>
      </c>
      <c r="I15" s="4" t="n">
        <v>0.002658</v>
      </c>
      <c r="J15" s="4" t="n">
        <v>0.002658</v>
      </c>
      <c r="K15" s="4" t="n">
        <v>0.002658</v>
      </c>
      <c r="L15" s="4" t="n">
        <v>0.002658</v>
      </c>
      <c r="M15" s="4" t="n">
        <v>0.002658</v>
      </c>
      <c r="N15" s="4" t="n">
        <v>0.002658</v>
      </c>
      <c r="O15" s="4" t="n">
        <v>0.002658</v>
      </c>
      <c r="P15" s="4" t="n">
        <v>0.002658</v>
      </c>
    </row>
    <row r="16">
      <c r="A16" t="inlineStr">
        <is>
          <t>Operating working capital / revenue</t>
        </is>
      </c>
      <c r="B16" t="inlineStr">
        <is>
          <t>a.nwc_pct</t>
        </is>
      </c>
      <c r="G16" s="4" t="n">
        <v>2.118107</v>
      </c>
      <c r="H16" s="4" t="n">
        <v>2.118107</v>
      </c>
      <c r="I16" s="4" t="n">
        <v>2.118107</v>
      </c>
      <c r="J16" s="4" t="n">
        <v>2.118107</v>
      </c>
      <c r="K16" s="4" t="n">
        <v>2.118107</v>
      </c>
      <c r="L16" s="4" t="n">
        <v>2.118107</v>
      </c>
      <c r="M16" s="4" t="n">
        <v>2.118107</v>
      </c>
      <c r="N16" s="4" t="n">
        <v>2.118107</v>
      </c>
      <c r="O16" s="4" t="n">
        <v>2.118107</v>
      </c>
      <c r="P16" s="4" t="n">
        <v>2.118107</v>
      </c>
    </row>
    <row r="17">
      <c r="A17" t="inlineStr">
        <is>
          <t>Effective tax rate</t>
        </is>
      </c>
      <c r="B17" t="inlineStr">
        <is>
          <t>a.tax_rate</t>
        </is>
      </c>
      <c r="G17" s="4" t="n">
        <v>0.1</v>
      </c>
      <c r="H17" s="4" t="n">
        <v>0.1</v>
      </c>
      <c r="I17" s="4" t="n">
        <v>0.1</v>
      </c>
      <c r="J17" s="4" t="n">
        <v>0.1</v>
      </c>
      <c r="K17" s="4" t="n">
        <v>0.1</v>
      </c>
      <c r="L17" s="4" t="n">
        <v>0.1</v>
      </c>
      <c r="M17" s="4" t="n">
        <v>0.1</v>
      </c>
      <c r="N17" s="4" t="n">
        <v>0.1</v>
      </c>
      <c r="O17" s="4" t="n">
        <v>0.1</v>
      </c>
      <c r="P17" s="4" t="n">
        <v>0.1</v>
      </c>
    </row>
    <row r="18">
      <c r="A18" t="inlineStr">
        <is>
          <t>Cost of debt (on opening debt)</t>
        </is>
      </c>
      <c r="B18" t="inlineStr">
        <is>
          <t>a.cost_of_debt</t>
        </is>
      </c>
      <c r="C18" s="4" t="n">
        <v>0.128259</v>
      </c>
    </row>
    <row r="19">
      <c r="A19" t="inlineStr">
        <is>
          <t>Yield on opening cash</t>
        </is>
      </c>
      <c r="B19" t="inlineStr">
        <is>
          <t>a.cash_yield</t>
        </is>
      </c>
      <c r="C19" s="4" t="n">
        <v>0.005076</v>
      </c>
    </row>
    <row r="20">
      <c r="A20" t="inlineStr">
        <is>
          <t>Net new borrowing</t>
        </is>
      </c>
      <c r="B20" t="inlineStr">
        <is>
          <t>a.net_borrowing</t>
        </is>
      </c>
      <c r="G20" s="13" t="n">
        <v>86.09999999999999</v>
      </c>
      <c r="H20" s="13" t="n">
        <v>97.2</v>
      </c>
      <c r="I20" s="13" t="n">
        <v>109.7</v>
      </c>
      <c r="J20" s="13" t="n">
        <v>123.8</v>
      </c>
      <c r="K20" s="13" t="n">
        <v>139.7</v>
      </c>
      <c r="L20" s="13" t="n">
        <v>143.1925</v>
      </c>
      <c r="M20" s="13" t="n">
        <v>146.7723125</v>
      </c>
      <c r="N20" s="13" t="n">
        <v>150.4416203124999</v>
      </c>
      <c r="O20" s="13" t="n">
        <v>154.2026608203124</v>
      </c>
      <c r="P20" s="13" t="n">
        <v>158.0577273408202</v>
      </c>
    </row>
    <row r="21">
      <c r="A21" t="inlineStr">
        <is>
          <t>Other non-operating items</t>
        </is>
      </c>
      <c r="B21" t="inlineStr">
        <is>
          <t>a.other_nonop</t>
        </is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</row>
    <row r="22">
      <c r="A22" t="inlineStr">
        <is>
          <t>Minorities' share of net profit</t>
        </is>
      </c>
      <c r="B22" t="inlineStr">
        <is>
          <t>a.minority_pct</t>
        </is>
      </c>
      <c r="G22" s="4" t="n">
        <v>0.002813</v>
      </c>
      <c r="H22" s="4" t="n">
        <v>0.002813</v>
      </c>
      <c r="I22" s="4" t="n">
        <v>0.002813</v>
      </c>
      <c r="J22" s="4" t="n">
        <v>0.002813</v>
      </c>
      <c r="K22" s="4" t="n">
        <v>0.002813</v>
      </c>
      <c r="L22" s="4" t="n">
        <v>0.002813</v>
      </c>
      <c r="M22" s="4" t="n">
        <v>0.002813</v>
      </c>
      <c r="N22" s="4" t="n">
        <v>0.002813</v>
      </c>
      <c r="O22" s="4" t="n">
        <v>0.002813</v>
      </c>
      <c r="P22" s="4" t="n">
        <v>0.002813</v>
      </c>
    </row>
    <row r="23">
      <c r="A23" t="inlineStr">
        <is>
          <t>Dividend payout</t>
        </is>
      </c>
      <c r="B23" t="inlineStr">
        <is>
          <t>a.payout</t>
        </is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</row>
    <row r="24">
      <c r="A24" t="inlineStr">
        <is>
          <t>Change in share count</t>
        </is>
      </c>
      <c r="B24" t="inlineStr">
        <is>
          <t>a.share_change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</row>
    <row r="25">
      <c r="A25" t="inlineStr">
        <is>
          <t>Terminal growth (DCF)</t>
        </is>
      </c>
      <c r="B25" t="inlineStr">
        <is>
          <t>a.terminal_growth</t>
        </is>
      </c>
      <c r="C25" s="4" t="n">
        <v>0.02</v>
      </c>
    </row>
    <row r="26">
      <c r="A26" t="inlineStr">
        <is>
          <t>Holding-company discount to SOTP</t>
        </is>
      </c>
      <c r="B26" t="inlineStr">
        <is>
          <t>a.holdco_discount</t>
        </is>
      </c>
      <c r="C26" s="4" t="n">
        <v>0.6625</v>
      </c>
    </row>
    <row r="28">
      <c r="A28" s="1" t="inlineStr">
        <is>
          <t>MODEL</t>
        </is>
      </c>
    </row>
    <row r="29">
      <c r="A29" t="inlineStr">
        <is>
          <t>Revenue</t>
        </is>
      </c>
      <c r="B29" t="inlineStr">
        <is>
          <t>revenue</t>
        </is>
      </c>
      <c r="D29" s="13" t="n">
        <v>3497.365178638</v>
      </c>
      <c r="E29" s="13" t="n">
        <v>2958.367547579</v>
      </c>
      <c r="F29" s="13" t="n">
        <v>1724.458039618</v>
      </c>
      <c r="G29" s="14">
        <f>(F29*(1+G11))</f>
        <v/>
      </c>
      <c r="H29" s="14">
        <f>(G29*(1+H11))</f>
        <v/>
      </c>
      <c r="I29" s="14">
        <f>(H29*(1+I11))</f>
        <v/>
      </c>
      <c r="J29" s="14">
        <f>(I29*(1+J11))</f>
        <v/>
      </c>
      <c r="K29" s="14">
        <f>(J29*(1+K11))</f>
        <v/>
      </c>
      <c r="L29" s="14">
        <f>(K29*(1+L11))</f>
        <v/>
      </c>
      <c r="M29" s="14">
        <f>(L29*(1+M11))</f>
        <v/>
      </c>
      <c r="N29" s="14">
        <f>(M29*(1+N11))</f>
        <v/>
      </c>
      <c r="O29" s="14">
        <f>(N29*(1+O11))</f>
        <v/>
      </c>
      <c r="P29" s="14">
        <f>(O29*(1+P11))</f>
        <v/>
      </c>
    </row>
    <row r="30">
      <c r="A30" t="inlineStr">
        <is>
          <t>Cost of revenue</t>
        </is>
      </c>
      <c r="B30" t="inlineStr">
        <is>
          <t>cogs</t>
        </is>
      </c>
      <c r="D30" s="13" t="n">
        <v>3010.499286315</v>
      </c>
      <c r="E30" s="13" t="n">
        <v>2607.505060314</v>
      </c>
      <c r="F30" s="13" t="n">
        <v>1368.355683895</v>
      </c>
      <c r="G30" s="14">
        <f>(G29*(1-G12))</f>
        <v/>
      </c>
      <c r="H30" s="14">
        <f>(H29*(1-H12))</f>
        <v/>
      </c>
      <c r="I30" s="14">
        <f>(I29*(1-I12))</f>
        <v/>
      </c>
      <c r="J30" s="14">
        <f>(J29*(1-J12))</f>
        <v/>
      </c>
      <c r="K30" s="14">
        <f>(K29*(1-K12))</f>
        <v/>
      </c>
      <c r="L30" s="14">
        <f>(L29*(1-L12))</f>
        <v/>
      </c>
      <c r="M30" s="14">
        <f>(M29*(1-M12))</f>
        <v/>
      </c>
      <c r="N30" s="14">
        <f>(N29*(1-N12))</f>
        <v/>
      </c>
      <c r="O30" s="14">
        <f>(O29*(1-O12))</f>
        <v/>
      </c>
      <c r="P30" s="14">
        <f>(P29*(1-P12))</f>
        <v/>
      </c>
    </row>
    <row r="31">
      <c r="A31" t="inlineStr">
        <is>
          <t>Gross profit</t>
        </is>
      </c>
      <c r="B31" t="inlineStr">
        <is>
          <t>gross_profit</t>
        </is>
      </c>
      <c r="D31" s="13" t="n">
        <v>486.865892323</v>
      </c>
      <c r="E31" s="13" t="n">
        <v>350.862487265</v>
      </c>
      <c r="F31" s="13" t="n">
        <v>356.102355723</v>
      </c>
      <c r="G31" s="14">
        <f>(G29-G30)</f>
        <v/>
      </c>
      <c r="H31" s="14">
        <f>(H29-H30)</f>
        <v/>
      </c>
      <c r="I31" s="14">
        <f>(I29-I30)</f>
        <v/>
      </c>
      <c r="J31" s="14">
        <f>(J29-J30)</f>
        <v/>
      </c>
      <c r="K31" s="14">
        <f>(K29-K30)</f>
        <v/>
      </c>
      <c r="L31" s="14">
        <f>(L29-L30)</f>
        <v/>
      </c>
      <c r="M31" s="14">
        <f>(M29-M30)</f>
        <v/>
      </c>
      <c r="N31" s="14">
        <f>(N29-N30)</f>
        <v/>
      </c>
      <c r="O31" s="14">
        <f>(O29-O30)</f>
        <v/>
      </c>
      <c r="P31" s="14">
        <f>(P29-P30)</f>
        <v/>
      </c>
    </row>
    <row r="32">
      <c r="A32" t="inlineStr">
        <is>
          <t>SG&amp;A and other opex</t>
        </is>
      </c>
      <c r="B32" t="inlineStr">
        <is>
          <t>opex</t>
        </is>
      </c>
      <c r="D32" s="13" t="n">
        <v>340.975502449</v>
      </c>
      <c r="E32" s="13" t="n">
        <v>374.20327184</v>
      </c>
      <c r="F32" s="13" t="n">
        <v>358.776869206</v>
      </c>
      <c r="G32" s="14">
        <f>(G29*G13)</f>
        <v/>
      </c>
      <c r="H32" s="14">
        <f>(H29*H13)</f>
        <v/>
      </c>
      <c r="I32" s="14">
        <f>(I29*I13)</f>
        <v/>
      </c>
      <c r="J32" s="14">
        <f>(J29*J13)</f>
        <v/>
      </c>
      <c r="K32" s="14">
        <f>(K29*K13)</f>
        <v/>
      </c>
      <c r="L32" s="14">
        <f>(L29*L13)</f>
        <v/>
      </c>
      <c r="M32" s="14">
        <f>(M29*M13)</f>
        <v/>
      </c>
      <c r="N32" s="14">
        <f>(N29*N13)</f>
        <v/>
      </c>
      <c r="O32" s="14">
        <f>(O29*O13)</f>
        <v/>
      </c>
      <c r="P32" s="14">
        <f>(P29*P13)</f>
        <v/>
      </c>
    </row>
    <row r="33">
      <c r="A33" t="inlineStr">
        <is>
          <t>EBIT</t>
        </is>
      </c>
      <c r="B33" t="inlineStr">
        <is>
          <t>ebit</t>
        </is>
      </c>
      <c r="D33" s="13" t="n">
        <v>145.890389874</v>
      </c>
      <c r="E33" s="13" t="n">
        <v>-23.340784575</v>
      </c>
      <c r="F33" s="13" t="n">
        <v>-2.674513483</v>
      </c>
      <c r="G33" s="14">
        <f>(G31-G32)</f>
        <v/>
      </c>
      <c r="H33" s="14">
        <f>(H31-H32)</f>
        <v/>
      </c>
      <c r="I33" s="14">
        <f>(I31-I32)</f>
        <v/>
      </c>
      <c r="J33" s="14">
        <f>(J31-J32)</f>
        <v/>
      </c>
      <c r="K33" s="14">
        <f>(K31-K32)</f>
        <v/>
      </c>
      <c r="L33" s="14">
        <f>(L31-L32)</f>
        <v/>
      </c>
      <c r="M33" s="14">
        <f>(M31-M32)</f>
        <v/>
      </c>
      <c r="N33" s="14">
        <f>(N31-N32)</f>
        <v/>
      </c>
      <c r="O33" s="14">
        <f>(O31-O32)</f>
        <v/>
      </c>
      <c r="P33" s="14">
        <f>(P31-P32)</f>
        <v/>
      </c>
    </row>
    <row r="34">
      <c r="A34" t="inlineStr">
        <is>
          <t>Depreciation &amp; amortisation</t>
        </is>
      </c>
      <c r="B34" t="inlineStr">
        <is>
          <t>da</t>
        </is>
      </c>
      <c r="D34" s="13" t="n">
        <v>29.630833505</v>
      </c>
      <c r="E34" s="13" t="n">
        <v>47.487741301</v>
      </c>
      <c r="F34" s="13" t="n">
        <v>74.698336392</v>
      </c>
      <c r="G34" s="14">
        <f>(G29*G14)</f>
        <v/>
      </c>
      <c r="H34" s="14">
        <f>(H29*H14)</f>
        <v/>
      </c>
      <c r="I34" s="14">
        <f>(I29*I14)</f>
        <v/>
      </c>
      <c r="J34" s="14">
        <f>(J29*J14)</f>
        <v/>
      </c>
      <c r="K34" s="14">
        <f>(K29*K14)</f>
        <v/>
      </c>
      <c r="L34" s="14">
        <f>(L29*L14)</f>
        <v/>
      </c>
      <c r="M34" s="14">
        <f>(M29*M14)</f>
        <v/>
      </c>
      <c r="N34" s="14">
        <f>(N29*N14)</f>
        <v/>
      </c>
      <c r="O34" s="14">
        <f>(O29*O14)</f>
        <v/>
      </c>
      <c r="P34" s="14">
        <f>(P29*P14)</f>
        <v/>
      </c>
    </row>
    <row r="35">
      <c r="A35" t="inlineStr">
        <is>
          <t>EBITDA</t>
        </is>
      </c>
      <c r="B35" t="inlineStr">
        <is>
          <t>ebitda</t>
        </is>
      </c>
      <c r="D35" s="13" t="n">
        <v>175.521223379</v>
      </c>
      <c r="E35" s="13" t="n">
        <v>24.146956726</v>
      </c>
      <c r="F35" s="13" t="n">
        <v>72.023822909</v>
      </c>
      <c r="G35" s="14">
        <f>(G33+G34)</f>
        <v/>
      </c>
      <c r="H35" s="14">
        <f>(H33+H34)</f>
        <v/>
      </c>
      <c r="I35" s="14">
        <f>(I33+I34)</f>
        <v/>
      </c>
      <c r="J35" s="14">
        <f>(J33+J34)</f>
        <v/>
      </c>
      <c r="K35" s="14">
        <f>(K33+K34)</f>
        <v/>
      </c>
      <c r="L35" s="14">
        <f>(L33+L34)</f>
        <v/>
      </c>
      <c r="M35" s="14">
        <f>(M33+M34)</f>
        <v/>
      </c>
      <c r="N35" s="14">
        <f>(N33+N34)</f>
        <v/>
      </c>
      <c r="O35" s="14">
        <f>(O33+O34)</f>
        <v/>
      </c>
      <c r="P35" s="14">
        <f>(P33+P34)</f>
        <v/>
      </c>
    </row>
    <row r="36">
      <c r="A36" t="inlineStr">
        <is>
          <t>Interest expense</t>
        </is>
      </c>
      <c r="B36" t="inlineStr">
        <is>
          <t>interest_expense</t>
        </is>
      </c>
      <c r="D36" s="13" t="n">
        <v>110.394595841</v>
      </c>
      <c r="E36" s="13" t="n">
        <v>125.317753248</v>
      </c>
      <c r="F36" s="13" t="n">
        <v>163.134550045</v>
      </c>
      <c r="G36" s="14">
        <f>(F56*$C$18)</f>
        <v/>
      </c>
      <c r="H36" s="14">
        <f>(G56*$C$18)</f>
        <v/>
      </c>
      <c r="I36" s="14">
        <f>(H56*$C$18)</f>
        <v/>
      </c>
      <c r="J36" s="14">
        <f>(I56*$C$18)</f>
        <v/>
      </c>
      <c r="K36" s="14">
        <f>(J56*$C$18)</f>
        <v/>
      </c>
      <c r="L36" s="14">
        <f>(K56*$C$18)</f>
        <v/>
      </c>
      <c r="M36" s="14">
        <f>(L56*$C$18)</f>
        <v/>
      </c>
      <c r="N36" s="14">
        <f>(M56*$C$18)</f>
        <v/>
      </c>
      <c r="O36" s="14">
        <f>(N56*$C$18)</f>
        <v/>
      </c>
      <c r="P36" s="14">
        <f>(O56*$C$18)</f>
        <v/>
      </c>
    </row>
    <row r="37">
      <c r="A37" t="inlineStr">
        <is>
          <t>Interest income</t>
        </is>
      </c>
      <c r="B37" t="inlineStr">
        <is>
          <t>interest_income</t>
        </is>
      </c>
      <c r="D37" s="13" t="n">
        <v>0.6483804869999999</v>
      </c>
      <c r="E37" s="13" t="n">
        <v>0.178098149</v>
      </c>
      <c r="F37" s="13" t="n">
        <v>0.140527839</v>
      </c>
      <c r="G37" s="14">
        <f>(F55*$C$19)</f>
        <v/>
      </c>
      <c r="H37" s="14">
        <f>(G55*$C$19)</f>
        <v/>
      </c>
      <c r="I37" s="14">
        <f>(H55*$C$19)</f>
        <v/>
      </c>
      <c r="J37" s="14">
        <f>(I55*$C$19)</f>
        <v/>
      </c>
      <c r="K37" s="14">
        <f>(J55*$C$19)</f>
        <v/>
      </c>
      <c r="L37" s="14">
        <f>(K55*$C$19)</f>
        <v/>
      </c>
      <c r="M37" s="14">
        <f>(L55*$C$19)</f>
        <v/>
      </c>
      <c r="N37" s="14">
        <f>(M55*$C$19)</f>
        <v/>
      </c>
      <c r="O37" s="14">
        <f>(N55*$C$19)</f>
        <v/>
      </c>
      <c r="P37" s="14">
        <f>(O55*$C$19)</f>
        <v/>
      </c>
    </row>
    <row r="38">
      <c r="A38" t="inlineStr">
        <is>
          <t>Other non-operating</t>
        </is>
      </c>
      <c r="B38" t="inlineStr">
        <is>
          <t>other_nonop</t>
        </is>
      </c>
      <c r="D38" s="13" t="n">
        <v>-4.404213688999991</v>
      </c>
      <c r="E38" s="13" t="n">
        <v>38.72730295900001</v>
      </c>
      <c r="F38" s="13" t="n">
        <v>25.993033329</v>
      </c>
      <c r="G38" s="14">
        <f>G21</f>
        <v/>
      </c>
      <c r="H38" s="14">
        <f>H21</f>
        <v/>
      </c>
      <c r="I38" s="14">
        <f>I21</f>
        <v/>
      </c>
      <c r="J38" s="14">
        <f>J21</f>
        <v/>
      </c>
      <c r="K38" s="14">
        <f>K21</f>
        <v/>
      </c>
      <c r="L38" s="14">
        <f>L21</f>
        <v/>
      </c>
      <c r="M38" s="14">
        <f>M21</f>
        <v/>
      </c>
      <c r="N38" s="14">
        <f>N21</f>
        <v/>
      </c>
      <c r="O38" s="14">
        <f>O21</f>
        <v/>
      </c>
      <c r="P38" s="14">
        <f>P21</f>
        <v/>
      </c>
    </row>
    <row r="39">
      <c r="A39" t="inlineStr">
        <is>
          <t>Profit before tax</t>
        </is>
      </c>
      <c r="B39" t="inlineStr">
        <is>
          <t>pbt</t>
        </is>
      </c>
      <c r="D39" s="13" t="n">
        <v>31.739960831</v>
      </c>
      <c r="E39" s="13" t="n">
        <v>-109.753136715</v>
      </c>
      <c r="F39" s="13" t="n">
        <v>-139.67550236</v>
      </c>
      <c r="G39" s="14">
        <f>(((G33-G36)+G37)+G38)</f>
        <v/>
      </c>
      <c r="H39" s="14">
        <f>(((H33-H36)+H37)+H38)</f>
        <v/>
      </c>
      <c r="I39" s="14">
        <f>(((I33-I36)+I37)+I38)</f>
        <v/>
      </c>
      <c r="J39" s="14">
        <f>(((J33-J36)+J37)+J38)</f>
        <v/>
      </c>
      <c r="K39" s="14">
        <f>(((K33-K36)+K37)+K38)</f>
        <v/>
      </c>
      <c r="L39" s="14">
        <f>(((L33-L36)+L37)+L38)</f>
        <v/>
      </c>
      <c r="M39" s="14">
        <f>(((M33-M36)+M37)+M38)</f>
        <v/>
      </c>
      <c r="N39" s="14">
        <f>(((N33-N36)+N37)+N38)</f>
        <v/>
      </c>
      <c r="O39" s="14">
        <f>(((O33-O36)+O37)+O38)</f>
        <v/>
      </c>
      <c r="P39" s="14">
        <f>(((P33-P36)+P37)+P38)</f>
        <v/>
      </c>
    </row>
    <row r="40">
      <c r="A40" t="inlineStr">
        <is>
          <t>Tax</t>
        </is>
      </c>
      <c r="B40" t="inlineStr">
        <is>
          <t>tax</t>
        </is>
      </c>
      <c r="D40" s="13" t="n">
        <v>5.59796312</v>
      </c>
      <c r="E40" s="13" t="n">
        <v>2.555173881</v>
      </c>
      <c r="F40" s="13" t="n">
        <v>5.078187676</v>
      </c>
      <c r="G40" s="14">
        <f>(MAX(G39,0)*G17)</f>
        <v/>
      </c>
      <c r="H40" s="14">
        <f>(MAX(H39,0)*H17)</f>
        <v/>
      </c>
      <c r="I40" s="14">
        <f>(MAX(I39,0)*I17)</f>
        <v/>
      </c>
      <c r="J40" s="14">
        <f>(MAX(J39,0)*J17)</f>
        <v/>
      </c>
      <c r="K40" s="14">
        <f>(MAX(K39,0)*K17)</f>
        <v/>
      </c>
      <c r="L40" s="14">
        <f>(MAX(L39,0)*L17)</f>
        <v/>
      </c>
      <c r="M40" s="14">
        <f>(MAX(M39,0)*M17)</f>
        <v/>
      </c>
      <c r="N40" s="14">
        <f>(MAX(N39,0)*N17)</f>
        <v/>
      </c>
      <c r="O40" s="14">
        <f>(MAX(O39,0)*O17)</f>
        <v/>
      </c>
      <c r="P40" s="14">
        <f>(MAX(P39,0)*P17)</f>
        <v/>
      </c>
    </row>
    <row r="41">
      <c r="A41" t="inlineStr">
        <is>
          <t>Net profit (incl. minorities)</t>
        </is>
      </c>
      <c r="B41" t="inlineStr">
        <is>
          <t>np</t>
        </is>
      </c>
      <c r="D41" s="13" t="n">
        <v>29.15913798</v>
      </c>
      <c r="E41" s="13" t="n">
        <v>-112.308310596</v>
      </c>
      <c r="F41" s="13" t="n">
        <v>-144.753690036</v>
      </c>
      <c r="G41" s="14">
        <f>(G39-G40)</f>
        <v/>
      </c>
      <c r="H41" s="14">
        <f>(H39-H40)</f>
        <v/>
      </c>
      <c r="I41" s="14">
        <f>(I39-I40)</f>
        <v/>
      </c>
      <c r="J41" s="14">
        <f>(J39-J40)</f>
        <v/>
      </c>
      <c r="K41" s="14">
        <f>(K39-K40)</f>
        <v/>
      </c>
      <c r="L41" s="14">
        <f>(L39-L40)</f>
        <v/>
      </c>
      <c r="M41" s="14">
        <f>(M39-M40)</f>
        <v/>
      </c>
      <c r="N41" s="14">
        <f>(N39-N40)</f>
        <v/>
      </c>
      <c r="O41" s="14">
        <f>(O39-O40)</f>
        <v/>
      </c>
      <c r="P41" s="14">
        <f>(P39-P40)</f>
        <v/>
      </c>
    </row>
    <row r="42">
      <c r="A42" t="inlineStr">
        <is>
          <t>Minority interests</t>
        </is>
      </c>
      <c r="B42" t="inlineStr">
        <is>
          <t>minority</t>
        </is>
      </c>
      <c r="D42" s="13" t="n">
        <v>0.1292581219999995</v>
      </c>
      <c r="E42" s="13" t="n">
        <v>4.308878535000005</v>
      </c>
      <c r="F42" s="13" t="n">
        <v>-6.133746489000004</v>
      </c>
      <c r="G42" s="14">
        <f>(G41*G22)</f>
        <v/>
      </c>
      <c r="H42" s="14">
        <f>(H41*H22)</f>
        <v/>
      </c>
      <c r="I42" s="14">
        <f>(I41*I22)</f>
        <v/>
      </c>
      <c r="J42" s="14">
        <f>(J41*J22)</f>
        <v/>
      </c>
      <c r="K42" s="14">
        <f>(K41*K22)</f>
        <v/>
      </c>
      <c r="L42" s="14">
        <f>(L41*L22)</f>
        <v/>
      </c>
      <c r="M42" s="14">
        <f>(M41*M22)</f>
        <v/>
      </c>
      <c r="N42" s="14">
        <f>(N41*N22)</f>
        <v/>
      </c>
      <c r="O42" s="14">
        <f>(O41*O22)</f>
        <v/>
      </c>
      <c r="P42" s="14">
        <f>(P41*P22)</f>
        <v/>
      </c>
    </row>
    <row r="43">
      <c r="A43" t="inlineStr">
        <is>
          <t>Net profit to parent</t>
        </is>
      </c>
      <c r="B43" t="inlineStr">
        <is>
          <t>np_parent</t>
        </is>
      </c>
      <c r="D43" s="13" t="n">
        <v>29.029879858</v>
      </c>
      <c r="E43" s="13" t="n">
        <v>-116.617189131</v>
      </c>
      <c r="F43" s="13" t="n">
        <v>-138.619943547</v>
      </c>
      <c r="G43" s="14">
        <f>(G41-G42)</f>
        <v/>
      </c>
      <c r="H43" s="14">
        <f>(H41-H42)</f>
        <v/>
      </c>
      <c r="I43" s="14">
        <f>(I41-I42)</f>
        <v/>
      </c>
      <c r="J43" s="14">
        <f>(J41-J42)</f>
        <v/>
      </c>
      <c r="K43" s="14">
        <f>(K41-K42)</f>
        <v/>
      </c>
      <c r="L43" s="14">
        <f>(L41-L42)</f>
        <v/>
      </c>
      <c r="M43" s="14">
        <f>(M41-M42)</f>
        <v/>
      </c>
      <c r="N43" s="14">
        <f>(N41-N42)</f>
        <v/>
      </c>
      <c r="O43" s="14">
        <f>(O41-O42)</f>
        <v/>
      </c>
      <c r="P43" s="14">
        <f>(P41-P42)</f>
        <v/>
      </c>
    </row>
    <row r="44">
      <c r="A44" t="inlineStr">
        <is>
          <t>Shares outstanding (m)</t>
        </is>
      </c>
      <c r="B44" t="inlineStr">
        <is>
          <t>shares</t>
        </is>
      </c>
      <c r="D44" s="13" t="n">
        <v>534.207251</v>
      </c>
      <c r="E44" s="13" t="n">
        <v>534.207251</v>
      </c>
      <c r="F44" s="13" t="n">
        <v>534.207251</v>
      </c>
      <c r="G44" s="14">
        <f>(F44*(1+G24))</f>
        <v/>
      </c>
      <c r="H44" s="14">
        <f>(G44*(1+H24))</f>
        <v/>
      </c>
      <c r="I44" s="14">
        <f>(H44*(1+I24))</f>
        <v/>
      </c>
      <c r="J44" s="14">
        <f>(I44*(1+J24))</f>
        <v/>
      </c>
      <c r="K44" s="14">
        <f>(J44*(1+K24))</f>
        <v/>
      </c>
      <c r="L44" s="14">
        <f>(K44*(1+L24))</f>
        <v/>
      </c>
      <c r="M44" s="14">
        <f>(L44*(1+M24))</f>
        <v/>
      </c>
      <c r="N44" s="14">
        <f>(M44*(1+N24))</f>
        <v/>
      </c>
      <c r="O44" s="14">
        <f>(N44*(1+O24))</f>
        <v/>
      </c>
      <c r="P44" s="14">
        <f>(O44*(1+P24))</f>
        <v/>
      </c>
    </row>
    <row r="45">
      <c r="A45" t="inlineStr">
        <is>
          <t>EPS</t>
        </is>
      </c>
      <c r="B45" t="inlineStr">
        <is>
          <t>eps</t>
        </is>
      </c>
      <c r="D45" s="15" t="n">
        <v>54.34198020273596</v>
      </c>
      <c r="E45" s="15" t="n">
        <v>-218.2995249740629</v>
      </c>
      <c r="F45" s="15" t="n">
        <v>-259.4871995606813</v>
      </c>
      <c r="G45" s="16">
        <f>(IF(G44=0,0,G43/G44)*$C$7)</f>
        <v/>
      </c>
      <c r="H45" s="16">
        <f>(IF(H44=0,0,H43/H44)*$C$7)</f>
        <v/>
      </c>
      <c r="I45" s="16">
        <f>(IF(I44=0,0,I43/I44)*$C$7)</f>
        <v/>
      </c>
      <c r="J45" s="16">
        <f>(IF(J44=0,0,J43/J44)*$C$7)</f>
        <v/>
      </c>
      <c r="K45" s="16">
        <f>(IF(K44=0,0,K43/K44)*$C$7)</f>
        <v/>
      </c>
      <c r="L45" s="16">
        <f>(IF(L44=0,0,L43/L44)*$C$7)</f>
        <v/>
      </c>
      <c r="M45" s="16">
        <f>(IF(M44=0,0,M43/M44)*$C$7)</f>
        <v/>
      </c>
      <c r="N45" s="16">
        <f>(IF(N44=0,0,N43/N44)*$C$7)</f>
        <v/>
      </c>
      <c r="O45" s="16">
        <f>(IF(O44=0,0,O43/O44)*$C$7)</f>
        <v/>
      </c>
      <c r="P45" s="16">
        <f>(IF(P44=0,0,P43/P44)*$C$7)</f>
        <v/>
      </c>
    </row>
    <row r="46">
      <c r="A46" t="inlineStr">
        <is>
          <t>DPS (declared on the year)</t>
        </is>
      </c>
      <c r="B46" t="inlineStr">
        <is>
          <t>dps</t>
        </is>
      </c>
      <c r="D46" s="15" t="n">
        <v>0</v>
      </c>
      <c r="E46" s="15" t="n">
        <v>0</v>
      </c>
      <c r="F46" s="15" t="n">
        <v>0</v>
      </c>
      <c r="G46" s="16">
        <f>(MAX(G45,0)*G23)</f>
        <v/>
      </c>
      <c r="H46" s="16">
        <f>(MAX(H45,0)*H23)</f>
        <v/>
      </c>
      <c r="I46" s="16">
        <f>(MAX(I45,0)*I23)</f>
        <v/>
      </c>
      <c r="J46" s="16">
        <f>(MAX(J45,0)*J23)</f>
        <v/>
      </c>
      <c r="K46" s="16">
        <f>(MAX(K45,0)*K23)</f>
        <v/>
      </c>
      <c r="L46" s="16">
        <f>(MAX(L45,0)*L23)</f>
        <v/>
      </c>
      <c r="M46" s="16">
        <f>(MAX(M45,0)*M23)</f>
        <v/>
      </c>
      <c r="N46" s="16">
        <f>(MAX(N45,0)*N23)</f>
        <v/>
      </c>
      <c r="O46" s="16">
        <f>(MAX(O45,0)*O23)</f>
        <v/>
      </c>
      <c r="P46" s="16">
        <f>(MAX(P45,0)*P23)</f>
        <v/>
      </c>
    </row>
    <row r="47">
      <c r="A47" t="inlineStr">
        <is>
          <t>Dividends paid</t>
        </is>
      </c>
      <c r="B47" t="inlineStr">
        <is>
          <t>dividends_paid</t>
        </is>
      </c>
      <c r="D47" s="13" t="n"/>
      <c r="E47" s="13" t="n"/>
      <c r="F47" s="13" t="n"/>
      <c r="G47" s="14">
        <f>IF($C$7=0,0,(F46*F44)/$C$7)</f>
        <v/>
      </c>
      <c r="H47" s="14">
        <f>IF($C$7=0,0,(G46*G44)/$C$7)</f>
        <v/>
      </c>
      <c r="I47" s="14">
        <f>IF($C$7=0,0,(H46*H44)/$C$7)</f>
        <v/>
      </c>
      <c r="J47" s="14">
        <f>IF($C$7=0,0,(I46*I44)/$C$7)</f>
        <v/>
      </c>
      <c r="K47" s="14">
        <f>IF($C$7=0,0,(J46*J44)/$C$7)</f>
        <v/>
      </c>
      <c r="L47" s="14">
        <f>IF($C$7=0,0,(K46*K44)/$C$7)</f>
        <v/>
      </c>
      <c r="M47" s="14">
        <f>IF($C$7=0,0,(L46*L44)/$C$7)</f>
        <v/>
      </c>
      <c r="N47" s="14">
        <f>IF($C$7=0,0,(M46*M44)/$C$7)</f>
        <v/>
      </c>
      <c r="O47" s="14">
        <f>IF($C$7=0,0,(N46*N44)/$C$7)</f>
        <v/>
      </c>
      <c r="P47" s="14">
        <f>IF($C$7=0,0,(O46*O44)/$C$7)</f>
        <v/>
      </c>
    </row>
    <row r="48">
      <c r="A48" t="inlineStr">
        <is>
          <t>Capital expenditure</t>
        </is>
      </c>
      <c r="B48" t="inlineStr">
        <is>
          <t>capex</t>
        </is>
      </c>
      <c r="D48" s="13" t="n">
        <v>9.445720859</v>
      </c>
      <c r="E48" s="13" t="n">
        <v>11.132005633</v>
      </c>
      <c r="F48" s="13" t="n">
        <v>4.58344822</v>
      </c>
      <c r="G48" s="14">
        <f>(G29*G15)</f>
        <v/>
      </c>
      <c r="H48" s="14">
        <f>(H29*H15)</f>
        <v/>
      </c>
      <c r="I48" s="14">
        <f>(I29*I15)</f>
        <v/>
      </c>
      <c r="J48" s="14">
        <f>(J29*J15)</f>
        <v/>
      </c>
      <c r="K48" s="14">
        <f>(K29*K15)</f>
        <v/>
      </c>
      <c r="L48" s="14">
        <f>(L29*L15)</f>
        <v/>
      </c>
      <c r="M48" s="14">
        <f>(M29*M15)</f>
        <v/>
      </c>
      <c r="N48" s="14">
        <f>(N29*N15)</f>
        <v/>
      </c>
      <c r="O48" s="14">
        <f>(O29*O15)</f>
        <v/>
      </c>
      <c r="P48" s="14">
        <f>(P29*P15)</f>
        <v/>
      </c>
    </row>
    <row r="49">
      <c r="A49" t="inlineStr">
        <is>
          <t>Change in working capital</t>
        </is>
      </c>
      <c r="B49" t="inlineStr">
        <is>
          <t>delta_nwc</t>
        </is>
      </c>
      <c r="D49" s="13" t="n"/>
      <c r="E49" s="13" t="n">
        <v>-117.2203417780004</v>
      </c>
      <c r="F49" s="13" t="n">
        <v>-398.1918722859998</v>
      </c>
      <c r="G49" s="14">
        <f>(G54-F54)</f>
        <v/>
      </c>
      <c r="H49" s="14">
        <f>(H54-G54)</f>
        <v/>
      </c>
      <c r="I49" s="14">
        <f>(I54-H54)</f>
        <v/>
      </c>
      <c r="J49" s="14">
        <f>(J54-I54)</f>
        <v/>
      </c>
      <c r="K49" s="14">
        <f>(K54-J54)</f>
        <v/>
      </c>
      <c r="L49" s="14">
        <f>(L54-K54)</f>
        <v/>
      </c>
      <c r="M49" s="14">
        <f>(M54-L54)</f>
        <v/>
      </c>
      <c r="N49" s="14">
        <f>(N54-M54)</f>
        <v/>
      </c>
      <c r="O49" s="14">
        <f>(O54-N54)</f>
        <v/>
      </c>
      <c r="P49" s="14">
        <f>(P54-O54)</f>
        <v/>
      </c>
    </row>
    <row r="50">
      <c r="A50" t="inlineStr">
        <is>
          <t>Free cash flow to firm</t>
        </is>
      </c>
      <c r="B50" t="inlineStr">
        <is>
          <t>fcff</t>
        </is>
      </c>
      <c r="D50" s="13" t="n"/>
      <c r="E50" s="13" t="n">
        <v>129.6918937036221</v>
      </c>
      <c r="F50" s="13" t="n">
        <v>465.5350095841962</v>
      </c>
      <c r="G50" s="14">
        <f>((((G33*(1-G17))+G34)-G48)-G49)</f>
        <v/>
      </c>
      <c r="H50" s="14">
        <f>((((H33*(1-H17))+H34)-H48)-H49)</f>
        <v/>
      </c>
      <c r="I50" s="14">
        <f>((((I33*(1-I17))+I34)-I48)-I49)</f>
        <v/>
      </c>
      <c r="J50" s="14">
        <f>((((J33*(1-J17))+J34)-J48)-J49)</f>
        <v/>
      </c>
      <c r="K50" s="14">
        <f>((((K33*(1-K17))+K34)-K48)-K49)</f>
        <v/>
      </c>
      <c r="L50" s="14">
        <f>((((L33*(1-L17))+L34)-L48)-L49)</f>
        <v/>
      </c>
      <c r="M50" s="14">
        <f>((((M33*(1-M17))+M34)-M48)-M49)</f>
        <v/>
      </c>
      <c r="N50" s="14">
        <f>((((N33*(1-N17))+N34)-N48)-N49)</f>
        <v/>
      </c>
      <c r="O50" s="14">
        <f>((((O33*(1-O17))+O34)-O48)-O49)</f>
        <v/>
      </c>
      <c r="P50" s="14">
        <f>((((P33*(1-P17))+P34)-P48)-P49)</f>
        <v/>
      </c>
    </row>
    <row r="51">
      <c r="A51" t="inlineStr">
        <is>
          <t>Net borrowing</t>
        </is>
      </c>
      <c r="B51" t="inlineStr">
        <is>
          <t>net_borrowing</t>
        </is>
      </c>
      <c r="D51" s="13" t="n"/>
      <c r="E51" s="13" t="n">
        <v>-31.97334876199989</v>
      </c>
      <c r="F51" s="13" t="n">
        <v>-238.8999774130001</v>
      </c>
      <c r="G51" s="14">
        <f>G20</f>
        <v/>
      </c>
      <c r="H51" s="14">
        <f>H20</f>
        <v/>
      </c>
      <c r="I51" s="14">
        <f>I20</f>
        <v/>
      </c>
      <c r="J51" s="14">
        <f>J20</f>
        <v/>
      </c>
      <c r="K51" s="14">
        <f>K20</f>
        <v/>
      </c>
      <c r="L51" s="14">
        <f>L20</f>
        <v/>
      </c>
      <c r="M51" s="14">
        <f>M20</f>
        <v/>
      </c>
      <c r="N51" s="14">
        <f>N20</f>
        <v/>
      </c>
      <c r="O51" s="14">
        <f>O20</f>
        <v/>
      </c>
      <c r="P51" s="14">
        <f>P20</f>
        <v/>
      </c>
    </row>
    <row r="52">
      <c r="A52" t="inlineStr">
        <is>
          <t>Dividends to minorities</t>
        </is>
      </c>
      <c r="B52" t="inlineStr">
        <is>
          <t>minority_div</t>
        </is>
      </c>
      <c r="D52" s="13" t="n"/>
      <c r="E52" s="13" t="n"/>
      <c r="F52" s="13" t="n"/>
      <c r="G52" s="14">
        <f>(MAX(F42,0)*G23)</f>
        <v/>
      </c>
      <c r="H52" s="14">
        <f>(MAX(G42,0)*H23)</f>
        <v/>
      </c>
      <c r="I52" s="14">
        <f>(MAX(H42,0)*I23)</f>
        <v/>
      </c>
      <c r="J52" s="14">
        <f>(MAX(I42,0)*J23)</f>
        <v/>
      </c>
      <c r="K52" s="14">
        <f>(MAX(J42,0)*K23)</f>
        <v/>
      </c>
      <c r="L52" s="14">
        <f>(MAX(K42,0)*L23)</f>
        <v/>
      </c>
      <c r="M52" s="14">
        <f>(MAX(L42,0)*M23)</f>
        <v/>
      </c>
      <c r="N52" s="14">
        <f>(MAX(M42,0)*N23)</f>
        <v/>
      </c>
      <c r="O52" s="14">
        <f>(MAX(N42,0)*O23)</f>
        <v/>
      </c>
      <c r="P52" s="14">
        <f>(MAX(O42,0)*P23)</f>
        <v/>
      </c>
    </row>
    <row r="53">
      <c r="A53" t="inlineStr">
        <is>
          <t>Free cash flow to equity</t>
        </is>
      </c>
      <c r="B53" t="inlineStr">
        <is>
          <t>fcfe</t>
        </is>
      </c>
      <c r="D53" s="13" t="n"/>
      <c r="E53" s="13" t="n"/>
      <c r="F53" s="13" t="n"/>
      <c r="G53" s="14">
        <f>(((((G41+G34)-G48)-G49)+G51)-G52)</f>
        <v/>
      </c>
      <c r="H53" s="14">
        <f>(((((H41+H34)-H48)-H49)+H51)-H52)</f>
        <v/>
      </c>
      <c r="I53" s="14">
        <f>(((((I41+I34)-I48)-I49)+I51)-I52)</f>
        <v/>
      </c>
      <c r="J53" s="14">
        <f>(((((J41+J34)-J48)-J49)+J51)-J52)</f>
        <v/>
      </c>
      <c r="K53" s="14">
        <f>(((((K41+K34)-K48)-K49)+K51)-K52)</f>
        <v/>
      </c>
      <c r="L53" s="14">
        <f>(((((L41+L34)-L48)-L49)+L51)-L52)</f>
        <v/>
      </c>
      <c r="M53" s="14">
        <f>(((((M41+M34)-M48)-M49)+M51)-M52)</f>
        <v/>
      </c>
      <c r="N53" s="14">
        <f>(((((N41+N34)-N48)-N49)+N51)-N52)</f>
        <v/>
      </c>
      <c r="O53" s="14">
        <f>(((((O41+O34)-O48)-O49)+O51)-O52)</f>
        <v/>
      </c>
      <c r="P53" s="14">
        <f>(((((P41+P34)-P48)-P49)+P51)-P52)</f>
        <v/>
      </c>
    </row>
    <row r="54">
      <c r="A54" t="inlineStr">
        <is>
          <t>Operating working capital</t>
        </is>
      </c>
      <c r="B54" t="inlineStr">
        <is>
          <t>nwc</t>
        </is>
      </c>
      <c r="D54" s="13" t="n">
        <v>1905.173048123</v>
      </c>
      <c r="E54" s="13" t="n">
        <v>1787.952706345</v>
      </c>
      <c r="F54" s="13" t="n">
        <v>1389.760834059</v>
      </c>
      <c r="G54" s="14">
        <f>(G29*G16)</f>
        <v/>
      </c>
      <c r="H54" s="14">
        <f>(H29*H16)</f>
        <v/>
      </c>
      <c r="I54" s="14">
        <f>(I29*I16)</f>
        <v/>
      </c>
      <c r="J54" s="14">
        <f>(J29*J16)</f>
        <v/>
      </c>
      <c r="K54" s="14">
        <f>(K29*K16)</f>
        <v/>
      </c>
      <c r="L54" s="14">
        <f>(L29*L16)</f>
        <v/>
      </c>
      <c r="M54" s="14">
        <f>(M29*M16)</f>
        <v/>
      </c>
      <c r="N54" s="14">
        <f>(N29*N16)</f>
        <v/>
      </c>
      <c r="O54" s="14">
        <f>(O29*O16)</f>
        <v/>
      </c>
      <c r="P54" s="14">
        <f>(P29*P16)</f>
        <v/>
      </c>
    </row>
    <row r="55">
      <c r="A55" t="inlineStr">
        <is>
          <t>Cash &amp; equivalents</t>
        </is>
      </c>
      <c r="B55" t="inlineStr">
        <is>
          <t>cash</t>
        </is>
      </c>
      <c r="D55" s="13" t="n">
        <v>90.765104701</v>
      </c>
      <c r="E55" s="13" t="n">
        <v>17.158493885</v>
      </c>
      <c r="F55" s="13" t="n">
        <v>14.071659823</v>
      </c>
      <c r="G55" s="14">
        <f>(((((((F55+G41)+G34)-G48)-G49)+G51)-G47)-G52)</f>
        <v/>
      </c>
      <c r="H55" s="14">
        <f>(((((((G55+H41)+H34)-H48)-H49)+H51)-H47)-H52)</f>
        <v/>
      </c>
      <c r="I55" s="14">
        <f>(((((((H55+I41)+I34)-I48)-I49)+I51)-I47)-I52)</f>
        <v/>
      </c>
      <c r="J55" s="14">
        <f>(((((((I55+J41)+J34)-J48)-J49)+J51)-J47)-J52)</f>
        <v/>
      </c>
      <c r="K55" s="14">
        <f>(((((((J55+K41)+K34)-K48)-K49)+K51)-K47)-K52)</f>
        <v/>
      </c>
      <c r="L55" s="14">
        <f>(((((((K55+L41)+L34)-L48)-L49)+L51)-L47)-L52)</f>
        <v/>
      </c>
      <c r="M55" s="14">
        <f>(((((((L55+M41)+M34)-M48)-M49)+M51)-M47)-M52)</f>
        <v/>
      </c>
      <c r="N55" s="14">
        <f>(((((((M55+N41)+N34)-N48)-N49)+N51)-N47)-N52)</f>
        <v/>
      </c>
      <c r="O55" s="14">
        <f>(((((((N55+O41)+O34)-O48)-O49)+O51)-O47)-O52)</f>
        <v/>
      </c>
      <c r="P55" s="14">
        <f>(((((((O55+P41)+P34)-P48)-P49)+P51)-P47)-P52)</f>
        <v/>
      </c>
    </row>
    <row r="56">
      <c r="A56" t="inlineStr">
        <is>
          <t>Total debt</t>
        </is>
      </c>
      <c r="B56" t="inlineStr">
        <is>
          <t>debt</t>
        </is>
      </c>
      <c r="D56" s="13" t="n">
        <v>1142.795069023</v>
      </c>
      <c r="E56" s="13" t="n">
        <v>1110.821720261</v>
      </c>
      <c r="F56" s="13" t="n">
        <v>871.921742848</v>
      </c>
      <c r="G56" s="14">
        <f>(F56+G51)</f>
        <v/>
      </c>
      <c r="H56" s="14">
        <f>(G56+H51)</f>
        <v/>
      </c>
      <c r="I56" s="14">
        <f>(H56+I51)</f>
        <v/>
      </c>
      <c r="J56" s="14">
        <f>(I56+J51)</f>
        <v/>
      </c>
      <c r="K56" s="14">
        <f>(J56+K51)</f>
        <v/>
      </c>
      <c r="L56" s="14">
        <f>(K56+L51)</f>
        <v/>
      </c>
      <c r="M56" s="14">
        <f>(L56+M51)</f>
        <v/>
      </c>
      <c r="N56" s="14">
        <f>(M56+N51)</f>
        <v/>
      </c>
      <c r="O56" s="14">
        <f>(N56+O51)</f>
        <v/>
      </c>
      <c r="P56" s="14">
        <f>(O56+P51)</f>
        <v/>
      </c>
    </row>
    <row r="57">
      <c r="A57" t="inlineStr">
        <is>
          <t>Fixed assets (net)</t>
        </is>
      </c>
      <c r="B57" t="inlineStr">
        <is>
          <t>ppe</t>
        </is>
      </c>
      <c r="D57" s="13" t="n">
        <v>511.158416986</v>
      </c>
      <c r="E57" s="13" t="n">
        <v>653.007391213</v>
      </c>
      <c r="F57" s="13" t="n">
        <v>737.169385673</v>
      </c>
      <c r="G57" s="14">
        <f>((F57+G48)-G34)</f>
        <v/>
      </c>
      <c r="H57" s="14">
        <f>((G57+H48)-H34)</f>
        <v/>
      </c>
      <c r="I57" s="14">
        <f>((H57+I48)-I34)</f>
        <v/>
      </c>
      <c r="J57" s="14">
        <f>((I57+J48)-J34)</f>
        <v/>
      </c>
      <c r="K57" s="14">
        <f>((J57+K48)-K34)</f>
        <v/>
      </c>
      <c r="L57" s="14">
        <f>((K57+L48)-L34)</f>
        <v/>
      </c>
      <c r="M57" s="14">
        <f>((L57+M48)-M34)</f>
        <v/>
      </c>
      <c r="N57" s="14">
        <f>((M57+N48)-N34)</f>
        <v/>
      </c>
      <c r="O57" s="14">
        <f>((N57+O48)-O34)</f>
        <v/>
      </c>
      <c r="P57" s="14">
        <f>((O57+P48)-P34)</f>
        <v/>
      </c>
    </row>
    <row r="58">
      <c r="A58" t="inlineStr">
        <is>
          <t>Parent shareholders' equity</t>
        </is>
      </c>
      <c r="B58" t="inlineStr">
        <is>
          <t>equity</t>
        </is>
      </c>
      <c r="D58" s="13" t="n">
        <v>1361.906707107</v>
      </c>
      <c r="E58" s="13" t="n">
        <v>1248.276101084</v>
      </c>
      <c r="F58" s="13" t="n">
        <v>1096.72307478</v>
      </c>
      <c r="G58" s="14">
        <f>((F58+G43)-G47)</f>
        <v/>
      </c>
      <c r="H58" s="14">
        <f>((G58+H43)-H47)</f>
        <v/>
      </c>
      <c r="I58" s="14">
        <f>((H58+I43)-I47)</f>
        <v/>
      </c>
      <c r="J58" s="14">
        <f>((I58+J43)-J47)</f>
        <v/>
      </c>
      <c r="K58" s="14">
        <f>((J58+K43)-K47)</f>
        <v/>
      </c>
      <c r="L58" s="14">
        <f>((K58+L43)-L47)</f>
        <v/>
      </c>
      <c r="M58" s="14">
        <f>((L58+M43)-M47)</f>
        <v/>
      </c>
      <c r="N58" s="14">
        <f>((M58+N43)-N47)</f>
        <v/>
      </c>
      <c r="O58" s="14">
        <f>((N58+O43)-O47)</f>
        <v/>
      </c>
      <c r="P58" s="14">
        <f>((O58+P43)-P47)</f>
        <v/>
      </c>
    </row>
    <row r="59">
      <c r="A59" t="inlineStr">
        <is>
          <t>Minority interest (balance sheet)</t>
        </is>
      </c>
      <c r="B59" t="inlineStr">
        <is>
          <t>minority_bs</t>
        </is>
      </c>
      <c r="D59" s="13" t="n">
        <v>6.946252461</v>
      </c>
      <c r="E59" s="13" t="n">
        <v>11.724285815</v>
      </c>
      <c r="F59" s="13" t="n">
        <v>17.66919009</v>
      </c>
      <c r="G59" s="14">
        <f>((F59+G42)-G52)</f>
        <v/>
      </c>
      <c r="H59" s="14">
        <f>((G59+H42)-H52)</f>
        <v/>
      </c>
      <c r="I59" s="14">
        <f>((H59+I42)-I52)</f>
        <v/>
      </c>
      <c r="J59" s="14">
        <f>((I59+J42)-J52)</f>
        <v/>
      </c>
      <c r="K59" s="14">
        <f>((J59+K42)-K52)</f>
        <v/>
      </c>
      <c r="L59" s="14">
        <f>((K59+L42)-L52)</f>
        <v/>
      </c>
      <c r="M59" s="14">
        <f>((L59+M42)-M52)</f>
        <v/>
      </c>
      <c r="N59" s="14">
        <f>((M59+N42)-N52)</f>
        <v/>
      </c>
      <c r="O59" s="14">
        <f>((N59+O42)-O52)</f>
        <v/>
      </c>
      <c r="P59" s="14">
        <f>((O59+P42)-P52)</f>
        <v/>
      </c>
    </row>
    <row r="60">
      <c r="A60" t="inlineStr">
        <is>
          <t>Other assets less other liabilities</t>
        </is>
      </c>
      <c r="B60" t="inlineStr">
        <is>
          <t>other_net</t>
        </is>
      </c>
      <c r="D60" s="13" t="n">
        <v>4.551458781000065</v>
      </c>
      <c r="E60" s="13" t="n">
        <v>-87.29648428300027</v>
      </c>
      <c r="F60" s="13" t="n">
        <v>-154.6878718369998</v>
      </c>
      <c r="G60" s="14">
        <f>F60</f>
        <v/>
      </c>
      <c r="H60" s="14">
        <f>G60</f>
        <v/>
      </c>
      <c r="I60" s="14">
        <f>H60</f>
        <v/>
      </c>
      <c r="J60" s="14">
        <f>I60</f>
        <v/>
      </c>
      <c r="K60" s="14">
        <f>J60</f>
        <v/>
      </c>
      <c r="L60" s="14">
        <f>K60</f>
        <v/>
      </c>
      <c r="M60" s="14">
        <f>L60</f>
        <v/>
      </c>
      <c r="N60" s="14">
        <f>M60</f>
        <v/>
      </c>
      <c r="O60" s="14">
        <f>N60</f>
        <v/>
      </c>
      <c r="P60" s="14">
        <f>O60</f>
        <v/>
      </c>
    </row>
    <row r="61">
      <c r="A61" t="inlineStr">
        <is>
          <t>Balance check (should be zero)</t>
        </is>
      </c>
      <c r="B61" t="inlineStr">
        <is>
          <t>bs_check</t>
        </is>
      </c>
      <c r="D61" s="13" t="n"/>
      <c r="E61" s="13" t="n"/>
      <c r="F61" s="13" t="n"/>
      <c r="G61" s="14">
        <f>((((((G55+G54)+G57)+G60)-G56)-G58)-G59)</f>
        <v/>
      </c>
      <c r="H61" s="14">
        <f>((((((H55+H54)+H57)+H60)-H56)-H58)-H59)</f>
        <v/>
      </c>
      <c r="I61" s="14">
        <f>((((((I55+I54)+I57)+I60)-I56)-I58)-I59)</f>
        <v/>
      </c>
      <c r="J61" s="14">
        <f>((((((J55+J54)+J57)+J60)-J56)-J58)-J59)</f>
        <v/>
      </c>
      <c r="K61" s="14">
        <f>((((((K55+K54)+K57)+K60)-K56)-K58)-K59)</f>
        <v/>
      </c>
      <c r="L61" s="14">
        <f>((((((L55+L54)+L57)+L60)-L56)-L58)-L59)</f>
        <v/>
      </c>
      <c r="M61" s="14">
        <f>((((((M55+M54)+M57)+M60)-M56)-M58)-M59)</f>
        <v/>
      </c>
      <c r="N61" s="14">
        <f>((((((N55+N54)+N57)+N60)-N56)-N58)-N59)</f>
        <v/>
      </c>
      <c r="O61" s="14">
        <f>((((((O55+O54)+O57)+O60)-O56)-O58)-O59)</f>
        <v/>
      </c>
      <c r="P61" s="14">
        <f>((((((P55+P54)+P57)+P60)-P56)-P58)-P59)</f>
        <v/>
      </c>
    </row>
    <row r="62">
      <c r="A62" t="inlineStr">
        <is>
          <t>Net debt (cash)</t>
        </is>
      </c>
      <c r="B62" t="inlineStr">
        <is>
          <t>net_debt</t>
        </is>
      </c>
      <c r="D62" s="13" t="n">
        <v>1052.029964322</v>
      </c>
      <c r="E62" s="13" t="n">
        <v>1093.663226376</v>
      </c>
      <c r="F62" s="13" t="n">
        <v>857.850083025</v>
      </c>
      <c r="G62" s="14">
        <f>(G56-G55)</f>
        <v/>
      </c>
      <c r="H62" s="14">
        <f>(H56-H55)</f>
        <v/>
      </c>
      <c r="I62" s="14">
        <f>(I56-I55)</f>
        <v/>
      </c>
      <c r="J62" s="14">
        <f>(J56-J55)</f>
        <v/>
      </c>
      <c r="K62" s="14">
        <f>(K56-K55)</f>
        <v/>
      </c>
      <c r="L62" s="14">
        <f>(L56-L55)</f>
        <v/>
      </c>
      <c r="M62" s="14">
        <f>(M56-M55)</f>
        <v/>
      </c>
      <c r="N62" s="14">
        <f>(N56-N55)</f>
        <v/>
      </c>
      <c r="O62" s="14">
        <f>(O56-O55)</f>
        <v/>
      </c>
      <c r="P62" s="14">
        <f>(P56-P55)</f>
        <v/>
      </c>
    </row>
    <row r="63">
      <c r="A63" t="inlineStr">
        <is>
          <t>Book value per share</t>
        </is>
      </c>
      <c r="B63" t="inlineStr">
        <is>
          <t>bvps</t>
        </is>
      </c>
      <c r="D63" s="15" t="n">
        <v>2549.397643999782</v>
      </c>
      <c r="E63" s="15" t="n">
        <v>2336.688801485399</v>
      </c>
      <c r="F63" s="15" t="n">
        <v>2052.991741926018</v>
      </c>
      <c r="G63" s="16">
        <f>(IF(G44=0,0,G58/G44)*$C$7)</f>
        <v/>
      </c>
      <c r="H63" s="16">
        <f>(IF(H44=0,0,H58/H44)*$C$7)</f>
        <v/>
      </c>
      <c r="I63" s="16">
        <f>(IF(I44=0,0,I58/I44)*$C$7)</f>
        <v/>
      </c>
      <c r="J63" s="16">
        <f>(IF(J44=0,0,J58/J44)*$C$7)</f>
        <v/>
      </c>
      <c r="K63" s="16">
        <f>(IF(K44=0,0,K58/K44)*$C$7)</f>
        <v/>
      </c>
      <c r="L63" s="16">
        <f>(IF(L44=0,0,L58/L44)*$C$7)</f>
        <v/>
      </c>
      <c r="M63" s="16">
        <f>(IF(M44=0,0,M58/M44)*$C$7)</f>
        <v/>
      </c>
      <c r="N63" s="16">
        <f>(IF(N44=0,0,N58/N44)*$C$7)</f>
        <v/>
      </c>
      <c r="O63" s="16">
        <f>(IF(O44=0,0,O58/O44)*$C$7)</f>
        <v/>
      </c>
      <c r="P63" s="16">
        <f>(IF(P44=0,0,P58/P44)*$C$7)</f>
        <v/>
      </c>
    </row>
    <row r="64">
      <c r="A64" t="inlineStr">
        <is>
          <t>Revenue growth</t>
        </is>
      </c>
      <c r="B64" t="inlineStr">
        <is>
          <t>revenue_growth</t>
        </is>
      </c>
      <c r="D64" s="4" t="n"/>
      <c r="E64" s="4" t="n">
        <v>-0.1541153421299016</v>
      </c>
      <c r="F64" s="4" t="n">
        <v>-0.4170913478856872</v>
      </c>
      <c r="G64" s="17">
        <f>(IF(F29=0,0,G29/F29)-1)</f>
        <v/>
      </c>
      <c r="H64" s="17">
        <f>(IF(G29=0,0,H29/G29)-1)</f>
        <v/>
      </c>
      <c r="I64" s="17">
        <f>(IF(H29=0,0,I29/H29)-1)</f>
        <v/>
      </c>
      <c r="J64" s="17">
        <f>(IF(I29=0,0,J29/I29)-1)</f>
        <v/>
      </c>
      <c r="K64" s="17">
        <f>(IF(J29=0,0,K29/J29)-1)</f>
        <v/>
      </c>
      <c r="L64" s="17">
        <f>(IF(K29=0,0,L29/K29)-1)</f>
        <v/>
      </c>
      <c r="M64" s="17">
        <f>(IF(L29=0,0,M29/L29)-1)</f>
        <v/>
      </c>
      <c r="N64" s="17">
        <f>(IF(M29=0,0,N29/M29)-1)</f>
        <v/>
      </c>
      <c r="O64" s="17">
        <f>(IF(N29=0,0,O29/N29)-1)</f>
        <v/>
      </c>
      <c r="P64" s="17">
        <f>(IF(O29=0,0,P29/O29)-1)</f>
        <v/>
      </c>
    </row>
    <row r="65">
      <c r="A65" t="inlineStr">
        <is>
          <t>Gross margin</t>
        </is>
      </c>
      <c r="B65" t="inlineStr">
        <is>
          <t>gross_margin</t>
        </is>
      </c>
      <c r="D65" s="4" t="n">
        <v>0.1392093383032432</v>
      </c>
      <c r="E65" s="4" t="n">
        <v>0.118600032491612</v>
      </c>
      <c r="F65" s="4" t="n">
        <v>0.2065010267236676</v>
      </c>
      <c r="G65" s="17">
        <f>IF(G29=0,0,G31/G29)</f>
        <v/>
      </c>
      <c r="H65" s="17">
        <f>IF(H29=0,0,H31/H29)</f>
        <v/>
      </c>
      <c r="I65" s="17">
        <f>IF(I29=0,0,I31/I29)</f>
        <v/>
      </c>
      <c r="J65" s="17">
        <f>IF(J29=0,0,J31/J29)</f>
        <v/>
      </c>
      <c r="K65" s="17">
        <f>IF(K29=0,0,K31/K29)</f>
        <v/>
      </c>
      <c r="L65" s="17">
        <f>IF(L29=0,0,L31/L29)</f>
        <v/>
      </c>
      <c r="M65" s="17">
        <f>IF(M29=0,0,M31/M29)</f>
        <v/>
      </c>
      <c r="N65" s="17">
        <f>IF(N29=0,0,N31/N29)</f>
        <v/>
      </c>
      <c r="O65" s="17">
        <f>IF(O29=0,0,O31/O29)</f>
        <v/>
      </c>
      <c r="P65" s="17">
        <f>IF(P29=0,0,P31/P29)</f>
        <v/>
      </c>
    </row>
    <row r="66">
      <c r="A66" t="inlineStr">
        <is>
          <t>EBITDA margin</t>
        </is>
      </c>
      <c r="B66" t="inlineStr">
        <is>
          <t>ebitda_margin</t>
        </is>
      </c>
      <c r="D66" s="4" t="n">
        <v>0.05018670182087027</v>
      </c>
      <c r="E66" s="4" t="n">
        <v>0.008162257169755943</v>
      </c>
      <c r="F66" s="4" t="n">
        <v>0.04176606287558881</v>
      </c>
      <c r="G66" s="17">
        <f>IF(G29=0,0,G35/G29)</f>
        <v/>
      </c>
      <c r="H66" s="17">
        <f>IF(H29=0,0,H35/H29)</f>
        <v/>
      </c>
      <c r="I66" s="17">
        <f>IF(I29=0,0,I35/I29)</f>
        <v/>
      </c>
      <c r="J66" s="17">
        <f>IF(J29=0,0,J35/J29)</f>
        <v/>
      </c>
      <c r="K66" s="17">
        <f>IF(K29=0,0,K35/K29)</f>
        <v/>
      </c>
      <c r="L66" s="17">
        <f>IF(L29=0,0,L35/L29)</f>
        <v/>
      </c>
      <c r="M66" s="17">
        <f>IF(M29=0,0,M35/M29)</f>
        <v/>
      </c>
      <c r="N66" s="17">
        <f>IF(N29=0,0,N35/N29)</f>
        <v/>
      </c>
      <c r="O66" s="17">
        <f>IF(O29=0,0,O35/O29)</f>
        <v/>
      </c>
      <c r="P66" s="17">
        <f>IF(P29=0,0,P35/P29)</f>
        <v/>
      </c>
    </row>
    <row r="67">
      <c r="A67" t="inlineStr">
        <is>
          <t>EBIT margin</t>
        </is>
      </c>
      <c r="B67" t="inlineStr">
        <is>
          <t>ebit_margin</t>
        </is>
      </c>
      <c r="D67" s="4" t="n">
        <v>0.04171437136879568</v>
      </c>
      <c r="E67" s="4" t="n">
        <v>-0.007889751425275432</v>
      </c>
      <c r="F67" s="4" t="n">
        <v>-0.001550929869881007</v>
      </c>
      <c r="G67" s="17">
        <f>IF(G29=0,0,G33/G29)</f>
        <v/>
      </c>
      <c r="H67" s="17">
        <f>IF(H29=0,0,H33/H29)</f>
        <v/>
      </c>
      <c r="I67" s="17">
        <f>IF(I29=0,0,I33/I29)</f>
        <v/>
      </c>
      <c r="J67" s="17">
        <f>IF(J29=0,0,J33/J29)</f>
        <v/>
      </c>
      <c r="K67" s="17">
        <f>IF(K29=0,0,K33/K29)</f>
        <v/>
      </c>
      <c r="L67" s="17">
        <f>IF(L29=0,0,L33/L29)</f>
        <v/>
      </c>
      <c r="M67" s="17">
        <f>IF(M29=0,0,M33/M29)</f>
        <v/>
      </c>
      <c r="N67" s="17">
        <f>IF(N29=0,0,N33/N29)</f>
        <v/>
      </c>
      <c r="O67" s="17">
        <f>IF(O29=0,0,O33/O29)</f>
        <v/>
      </c>
      <c r="P67" s="17">
        <f>IF(P29=0,0,P33/P29)</f>
        <v/>
      </c>
    </row>
    <row r="68">
      <c r="A68" t="inlineStr">
        <is>
          <t>Net margin</t>
        </is>
      </c>
      <c r="B68" t="inlineStr">
        <is>
          <t>np_margin</t>
        </is>
      </c>
      <c r="D68" s="4" t="n">
        <v>0.00830050005510299</v>
      </c>
      <c r="E68" s="4" t="n">
        <v>-0.03941943901677615</v>
      </c>
      <c r="F68" s="4" t="n">
        <v>-0.08038464280505597</v>
      </c>
      <c r="G68" s="17">
        <f>IF(G29=0,0,G43/G29)</f>
        <v/>
      </c>
      <c r="H68" s="17">
        <f>IF(H29=0,0,H43/H29)</f>
        <v/>
      </c>
      <c r="I68" s="17">
        <f>IF(I29=0,0,I43/I29)</f>
        <v/>
      </c>
      <c r="J68" s="17">
        <f>IF(J29=0,0,J43/J29)</f>
        <v/>
      </c>
      <c r="K68" s="17">
        <f>IF(K29=0,0,K43/K29)</f>
        <v/>
      </c>
      <c r="L68" s="17">
        <f>IF(L29=0,0,L43/L29)</f>
        <v/>
      </c>
      <c r="M68" s="17">
        <f>IF(M29=0,0,M43/M29)</f>
        <v/>
      </c>
      <c r="N68" s="17">
        <f>IF(N29=0,0,N43/N29)</f>
        <v/>
      </c>
      <c r="O68" s="17">
        <f>IF(O29=0,0,O43/O29)</f>
        <v/>
      </c>
      <c r="P68" s="17">
        <f>IF(P29=0,0,P43/P29)</f>
        <v/>
      </c>
    </row>
    <row r="69">
      <c r="A69" t="inlineStr">
        <is>
          <t>EPS growth</t>
        </is>
      </c>
      <c r="B69" t="inlineStr">
        <is>
          <t>eps_growth</t>
        </is>
      </c>
      <c r="D69" s="4" t="n"/>
      <c r="E69" s="4" t="n">
        <v>-5.017143360614455</v>
      </c>
      <c r="F69" s="4" t="n">
        <v>0.1886750536516839</v>
      </c>
      <c r="G69" s="17">
        <f>(IF(F45=0,0,G45/F45)-1)</f>
        <v/>
      </c>
      <c r="H69" s="17">
        <f>(IF(G45=0,0,H45/G45)-1)</f>
        <v/>
      </c>
      <c r="I69" s="17">
        <f>(IF(H45=0,0,I45/H45)-1)</f>
        <v/>
      </c>
      <c r="J69" s="17">
        <f>(IF(I45=0,0,J45/I45)-1)</f>
        <v/>
      </c>
      <c r="K69" s="17">
        <f>(IF(J45=0,0,K45/J45)-1)</f>
        <v/>
      </c>
      <c r="L69" s="17">
        <f>(IF(K45=0,0,L45/K45)-1)</f>
        <v/>
      </c>
      <c r="M69" s="17">
        <f>(IF(L45=0,0,M45/L45)-1)</f>
        <v/>
      </c>
      <c r="N69" s="17">
        <f>(IF(M45=0,0,N45/M45)-1)</f>
        <v/>
      </c>
      <c r="O69" s="17">
        <f>(IF(N45=0,0,O45/N45)-1)</f>
        <v/>
      </c>
      <c r="P69" s="17">
        <f>(IF(O45=0,0,P45/O45)-1)</f>
        <v/>
      </c>
    </row>
    <row r="70">
      <c r="A70" t="inlineStr">
        <is>
          <t>ROE</t>
        </is>
      </c>
      <c r="B70" t="inlineStr">
        <is>
          <t>roe</t>
        </is>
      </c>
      <c r="D70" s="4" t="n"/>
      <c r="E70" s="4" t="n">
        <v>-0.08935557215766211</v>
      </c>
      <c r="F70" s="4" t="n">
        <v>-0.1182260061954404</v>
      </c>
      <c r="G70" s="17">
        <f>IF(IF(2=0,0,(G58+F58)/2)=0,0,G43/IF(2=0,0,(G58+F58)/2))</f>
        <v/>
      </c>
      <c r="H70" s="17">
        <f>IF(IF(2=0,0,(H58+G58)/2)=0,0,H43/IF(2=0,0,(H58+G58)/2))</f>
        <v/>
      </c>
      <c r="I70" s="17">
        <f>IF(IF(2=0,0,(I58+H58)/2)=0,0,I43/IF(2=0,0,(I58+H58)/2))</f>
        <v/>
      </c>
      <c r="J70" s="17">
        <f>IF(IF(2=0,0,(J58+I58)/2)=0,0,J43/IF(2=0,0,(J58+I58)/2))</f>
        <v/>
      </c>
      <c r="K70" s="17">
        <f>IF(IF(2=0,0,(K58+J58)/2)=0,0,K43/IF(2=0,0,(K58+J58)/2))</f>
        <v/>
      </c>
      <c r="L70" s="17">
        <f>IF(IF(2=0,0,(L58+K58)/2)=0,0,L43/IF(2=0,0,(L58+K58)/2))</f>
        <v/>
      </c>
      <c r="M70" s="17">
        <f>IF(IF(2=0,0,(M58+L58)/2)=0,0,M43/IF(2=0,0,(M58+L58)/2))</f>
        <v/>
      </c>
      <c r="N70" s="17">
        <f>IF(IF(2=0,0,(N58+M58)/2)=0,0,N43/IF(2=0,0,(N58+M58)/2))</f>
        <v/>
      </c>
      <c r="O70" s="17">
        <f>IF(IF(2=0,0,(O58+N58)/2)=0,0,O43/IF(2=0,0,(O58+N58)/2))</f>
        <v/>
      </c>
      <c r="P70" s="17">
        <f>IF(IF(2=0,0,(P58+O58)/2)=0,0,P43/IF(2=0,0,(P58+O58)/2))</f>
        <v/>
      </c>
    </row>
    <row r="71">
      <c r="A71" t="inlineStr">
        <is>
          <t>Net debt / EBITDA</t>
        </is>
      </c>
      <c r="B71" t="inlineStr">
        <is>
          <t>net_debt_ebitda</t>
        </is>
      </c>
      <c r="D71" s="18" t="n">
        <v>5.993747901644746</v>
      </c>
      <c r="E71" s="18" t="n">
        <v>45.291969451306</v>
      </c>
      <c r="F71" s="18" t="n">
        <v>11.91064356732173</v>
      </c>
      <c r="G71" s="19">
        <f>IF(G35=0,0,G62/G35)</f>
        <v/>
      </c>
      <c r="H71" s="19">
        <f>IF(H35=0,0,H62/H35)</f>
        <v/>
      </c>
      <c r="I71" s="19">
        <f>IF(I35=0,0,I62/I35)</f>
        <v/>
      </c>
      <c r="J71" s="19">
        <f>IF(J35=0,0,J62/J35)</f>
        <v/>
      </c>
      <c r="K71" s="19">
        <f>IF(K35=0,0,K62/K35)</f>
        <v/>
      </c>
      <c r="L71" s="19">
        <f>IF(L35=0,0,L62/L35)</f>
        <v/>
      </c>
      <c r="M71" s="19">
        <f>IF(M35=0,0,M62/M35)</f>
        <v/>
      </c>
      <c r="N71" s="19">
        <f>IF(N35=0,0,N62/N35)</f>
        <v/>
      </c>
      <c r="O71" s="19">
        <f>IF(O35=0,0,O62/O35)</f>
        <v/>
      </c>
      <c r="P71" s="19">
        <f>IF(P35=0,0,P62/P35)</f>
        <v/>
      </c>
    </row>
    <row r="72">
      <c r="A72" t="inlineStr">
        <is>
          <t>Payout ratio</t>
        </is>
      </c>
      <c r="B72" t="inlineStr">
        <is>
          <t>payout_ratio</t>
        </is>
      </c>
      <c r="D72" s="4" t="n">
        <v>0</v>
      </c>
      <c r="E72" s="4" t="n">
        <v>-0</v>
      </c>
      <c r="F72" s="4" t="n">
        <v>-0</v>
      </c>
      <c r="G72" s="17">
        <f>IF(G45=0,0,G46/G45)</f>
        <v/>
      </c>
      <c r="H72" s="17">
        <f>IF(H45=0,0,H46/H45)</f>
        <v/>
      </c>
      <c r="I72" s="17">
        <f>IF(I45=0,0,I46/I45)</f>
        <v/>
      </c>
      <c r="J72" s="17">
        <f>IF(J45=0,0,J46/J45)</f>
        <v/>
      </c>
      <c r="K72" s="17">
        <f>IF(K45=0,0,K46/K45)</f>
        <v/>
      </c>
      <c r="L72" s="17">
        <f>IF(L45=0,0,L46/L45)</f>
        <v/>
      </c>
      <c r="M72" s="17">
        <f>IF(M45=0,0,M46/M45)</f>
        <v/>
      </c>
      <c r="N72" s="17">
        <f>IF(N45=0,0,N46/N45)</f>
        <v/>
      </c>
      <c r="O72" s="17">
        <f>IF(O45=0,0,O46/O45)</f>
        <v/>
      </c>
      <c r="P72" s="17">
        <f>IF(P45=0,0,P46/P45)</f>
        <v/>
      </c>
    </row>
    <row r="73">
      <c r="A73" t="inlineStr">
        <is>
          <t>Capex / revenue</t>
        </is>
      </c>
      <c r="B73" t="inlineStr">
        <is>
          <t>capex_revenue</t>
        </is>
      </c>
      <c r="D73" s="4" t="n">
        <v>0.002700810574970756</v>
      </c>
      <c r="E73" s="4" t="n">
        <v>0.003762887962352735</v>
      </c>
      <c r="F73" s="4" t="n">
        <v>0.002657906492764139</v>
      </c>
      <c r="G73" s="17">
        <f>IF(G29=0,0,G48/G29)</f>
        <v/>
      </c>
      <c r="H73" s="17">
        <f>IF(H29=0,0,H48/H29)</f>
        <v/>
      </c>
      <c r="I73" s="17">
        <f>IF(I29=0,0,I48/I29)</f>
        <v/>
      </c>
      <c r="J73" s="17">
        <f>IF(J29=0,0,J48/J29)</f>
        <v/>
      </c>
      <c r="K73" s="17">
        <f>IF(K29=0,0,K48/K29)</f>
        <v/>
      </c>
      <c r="L73" s="17">
        <f>IF(L29=0,0,L48/L29)</f>
        <v/>
      </c>
      <c r="M73" s="17">
        <f>IF(M29=0,0,M48/M29)</f>
        <v/>
      </c>
      <c r="N73" s="17">
        <f>IF(N29=0,0,N48/N29)</f>
        <v/>
      </c>
      <c r="O73" s="17">
        <f>IF(O29=0,0,O48/O29)</f>
        <v/>
      </c>
      <c r="P73" s="17">
        <f>IF(P29=0,0,P48/P29)</f>
        <v/>
      </c>
    </row>
    <row r="75">
      <c r="A75" s="1" t="inlineStr">
        <is>
          <t>VALUATION</t>
        </is>
      </c>
    </row>
    <row r="76">
      <c r="A76" t="inlineStr">
        <is>
          <t>Last price (IDR)</t>
        </is>
      </c>
      <c r="C76" s="15" t="n">
        <v>50</v>
      </c>
    </row>
    <row r="77">
      <c r="A77" t="inlineStr">
        <is>
          <t>Shares outstanding (m)</t>
        </is>
      </c>
      <c r="C77" s="13" t="n">
        <v>534.207251</v>
      </c>
    </row>
    <row r="78">
      <c r="A78" t="inlineStr">
        <is>
          <t>IDR per USD (spot)</t>
        </is>
      </c>
      <c r="C78" s="3" t="n">
        <v>18183</v>
      </c>
    </row>
    <row r="79">
      <c r="A79" t="inlineStr">
        <is>
          <t>Debt at balance-sheet date</t>
        </is>
      </c>
      <c r="C79" s="13" t="n">
        <v>871.921742848</v>
      </c>
    </row>
    <row r="80">
      <c r="A80" t="inlineStr">
        <is>
          <t>Cash at balance-sheet date</t>
        </is>
      </c>
      <c r="C80" s="13" t="n">
        <v>14.071659823</v>
      </c>
    </row>
    <row r="81">
      <c r="A81" t="inlineStr">
        <is>
          <t>Minority interest (book)</t>
        </is>
      </c>
      <c r="C81" s="13" t="n">
        <v>17.66919009</v>
      </c>
    </row>
    <row r="82">
      <c r="A82" t="inlineStr">
        <is>
          <t>Associates &amp; investments (book)</t>
        </is>
      </c>
      <c r="C82" s="13" t="n">
        <v>0</v>
      </c>
    </row>
    <row r="83">
      <c r="A83" t="inlineStr">
        <is>
          <t>Post-balance-sheet &amp; other items (sourced, probability-weighted)</t>
        </is>
      </c>
      <c r="C83" s="13" t="n">
        <v>-8.208196707000001</v>
      </c>
    </row>
    <row r="84">
      <c r="A84" t="inlineStr">
        <is>
          <t>Parent equity at balance-sheet date</t>
        </is>
      </c>
      <c r="C84" s="13" t="n">
        <v>1096.72307478</v>
      </c>
    </row>
    <row r="85">
      <c r="A85" t="inlineStr">
        <is>
          <t>Per-share factor</t>
        </is>
      </c>
      <c r="C85" s="20" t="n">
        <v>1000</v>
      </c>
    </row>
    <row r="86">
      <c r="A86" t="inlineStr">
        <is>
          <t>Risk-free rate</t>
        </is>
      </c>
      <c r="C86" s="8">
        <f>Drivers!$C$7</f>
        <v/>
      </c>
    </row>
    <row r="87">
      <c r="A87" t="inlineStr">
        <is>
          <t>Less: default spread (IDR only)</t>
        </is>
      </c>
      <c r="C87" s="8">
        <f>Drivers!$C$9</f>
        <v/>
      </c>
    </row>
    <row r="88">
      <c r="A88" t="inlineStr">
        <is>
          <t>Mature ERP + Indonesia CRP</t>
        </is>
      </c>
      <c r="C88" s="8">
        <f>Drivers!$C$10+Drivers!$C$11</f>
        <v/>
      </c>
    </row>
    <row r="89">
      <c r="A89" t="inlineStr">
        <is>
          <t>Tax rate</t>
        </is>
      </c>
      <c r="C89" s="8">
        <f>Drivers!$C$13</f>
        <v/>
      </c>
    </row>
    <row r="90">
      <c r="A90" t="inlineStr">
        <is>
          <t>Unlevered beta (industry default (config))</t>
        </is>
      </c>
      <c r="C90" s="21" t="n">
        <v>0.9</v>
      </c>
    </row>
    <row r="91">
      <c r="A91" t="inlineStr">
        <is>
          <t>Debt / equity (market)</t>
        </is>
      </c>
      <c r="C91" s="21" t="n">
        <v>2</v>
      </c>
    </row>
    <row r="92">
      <c r="A92" t="inlineStr">
        <is>
          <t>Levered beta</t>
        </is>
      </c>
      <c r="C92" s="22">
        <f>$C$90*(1+(1-$C$89)*$C$91)</f>
        <v/>
      </c>
    </row>
    <row r="93">
      <c r="A93" t="inlineStr">
        <is>
          <t>Explicit company premium</t>
        </is>
      </c>
      <c r="C93" s="4" t="n">
        <v>0</v>
      </c>
    </row>
    <row r="94">
      <c r="A94" t="inlineStr">
        <is>
          <t>Cost of equity</t>
        </is>
      </c>
      <c r="C94" s="10">
        <f>$C$86-$C$87+$C$92*$C$88+$C$93</f>
        <v/>
      </c>
    </row>
    <row r="95">
      <c r="A95" t="inlineStr">
        <is>
          <t>Pre-tax cost of debt</t>
        </is>
      </c>
      <c r="C95" s="10">
        <f>$C$86+Drivers!$C$12</f>
        <v/>
      </c>
    </row>
    <row r="96">
      <c r="A96" t="inlineStr">
        <is>
          <t>WACC</t>
        </is>
      </c>
      <c r="C96" s="10">
        <f>1/(1+$C$91)*$C$94+$C$91/(1+$C$91)*$C$95*(1-$C$89)</f>
        <v/>
      </c>
    </row>
    <row r="97">
      <c r="A97" t="inlineStr">
        <is>
          <t>Terminal growth (capped)</t>
        </is>
      </c>
      <c r="C97" s="4" t="n">
        <v>0.02</v>
      </c>
    </row>
    <row r="99">
      <c r="A99" s="1" t="inlineStr">
        <is>
          <t>Sum of the parts</t>
        </is>
      </c>
    </row>
    <row r="100">
      <c r="A100" t="inlineStr">
        <is>
          <t>Value per share (IDR) — Sum of the parts (engine value)</t>
        </is>
      </c>
      <c r="C100" s="15" t="n">
        <v>0</v>
      </c>
    </row>
    <row r="102">
      <c r="A102" s="1" t="inlineStr">
        <is>
          <t>TARGET</t>
        </is>
      </c>
    </row>
    <row r="103">
      <c r="A103" t="inlineStr">
        <is>
          <t>Weight: Sum of the parts</t>
        </is>
      </c>
      <c r="C103" s="4" t="n">
        <v>1</v>
      </c>
    </row>
    <row r="104">
      <c r="A104" t="inlineStr">
        <is>
          <t>Value today (weighted)</t>
        </is>
      </c>
      <c r="C104" s="23">
        <f>$C$100*$C$103</f>
        <v/>
      </c>
    </row>
    <row r="105">
      <c r="A105" t="inlineStr">
        <is>
          <t>DPS expected in next 12 months (IDR)</t>
        </is>
      </c>
      <c r="C105" s="15" t="n">
        <v>0</v>
      </c>
    </row>
    <row r="106">
      <c r="A106" t="inlineStr">
        <is>
          <t>Base-case 12-month value</t>
        </is>
      </c>
      <c r="C106" s="23">
        <f>MAX(0,$C$104*(1+$C$94)-$C$105)</f>
        <v/>
      </c>
    </row>
    <row r="107">
      <c r="A107" t="inlineStr">
        <is>
          <t>Bear probability</t>
        </is>
      </c>
      <c r="C107" s="4" t="n">
        <v>0.35</v>
      </c>
    </row>
    <row r="108">
      <c r="A108" t="inlineStr">
        <is>
          <t>Bear 12-month value (engine)</t>
        </is>
      </c>
      <c r="C108" s="15" t="n">
        <v>0</v>
      </c>
    </row>
    <row r="109">
      <c r="A109" t="inlineStr">
        <is>
          <t>Base probability</t>
        </is>
      </c>
      <c r="C109" s="4" t="n">
        <v>0.5</v>
      </c>
    </row>
    <row r="110">
      <c r="A110" t="inlineStr">
        <is>
          <t>Bull probability</t>
        </is>
      </c>
      <c r="C110" s="4" t="n">
        <v>0.15</v>
      </c>
    </row>
    <row r="111">
      <c r="A111" t="inlineStr">
        <is>
          <t>Bull 12-month value (engine)</t>
        </is>
      </c>
      <c r="C111" s="15" t="n">
        <v>0</v>
      </c>
    </row>
    <row r="112">
      <c r="A112" t="inlineStr">
        <is>
          <t>Probability-weighted 12-month value</t>
        </is>
      </c>
      <c r="C112" s="23">
        <f>$C$107*$C$108+$C$109*$C$106+$C$110*$C$111</f>
        <v/>
      </c>
    </row>
    <row r="113">
      <c r="A113" t="inlineStr">
        <is>
          <t>Liquidity discount (limits.yaml)</t>
        </is>
      </c>
      <c r="C113" s="4" t="n">
        <v>0.3</v>
      </c>
    </row>
    <row r="114">
      <c r="A114" t="inlineStr">
        <is>
          <t>TARGET PRICE (IDR)</t>
        </is>
      </c>
      <c r="C114" s="24">
        <f>$C$112*(1-$C$113)</f>
        <v/>
      </c>
    </row>
    <row r="115">
      <c r="A115" t="inlineStr">
        <is>
          <t>Expected 12-month total return</t>
        </is>
      </c>
      <c r="C115" s="25">
        <f>($C$114+$C$105)/$C$76-1</f>
        <v/>
      </c>
    </row>
    <row r="116">
      <c r="A116" t="inlineStr">
        <is>
          <t>Rating</t>
        </is>
      </c>
      <c r="C116" s="26">
        <f>IF($C$115&gt;=0.25,"BUY",IF($C$115&gt;=0.1,"ADD",IF($C$115&lt;=-0.25,"SELL",IF($C$115&lt;=-0.1,"REDUCE","HOLD"))))</f>
        <v/>
      </c>
    </row>
    <row r="118">
      <c r="A118" s="1" t="inlineStr">
        <is>
          <t>12-month value vs holding-company discount and cost of equity (engine values)</t>
        </is>
      </c>
    </row>
    <row r="119">
      <c r="A119" s="5" t="inlineStr">
        <is>
          <t>rows: Cost of equity (+/- pp) · columns: Holdco discount (+/- pp)</t>
        </is>
      </c>
      <c r="D119" s="1" t="n">
        <v>-0.1</v>
      </c>
      <c r="E119" s="1" t="n">
        <v>-0.05</v>
      </c>
      <c r="F119" s="1" t="n">
        <v>0</v>
      </c>
      <c r="G119" s="1" t="n">
        <v>0.05</v>
      </c>
      <c r="H119" s="1" t="n">
        <v>0.1</v>
      </c>
    </row>
    <row r="120">
      <c r="C120" s="1" t="n">
        <v>-0.01</v>
      </c>
      <c r="D120" s="23" t="n">
        <v>0</v>
      </c>
      <c r="E120" s="23" t="n">
        <v>0</v>
      </c>
      <c r="F120" s="23" t="n">
        <v>0</v>
      </c>
      <c r="G120" s="23" t="n">
        <v>0</v>
      </c>
      <c r="H120" s="23" t="n">
        <v>0</v>
      </c>
    </row>
    <row r="121">
      <c r="C121" s="1" t="n">
        <v>-0.005</v>
      </c>
      <c r="D121" s="23" t="n">
        <v>0</v>
      </c>
      <c r="E121" s="23" t="n">
        <v>0</v>
      </c>
      <c r="F121" s="23" t="n">
        <v>0</v>
      </c>
      <c r="G121" s="23" t="n">
        <v>0</v>
      </c>
      <c r="H121" s="23" t="n">
        <v>0</v>
      </c>
    </row>
    <row r="122">
      <c r="C122" s="1" t="n">
        <v>0</v>
      </c>
      <c r="D122" s="23" t="n">
        <v>0</v>
      </c>
      <c r="E122" s="23" t="n">
        <v>0</v>
      </c>
      <c r="F122" s="23" t="n">
        <v>0</v>
      </c>
      <c r="G122" s="23" t="n">
        <v>0</v>
      </c>
      <c r="H122" s="23" t="n">
        <v>0</v>
      </c>
    </row>
    <row r="123">
      <c r="C123" s="1" t="n">
        <v>0.005</v>
      </c>
      <c r="D123" s="23" t="n">
        <v>0</v>
      </c>
      <c r="E123" s="23" t="n">
        <v>0</v>
      </c>
      <c r="F123" s="23" t="n">
        <v>0</v>
      </c>
      <c r="G123" s="23" t="n">
        <v>0</v>
      </c>
      <c r="H123" s="23" t="n">
        <v>0</v>
      </c>
    </row>
    <row r="124">
      <c r="C124" s="1" t="n">
        <v>0.01</v>
      </c>
      <c r="D124" s="23" t="n">
        <v>0</v>
      </c>
      <c r="E124" s="23" t="n">
        <v>0</v>
      </c>
      <c r="F124" s="23" t="n">
        <v>0</v>
      </c>
      <c r="G124" s="23" t="n">
        <v>0</v>
      </c>
      <c r="H124" s="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2026-10-29T03:26:30Z</dcterms:created>
  <dcterms:modified xsi:type="dcterms:W3CDTF">2026-10-29T03:26:30Z</dcterms:modified>
</cp:coreProperties>
</file>