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2026-10-31T09:23:15+07:00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0.04929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2026-10-31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2026-10-31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2026-10-31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5.161227</v>
      </c>
      <c r="I2" s="9" t="n">
        <v>3.923962</v>
      </c>
      <c r="J2" s="10" t="n">
        <v>0.041134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'ADRO'!$C$122</f>
        <v/>
      </c>
      <c r="D3" s="7">
        <f>'ADRO'!$C$120</f>
        <v/>
      </c>
      <c r="E3" s="7">
        <f>'ADRO'!$C$76</f>
        <v/>
      </c>
      <c r="F3" s="8">
        <f>'ADRO'!$C$121</f>
        <v/>
      </c>
      <c r="G3" s="7">
        <f>'ADRO'!$C$110</f>
        <v/>
      </c>
      <c r="H3" s="9" t="n">
        <v>8.124575</v>
      </c>
      <c r="I3" s="9" t="n">
        <v>4.304131</v>
      </c>
      <c r="J3" s="10" t="n">
        <v>0.123034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22.909769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'BRPT'!$C$125</f>
        <v/>
      </c>
      <c r="D7" s="7">
        <f>'BRPT'!$C$123</f>
        <v/>
      </c>
      <c r="E7" s="7">
        <f>'BRPT'!$C$76</f>
        <v/>
      </c>
      <c r="F7" s="8">
        <f>'BRPT'!$C$124</f>
        <v/>
      </c>
      <c r="G7" s="7">
        <f>'BRPT'!$C$104</f>
        <v/>
      </c>
      <c r="H7" s="9" t="n">
        <v>32.08584</v>
      </c>
      <c r="I7" s="9" t="n">
        <v>9.54707</v>
      </c>
      <c r="J7" s="10" t="n">
        <v>0.003117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1293.462165</v>
      </c>
      <c r="I8" s="9" t="n">
        <v>11.929121</v>
      </c>
      <c r="J8" s="10" t="n">
        <v>1.5e-05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27.144532</v>
      </c>
      <c r="I9" s="9" t="n">
        <v>14.39559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'TOBA'!$C$122</f>
        <v/>
      </c>
      <c r="D12" s="7">
        <f>'TOBA'!$C$120</f>
        <v/>
      </c>
      <c r="E12" s="7">
        <f>'TOBA'!$C$76</f>
        <v/>
      </c>
      <c r="F12" s="8">
        <f>'TOBA'!$C$121</f>
        <v/>
      </c>
      <c r="G12" s="7">
        <f>'TOBA'!$C$110</f>
        <v/>
      </c>
      <c r="H12" s="9" t="n"/>
      <c r="I12" s="9" t="n">
        <v>9.931034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2026-10-31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2545.921836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104.4794267154209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2537.350706996673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3626.590770694548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3595.587076</v>
      </c>
      <c r="E132" s="23" t="n">
        <v>3325.539847</v>
      </c>
      <c r="F132" s="23" t="n">
        <v>3055.492618</v>
      </c>
      <c r="G132" s="23" t="n">
        <v>2785.445389</v>
      </c>
      <c r="H132" s="23" t="n">
        <v>2515.39816</v>
      </c>
    </row>
    <row r="133">
      <c r="C133" s="1" t="n">
        <v>-0.005</v>
      </c>
      <c r="D133" s="23" t="n">
        <v>3611.088923</v>
      </c>
      <c r="E133" s="23" t="n">
        <v>3339.910301</v>
      </c>
      <c r="F133" s="23" t="n">
        <v>3068.731678</v>
      </c>
      <c r="G133" s="23" t="n">
        <v>2797.553056</v>
      </c>
      <c r="H133" s="23" t="n">
        <v>2526.374433</v>
      </c>
    </row>
    <row r="134">
      <c r="C134" s="1" t="n">
        <v>0</v>
      </c>
      <c r="D134" s="23" t="n">
        <v>3626.590771</v>
      </c>
      <c r="E134" s="23" t="n">
        <v>3354.280755</v>
      </c>
      <c r="F134" s="23" t="n">
        <v>3081.970739</v>
      </c>
      <c r="G134" s="23" t="n">
        <v>2809.660723</v>
      </c>
      <c r="H134" s="23" t="n">
        <v>2537.350707</v>
      </c>
    </row>
    <row r="135">
      <c r="C135" s="1" t="n">
        <v>0.005</v>
      </c>
      <c r="D135" s="23" t="n">
        <v>3642.092618</v>
      </c>
      <c r="E135" s="23" t="n">
        <v>3368.651209</v>
      </c>
      <c r="F135" s="23" t="n">
        <v>3095.209799</v>
      </c>
      <c r="G135" s="23" t="n">
        <v>2821.76839</v>
      </c>
      <c r="H135" s="23" t="n">
        <v>2548.326981</v>
      </c>
    </row>
    <row r="136">
      <c r="C136" s="1" t="n">
        <v>0.01</v>
      </c>
      <c r="D136" s="23" t="n">
        <v>3657.594465</v>
      </c>
      <c r="E136" s="23" t="n">
        <v>3383.021663</v>
      </c>
      <c r="F136" s="23" t="n">
        <v>3108.44886</v>
      </c>
      <c r="G136" s="23" t="n">
        <v>2833.876057</v>
      </c>
      <c r="H136" s="23" t="n">
        <v>2559.303254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2400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4485.423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0.5089122675540755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2058.735749</v>
      </c>
    </row>
    <row r="102">
      <c r="A102" s="1" t="inlineStr">
        <is>
          <t>P/BV</t>
        </is>
      </c>
    </row>
    <row r="103">
      <c r="A103" t="inlineStr">
        <is>
          <t>Target multiple (own five-year average)</t>
        </is>
      </c>
      <c r="C103" s="18" t="n">
        <v>0.901424</v>
      </c>
    </row>
    <row r="104">
      <c r="A104" t="inlineStr">
        <is>
          <t>Metric (LTM, or next-12m DPS for yield)</t>
        </is>
      </c>
      <c r="C104" s="13" t="n">
        <v>4485.423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295.2818902854917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1889.26939151775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2407.98627652028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2391.38345</v>
      </c>
      <c r="E126" s="23" t="n">
        <v>2259.224326</v>
      </c>
      <c r="F126" s="23" t="n">
        <v>2127.065202</v>
      </c>
      <c r="G126" s="23" t="n">
        <v>1994.906077</v>
      </c>
      <c r="H126" s="23" t="n">
        <v>1862.746953</v>
      </c>
    </row>
    <row r="127">
      <c r="C127" s="1" t="n">
        <v>-0.005</v>
      </c>
      <c r="D127" s="23" t="n">
        <v>2403.341187</v>
      </c>
      <c r="E127" s="23" t="n">
        <v>2270.593852</v>
      </c>
      <c r="F127" s="23" t="n">
        <v>2137.846518</v>
      </c>
      <c r="G127" s="23" t="n">
        <v>2005.099183</v>
      </c>
      <c r="H127" s="23" t="n">
        <v>1872.351849</v>
      </c>
    </row>
    <row r="128">
      <c r="C128" s="1" t="n">
        <v>0</v>
      </c>
      <c r="D128" s="23" t="n">
        <v>2415.298923</v>
      </c>
      <c r="E128" s="23" t="n">
        <v>2281.963379</v>
      </c>
      <c r="F128" s="23" t="n">
        <v>2148.627834</v>
      </c>
      <c r="G128" s="23" t="n">
        <v>2015.292289</v>
      </c>
      <c r="H128" s="23" t="n">
        <v>1881.956745</v>
      </c>
    </row>
    <row r="129">
      <c r="C129" s="1" t="n">
        <v>0.005</v>
      </c>
      <c r="D129" s="23" t="n">
        <v>2427.25666</v>
      </c>
      <c r="E129" s="23" t="n">
        <v>2293.332905</v>
      </c>
      <c r="F129" s="23" t="n">
        <v>2159.40915</v>
      </c>
      <c r="G129" s="23" t="n">
        <v>2025.485395</v>
      </c>
      <c r="H129" s="23" t="n">
        <v>1891.56164</v>
      </c>
    </row>
    <row r="130">
      <c r="C130" s="1" t="n">
        <v>0.01</v>
      </c>
      <c r="D130" s="23" t="n">
        <v>2439.214397</v>
      </c>
      <c r="E130" s="23" t="n">
        <v>2304.702431</v>
      </c>
      <c r="F130" s="23" t="n">
        <v>2170.190466</v>
      </c>
      <c r="G130" s="23" t="n">
        <v>2035.678501</v>
      </c>
      <c r="H130" s="23" t="n">
        <v>1901.166536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2026-10-31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0.14</v>
      </c>
      <c r="J22" s="4" t="n">
        <v>0.15</v>
      </c>
      <c r="K22" s="4" t="n">
        <v>0.15</v>
      </c>
      <c r="L22" s="4" t="n">
        <v>0.15</v>
      </c>
      <c r="M22" s="4" t="n">
        <v>0.15</v>
      </c>
      <c r="N22" s="4" t="n">
        <v>0.15</v>
      </c>
      <c r="O22" s="4" t="n">
        <v>0.15</v>
      </c>
      <c r="P22" s="4" t="n">
        <v>0.15</v>
      </c>
      <c r="Q22" s="4" t="n">
        <v>0.15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4514.086912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3916.622517226187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5779.925610890258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5461.856497</v>
      </c>
      <c r="E132" s="23" t="n">
        <v>5132.68273</v>
      </c>
      <c r="F132" s="23" t="n">
        <v>4803.508963</v>
      </c>
      <c r="G132" s="23" t="n">
        <v>4474.335196</v>
      </c>
      <c r="H132" s="23" t="n">
        <v>4145.161429</v>
      </c>
    </row>
    <row r="133">
      <c r="C133" s="1" t="n">
        <v>-0.005</v>
      </c>
      <c r="D133" s="23" t="n">
        <v>5487.668989</v>
      </c>
      <c r="E133" s="23" t="n">
        <v>5157.050714</v>
      </c>
      <c r="F133" s="23" t="n">
        <v>4826.432439</v>
      </c>
      <c r="G133" s="23" t="n">
        <v>4495.814165</v>
      </c>
      <c r="H133" s="23" t="n">
        <v>4165.19589</v>
      </c>
    </row>
    <row r="134">
      <c r="C134" s="1" t="n">
        <v>0</v>
      </c>
      <c r="D134" s="23" t="n">
        <v>5513.481481</v>
      </c>
      <c r="E134" s="23" t="n">
        <v>5181.418698</v>
      </c>
      <c r="F134" s="23" t="n">
        <v>4849.355916</v>
      </c>
      <c r="G134" s="23" t="n">
        <v>4517.293133</v>
      </c>
      <c r="H134" s="23" t="n">
        <v>4185.230351</v>
      </c>
    </row>
    <row r="135">
      <c r="C135" s="1" t="n">
        <v>0.005</v>
      </c>
      <c r="D135" s="23" t="n">
        <v>5539.293973</v>
      </c>
      <c r="E135" s="23" t="n">
        <v>5205.786683</v>
      </c>
      <c r="F135" s="23" t="n">
        <v>4872.279392</v>
      </c>
      <c r="G135" s="23" t="n">
        <v>4538.772102</v>
      </c>
      <c r="H135" s="23" t="n">
        <v>4205.264811</v>
      </c>
    </row>
    <row r="136">
      <c r="C136" s="1" t="n">
        <v>0.01</v>
      </c>
      <c r="D136" s="23" t="n">
        <v>5565.106465</v>
      </c>
      <c r="E136" s="23" t="n">
        <v>5230.154667</v>
      </c>
      <c r="F136" s="23" t="n">
        <v>4895.202869</v>
      </c>
      <c r="G136" s="23" t="n">
        <v>4560.25107</v>
      </c>
      <c r="H136" s="23" t="n">
        <v>4225.299272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2026-10-31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0.5125999999999999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0.2743</v>
      </c>
      <c r="I12" s="4" t="n">
        <v>0.2743</v>
      </c>
      <c r="J12" s="4" t="n">
        <v>0.2743</v>
      </c>
      <c r="K12" s="4" t="n">
        <v>0.2743</v>
      </c>
      <c r="L12" s="4" t="n">
        <v>0.2743</v>
      </c>
      <c r="M12" s="4" t="n">
        <v>0.2743</v>
      </c>
      <c r="N12" s="4" t="n">
        <v>0.2743</v>
      </c>
      <c r="O12" s="4" t="n">
        <v>0.2743</v>
      </c>
      <c r="P12" s="4" t="n">
        <v>0.2743</v>
      </c>
      <c r="Q12" s="4" t="n">
        <v>0.2743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0.1298</v>
      </c>
      <c r="I13" s="4" t="n">
        <v>0.1298</v>
      </c>
      <c r="J13" s="4" t="n">
        <v>0.1298</v>
      </c>
      <c r="K13" s="4" t="n">
        <v>0.1298</v>
      </c>
      <c r="L13" s="4" t="n">
        <v>0.1298</v>
      </c>
      <c r="M13" s="4" t="n">
        <v>0.1298</v>
      </c>
      <c r="N13" s="4" t="n">
        <v>0.1298</v>
      </c>
      <c r="O13" s="4" t="n">
        <v>0.1298</v>
      </c>
      <c r="P13" s="4" t="n">
        <v>0.1298</v>
      </c>
      <c r="Q13" s="4" t="n">
        <v>0.1298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0.0519</v>
      </c>
      <c r="I14" s="4" t="n">
        <v>0.0519</v>
      </c>
      <c r="J14" s="4" t="n">
        <v>0.0519</v>
      </c>
      <c r="K14" s="4" t="n">
        <v>0.0519</v>
      </c>
      <c r="L14" s="4" t="n">
        <v>0.0519</v>
      </c>
      <c r="M14" s="4" t="n">
        <v>0.0519</v>
      </c>
      <c r="N14" s="4" t="n">
        <v>0.0519</v>
      </c>
      <c r="O14" s="4" t="n">
        <v>0.0519</v>
      </c>
      <c r="P14" s="4" t="n">
        <v>0.0519</v>
      </c>
      <c r="Q14" s="4" t="n">
        <v>0.0519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0.06560000000000001</v>
      </c>
      <c r="I15" s="4" t="n">
        <v>0.06560000000000001</v>
      </c>
      <c r="J15" s="4" t="n">
        <v>0.06560000000000001</v>
      </c>
      <c r="K15" s="4" t="n">
        <v>0.06560000000000001</v>
      </c>
      <c r="L15" s="4" t="n">
        <v>0.06560000000000001</v>
      </c>
      <c r="M15" s="4" t="n">
        <v>0.06560000000000001</v>
      </c>
      <c r="N15" s="4" t="n">
        <v>0.06560000000000001</v>
      </c>
      <c r="O15" s="4" t="n">
        <v>0.06560000000000001</v>
      </c>
      <c r="P15" s="4" t="n">
        <v>0.06560000000000001</v>
      </c>
      <c r="Q15" s="4" t="n">
        <v>0.06560000000000001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0.0677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0.03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-3410.9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-114.492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4371.992</v>
      </c>
    </row>
    <row r="84">
      <c r="A84" t="inlineStr">
        <is>
          <t>Parent equity at balance-sheet date</t>
        </is>
      </c>
      <c r="C84" s="13" t="n">
        <v>8303.696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19.365323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0.787754</v>
      </c>
    </row>
    <row r="104">
      <c r="A104" t="inlineStr">
        <is>
          <t>Metric (LTM, or next-12m DPS for yield)</t>
        </is>
      </c>
      <c r="C104" s="13" t="n">
        <v>8303.696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24.20086183397915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25.41269390002948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2.003885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27.606768</v>
      </c>
      <c r="E135" s="23" t="n">
        <v>26.104472</v>
      </c>
      <c r="F135" s="23" t="n">
        <v>24.602175</v>
      </c>
      <c r="G135" s="23" t="n">
        <v>23.099879</v>
      </c>
      <c r="H135" s="23" t="n">
        <v>21.597583</v>
      </c>
    </row>
    <row r="136">
      <c r="C136" s="1" t="n">
        <v>-0.005</v>
      </c>
      <c r="D136" s="23" t="n">
        <v>27.721563</v>
      </c>
      <c r="E136" s="23" t="n">
        <v>26.21302</v>
      </c>
      <c r="F136" s="23" t="n">
        <v>24.704477</v>
      </c>
      <c r="G136" s="23" t="n">
        <v>23.195933</v>
      </c>
      <c r="H136" s="23" t="n">
        <v>21.68739</v>
      </c>
    </row>
    <row r="137">
      <c r="C137" s="1" t="n">
        <v>0</v>
      </c>
      <c r="D137" s="23" t="n">
        <v>27.836358</v>
      </c>
      <c r="E137" s="23" t="n">
        <v>26.321568</v>
      </c>
      <c r="F137" s="23" t="n">
        <v>24.806778</v>
      </c>
      <c r="G137" s="23" t="n">
        <v>23.291988</v>
      </c>
      <c r="H137" s="23" t="n">
        <v>21.777198</v>
      </c>
    </row>
    <row r="138">
      <c r="C138" s="1" t="n">
        <v>0.005</v>
      </c>
      <c r="D138" s="23" t="n">
        <v>27.951153</v>
      </c>
      <c r="E138" s="23" t="n">
        <v>26.430116</v>
      </c>
      <c r="F138" s="23" t="n">
        <v>24.909079</v>
      </c>
      <c r="G138" s="23" t="n">
        <v>23.388042</v>
      </c>
      <c r="H138" s="23" t="n">
        <v>21.867005</v>
      </c>
    </row>
    <row r="139">
      <c r="C139" s="1" t="n">
        <v>0.01</v>
      </c>
      <c r="D139" s="23" t="n">
        <v>28.065948</v>
      </c>
      <c r="E139" s="23" t="n">
        <v>26.538664</v>
      </c>
      <c r="F139" s="23" t="n">
        <v>25.01138</v>
      </c>
      <c r="G139" s="23" t="n">
        <v>23.484097</v>
      </c>
      <c r="H139" s="23" t="n">
        <v>21.956813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0.518435</v>
      </c>
      <c r="I11" s="4" t="n">
        <v>0.1</v>
      </c>
      <c r="J11" s="4" t="n">
        <v>0.07000000000000001</v>
      </c>
      <c r="K11" s="4" t="n">
        <v>0.05</v>
      </c>
      <c r="L11" s="4" t="n">
        <v>0.04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0.181466</v>
      </c>
      <c r="I12" s="4" t="n">
        <v>0.150493</v>
      </c>
      <c r="J12" s="4" t="n">
        <v>0.150493</v>
      </c>
      <c r="K12" s="4" t="n">
        <v>0.150493</v>
      </c>
      <c r="L12" s="4" t="n">
        <v>0.150493</v>
      </c>
      <c r="M12" s="4" t="n">
        <v>0.150493</v>
      </c>
      <c r="N12" s="4" t="n">
        <v>0.150493</v>
      </c>
      <c r="O12" s="4" t="n">
        <v>0.150493</v>
      </c>
      <c r="P12" s="4" t="n">
        <v>0.150493</v>
      </c>
      <c r="Q12" s="4" t="n">
        <v>0.150493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0.069364</v>
      </c>
      <c r="I13" s="4" t="n">
        <v>0.069364</v>
      </c>
      <c r="J13" s="4" t="n">
        <v>0.069364</v>
      </c>
      <c r="K13" s="4" t="n">
        <v>0.069364</v>
      </c>
      <c r="L13" s="4" t="n">
        <v>0.069364</v>
      </c>
      <c r="M13" s="4" t="n">
        <v>0.069364</v>
      </c>
      <c r="N13" s="4" t="n">
        <v>0.069364</v>
      </c>
      <c r="O13" s="4" t="n">
        <v>0.069364</v>
      </c>
      <c r="P13" s="4" t="n">
        <v>0.069364</v>
      </c>
      <c r="Q13" s="4" t="n">
        <v>0.069364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0.039247</v>
      </c>
      <c r="I14" s="4" t="n">
        <v>0.039247</v>
      </c>
      <c r="J14" s="4" t="n">
        <v>0.039247</v>
      </c>
      <c r="K14" s="4" t="n">
        <v>0.039247</v>
      </c>
      <c r="L14" s="4" t="n">
        <v>0.039247</v>
      </c>
      <c r="M14" s="4" t="n">
        <v>0.039247</v>
      </c>
      <c r="N14" s="4" t="n">
        <v>0.039247</v>
      </c>
      <c r="O14" s="4" t="n">
        <v>0.039247</v>
      </c>
      <c r="P14" s="4" t="n">
        <v>0.039247</v>
      </c>
      <c r="Q14" s="4" t="n">
        <v>0.039247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0.1</v>
      </c>
      <c r="I23" s="4" t="n">
        <v>0.1</v>
      </c>
      <c r="J23" s="4" t="n">
        <v>0.1</v>
      </c>
      <c r="K23" s="4" t="n">
        <v>0.1</v>
      </c>
      <c r="L23" s="4" t="n">
        <v>0.1</v>
      </c>
      <c r="M23" s="4" t="n">
        <v>0.1</v>
      </c>
      <c r="N23" s="4" t="n">
        <v>0.1</v>
      </c>
      <c r="O23" s="4" t="n">
        <v>0.1</v>
      </c>
      <c r="P23" s="4" t="n">
        <v>0.1</v>
      </c>
      <c r="Q23" s="4" t="n">
        <v>0.1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320.399</v>
      </c>
      <c r="G36" s="13" t="n">
        <v>379.275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85.80899999999997</v>
      </c>
      <c r="G38" s="13" t="n">
        <v>2034.766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915.3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-1005.14102574068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0.1199502743012336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1235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1.343401985401325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418.221227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3.849049951708628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418.5930853911187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554.4339121263773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2.952983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0.7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0.3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-0.15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551.8313429999999</v>
      </c>
      <c r="E129" s="23" t="n">
        <v>517.101319</v>
      </c>
      <c r="F129" s="23" t="n">
        <v>482.371294</v>
      </c>
      <c r="G129" s="23" t="n">
        <v>447.64127</v>
      </c>
      <c r="H129" s="23" t="n">
        <v>412.911245</v>
      </c>
    </row>
    <row r="130">
      <c r="C130" s="1" t="n">
        <v>-0.005</v>
      </c>
      <c r="D130" s="23" t="n">
        <v>554.221179</v>
      </c>
      <c r="E130" s="23" t="n">
        <v>519.3417899999999</v>
      </c>
      <c r="F130" s="23" t="n">
        <v>484.4624</v>
      </c>
      <c r="G130" s="23" t="n">
        <v>449.583011</v>
      </c>
      <c r="H130" s="23" t="n">
        <v>414.703622</v>
      </c>
    </row>
    <row r="131">
      <c r="C131" s="1" t="n">
        <v>0</v>
      </c>
      <c r="D131" s="23" t="n">
        <v>556.611015</v>
      </c>
      <c r="E131" s="23" t="n">
        <v>521.582261</v>
      </c>
      <c r="F131" s="23" t="n">
        <v>486.553506</v>
      </c>
      <c r="G131" s="23" t="n">
        <v>451.524752</v>
      </c>
      <c r="H131" s="23" t="n">
        <v>416.495998</v>
      </c>
    </row>
    <row r="132">
      <c r="C132" s="1" t="n">
        <v>0.005</v>
      </c>
      <c r="D132" s="23" t="n">
        <v>559.00085</v>
      </c>
      <c r="E132" s="23" t="n">
        <v>523.822731</v>
      </c>
      <c r="F132" s="23" t="n">
        <v>488.644613</v>
      </c>
      <c r="G132" s="23" t="n">
        <v>453.466494</v>
      </c>
      <c r="H132" s="23" t="n">
        <v>418.288375</v>
      </c>
    </row>
    <row r="133">
      <c r="C133" s="1" t="n">
        <v>0.01</v>
      </c>
      <c r="D133" s="23" t="n">
        <v>561.390686</v>
      </c>
      <c r="E133" s="23" t="n">
        <v>526.063202</v>
      </c>
      <c r="F133" s="23" t="n">
        <v>490.735719</v>
      </c>
      <c r="G133" s="23" t="n">
        <v>455.408235</v>
      </c>
      <c r="H133" s="23" t="n">
        <v>420.080752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20.04</v>
      </c>
      <c r="G33" s="13" t="n">
        <v>45.378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119.897</v>
      </c>
      <c r="G35" s="13" t="n">
        <v>200.696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193.369</v>
      </c>
      <c r="G38" s="13" t="n">
        <v>193.701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1.952740336958144e-05</v>
      </c>
      <c r="G46" s="15" t="n">
        <v>1.7791e-05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-97.43736716557534</v>
      </c>
      <c r="G50" s="13" t="n">
        <v>-247.5376014604407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0.1495491584998809</v>
      </c>
      <c r="G66" s="4" t="n">
        <v>0.165097917273354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0.02499616451068511</v>
      </c>
      <c r="G67" s="4" t="n">
        <v>0.03732916096997577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4.272091878862691</v>
      </c>
      <c r="G71" s="18" t="n">
        <v>4.957487941961972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0.01365332093581266</v>
      </c>
      <c r="G72" s="4" t="n">
        <v>0.0148628166630749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382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0.6026156099068838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39.215227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0.826827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0.00590662812487401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38.66082801341696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52.98025475836653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9.455582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50.821718</v>
      </c>
      <c r="E135" s="23" t="n">
        <v>48.18916</v>
      </c>
      <c r="F135" s="23" t="n">
        <v>45.556602</v>
      </c>
      <c r="G135" s="23" t="n">
        <v>42.924043</v>
      </c>
      <c r="H135" s="23" t="n">
        <v>40.291485</v>
      </c>
    </row>
    <row r="136">
      <c r="C136" s="1" t="n">
        <v>-0.005</v>
      </c>
      <c r="D136" s="23" t="n">
        <v>51.047057</v>
      </c>
      <c r="E136" s="23" t="n">
        <v>48.402828</v>
      </c>
      <c r="F136" s="23" t="n">
        <v>45.758599</v>
      </c>
      <c r="G136" s="23" t="n">
        <v>43.114369</v>
      </c>
      <c r="H136" s="23" t="n">
        <v>40.47014</v>
      </c>
    </row>
    <row r="137">
      <c r="C137" s="1" t="n">
        <v>0</v>
      </c>
      <c r="D137" s="23" t="n">
        <v>51.272397</v>
      </c>
      <c r="E137" s="23" t="n">
        <v>48.616496</v>
      </c>
      <c r="F137" s="23" t="n">
        <v>45.960596</v>
      </c>
      <c r="G137" s="23" t="n">
        <v>43.304695</v>
      </c>
      <c r="H137" s="23" t="n">
        <v>40.648795</v>
      </c>
    </row>
    <row r="138">
      <c r="C138" s="1" t="n">
        <v>0.005</v>
      </c>
      <c r="D138" s="23" t="n">
        <v>51.497736</v>
      </c>
      <c r="E138" s="23" t="n">
        <v>48.830165</v>
      </c>
      <c r="F138" s="23" t="n">
        <v>46.162593</v>
      </c>
      <c r="G138" s="23" t="n">
        <v>43.495021</v>
      </c>
      <c r="H138" s="23" t="n">
        <v>40.827449</v>
      </c>
    </row>
    <row r="139">
      <c r="C139" s="1" t="n">
        <v>0.01</v>
      </c>
      <c r="D139" s="23" t="n">
        <v>51.723076</v>
      </c>
      <c r="E139" s="23" t="n">
        <v>49.043833</v>
      </c>
      <c r="F139" s="23" t="n">
        <v>46.36459</v>
      </c>
      <c r="G139" s="23" t="n">
        <v>43.685347</v>
      </c>
      <c r="H139" s="23" t="n">
        <v>41.006104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0.058676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44.157</v>
      </c>
      <c r="I21" s="13" t="n">
        <v>44.157</v>
      </c>
      <c r="J21" s="13" t="n">
        <v>44.157</v>
      </c>
      <c r="K21" s="13" t="n">
        <v>44.157</v>
      </c>
      <c r="L21" s="13" t="n">
        <v>44.157</v>
      </c>
      <c r="M21" s="13" t="n">
        <v>45.04013999999999</v>
      </c>
      <c r="N21" s="13" t="n">
        <v>45.94094279999999</v>
      </c>
      <c r="O21" s="13" t="n">
        <v>46.859761656</v>
      </c>
      <c r="P21" s="13" t="n">
        <v>47.79695688912</v>
      </c>
      <c r="Q21" s="13" t="n">
        <v>48.7528960269024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0.361755</v>
      </c>
      <c r="I22" s="4" t="n">
        <v>0.361755</v>
      </c>
      <c r="J22" s="4" t="n">
        <v>0.361755</v>
      </c>
      <c r="K22" s="4" t="n">
        <v>0.361755</v>
      </c>
      <c r="L22" s="4" t="n">
        <v>0.361755</v>
      </c>
      <c r="M22" s="4" t="n">
        <v>0.361755</v>
      </c>
      <c r="N22" s="4" t="n">
        <v>0.361755</v>
      </c>
      <c r="O22" s="4" t="n">
        <v>0.361755</v>
      </c>
      <c r="P22" s="4" t="n">
        <v>0.361755</v>
      </c>
      <c r="Q22" s="4" t="n">
        <v>0.361755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675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102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0.3318876181618537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215.995221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</v>
      </c>
    </row>
    <row r="108">
      <c r="A108" t="inlineStr">
        <is>
          <t>Bear 12-month value (engine)</t>
        </is>
      </c>
      <c r="C108" s="15" t="n">
        <v>208.2971579634125</v>
      </c>
    </row>
    <row r="109">
      <c r="A109" t="inlineStr">
        <is>
          <t>Base probability</t>
        </is>
      </c>
      <c r="C109" s="4" t="n">
        <v>0.45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277.7295439512166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3.147552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275.261027</v>
      </c>
      <c r="E129" s="23" t="n">
        <v>258.057213</v>
      </c>
      <c r="F129" s="23" t="n">
        <v>240.853399</v>
      </c>
      <c r="G129" s="23" t="n">
        <v>223.649585</v>
      </c>
      <c r="H129" s="23" t="n">
        <v>206.44577</v>
      </c>
    </row>
    <row r="130">
      <c r="C130" s="1" t="n">
        <v>-0.005</v>
      </c>
      <c r="D130" s="23" t="n">
        <v>276.495286</v>
      </c>
      <c r="E130" s="23" t="n">
        <v>259.21433</v>
      </c>
      <c r="F130" s="23" t="n">
        <v>241.933375</v>
      </c>
      <c r="G130" s="23" t="n">
        <v>224.65242</v>
      </c>
      <c r="H130" s="23" t="n">
        <v>207.371464</v>
      </c>
    </row>
    <row r="131">
      <c r="C131" s="1" t="n">
        <v>0</v>
      </c>
      <c r="D131" s="23" t="n">
        <v>277.729544</v>
      </c>
      <c r="E131" s="23" t="n">
        <v>260.371447</v>
      </c>
      <c r="F131" s="23" t="n">
        <v>243.013351</v>
      </c>
      <c r="G131" s="23" t="n">
        <v>225.655254</v>
      </c>
      <c r="H131" s="23" t="n">
        <v>208.297158</v>
      </c>
    </row>
    <row r="132">
      <c r="C132" s="1" t="n">
        <v>0.005</v>
      </c>
      <c r="D132" s="23" t="n">
        <v>278.963802</v>
      </c>
      <c r="E132" s="23" t="n">
        <v>261.528565</v>
      </c>
      <c r="F132" s="23" t="n">
        <v>244.093327</v>
      </c>
      <c r="G132" s="23" t="n">
        <v>226.658089</v>
      </c>
      <c r="H132" s="23" t="n">
        <v>209.222852</v>
      </c>
    </row>
    <row r="133">
      <c r="C133" s="1" t="n">
        <v>0.01</v>
      </c>
      <c r="D133" s="23" t="n">
        <v>280.198061</v>
      </c>
      <c r="E133" s="23" t="n">
        <v>262.685682</v>
      </c>
      <c r="F133" s="23" t="n">
        <v>245.173303</v>
      </c>
      <c r="G133" s="23" t="n">
        <v>227.660924</v>
      </c>
      <c r="H133" s="23" t="n">
        <v>210.148546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2026-10-31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2026-10-31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-0.0664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0.176</v>
      </c>
      <c r="I12" s="4" t="n">
        <v>0.176</v>
      </c>
      <c r="J12" s="4" t="n">
        <v>0.176</v>
      </c>
      <c r="K12" s="4" t="n">
        <v>0.176</v>
      </c>
      <c r="L12" s="4" t="n">
        <v>0.176</v>
      </c>
      <c r="M12" s="4" t="n">
        <v>0.176</v>
      </c>
      <c r="N12" s="4" t="n">
        <v>0.176</v>
      </c>
      <c r="O12" s="4" t="n">
        <v>0.176</v>
      </c>
      <c r="P12" s="4" t="n">
        <v>0.176</v>
      </c>
      <c r="Q12" s="4" t="n">
        <v>0.176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-18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0.001357048829437667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0.3893265469471483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396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145.588006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257.576909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0.826827</v>
      </c>
    </row>
    <row r="104">
      <c r="A104" t="inlineStr">
        <is>
          <t>Metric (LTM, or next-12m DPS for yield)</t>
        </is>
      </c>
      <c r="C104" s="13" t="n">
        <v>145.588006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0.666667</v>
      </c>
    </row>
    <row r="109">
      <c r="A109" t="inlineStr">
        <is>
          <t>Weight: P/BV</t>
        </is>
      </c>
      <c r="C109" s="4" t="n">
        <v>0.333333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277.6106523969429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346.4940217088107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343.614796</v>
      </c>
      <c r="E126" s="23" t="n">
        <v>326.537052</v>
      </c>
      <c r="F126" s="23" t="n">
        <v>309.459307</v>
      </c>
      <c r="G126" s="23" t="n">
        <v>292.381563</v>
      </c>
      <c r="H126" s="23" t="n">
        <v>275.303819</v>
      </c>
    </row>
    <row r="127">
      <c r="C127" s="1" t="n">
        <v>-0.005</v>
      </c>
      <c r="D127" s="23" t="n">
        <v>345.054409</v>
      </c>
      <c r="E127" s="23" t="n">
        <v>327.905115</v>
      </c>
      <c r="F127" s="23" t="n">
        <v>310.755822</v>
      </c>
      <c r="G127" s="23" t="n">
        <v>293.606529</v>
      </c>
      <c r="H127" s="23" t="n">
        <v>276.457236</v>
      </c>
    </row>
    <row r="128">
      <c r="C128" s="1" t="n">
        <v>0</v>
      </c>
      <c r="D128" s="23" t="n">
        <v>346.494022</v>
      </c>
      <c r="E128" s="23" t="n">
        <v>329.273179</v>
      </c>
      <c r="F128" s="23" t="n">
        <v>312.052337</v>
      </c>
      <c r="G128" s="23" t="n">
        <v>294.831495</v>
      </c>
      <c r="H128" s="23" t="n">
        <v>277.610652</v>
      </c>
    </row>
    <row r="129">
      <c r="C129" s="1" t="n">
        <v>0.005</v>
      </c>
      <c r="D129" s="23" t="n">
        <v>347.933635</v>
      </c>
      <c r="E129" s="23" t="n">
        <v>330.641243</v>
      </c>
      <c r="F129" s="23" t="n">
        <v>313.348852</v>
      </c>
      <c r="G129" s="23" t="n">
        <v>296.05646</v>
      </c>
      <c r="H129" s="23" t="n">
        <v>278.764069</v>
      </c>
    </row>
    <row r="130">
      <c r="C130" s="1" t="n">
        <v>0.01</v>
      </c>
      <c r="D130" s="23" t="n">
        <v>349.373248</v>
      </c>
      <c r="E130" s="23" t="n">
        <v>332.009307</v>
      </c>
      <c r="F130" s="23" t="n">
        <v>314.645367</v>
      </c>
      <c r="G130" s="23" t="n">
        <v>297.281426</v>
      </c>
      <c r="H130" s="23" t="n">
        <v>279.917485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2026-10-31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2026-10-31T02:23:15Z</dcterms:created>
  <dcterms:modified xsi:type="dcterms:W3CDTF">2026-10-31T02:23:15Z</dcterms:modified>
</cp:coreProperties>
</file>