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DRO" sheetId="4" state="visible" r:id="rId4"/>
    <sheet name="ASII" sheetId="5" state="visible" r:id="rId5"/>
    <sheet name="BNBR" sheetId="6" state="visible" r:id="rId6"/>
    <sheet name="BRPT" sheetId="7" state="visible" r:id="rId7"/>
    <sheet name="CUAN" sheetId="8" state="visible" r:id="rId8"/>
    <sheet name="DSSA" sheetId="9" state="visible" r:id="rId9"/>
    <sheet name="IMJS" sheetId="10" state="visible" r:id="rId10"/>
    <sheet name="TOB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2026-10-27T10:28:08+07:00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ADRO.JK — PT Alamtri Resources Indonesia Tbk</t>
        </is>
      </c>
    </row>
    <row r="10">
      <c r="A10" t="inlineStr">
        <is>
          <t>ASII.JK — PT Astra International Tbk</t>
        </is>
      </c>
    </row>
    <row r="11">
      <c r="A11" t="inlineStr">
        <is>
          <t>BNBR.JK — PT Bakrie &amp; Brothers Tbk</t>
        </is>
      </c>
    </row>
    <row r="12">
      <c r="A12" t="inlineStr">
        <is>
          <t>BRPT.JK — PT Barito Pacific Tbk</t>
        </is>
      </c>
    </row>
    <row r="13">
      <c r="A13" t="inlineStr">
        <is>
          <t>CUAN.JK — PT Petrindo Jaya Kreasi Tbk</t>
        </is>
      </c>
    </row>
    <row r="14">
      <c r="A14" t="inlineStr">
        <is>
          <t>DSSA.JK — PT Dian Swastatika Sentosa Tbk</t>
        </is>
      </c>
    </row>
    <row r="15">
      <c r="A15" t="inlineStr">
        <is>
          <t>IMJS.JK — PT Indomobil Multi Jasa Tbk</t>
        </is>
      </c>
    </row>
    <row r="16">
      <c r="A16" t="inlineStr">
        <is>
          <t>TOBA.JK — PT TBS Energi Utama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0.04986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2026-10-27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2026-10-27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2026-10-27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ADRO.JK</t>
        </is>
      </c>
      <c r="B2" t="inlineStr">
        <is>
          <t>PT Alamtri Resources Indonesia Tbk</t>
        </is>
      </c>
      <c r="C2" s="6">
        <f>'ADRO'!$C$128</f>
        <v/>
      </c>
      <c r="D2" s="7">
        <f>'ADRO'!$C$126</f>
        <v/>
      </c>
      <c r="E2" s="7">
        <f>'ADRO'!$C$76</f>
        <v/>
      </c>
      <c r="F2" s="8">
        <f>'ADRO'!$C$127</f>
        <v/>
      </c>
      <c r="G2" s="7">
        <f>'ADRO'!$C$116</f>
        <v/>
      </c>
      <c r="H2" s="9" t="n">
        <v>8.340565</v>
      </c>
      <c r="I2" s="9" t="n">
        <v>4.424172</v>
      </c>
      <c r="J2" s="10" t="n">
        <v>0.119848</v>
      </c>
    </row>
    <row r="3">
      <c r="A3" t="inlineStr">
        <is>
          <t>ASII.JK</t>
        </is>
      </c>
      <c r="B3" t="inlineStr">
        <is>
          <t>PT Astra International Tbk</t>
        </is>
      </c>
      <c r="C3" s="6">
        <f>'ASII'!$C$128</f>
        <v/>
      </c>
      <c r="D3" s="7">
        <f>'ASII'!$C$126</f>
        <v/>
      </c>
      <c r="E3" s="7">
        <f>'ASII'!$C$76</f>
        <v/>
      </c>
      <c r="F3" s="8">
        <f>'ASII'!$C$127</f>
        <v/>
      </c>
      <c r="G3" s="7">
        <f>'ASII'!$C$116</f>
        <v/>
      </c>
      <c r="H3" s="9" t="n">
        <v>5.781403</v>
      </c>
      <c r="I3" s="9" t="n">
        <v>4.736639</v>
      </c>
      <c r="J3" s="10" t="n">
        <v>0.08648400000000001</v>
      </c>
    </row>
    <row r="4">
      <c r="A4" t="inlineStr">
        <is>
          <t>BNBR.JK</t>
        </is>
      </c>
      <c r="B4" t="inlineStr">
        <is>
          <t>PT Bakrie &amp; Brothers Tbk</t>
        </is>
      </c>
      <c r="C4" s="6">
        <f>'BNBR'!$C$131</f>
        <v/>
      </c>
      <c r="D4" s="7">
        <f>'BNBR'!$C$129</f>
        <v/>
      </c>
      <c r="E4" s="7">
        <f>'BNBR'!$C$76</f>
        <v/>
      </c>
      <c r="F4" s="8">
        <f>'BNBR'!$C$130</f>
        <v/>
      </c>
      <c r="G4" s="7">
        <f>'BNBR'!$C$110</f>
        <v/>
      </c>
      <c r="H4" s="9" t="n"/>
      <c r="I4" s="9" t="n">
        <v>33.24141</v>
      </c>
      <c r="J4" s="10" t="n">
        <v>0</v>
      </c>
    </row>
    <row r="5">
      <c r="A5" t="inlineStr">
        <is>
          <t>BRPT.JK</t>
        </is>
      </c>
      <c r="B5" t="inlineStr">
        <is>
          <t>PT Barito Pacific Tbk</t>
        </is>
      </c>
      <c r="C5" s="6">
        <f>'BRPT'!$C$137</f>
        <v/>
      </c>
      <c r="D5" s="7">
        <f>'BRPT'!$C$135</f>
        <v/>
      </c>
      <c r="E5" s="7">
        <f>'BRPT'!$C$76</f>
        <v/>
      </c>
      <c r="F5" s="8">
        <f>'BRPT'!$C$136</f>
        <v/>
      </c>
      <c r="G5" s="7">
        <f>'BRPT'!$C$116</f>
        <v/>
      </c>
      <c r="H5" s="9" t="n">
        <v>84.67958900000001</v>
      </c>
      <c r="I5" s="9" t="n">
        <v>15.076949</v>
      </c>
      <c r="J5" s="10" t="n">
        <v>0.011809</v>
      </c>
    </row>
    <row r="6">
      <c r="A6" t="inlineStr">
        <is>
          <t>CUAN.JK</t>
        </is>
      </c>
      <c r="B6" t="inlineStr">
        <is>
          <t>PT Petrindo Jaya Kreasi Tbk</t>
        </is>
      </c>
      <c r="C6" s="6">
        <f>'CUAN'!$C$131</f>
        <v/>
      </c>
      <c r="D6" s="7">
        <f>'CUAN'!$C$129</f>
        <v/>
      </c>
      <c r="E6" s="7">
        <f>'CUAN'!$C$76</f>
        <v/>
      </c>
      <c r="F6" s="8">
        <f>'CUAN'!$C$130</f>
        <v/>
      </c>
      <c r="G6" s="7">
        <f>'CUAN'!$C$110</f>
        <v/>
      </c>
      <c r="H6" s="9" t="n">
        <v>1712.587193</v>
      </c>
      <c r="I6" s="9" t="n">
        <v>14.433199</v>
      </c>
      <c r="J6" s="10" t="n">
        <v>1.2e-05</v>
      </c>
    </row>
    <row r="7">
      <c r="A7" t="inlineStr">
        <is>
          <t>DSSA.JK</t>
        </is>
      </c>
      <c r="B7" t="inlineStr">
        <is>
          <t>PT Dian Swastatika Sentosa Tbk</t>
        </is>
      </c>
      <c r="C7" s="6">
        <f>'DSSA'!$C$137</f>
        <v/>
      </c>
      <c r="D7" s="7">
        <f>'DSSA'!$C$135</f>
        <v/>
      </c>
      <c r="E7" s="7">
        <f>'DSSA'!$C$76</f>
        <v/>
      </c>
      <c r="F7" s="8">
        <f>'DSSA'!$C$136</f>
        <v/>
      </c>
      <c r="G7" s="7">
        <f>'DSSA'!$C$116</f>
        <v/>
      </c>
      <c r="H7" s="9" t="n">
        <v>38.992377</v>
      </c>
      <c r="I7" s="9" t="n">
        <v>15.708872</v>
      </c>
      <c r="J7" s="10" t="n">
        <v>0</v>
      </c>
    </row>
    <row r="8">
      <c r="A8" t="inlineStr">
        <is>
          <t>IMJS.JK</t>
        </is>
      </c>
      <c r="B8" t="inlineStr">
        <is>
          <t>PT Indomobil Multi Jasa Tbk</t>
        </is>
      </c>
      <c r="C8" s="6">
        <f>'IMJS'!$C$122</f>
        <v/>
      </c>
      <c r="D8" s="7">
        <f>'IMJS'!$C$120</f>
        <v/>
      </c>
      <c r="E8" s="7">
        <f>'IMJS'!$C$76</f>
        <v/>
      </c>
      <c r="F8" s="8">
        <f>'IMJS'!$C$121</f>
        <v/>
      </c>
      <c r="G8" s="7">
        <f>'IMJS'!$C$110</f>
        <v/>
      </c>
      <c r="H8" s="9" t="n"/>
      <c r="I8" s="9" t="n">
        <v>12.96731</v>
      </c>
      <c r="J8" s="10" t="n">
        <v>0</v>
      </c>
    </row>
    <row r="9">
      <c r="A9" t="inlineStr">
        <is>
          <t>TOBA.JK</t>
        </is>
      </c>
      <c r="B9" t="inlineStr">
        <is>
          <t>PT TBS Energi Utama Tbk</t>
        </is>
      </c>
      <c r="C9" s="6">
        <f>'TOBA'!$C$122</f>
        <v/>
      </c>
      <c r="D9" s="7">
        <f>'TOBA'!$C$120</f>
        <v/>
      </c>
      <c r="E9" s="7">
        <f>'TOBA'!$C$76</f>
        <v/>
      </c>
      <c r="F9" s="8">
        <f>'TOBA'!$C$121</f>
        <v/>
      </c>
      <c r="G9" s="7">
        <f>'TOBA'!$C$110</f>
        <v/>
      </c>
      <c r="H9" s="9" t="n"/>
      <c r="I9" s="9" t="n">
        <v>39.781146</v>
      </c>
      <c r="J9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2460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4609.002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0.4957333164118079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2385.365518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4.069228</v>
      </c>
    </row>
    <row r="104">
      <c r="A104" t="inlineStr">
        <is>
          <t>Metric (LTM, or next-12m DPS for yield)</t>
        </is>
      </c>
      <c r="C104" s="13" t="n">
        <v>447.69422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0.901424</v>
      </c>
    </row>
    <row r="109">
      <c r="A109" t="inlineStr">
        <is>
          <t>Metric (LTM, or next-12m DPS for yield)</t>
        </is>
      </c>
      <c r="C109" s="13" t="n">
        <v>4609.002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294.8260576177227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1871.53149490201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2320.378659017952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2304.540629</v>
      </c>
      <c r="E132" s="23" t="n">
        <v>2189.700458</v>
      </c>
      <c r="F132" s="23" t="n">
        <v>2074.860288</v>
      </c>
      <c r="G132" s="23" t="n">
        <v>1960.020117</v>
      </c>
      <c r="H132" s="23" t="n">
        <v>1845.179947</v>
      </c>
    </row>
    <row r="133">
      <c r="C133" s="1" t="n">
        <v>-0.005</v>
      </c>
      <c r="D133" s="23" t="n">
        <v>2316.110323</v>
      </c>
      <c r="E133" s="23" t="n">
        <v>2200.759003</v>
      </c>
      <c r="F133" s="23" t="n">
        <v>2085.407682</v>
      </c>
      <c r="G133" s="23" t="n">
        <v>1970.056362</v>
      </c>
      <c r="H133" s="23" t="n">
        <v>1854.705042</v>
      </c>
    </row>
    <row r="134">
      <c r="C134" s="1" t="n">
        <v>0</v>
      </c>
      <c r="D134" s="23" t="n">
        <v>2327.680017</v>
      </c>
      <c r="E134" s="23" t="n">
        <v>2211.817547</v>
      </c>
      <c r="F134" s="23" t="n">
        <v>2095.955077</v>
      </c>
      <c r="G134" s="23" t="n">
        <v>1980.092607</v>
      </c>
      <c r="H134" s="23" t="n">
        <v>1864.230137</v>
      </c>
    </row>
    <row r="135">
      <c r="C135" s="1" t="n">
        <v>0.005</v>
      </c>
      <c r="D135" s="23" t="n">
        <v>2339.249711</v>
      </c>
      <c r="E135" s="23" t="n">
        <v>2222.876091</v>
      </c>
      <c r="F135" s="23" t="n">
        <v>2106.502472</v>
      </c>
      <c r="G135" s="23" t="n">
        <v>1990.128852</v>
      </c>
      <c r="H135" s="23" t="n">
        <v>1873.755232</v>
      </c>
    </row>
    <row r="136">
      <c r="C136" s="1" t="n">
        <v>0.01</v>
      </c>
      <c r="D136" s="23" t="n">
        <v>2350.819405</v>
      </c>
      <c r="E136" s="23" t="n">
        <v>2233.934636</v>
      </c>
      <c r="F136" s="23" t="n">
        <v>2117.049866</v>
      </c>
      <c r="G136" s="23" t="n">
        <v>2000.165096</v>
      </c>
      <c r="H136" s="23" t="n">
        <v>1883.280327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0.220925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0.101353</v>
      </c>
      <c r="I13" s="4" t="n">
        <v>0.101353</v>
      </c>
      <c r="J13" s="4" t="n">
        <v>0.101353</v>
      </c>
      <c r="K13" s="4" t="n">
        <v>0.101353</v>
      </c>
      <c r="L13" s="4" t="n">
        <v>0.101353</v>
      </c>
      <c r="M13" s="4" t="n">
        <v>0.101353</v>
      </c>
      <c r="N13" s="4" t="n">
        <v>0.101353</v>
      </c>
      <c r="O13" s="4" t="n">
        <v>0.101353</v>
      </c>
      <c r="P13" s="4" t="n">
        <v>0.101353</v>
      </c>
      <c r="Q13" s="4" t="n">
        <v>0.101353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10702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0.213707</v>
      </c>
      <c r="I22" s="4" t="n">
        <v>0.213707</v>
      </c>
      <c r="J22" s="4" t="n">
        <v>0.213707</v>
      </c>
      <c r="K22" s="4" t="n">
        <v>0.213707</v>
      </c>
      <c r="L22" s="4" t="n">
        <v>0.213707</v>
      </c>
      <c r="M22" s="4" t="n">
        <v>0.213707</v>
      </c>
      <c r="N22" s="4" t="n">
        <v>0.213707</v>
      </c>
      <c r="O22" s="4" t="n">
        <v>0.213707</v>
      </c>
      <c r="P22" s="4" t="n">
        <v>0.213707</v>
      </c>
      <c r="Q22" s="4" t="n">
        <v>0.213707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-0.0073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230068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4249.791636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230068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392.6382537228818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5009.300470800708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5677.192522546568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5681.645735</v>
      </c>
      <c r="E132" s="23" t="n">
        <v>5487.957627</v>
      </c>
      <c r="F132" s="23" t="n">
        <v>5294.26952</v>
      </c>
      <c r="G132" s="23" t="n">
        <v>5100.581412</v>
      </c>
      <c r="H132" s="23" t="n">
        <v>4906.893305</v>
      </c>
    </row>
    <row r="133">
      <c r="C133" s="1" t="n">
        <v>-0.005</v>
      </c>
      <c r="D133" s="23" t="n">
        <v>5708.301415</v>
      </c>
      <c r="E133" s="23" t="n">
        <v>5513.763349</v>
      </c>
      <c r="F133" s="23" t="n">
        <v>5319.225284</v>
      </c>
      <c r="G133" s="23" t="n">
        <v>5124.687218</v>
      </c>
      <c r="H133" s="23" t="n">
        <v>4930.149152</v>
      </c>
    </row>
    <row r="134">
      <c r="C134" s="1" t="n">
        <v>0</v>
      </c>
      <c r="D134" s="23" t="n">
        <v>5734.957095</v>
      </c>
      <c r="E134" s="23" t="n">
        <v>5539.569071</v>
      </c>
      <c r="F134" s="23" t="n">
        <v>5344.181047</v>
      </c>
      <c r="G134" s="23" t="n">
        <v>5148.793023</v>
      </c>
      <c r="H134" s="23" t="n">
        <v>4953.404999</v>
      </c>
    </row>
    <row r="135">
      <c r="C135" s="1" t="n">
        <v>0.005</v>
      </c>
      <c r="D135" s="23" t="n">
        <v>5761.612776</v>
      </c>
      <c r="E135" s="23" t="n">
        <v>5565.374793</v>
      </c>
      <c r="F135" s="23" t="n">
        <v>5369.136811</v>
      </c>
      <c r="G135" s="23" t="n">
        <v>5172.898828</v>
      </c>
      <c r="H135" s="23" t="n">
        <v>4976.660846</v>
      </c>
    </row>
    <row r="136">
      <c r="C136" s="1" t="n">
        <v>0.01</v>
      </c>
      <c r="D136" s="23" t="n">
        <v>5788.268456</v>
      </c>
      <c r="E136" s="23" t="n">
        <v>5591.180515</v>
      </c>
      <c r="F136" s="23" t="n">
        <v>5394.092574</v>
      </c>
      <c r="G136" s="23" t="n">
        <v>5197.004633</v>
      </c>
      <c r="H136" s="23" t="n">
        <v>4999.916693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0.38</v>
      </c>
      <c r="I11" s="4" t="n">
        <v>0.1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0.251</v>
      </c>
      <c r="I12" s="4" t="n">
        <v>0.251</v>
      </c>
      <c r="J12" s="4" t="n">
        <v>0.251</v>
      </c>
      <c r="K12" s="4" t="n">
        <v>0.251</v>
      </c>
      <c r="L12" s="4" t="n">
        <v>0.251</v>
      </c>
      <c r="M12" s="4" t="n">
        <v>0.251</v>
      </c>
      <c r="N12" s="4" t="n">
        <v>0.251</v>
      </c>
      <c r="O12" s="4" t="n">
        <v>0.251</v>
      </c>
      <c r="P12" s="4" t="n">
        <v>0.251</v>
      </c>
      <c r="Q12" s="4" t="n">
        <v>0.251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0.142</v>
      </c>
      <c r="I13" s="4" t="n">
        <v>0.142</v>
      </c>
      <c r="J13" s="4" t="n">
        <v>0.142</v>
      </c>
      <c r="K13" s="4" t="n">
        <v>0.142</v>
      </c>
      <c r="L13" s="4" t="n">
        <v>0.142</v>
      </c>
      <c r="M13" s="4" t="n">
        <v>0.142</v>
      </c>
      <c r="N13" s="4" t="n">
        <v>0.142</v>
      </c>
      <c r="O13" s="4" t="n">
        <v>0.142</v>
      </c>
      <c r="P13" s="4" t="n">
        <v>0.142</v>
      </c>
      <c r="Q13" s="4" t="n">
        <v>0.142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</v>
      </c>
      <c r="I14" s="4" t="n">
        <v>0.05</v>
      </c>
      <c r="J14" s="4" t="n">
        <v>0.05</v>
      </c>
      <c r="K14" s="4" t="n">
        <v>0.05</v>
      </c>
      <c r="L14" s="4" t="n">
        <v>0.05</v>
      </c>
      <c r="M14" s="4" t="n">
        <v>0.05</v>
      </c>
      <c r="N14" s="4" t="n">
        <v>0.05</v>
      </c>
      <c r="O14" s="4" t="n">
        <v>0.05</v>
      </c>
      <c r="P14" s="4" t="n">
        <v>0.05</v>
      </c>
      <c r="Q14" s="4" t="n">
        <v>0.05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0.055</v>
      </c>
      <c r="I15" s="4" t="n">
        <v>0.055</v>
      </c>
      <c r="J15" s="4" t="n">
        <v>0.055</v>
      </c>
      <c r="K15" s="4" t="n">
        <v>0.055</v>
      </c>
      <c r="L15" s="4" t="n">
        <v>0.055</v>
      </c>
      <c r="M15" s="4" t="n">
        <v>0.055</v>
      </c>
      <c r="N15" s="4" t="n">
        <v>0.055</v>
      </c>
      <c r="O15" s="4" t="n">
        <v>0.055</v>
      </c>
      <c r="P15" s="4" t="n">
        <v>0.055</v>
      </c>
      <c r="Q15" s="4" t="n">
        <v>0.055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1000</v>
      </c>
      <c r="I20" s="13" t="n">
        <v>700</v>
      </c>
      <c r="J20" s="13" t="n">
        <v>650</v>
      </c>
      <c r="K20" s="13" t="n">
        <v>640</v>
      </c>
      <c r="L20" s="13" t="n">
        <v>630</v>
      </c>
      <c r="M20" s="13" t="n">
        <v>635.5</v>
      </c>
      <c r="N20" s="13" t="n">
        <v>651.3874999999999</v>
      </c>
      <c r="O20" s="13" t="n">
        <v>667.6721874999998</v>
      </c>
      <c r="P20" s="13" t="n">
        <v>684.3639921874997</v>
      </c>
      <c r="Q20" s="13" t="n">
        <v>701.4730919921872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4543</v>
      </c>
    </row>
    <row r="84">
      <c r="A84" t="inlineStr">
        <is>
          <t>Parent equity at balance-sheet date</t>
        </is>
      </c>
      <c r="C84" s="13" t="n">
        <v>3710.09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1.651906620794722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39.031342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1.954578</v>
      </c>
    </row>
    <row r="104">
      <c r="A104" t="inlineStr">
        <is>
          <t>Metric (LTM, or next-12m DPS for yield)</t>
        </is>
      </c>
      <c r="C104" s="13" t="n">
        <v>3710.09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38.36115404651044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49.50980836921004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1.388413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49.095878</v>
      </c>
      <c r="E135" s="23" t="n">
        <v>46.332017</v>
      </c>
      <c r="F135" s="23" t="n">
        <v>43.568155</v>
      </c>
      <c r="G135" s="23" t="n">
        <v>40.804294</v>
      </c>
      <c r="H135" s="23" t="n">
        <v>38.040433</v>
      </c>
    </row>
    <row r="136">
      <c r="C136" s="1" t="n">
        <v>-0.005</v>
      </c>
      <c r="D136" s="23" t="n">
        <v>49.302843</v>
      </c>
      <c r="E136" s="23" t="n">
        <v>46.527331</v>
      </c>
      <c r="F136" s="23" t="n">
        <v>43.751818</v>
      </c>
      <c r="G136" s="23" t="n">
        <v>40.976306</v>
      </c>
      <c r="H136" s="23" t="n">
        <v>38.200793</v>
      </c>
    </row>
    <row r="137">
      <c r="C137" s="1" t="n">
        <v>0</v>
      </c>
      <c r="D137" s="23" t="n">
        <v>49.509808</v>
      </c>
      <c r="E137" s="23" t="n">
        <v>46.722645</v>
      </c>
      <c r="F137" s="23" t="n">
        <v>43.935481</v>
      </c>
      <c r="G137" s="23" t="n">
        <v>41.148318</v>
      </c>
      <c r="H137" s="23" t="n">
        <v>38.361154</v>
      </c>
    </row>
    <row r="138">
      <c r="C138" s="1" t="n">
        <v>0.005</v>
      </c>
      <c r="D138" s="23" t="n">
        <v>49.716774</v>
      </c>
      <c r="E138" s="23" t="n">
        <v>46.917959</v>
      </c>
      <c r="F138" s="23" t="n">
        <v>44.119144</v>
      </c>
      <c r="G138" s="23" t="n">
        <v>41.320329</v>
      </c>
      <c r="H138" s="23" t="n">
        <v>38.521515</v>
      </c>
    </row>
    <row r="139">
      <c r="C139" s="1" t="n">
        <v>0.01</v>
      </c>
      <c r="D139" s="23" t="n">
        <v>49.923739</v>
      </c>
      <c r="E139" s="23" t="n">
        <v>47.113273</v>
      </c>
      <c r="F139" s="23" t="n">
        <v>44.302807</v>
      </c>
      <c r="G139" s="23" t="n">
        <v>41.492341</v>
      </c>
      <c r="H139" s="23" t="n">
        <v>38.681875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0.3</v>
      </c>
      <c r="I11" s="4" t="n">
        <v>0.3</v>
      </c>
      <c r="J11" s="4" t="n">
        <v>0.3</v>
      </c>
      <c r="K11" s="4" t="n">
        <v>0.3</v>
      </c>
      <c r="L11" s="4" t="n">
        <v>0.3</v>
      </c>
      <c r="M11" s="4" t="n">
        <v>0.3</v>
      </c>
      <c r="N11" s="4" t="n">
        <v>0.3</v>
      </c>
      <c r="O11" s="4" t="n">
        <v>0.3</v>
      </c>
      <c r="P11" s="4" t="n">
        <v>0.3</v>
      </c>
      <c r="Q11" s="4" t="n">
        <v>0.3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0.191901</v>
      </c>
      <c r="I12" s="4" t="n">
        <v>0.191901</v>
      </c>
      <c r="J12" s="4" t="n">
        <v>0.191901</v>
      </c>
      <c r="K12" s="4" t="n">
        <v>0.191901</v>
      </c>
      <c r="L12" s="4" t="n">
        <v>0.191901</v>
      </c>
      <c r="M12" s="4" t="n">
        <v>0.191901</v>
      </c>
      <c r="N12" s="4" t="n">
        <v>0.191901</v>
      </c>
      <c r="O12" s="4" t="n">
        <v>0.191901</v>
      </c>
      <c r="P12" s="4" t="n">
        <v>0.191901</v>
      </c>
      <c r="Q12" s="4" t="n">
        <v>0.191901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0.111429</v>
      </c>
      <c r="I13" s="4" t="n">
        <v>0.111429</v>
      </c>
      <c r="J13" s="4" t="n">
        <v>0.111429</v>
      </c>
      <c r="K13" s="4" t="n">
        <v>0.111429</v>
      </c>
      <c r="L13" s="4" t="n">
        <v>0.111429</v>
      </c>
      <c r="M13" s="4" t="n">
        <v>0.111429</v>
      </c>
      <c r="N13" s="4" t="n">
        <v>0.111429</v>
      </c>
      <c r="O13" s="4" t="n">
        <v>0.111429</v>
      </c>
      <c r="P13" s="4" t="n">
        <v>0.111429</v>
      </c>
      <c r="Q13" s="4" t="n">
        <v>0.111429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0.043116</v>
      </c>
      <c r="I14" s="4" t="n">
        <v>0.043116</v>
      </c>
      <c r="J14" s="4" t="n">
        <v>0.043116</v>
      </c>
      <c r="K14" s="4" t="n">
        <v>0.043116</v>
      </c>
      <c r="L14" s="4" t="n">
        <v>0.043116</v>
      </c>
      <c r="M14" s="4" t="n">
        <v>0.043116</v>
      </c>
      <c r="N14" s="4" t="n">
        <v>0.043116</v>
      </c>
      <c r="O14" s="4" t="n">
        <v>0.043116</v>
      </c>
      <c r="P14" s="4" t="n">
        <v>0.043116</v>
      </c>
      <c r="Q14" s="4" t="n">
        <v>0.043116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1</v>
      </c>
      <c r="I23" s="4" t="n">
        <v>1</v>
      </c>
      <c r="J23" s="4" t="n">
        <v>1</v>
      </c>
      <c r="K23" s="4" t="n">
        <v>1</v>
      </c>
      <c r="L23" s="4" t="n">
        <v>1</v>
      </c>
      <c r="M23" s="4" t="n">
        <v>1</v>
      </c>
      <c r="N23" s="4" t="n">
        <v>1</v>
      </c>
      <c r="O23" s="4" t="n">
        <v>1</v>
      </c>
      <c r="P23" s="4" t="n">
        <v>1</v>
      </c>
      <c r="Q23" s="4" t="n">
        <v>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320.228</v>
      </c>
      <c r="G36" s="13" t="n">
        <v>390.532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85.63799999999998</v>
      </c>
      <c r="G38" s="13" t="n">
        <v>2046.023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913.247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-1003.08802574068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0.119681228181775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1405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1.179032215850415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1919.124899</v>
      </c>
    </row>
    <row r="102">
      <c r="A102" s="1" t="inlineStr">
        <is>
          <t>P/E</t>
        </is>
      </c>
    </row>
    <row r="103">
      <c r="A103" t="inlineStr">
        <is>
          <t>Target multiple (peer median (own history unavailable))</t>
        </is>
      </c>
      <c r="C103" s="18" t="n">
        <v>14.77824</v>
      </c>
    </row>
    <row r="104">
      <c r="A104" t="inlineStr">
        <is>
          <t>Metric (LTM, or next-12m DPS for yield)</t>
        </is>
      </c>
      <c r="C104" s="13" t="n">
        <v>489.807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4.737987</v>
      </c>
    </row>
    <row r="109">
      <c r="A109" t="inlineStr">
        <is>
          <t>Metric (LTM, or next-12m DPS for yield)</t>
        </is>
      </c>
      <c r="C109" s="13" t="n">
        <v>2433.674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16.59195590836375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1931.59768419012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2313.412436728313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0.765485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-0.15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0.3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0.7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2294.216719</v>
      </c>
      <c r="E141" s="23" t="n">
        <v>2199.183696</v>
      </c>
      <c r="F141" s="23" t="n">
        <v>2104.150674</v>
      </c>
      <c r="G141" s="23" t="n">
        <v>2009.117651</v>
      </c>
      <c r="H141" s="23" t="n">
        <v>1914.084629</v>
      </c>
    </row>
    <row r="142">
      <c r="C142" s="1" t="n">
        <v>-0.005</v>
      </c>
      <c r="D142" s="23" t="n">
        <v>2304.216394</v>
      </c>
      <c r="E142" s="23" t="n">
        <v>2208.772131</v>
      </c>
      <c r="F142" s="23" t="n">
        <v>2113.327867</v>
      </c>
      <c r="G142" s="23" t="n">
        <v>2017.883604</v>
      </c>
      <c r="H142" s="23" t="n">
        <v>1922.43934</v>
      </c>
    </row>
    <row r="143">
      <c r="C143" s="1" t="n">
        <v>0</v>
      </c>
      <c r="D143" s="23" t="n">
        <v>2314.21607</v>
      </c>
      <c r="E143" s="23" t="n">
        <v>2218.360565</v>
      </c>
      <c r="F143" s="23" t="n">
        <v>2122.50506</v>
      </c>
      <c r="G143" s="23" t="n">
        <v>2026.649556</v>
      </c>
      <c r="H143" s="23" t="n">
        <v>1930.794051</v>
      </c>
    </row>
    <row r="144">
      <c r="C144" s="1" t="n">
        <v>0.005</v>
      </c>
      <c r="D144" s="23" t="n">
        <v>2324.215745</v>
      </c>
      <c r="E144" s="23" t="n">
        <v>2227.948999</v>
      </c>
      <c r="F144" s="23" t="n">
        <v>2131.682254</v>
      </c>
      <c r="G144" s="23" t="n">
        <v>2035.415508</v>
      </c>
      <c r="H144" s="23" t="n">
        <v>1939.148763</v>
      </c>
    </row>
    <row r="145">
      <c r="C145" s="1" t="n">
        <v>0.01</v>
      </c>
      <c r="D145" s="23" t="n">
        <v>2334.215421</v>
      </c>
      <c r="E145" s="23" t="n">
        <v>2237.537434</v>
      </c>
      <c r="F145" s="23" t="n">
        <v>2140.859447</v>
      </c>
      <c r="G145" s="23" t="n">
        <v>2044.181461</v>
      </c>
      <c r="H145" s="23" t="n">
        <v>1947.503474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26.611</v>
      </c>
      <c r="G33" s="13" t="n">
        <v>25.324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126.468</v>
      </c>
      <c r="G35" s="13" t="n">
        <v>180.642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186.798</v>
      </c>
      <c r="G38" s="13" t="n">
        <v>213.755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1.936368769775187e-05</v>
      </c>
      <c r="G46" s="15" t="n">
        <v>0.00017791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-90.90747433348928</v>
      </c>
      <c r="G50" s="13" t="n">
        <v>-267.9576974609766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0.1577452561545571</v>
      </c>
      <c r="G66" s="4" t="n">
        <v>0.1486009585247998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0.03319226216536136</v>
      </c>
      <c r="G67" s="4" t="n">
        <v>0.02083220222142153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4.050123351361609</v>
      </c>
      <c r="G71" s="18" t="n">
        <v>5.507844244417134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0.01353885294601361</v>
      </c>
      <c r="G72" s="4" t="n">
        <v>0.148628166630749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505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0.4551362373233177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87.20934699999999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1.427273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0.005897509942742767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81.06409995878715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112.8650932528778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5.87344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108.05917</v>
      </c>
      <c r="E135" s="23" t="n">
        <v>102.237713</v>
      </c>
      <c r="F135" s="23" t="n">
        <v>96.416256</v>
      </c>
      <c r="G135" s="23" t="n">
        <v>90.59479899999999</v>
      </c>
      <c r="H135" s="23" t="n">
        <v>84.773341</v>
      </c>
    </row>
    <row r="136">
      <c r="C136" s="1" t="n">
        <v>-0.005</v>
      </c>
      <c r="D136" s="23" t="n">
        <v>108.540982</v>
      </c>
      <c r="E136" s="23" t="n">
        <v>102.693569</v>
      </c>
      <c r="F136" s="23" t="n">
        <v>96.84615700000001</v>
      </c>
      <c r="G136" s="23" t="n">
        <v>90.998745</v>
      </c>
      <c r="H136" s="23" t="n">
        <v>85.15133299999999</v>
      </c>
    </row>
    <row r="137">
      <c r="C137" s="1" t="n">
        <v>0</v>
      </c>
      <c r="D137" s="23" t="n">
        <v>109.022793</v>
      </c>
      <c r="E137" s="23" t="n">
        <v>103.149426</v>
      </c>
      <c r="F137" s="23" t="n">
        <v>97.276059</v>
      </c>
      <c r="G137" s="23" t="n">
        <v>91.402691</v>
      </c>
      <c r="H137" s="23" t="n">
        <v>85.529324</v>
      </c>
    </row>
    <row r="138">
      <c r="C138" s="1" t="n">
        <v>0.005</v>
      </c>
      <c r="D138" s="23" t="n">
        <v>109.504605</v>
      </c>
      <c r="E138" s="23" t="n">
        <v>103.605283</v>
      </c>
      <c r="F138" s="23" t="n">
        <v>97.70596</v>
      </c>
      <c r="G138" s="23" t="n">
        <v>91.80663699999999</v>
      </c>
      <c r="H138" s="23" t="n">
        <v>85.907315</v>
      </c>
    </row>
    <row r="139">
      <c r="C139" s="1" t="n">
        <v>0.01</v>
      </c>
      <c r="D139" s="23" t="n">
        <v>109.986417</v>
      </c>
      <c r="E139" s="23" t="n">
        <v>104.061139</v>
      </c>
      <c r="F139" s="23" t="n">
        <v>98.13586100000001</v>
      </c>
      <c r="G139" s="23" t="n">
        <v>92.210584</v>
      </c>
      <c r="H139" s="23" t="n">
        <v>86.28530600000001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0.066581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0.43326</v>
      </c>
      <c r="I22" s="4" t="n">
        <v>0.43326</v>
      </c>
      <c r="J22" s="4" t="n">
        <v>0.43326</v>
      </c>
      <c r="K22" s="4" t="n">
        <v>0.43326</v>
      </c>
      <c r="L22" s="4" t="n">
        <v>0.43326</v>
      </c>
      <c r="M22" s="4" t="n">
        <v>0.43326</v>
      </c>
      <c r="N22" s="4" t="n">
        <v>0.43326</v>
      </c>
      <c r="O22" s="4" t="n">
        <v>0.43326</v>
      </c>
      <c r="P22" s="4" t="n">
        <v>0.43326</v>
      </c>
      <c r="Q22" s="4" t="n">
        <v>0.43326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750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0.2982377488378021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211.180886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18.978758</v>
      </c>
    </row>
    <row r="104">
      <c r="A104" t="inlineStr">
        <is>
          <t>Metric (LTM, or next-12m DPS for yield)</t>
        </is>
      </c>
      <c r="C104" s="13" t="n">
        <v>307.810934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4.040983</v>
      </c>
    </row>
    <row r="109">
      <c r="A109" t="inlineStr">
        <is>
          <t>Metric (LTM, or next-12m DPS for yield)</t>
        </is>
      </c>
      <c r="C109" s="13" t="n">
        <v>2093.883533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0.8</v>
      </c>
    </row>
    <row r="114">
      <c r="A114" t="inlineStr">
        <is>
          <t>Weight: P/E</t>
        </is>
      </c>
      <c r="C114" s="4" t="n">
        <v>0.1</v>
      </c>
    </row>
    <row r="115">
      <c r="A115" t="inlineStr">
        <is>
          <t>Weight: P/BV</t>
        </is>
      </c>
      <c r="C115" s="4" t="n">
        <v>0.1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350.9546519451349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405.2137251639936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Fundamental 12-month value (after liquidity discount)</t>
        </is>
      </c>
      <c r="C126" s="23">
        <f>$C$124*(1-$C$125)</f>
        <v/>
      </c>
    </row>
    <row r="127">
      <c r="A127" t="inlineStr">
        <is>
          <t>Konglo lens: price / fundamental value today (engine)</t>
        </is>
      </c>
      <c r="C127" s="18" t="n">
        <v>2.229814</v>
      </c>
    </row>
    <row r="128">
      <c r="A128" t="inlineStr">
        <is>
          <t>Regime bear: probability (konglo deck)</t>
        </is>
      </c>
      <c r="C128" s="4" t="n">
        <v>0.25</v>
      </c>
    </row>
    <row r="129">
      <c r="A129" t="inlineStr">
        <is>
          <t>Regime bear: share of the log gap closed in 12 months</t>
        </is>
      </c>
      <c r="C129" s="4" t="n">
        <v>0.85</v>
      </c>
    </row>
    <row r="130">
      <c r="A130" t="inlineStr">
        <is>
          <t>Regime base: probability (konglo deck)</t>
        </is>
      </c>
      <c r="C130" s="4" t="n">
        <v>0.5</v>
      </c>
    </row>
    <row r="131">
      <c r="A131" t="inlineStr">
        <is>
          <t>Regime base: share of the log gap closed in 12 months</t>
        </is>
      </c>
      <c r="C131" s="4" t="n">
        <v>0.45</v>
      </c>
    </row>
    <row r="132">
      <c r="A132" t="inlineStr">
        <is>
          <t>Regime bull: probability (konglo deck)</t>
        </is>
      </c>
      <c r="C132" s="4" t="n">
        <v>0.25</v>
      </c>
    </row>
    <row r="133">
      <c r="A133" t="inlineStr">
        <is>
          <t>Regime bull: share of the log gap closed in 12 months</t>
        </is>
      </c>
      <c r="C133" s="4" t="n">
        <v>0</v>
      </c>
    </row>
    <row r="134">
      <c r="A134" t="inlineStr">
        <is>
          <t>Share of today's premium kept (probability-weighted)</t>
        </is>
      </c>
      <c r="C134" s="27">
        <f>$C$128*$C$127^(1-$C$129)+$C$130*$C$127^(1-$C$131)+$C$132*$C$127^(1-$C$133)</f>
        <v/>
      </c>
    </row>
    <row r="135">
      <c r="A135" t="inlineStr">
        <is>
          <t>TARGET PRICE (IDR) — konglo lens</t>
        </is>
      </c>
      <c r="C135" s="24">
        <f>$C$126*$C$134</f>
        <v/>
      </c>
    </row>
    <row r="136">
      <c r="A136" t="inlineStr">
        <is>
          <t>Expected 12-month total return</t>
        </is>
      </c>
      <c r="C136" s="25">
        <f>($C$135+$C$117)/$C$76-1</f>
        <v/>
      </c>
    </row>
    <row r="137">
      <c r="A137" t="inlineStr">
        <is>
          <t>Rating</t>
        </is>
      </c>
      <c r="C137" s="26">
        <f>IF($C$136&gt;=0.25,"BUY",IF($C$136&gt;=0.1,"ADD",IF($C$136&lt;=-0.25,"SELL",IF($C$136&lt;=-0.1,"REDUCE","HOLD"))))</f>
        <v/>
      </c>
    </row>
    <row r="139">
      <c r="A139" s="1" t="inlineStr">
        <is>
          <t>12-month value vs holding-company discount and cost of equity (engine values)</t>
        </is>
      </c>
    </row>
    <row r="140">
      <c r="A140" s="5" t="inlineStr">
        <is>
          <t>rows: Cost of equity (+/- pp) · columns: Holdco discount (+/- pp)</t>
        </is>
      </c>
      <c r="D140" s="1" t="n">
        <v>-0.1</v>
      </c>
      <c r="E140" s="1" t="n">
        <v>-0.05</v>
      </c>
      <c r="F140" s="1" t="n">
        <v>0</v>
      </c>
      <c r="G140" s="1" t="n">
        <v>0.05</v>
      </c>
      <c r="H140" s="1" t="n">
        <v>0.1</v>
      </c>
    </row>
    <row r="141">
      <c r="C141" s="1" t="n">
        <v>-0.01</v>
      </c>
      <c r="D141" s="23" t="n">
        <v>401.608866</v>
      </c>
      <c r="E141" s="23" t="n">
        <v>388.164772</v>
      </c>
      <c r="F141" s="23" t="n">
        <v>374.720679</v>
      </c>
      <c r="G141" s="23" t="n">
        <v>361.276585</v>
      </c>
      <c r="H141" s="23" t="n">
        <v>347.832492</v>
      </c>
    </row>
    <row r="142">
      <c r="C142" s="1" t="n">
        <v>-0.005</v>
      </c>
      <c r="D142" s="23" t="n">
        <v>403.411295</v>
      </c>
      <c r="E142" s="23" t="n">
        <v>389.906865</v>
      </c>
      <c r="F142" s="23" t="n">
        <v>376.402434</v>
      </c>
      <c r="G142" s="23" t="n">
        <v>362.898003</v>
      </c>
      <c r="H142" s="23" t="n">
        <v>349.393572</v>
      </c>
    </row>
    <row r="143">
      <c r="C143" s="1" t="n">
        <v>0</v>
      </c>
      <c r="D143" s="23" t="n">
        <v>405.213725</v>
      </c>
      <c r="E143" s="23" t="n">
        <v>391.648957</v>
      </c>
      <c r="F143" s="23" t="n">
        <v>378.084189</v>
      </c>
      <c r="G143" s="23" t="n">
        <v>364.51942</v>
      </c>
      <c r="H143" s="23" t="n">
        <v>350.954652</v>
      </c>
    </row>
    <row r="144">
      <c r="C144" s="1" t="n">
        <v>0.005</v>
      </c>
      <c r="D144" s="23" t="n">
        <v>407.016155</v>
      </c>
      <c r="E144" s="23" t="n">
        <v>393.391049</v>
      </c>
      <c r="F144" s="23" t="n">
        <v>379.765943</v>
      </c>
      <c r="G144" s="23" t="n">
        <v>366.140838</v>
      </c>
      <c r="H144" s="23" t="n">
        <v>352.515732</v>
      </c>
    </row>
    <row r="145">
      <c r="C145" s="1" t="n">
        <v>0.01</v>
      </c>
      <c r="D145" s="23" t="n">
        <v>408.818585</v>
      </c>
      <c r="E145" s="23" t="n">
        <v>395.133141</v>
      </c>
      <c r="F145" s="23" t="n">
        <v>381.447698</v>
      </c>
      <c r="G145" s="23" t="n">
        <v>367.762255</v>
      </c>
      <c r="H145" s="23" t="n">
        <v>354.076812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2026-10-27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-0.4409</v>
      </c>
      <c r="I22" s="4" t="n">
        <v>-0.3831</v>
      </c>
      <c r="J22" s="4" t="n">
        <v>-0.3406</v>
      </c>
      <c r="K22" s="4" t="n">
        <v>-0.3077</v>
      </c>
      <c r="L22" s="4" t="n">
        <v>-0.2765</v>
      </c>
      <c r="M22" s="4" t="n">
        <v>-0.1604</v>
      </c>
      <c r="N22" s="4" t="n">
        <v>-0.1604</v>
      </c>
      <c r="O22" s="4" t="n">
        <v>-0.1604</v>
      </c>
      <c r="P22" s="4" t="n">
        <v>-0.1604</v>
      </c>
      <c r="Q22" s="4" t="n">
        <v>-0.1604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0.011207</v>
      </c>
      <c r="I23" s="4" t="n">
        <v>0.010144</v>
      </c>
      <c r="J23" s="4" t="n">
        <v>0.009305000000000001</v>
      </c>
      <c r="K23" s="4" t="n">
        <v>0.008618000000000001</v>
      </c>
      <c r="L23" s="4" t="n">
        <v>0.007933000000000001</v>
      </c>
      <c r="M23" s="4" t="n">
        <v>0.007842</v>
      </c>
      <c r="N23" s="4" t="n">
        <v>0.007053</v>
      </c>
      <c r="O23" s="4" t="n">
        <v>0.006327</v>
      </c>
      <c r="P23" s="4" t="n">
        <v>0.005664</v>
      </c>
      <c r="Q23" s="4" t="n">
        <v>0.005063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333.698</v>
      </c>
      <c r="F43" s="13" t="n">
        <v>228.477</v>
      </c>
      <c r="G43" s="13" t="n">
        <v>122.855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34.41929369783664</v>
      </c>
      <c r="F45" s="15" t="n">
        <v>23.5662693998784</v>
      </c>
      <c r="G45" s="15" t="n">
        <v>11.3238111807139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0.06474080532457029</v>
      </c>
      <c r="F68" s="4" t="n">
        <v>0.04227120419564972</v>
      </c>
      <c r="G68" s="4" t="n">
        <v>0.0212362026478747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1.301216116054036</v>
      </c>
      <c r="F69" s="4" t="n">
        <v>-0.3153180420619841</v>
      </c>
      <c r="G69" s="4" t="n">
        <v>-0.5194907183411761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0.08095275995182302</v>
      </c>
      <c r="F70" s="4" t="n">
        <v>0.05155230361023167</v>
      </c>
      <c r="G70" s="4" t="n">
        <v>0.02580193822740233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0.01945095114029255</v>
      </c>
      <c r="F72" s="4" t="n">
        <v>0.01325742291656956</v>
      </c>
      <c r="G72" s="4" t="n">
        <v>0.03090832180212445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167.904316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122.855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0.705882</v>
      </c>
    </row>
    <row r="109">
      <c r="A109" t="inlineStr">
        <is>
          <t>Weight: P/E</t>
        </is>
      </c>
      <c r="C109" s="4" t="n">
        <v>0.294118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168.8378730269456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240.6873457376905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238.702193</v>
      </c>
      <c r="E126" s="23" t="n">
        <v>220.887976</v>
      </c>
      <c r="F126" s="23" t="n">
        <v>203.073759</v>
      </c>
      <c r="G126" s="23" t="n">
        <v>185.259541</v>
      </c>
      <c r="H126" s="23" t="n">
        <v>167.445324</v>
      </c>
    </row>
    <row r="127">
      <c r="C127" s="1" t="n">
        <v>-0.005</v>
      </c>
      <c r="D127" s="23" t="n">
        <v>239.69477</v>
      </c>
      <c r="E127" s="23" t="n">
        <v>221.806477</v>
      </c>
      <c r="F127" s="23" t="n">
        <v>203.918184</v>
      </c>
      <c r="G127" s="23" t="n">
        <v>186.029891</v>
      </c>
      <c r="H127" s="23" t="n">
        <v>168.141599</v>
      </c>
    </row>
    <row r="128">
      <c r="C128" s="1" t="n">
        <v>0</v>
      </c>
      <c r="D128" s="23" t="n">
        <v>240.687346</v>
      </c>
      <c r="E128" s="23" t="n">
        <v>222.724978</v>
      </c>
      <c r="F128" s="23" t="n">
        <v>204.762609</v>
      </c>
      <c r="G128" s="23" t="n">
        <v>186.800241</v>
      </c>
      <c r="H128" s="23" t="n">
        <v>168.837873</v>
      </c>
    </row>
    <row r="129">
      <c r="C129" s="1" t="n">
        <v>0.005</v>
      </c>
      <c r="D129" s="23" t="n">
        <v>241.679922</v>
      </c>
      <c r="E129" s="23" t="n">
        <v>223.643478</v>
      </c>
      <c r="F129" s="23" t="n">
        <v>205.607035</v>
      </c>
      <c r="G129" s="23" t="n">
        <v>187.570591</v>
      </c>
      <c r="H129" s="23" t="n">
        <v>169.534148</v>
      </c>
    </row>
    <row r="130">
      <c r="C130" s="1" t="n">
        <v>0.01</v>
      </c>
      <c r="D130" s="23" t="n">
        <v>242.672498</v>
      </c>
      <c r="E130" s="23" t="n">
        <v>224.561979</v>
      </c>
      <c r="F130" s="23" t="n">
        <v>206.45146</v>
      </c>
      <c r="G130" s="23" t="n">
        <v>188.340941</v>
      </c>
      <c r="H130" s="23" t="n">
        <v>170.230422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2026-10-27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0.08</v>
      </c>
      <c r="I11" s="4" t="n">
        <v>0.05</v>
      </c>
      <c r="J11" s="4" t="n">
        <v>0.03</v>
      </c>
      <c r="K11" s="4" t="n">
        <v>0.02</v>
      </c>
      <c r="L11" s="4" t="n">
        <v>0.02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0.135654</v>
      </c>
      <c r="I12" s="4" t="n">
        <v>0.135654</v>
      </c>
      <c r="J12" s="4" t="n">
        <v>0.135654</v>
      </c>
      <c r="K12" s="4" t="n">
        <v>0.135654</v>
      </c>
      <c r="L12" s="4" t="n">
        <v>0.135654</v>
      </c>
      <c r="M12" s="4" t="n">
        <v>0.135654</v>
      </c>
      <c r="N12" s="4" t="n">
        <v>0.135654</v>
      </c>
      <c r="O12" s="4" t="n">
        <v>0.135654</v>
      </c>
      <c r="P12" s="4" t="n">
        <v>0.135654</v>
      </c>
      <c r="Q12" s="4" t="n">
        <v>0.135654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0.114032</v>
      </c>
      <c r="I13" s="4" t="n">
        <v>0.114032</v>
      </c>
      <c r="J13" s="4" t="n">
        <v>0.114032</v>
      </c>
      <c r="K13" s="4" t="n">
        <v>0.114032</v>
      </c>
      <c r="L13" s="4" t="n">
        <v>0.114032</v>
      </c>
      <c r="M13" s="4" t="n">
        <v>0.114032</v>
      </c>
      <c r="N13" s="4" t="n">
        <v>0.114032</v>
      </c>
      <c r="O13" s="4" t="n">
        <v>0.114032</v>
      </c>
      <c r="P13" s="4" t="n">
        <v>0.114032</v>
      </c>
      <c r="Q13" s="4" t="n">
        <v>0.114032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0.020748</v>
      </c>
      <c r="I14" s="4" t="n">
        <v>0.020748</v>
      </c>
      <c r="J14" s="4" t="n">
        <v>0.020748</v>
      </c>
      <c r="K14" s="4" t="n">
        <v>0.020748</v>
      </c>
      <c r="L14" s="4" t="n">
        <v>0.020748</v>
      </c>
      <c r="M14" s="4" t="n">
        <v>0.020748</v>
      </c>
      <c r="N14" s="4" t="n">
        <v>0.020748</v>
      </c>
      <c r="O14" s="4" t="n">
        <v>0.020748</v>
      </c>
      <c r="P14" s="4" t="n">
        <v>0.020748</v>
      </c>
      <c r="Q14" s="4" t="n">
        <v>0.020748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0.08050499999999999</v>
      </c>
      <c r="I15" s="4" t="n">
        <v>0.08050499999999999</v>
      </c>
      <c r="J15" s="4" t="n">
        <v>0.08050499999999999</v>
      </c>
      <c r="K15" s="4" t="n">
        <v>0.08050499999999999</v>
      </c>
      <c r="L15" s="4" t="n">
        <v>0.08050499999999999</v>
      </c>
      <c r="M15" s="4" t="n">
        <v>0.08050499999999999</v>
      </c>
      <c r="N15" s="4" t="n">
        <v>0.08050499999999999</v>
      </c>
      <c r="O15" s="4" t="n">
        <v>0.08050499999999999</v>
      </c>
      <c r="P15" s="4" t="n">
        <v>0.08050499999999999</v>
      </c>
      <c r="Q15" s="4" t="n">
        <v>0.08050499999999999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0.163845</v>
      </c>
      <c r="I16" s="4" t="n">
        <v>0.163845</v>
      </c>
      <c r="J16" s="4" t="n">
        <v>0.163845</v>
      </c>
      <c r="K16" s="4" t="n">
        <v>0.163845</v>
      </c>
      <c r="L16" s="4" t="n">
        <v>0.163845</v>
      </c>
      <c r="M16" s="4" t="n">
        <v>0.163845</v>
      </c>
      <c r="N16" s="4" t="n">
        <v>0.163845</v>
      </c>
      <c r="O16" s="4" t="n">
        <v>0.163845</v>
      </c>
      <c r="P16" s="4" t="n">
        <v>0.163845</v>
      </c>
      <c r="Q16" s="4" t="n">
        <v>0.163845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0.245378</v>
      </c>
      <c r="I17" s="4" t="n">
        <v>0.245378</v>
      </c>
      <c r="J17" s="4" t="n">
        <v>0.245378</v>
      </c>
      <c r="K17" s="4" t="n">
        <v>0.245378</v>
      </c>
      <c r="L17" s="4" t="n">
        <v>0.245378</v>
      </c>
      <c r="M17" s="4" t="n">
        <v>0.245378</v>
      </c>
      <c r="N17" s="4" t="n">
        <v>0.245378</v>
      </c>
      <c r="O17" s="4" t="n">
        <v>0.245378</v>
      </c>
      <c r="P17" s="4" t="n">
        <v>0.245378</v>
      </c>
      <c r="Q17" s="4" t="n">
        <v>0.245378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0.06307699999999999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0.343881</v>
      </c>
      <c r="I22" s="4" t="n">
        <v>0.343881</v>
      </c>
      <c r="J22" s="4" t="n">
        <v>0.343881</v>
      </c>
      <c r="K22" s="4" t="n">
        <v>0.343881</v>
      </c>
      <c r="L22" s="4" t="n">
        <v>0.343881</v>
      </c>
      <c r="M22" s="4" t="n">
        <v>0.343881</v>
      </c>
      <c r="N22" s="4" t="n">
        <v>0.343881</v>
      </c>
      <c r="O22" s="4" t="n">
        <v>0.343881</v>
      </c>
      <c r="P22" s="4" t="n">
        <v>0.343881</v>
      </c>
      <c r="Q22" s="4" t="n">
        <v>0.343881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0.148973</v>
      </c>
      <c r="I23" s="4" t="n">
        <v>0.148973</v>
      </c>
      <c r="J23" s="4" t="n">
        <v>0.148973</v>
      </c>
      <c r="K23" s="4" t="n">
        <v>0.148973</v>
      </c>
      <c r="L23" s="4" t="n">
        <v>0.148973</v>
      </c>
      <c r="M23" s="4" t="n">
        <v>0.148973</v>
      </c>
      <c r="N23" s="4" t="n">
        <v>0.148973</v>
      </c>
      <c r="O23" s="4" t="n">
        <v>0.148973</v>
      </c>
      <c r="P23" s="4" t="n">
        <v>0.148973</v>
      </c>
      <c r="Q23" s="4" t="n">
        <v>0.148973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-28.897458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4.952848</v>
      </c>
      <c r="G34" s="13" t="n">
        <v>15.723109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51.48940200000001</v>
      </c>
      <c r="G35" s="13" t="n">
        <v>-13.174349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-123.330505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0.001343431953985155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32.75934688788424</v>
      </c>
      <c r="G50" s="13" t="n">
        <v>23.21331452802639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0.1334665435978</v>
      </c>
      <c r="G66" s="4" t="n">
        <v>-0.03600921861868799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-0.07898491854484452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5.323695893768585</v>
      </c>
      <c r="G71" s="18" t="n">
        <v>-23.3282396724119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0.3854199733698861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520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18110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167.169365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1.67335023704859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296.13828</v>
      </c>
    </row>
    <row r="102">
      <c r="A102" s="1" t="inlineStr">
        <is>
          <t>P/BV</t>
        </is>
      </c>
    </row>
    <row r="103">
      <c r="A103" t="inlineStr">
        <is>
          <t>Target multiple (own five-year average)</t>
        </is>
      </c>
      <c r="C103" s="18" t="n">
        <v>0.966446</v>
      </c>
    </row>
    <row r="104">
      <c r="A104" t="inlineStr">
        <is>
          <t>Metric (LTM, or next-12m DPS for yield)</t>
        </is>
      </c>
      <c r="C104" s="13" t="n">
        <v>167.169365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325.0828718335402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405.5415701656991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402.129807</v>
      </c>
      <c r="E126" s="23" t="n">
        <v>382.184354</v>
      </c>
      <c r="F126" s="23" t="n">
        <v>362.238902</v>
      </c>
      <c r="G126" s="23" t="n">
        <v>342.293449</v>
      </c>
      <c r="H126" s="23" t="n">
        <v>322.347996</v>
      </c>
    </row>
    <row r="127">
      <c r="C127" s="1" t="n">
        <v>-0.005</v>
      </c>
      <c r="D127" s="23" t="n">
        <v>403.835689</v>
      </c>
      <c r="E127" s="23" t="n">
        <v>383.805625</v>
      </c>
      <c r="F127" s="23" t="n">
        <v>363.775561</v>
      </c>
      <c r="G127" s="23" t="n">
        <v>343.745498</v>
      </c>
      <c r="H127" s="23" t="n">
        <v>323.715434</v>
      </c>
    </row>
    <row r="128">
      <c r="C128" s="1" t="n">
        <v>0</v>
      </c>
      <c r="D128" s="23" t="n">
        <v>405.54157</v>
      </c>
      <c r="E128" s="23" t="n">
        <v>385.426896</v>
      </c>
      <c r="F128" s="23" t="n">
        <v>365.312221</v>
      </c>
      <c r="G128" s="23" t="n">
        <v>345.197546</v>
      </c>
      <c r="H128" s="23" t="n">
        <v>325.082872</v>
      </c>
    </row>
    <row r="129">
      <c r="C129" s="1" t="n">
        <v>0.005</v>
      </c>
      <c r="D129" s="23" t="n">
        <v>407.247452</v>
      </c>
      <c r="E129" s="23" t="n">
        <v>387.048166</v>
      </c>
      <c r="F129" s="23" t="n">
        <v>366.848881</v>
      </c>
      <c r="G129" s="23" t="n">
        <v>346.649595</v>
      </c>
      <c r="H129" s="23" t="n">
        <v>326.45031</v>
      </c>
    </row>
    <row r="130">
      <c r="C130" s="1" t="n">
        <v>0.01</v>
      </c>
      <c r="D130" s="23" t="n">
        <v>408.953333</v>
      </c>
      <c r="E130" s="23" t="n">
        <v>388.669437</v>
      </c>
      <c r="F130" s="23" t="n">
        <v>368.38554</v>
      </c>
      <c r="G130" s="23" t="n">
        <v>348.101644</v>
      </c>
      <c r="H130" s="23" t="n">
        <v>327.817747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2026-10-27T03:28:08Z</dcterms:created>
  <dcterms:modified xsi:type="dcterms:W3CDTF">2026-10-27T03:28:08Z</dcterms:modified>
</cp:coreProperties>
</file>